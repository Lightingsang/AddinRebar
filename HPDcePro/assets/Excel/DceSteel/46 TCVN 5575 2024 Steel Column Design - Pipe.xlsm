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ce Pro\Excel\DceSteel\"/>
    </mc:Choice>
  </mc:AlternateContent>
  <xr:revisionPtr revIDLastSave="0" documentId="13_ncr:1_{84102B15-66E0-4B5F-A276-4AE6635B5877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Data" sheetId="1" r:id="rId1"/>
    <sheet name="Cal" sheetId="6" r:id="rId2"/>
    <sheet name="Sheet1" sheetId="7" r:id="rId3"/>
  </sheets>
  <functionGroups builtInGroupCount="19"/>
  <definedNames>
    <definedName name="_xlnm._FilterDatabase" localSheetId="1" hidden="1">Cal!#REF!</definedName>
    <definedName name="_xlnm._FilterDatabase" localSheetId="2" hidden="1">Sheet1!$B$23:$BD$61</definedName>
    <definedName name="_xleta.ABS" hidden="1" xlm="1">#NAME?</definedName>
    <definedName name="_xleta.IF" hidden="1" xlm="1">#NAME?</definedName>
    <definedName name="_xleta.PI" hidden="1" xlm="1">#NAME?</definedName>
    <definedName name="_xleta.T" hidden="1" xlm="1">#NAME?</definedName>
    <definedName name="_xlnm.Print_Area" localSheetId="1">Cal!$B$11:$N$28</definedName>
    <definedName name="_xlnm.Print_Area" localSheetId="0">Data!#REF!</definedName>
    <definedName name="SLSLOADCAS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3" i="6" l="1"/>
  <c r="E23" i="6"/>
  <c r="D23" i="6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CV23" i="7" l="1"/>
  <c r="CT23" i="7"/>
  <c r="CR23" i="7"/>
  <c r="CQ23" i="7"/>
  <c r="CP23" i="7"/>
  <c r="CO23" i="7"/>
  <c r="CN23" i="7"/>
  <c r="CM23" i="7"/>
  <c r="AU568" i="6"/>
  <c r="AU567" i="6"/>
  <c r="AU566" i="6"/>
  <c r="AU565" i="6"/>
  <c r="AU564" i="6"/>
  <c r="AU563" i="6"/>
  <c r="AU562" i="6"/>
  <c r="AU561" i="6"/>
  <c r="AU560" i="6"/>
  <c r="AU559" i="6"/>
  <c r="AU558" i="6"/>
  <c r="AU557" i="6"/>
  <c r="AU556" i="6"/>
  <c r="AU555" i="6"/>
  <c r="AU554" i="6"/>
  <c r="AU553" i="6"/>
  <c r="AU552" i="6"/>
  <c r="AU551" i="6"/>
  <c r="AU550" i="6"/>
  <c r="AU549" i="6"/>
  <c r="AU548" i="6"/>
  <c r="AU547" i="6"/>
  <c r="AU546" i="6"/>
  <c r="AU545" i="6"/>
  <c r="AU544" i="6"/>
  <c r="AU543" i="6"/>
  <c r="AU542" i="6"/>
  <c r="AU541" i="6"/>
  <c r="AU540" i="6"/>
  <c r="AU539" i="6"/>
  <c r="AU538" i="6"/>
  <c r="AU537" i="6"/>
  <c r="AU536" i="6"/>
  <c r="AU535" i="6"/>
  <c r="AU534" i="6"/>
  <c r="AU533" i="6"/>
  <c r="AU532" i="6"/>
  <c r="AU531" i="6"/>
  <c r="AU530" i="6"/>
  <c r="AU529" i="6"/>
  <c r="AU528" i="6"/>
  <c r="AU527" i="6"/>
  <c r="AU526" i="6"/>
  <c r="AU525" i="6"/>
  <c r="AU524" i="6"/>
  <c r="AU523" i="6"/>
  <c r="AU522" i="6"/>
  <c r="AU521" i="6"/>
  <c r="AU520" i="6"/>
  <c r="AU519" i="6"/>
  <c r="AU518" i="6"/>
  <c r="AU517" i="6"/>
  <c r="AU516" i="6"/>
  <c r="AU515" i="6"/>
  <c r="AU514" i="6"/>
  <c r="AU513" i="6"/>
  <c r="AU512" i="6"/>
  <c r="AU511" i="6"/>
  <c r="AU510" i="6"/>
  <c r="AU509" i="6"/>
  <c r="AU508" i="6"/>
  <c r="AU507" i="6"/>
  <c r="AU506" i="6"/>
  <c r="AU505" i="6"/>
  <c r="AU504" i="6"/>
  <c r="AU503" i="6"/>
  <c r="AU502" i="6"/>
  <c r="AU501" i="6"/>
  <c r="AU500" i="6"/>
  <c r="AU499" i="6"/>
  <c r="AU498" i="6"/>
  <c r="AU497" i="6"/>
  <c r="AU496" i="6"/>
  <c r="AU495" i="6"/>
  <c r="AU494" i="6"/>
  <c r="AU493" i="6"/>
  <c r="AU492" i="6"/>
  <c r="AU491" i="6"/>
  <c r="AU490" i="6"/>
  <c r="AU489" i="6"/>
  <c r="AU488" i="6"/>
  <c r="AU487" i="6"/>
  <c r="AU486" i="6"/>
  <c r="AU485" i="6"/>
  <c r="AU484" i="6"/>
  <c r="AU483" i="6"/>
  <c r="AU482" i="6"/>
  <c r="AU481" i="6"/>
  <c r="AU480" i="6"/>
  <c r="AU479" i="6"/>
  <c r="AU478" i="6"/>
  <c r="AU477" i="6"/>
  <c r="AU476" i="6"/>
  <c r="AU475" i="6"/>
  <c r="AU474" i="6"/>
  <c r="AU473" i="6"/>
  <c r="AU472" i="6"/>
  <c r="AU471" i="6"/>
  <c r="AU470" i="6"/>
  <c r="AU469" i="6"/>
  <c r="AU468" i="6"/>
  <c r="AU467" i="6"/>
  <c r="AU466" i="6"/>
  <c r="AU465" i="6"/>
  <c r="AU464" i="6"/>
  <c r="AU463" i="6"/>
  <c r="AU462" i="6"/>
  <c r="AU461" i="6"/>
  <c r="AU460" i="6"/>
  <c r="AU459" i="6"/>
  <c r="AU458" i="6"/>
  <c r="AU457" i="6"/>
  <c r="AU456" i="6"/>
  <c r="AU455" i="6"/>
  <c r="AU454" i="6"/>
  <c r="AU453" i="6"/>
  <c r="AU452" i="6"/>
  <c r="AU451" i="6"/>
  <c r="AU450" i="6"/>
  <c r="AU449" i="6"/>
  <c r="AU448" i="6"/>
  <c r="AU447" i="6"/>
  <c r="AU446" i="6"/>
  <c r="AU445" i="6"/>
  <c r="AU444" i="6"/>
  <c r="AU443" i="6"/>
  <c r="AU442" i="6"/>
  <c r="AU441" i="6"/>
  <c r="AU440" i="6"/>
  <c r="AU439" i="6"/>
  <c r="AU438" i="6"/>
  <c r="AU437" i="6"/>
  <c r="AU436" i="6"/>
  <c r="AU435" i="6"/>
  <c r="AU434" i="6"/>
  <c r="AU433" i="6"/>
  <c r="AU432" i="6"/>
  <c r="AU431" i="6"/>
  <c r="AU430" i="6"/>
  <c r="AU429" i="6"/>
  <c r="AU428" i="6"/>
  <c r="AU427" i="6"/>
  <c r="AU426" i="6"/>
  <c r="AU425" i="6"/>
  <c r="AU424" i="6"/>
  <c r="AU423" i="6"/>
  <c r="AU422" i="6"/>
  <c r="AU421" i="6"/>
  <c r="AU420" i="6"/>
  <c r="AU419" i="6"/>
  <c r="AU418" i="6"/>
  <c r="AU417" i="6"/>
  <c r="AU416" i="6"/>
  <c r="AU415" i="6"/>
  <c r="AU414" i="6"/>
  <c r="AU413" i="6"/>
  <c r="AU412" i="6"/>
  <c r="AU411" i="6"/>
  <c r="AU410" i="6"/>
  <c r="AU409" i="6"/>
  <c r="AU408" i="6"/>
  <c r="AU407" i="6"/>
  <c r="AU406" i="6"/>
  <c r="AU405" i="6"/>
  <c r="AU404" i="6"/>
  <c r="AU403" i="6"/>
  <c r="AU402" i="6"/>
  <c r="AU401" i="6"/>
  <c r="AU400" i="6"/>
  <c r="AU399" i="6"/>
  <c r="AU398" i="6"/>
  <c r="AU397" i="6"/>
  <c r="AU396" i="6"/>
  <c r="AU395" i="6"/>
  <c r="AU394" i="6"/>
  <c r="AU393" i="6"/>
  <c r="AU392" i="6"/>
  <c r="AU391" i="6"/>
  <c r="AU390" i="6"/>
  <c r="AU389" i="6"/>
  <c r="AU388" i="6"/>
  <c r="AU387" i="6"/>
  <c r="AU386" i="6"/>
  <c r="AU385" i="6"/>
  <c r="AU384" i="6"/>
  <c r="AU383" i="6"/>
  <c r="AU382" i="6"/>
  <c r="AU381" i="6"/>
  <c r="AU380" i="6"/>
  <c r="AU379" i="6"/>
  <c r="AU378" i="6"/>
  <c r="AU377" i="6"/>
  <c r="AU376" i="6"/>
  <c r="AU375" i="6"/>
  <c r="AU374" i="6"/>
  <c r="AU373" i="6"/>
  <c r="AU372" i="6"/>
  <c r="AU371" i="6"/>
  <c r="AU370" i="6"/>
  <c r="AU369" i="6"/>
  <c r="AU368" i="6"/>
  <c r="AU367" i="6"/>
  <c r="AU366" i="6"/>
  <c r="AU365" i="6"/>
  <c r="AU364" i="6"/>
  <c r="AU363" i="6"/>
  <c r="AU362" i="6"/>
  <c r="AU361" i="6"/>
  <c r="AU360" i="6"/>
  <c r="AU359" i="6"/>
  <c r="AU358" i="6"/>
  <c r="AU357" i="6"/>
  <c r="AU356" i="6"/>
  <c r="AU355" i="6"/>
  <c r="AU354" i="6"/>
  <c r="AU353" i="6"/>
  <c r="AU352" i="6"/>
  <c r="AU351" i="6"/>
  <c r="AU350" i="6"/>
  <c r="AU349" i="6"/>
  <c r="AU348" i="6"/>
  <c r="AU347" i="6"/>
  <c r="AU346" i="6"/>
  <c r="AU345" i="6"/>
  <c r="AU344" i="6"/>
  <c r="AU343" i="6"/>
  <c r="AU342" i="6"/>
  <c r="AU341" i="6"/>
  <c r="AU340" i="6"/>
  <c r="AU339" i="6"/>
  <c r="AU338" i="6"/>
  <c r="AU337" i="6"/>
  <c r="AU336" i="6"/>
  <c r="AU335" i="6"/>
  <c r="AU334" i="6"/>
  <c r="AU333" i="6"/>
  <c r="AU332" i="6"/>
  <c r="AU331" i="6"/>
  <c r="AU330" i="6"/>
  <c r="AU329" i="6"/>
  <c r="AU328" i="6"/>
  <c r="AU327" i="6"/>
  <c r="AU326" i="6"/>
  <c r="AU325" i="6"/>
  <c r="AU324" i="6"/>
  <c r="AU323" i="6"/>
  <c r="AU322" i="6"/>
  <c r="AU321" i="6"/>
  <c r="AU320" i="6"/>
  <c r="AU319" i="6"/>
  <c r="AU318" i="6"/>
  <c r="AU317" i="6"/>
  <c r="AU316" i="6"/>
  <c r="AU315" i="6"/>
  <c r="AU314" i="6"/>
  <c r="AU313" i="6"/>
  <c r="AU312" i="6"/>
  <c r="AU311" i="6"/>
  <c r="AU310" i="6"/>
  <c r="AU309" i="6"/>
  <c r="AU308" i="6"/>
  <c r="AU307" i="6"/>
  <c r="AU306" i="6"/>
  <c r="AU305" i="6"/>
  <c r="AU304" i="6"/>
  <c r="AU303" i="6"/>
  <c r="AU302" i="6"/>
  <c r="AU301" i="6"/>
  <c r="AU300" i="6"/>
  <c r="AU299" i="6"/>
  <c r="AU298" i="6"/>
  <c r="AU297" i="6"/>
  <c r="AU296" i="6"/>
  <c r="AU295" i="6"/>
  <c r="AU294" i="6"/>
  <c r="AU293" i="6"/>
  <c r="AU292" i="6"/>
  <c r="AU291" i="6"/>
  <c r="AU290" i="6"/>
  <c r="AU289" i="6"/>
  <c r="AU288" i="6"/>
  <c r="AU287" i="6"/>
  <c r="AU286" i="6"/>
  <c r="AU285" i="6"/>
  <c r="AU284" i="6"/>
  <c r="AU283" i="6"/>
  <c r="AU282" i="6"/>
  <c r="AU281" i="6"/>
  <c r="AU280" i="6"/>
  <c r="AU279" i="6"/>
  <c r="AU278" i="6"/>
  <c r="AU277" i="6"/>
  <c r="AU276" i="6"/>
  <c r="AU275" i="6"/>
  <c r="AU274" i="6"/>
  <c r="AU273" i="6"/>
  <c r="AU272" i="6"/>
  <c r="AU271" i="6"/>
  <c r="AU270" i="6"/>
  <c r="AU269" i="6"/>
  <c r="AU268" i="6"/>
  <c r="AU267" i="6"/>
  <c r="AU266" i="6"/>
  <c r="AU265" i="6"/>
  <c r="AU264" i="6"/>
  <c r="AU263" i="6"/>
  <c r="AU262" i="6"/>
  <c r="AU261" i="6"/>
  <c r="AU260" i="6"/>
  <c r="AU259" i="6"/>
  <c r="AU258" i="6"/>
  <c r="AU257" i="6"/>
  <c r="AU256" i="6"/>
  <c r="AU255" i="6"/>
  <c r="AU254" i="6"/>
  <c r="AU253" i="6"/>
  <c r="AU252" i="6"/>
  <c r="AU251" i="6"/>
  <c r="AU250" i="6"/>
  <c r="AU249" i="6"/>
  <c r="AU248" i="6"/>
  <c r="AU247" i="6"/>
  <c r="AU246" i="6"/>
  <c r="AU245" i="6"/>
  <c r="AU244" i="6"/>
  <c r="AU243" i="6"/>
  <c r="AU242" i="6"/>
  <c r="AU241" i="6"/>
  <c r="AU240" i="6"/>
  <c r="AU239" i="6"/>
  <c r="AU238" i="6"/>
  <c r="AU237" i="6"/>
  <c r="AU236" i="6"/>
  <c r="AU235" i="6"/>
  <c r="AU234" i="6"/>
  <c r="AU233" i="6"/>
  <c r="AU232" i="6"/>
  <c r="AU231" i="6"/>
  <c r="AU230" i="6"/>
  <c r="AU229" i="6"/>
  <c r="AU228" i="6"/>
  <c r="AU227" i="6"/>
  <c r="AU226" i="6"/>
  <c r="AU225" i="6"/>
  <c r="AU224" i="6"/>
  <c r="AU223" i="6"/>
  <c r="AU222" i="6"/>
  <c r="AU221" i="6"/>
  <c r="AU220" i="6"/>
  <c r="AU219" i="6"/>
  <c r="AU218" i="6"/>
  <c r="AU217" i="6"/>
  <c r="AU216" i="6"/>
  <c r="AU215" i="6"/>
  <c r="AU214" i="6"/>
  <c r="AU213" i="6"/>
  <c r="AU212" i="6"/>
  <c r="AU211" i="6"/>
  <c r="AU210" i="6"/>
  <c r="AU209" i="6"/>
  <c r="AU208" i="6"/>
  <c r="AU207" i="6"/>
  <c r="AU206" i="6"/>
  <c r="AU205" i="6"/>
  <c r="AU204" i="6"/>
  <c r="AU203" i="6"/>
  <c r="AU202" i="6"/>
  <c r="AU201" i="6"/>
  <c r="AU200" i="6"/>
  <c r="AU199" i="6"/>
  <c r="AU198" i="6"/>
  <c r="AU197" i="6"/>
  <c r="AU196" i="6"/>
  <c r="AU195" i="6"/>
  <c r="AU194" i="6"/>
  <c r="AU193" i="6"/>
  <c r="AU192" i="6"/>
  <c r="AU191" i="6"/>
  <c r="AU190" i="6"/>
  <c r="AU189" i="6"/>
  <c r="AU188" i="6"/>
  <c r="AU187" i="6"/>
  <c r="AU186" i="6"/>
  <c r="AU185" i="6"/>
  <c r="AU184" i="6"/>
  <c r="AU183" i="6"/>
  <c r="AU182" i="6"/>
  <c r="AU181" i="6"/>
  <c r="AU180" i="6"/>
  <c r="AU179" i="6"/>
  <c r="AU178" i="6"/>
  <c r="AU177" i="6"/>
  <c r="AU176" i="6"/>
  <c r="AU175" i="6"/>
  <c r="AU174" i="6"/>
  <c r="AU173" i="6"/>
  <c r="AU172" i="6"/>
  <c r="AU171" i="6"/>
  <c r="AU170" i="6"/>
  <c r="AU169" i="6"/>
  <c r="AU168" i="6"/>
  <c r="AU167" i="6"/>
  <c r="AU166" i="6"/>
  <c r="AU165" i="6"/>
  <c r="AU164" i="6"/>
  <c r="AU163" i="6"/>
  <c r="AU162" i="6"/>
  <c r="AU161" i="6"/>
  <c r="AU160" i="6"/>
  <c r="AU159" i="6"/>
  <c r="AU158" i="6"/>
  <c r="AU157" i="6"/>
  <c r="AU156" i="6"/>
  <c r="AU155" i="6"/>
  <c r="AU154" i="6"/>
  <c r="AU153" i="6"/>
  <c r="AU152" i="6"/>
  <c r="AU151" i="6"/>
  <c r="AU150" i="6"/>
  <c r="AU149" i="6"/>
  <c r="AU148" i="6"/>
  <c r="AU147" i="6"/>
  <c r="AU146" i="6"/>
  <c r="AU145" i="6"/>
  <c r="AU144" i="6"/>
  <c r="AU143" i="6"/>
  <c r="AU142" i="6"/>
  <c r="AU141" i="6"/>
  <c r="AU140" i="6"/>
  <c r="AU139" i="6"/>
  <c r="AU138" i="6"/>
  <c r="AU137" i="6"/>
  <c r="AU136" i="6"/>
  <c r="AU135" i="6"/>
  <c r="AU134" i="6"/>
  <c r="AU133" i="6"/>
  <c r="AU132" i="6"/>
  <c r="AU131" i="6"/>
  <c r="AU130" i="6"/>
  <c r="AU129" i="6"/>
  <c r="AU128" i="6"/>
  <c r="AU127" i="6"/>
  <c r="AU126" i="6"/>
  <c r="AU125" i="6"/>
  <c r="AU124" i="6"/>
  <c r="AU123" i="6"/>
  <c r="AU122" i="6"/>
  <c r="AU121" i="6"/>
  <c r="AU120" i="6"/>
  <c r="AU119" i="6"/>
  <c r="AU118" i="6"/>
  <c r="AU117" i="6"/>
  <c r="AU116" i="6"/>
  <c r="AU115" i="6"/>
  <c r="AU114" i="6"/>
  <c r="AU113" i="6"/>
  <c r="AU112" i="6"/>
  <c r="AU111" i="6"/>
  <c r="AU110" i="6"/>
  <c r="AU109" i="6"/>
  <c r="AU108" i="6"/>
  <c r="AU107" i="6"/>
  <c r="AU106" i="6"/>
  <c r="AU105" i="6"/>
  <c r="AU104" i="6"/>
  <c r="AU103" i="6"/>
  <c r="AU102" i="6"/>
  <c r="AU101" i="6"/>
  <c r="AU100" i="6"/>
  <c r="AU99" i="6"/>
  <c r="AU98" i="6"/>
  <c r="AU97" i="6"/>
  <c r="AU96" i="6"/>
  <c r="AU95" i="6"/>
  <c r="AU94" i="6"/>
  <c r="AU93" i="6"/>
  <c r="AU92" i="6"/>
  <c r="AU91" i="6"/>
  <c r="AU90" i="6"/>
  <c r="AU89" i="6"/>
  <c r="AU88" i="6"/>
  <c r="AU87" i="6"/>
  <c r="AU86" i="6"/>
  <c r="AU85" i="6"/>
  <c r="AU84" i="6"/>
  <c r="AU83" i="6"/>
  <c r="AU82" i="6"/>
  <c r="AU81" i="6"/>
  <c r="AU80" i="6"/>
  <c r="AU79" i="6"/>
  <c r="AU78" i="6"/>
  <c r="AU77" i="6"/>
  <c r="AU76" i="6"/>
  <c r="AU75" i="6"/>
  <c r="AU74" i="6"/>
  <c r="AU73" i="6"/>
  <c r="AU72" i="6"/>
  <c r="AU71" i="6"/>
  <c r="AU70" i="6"/>
  <c r="AU69" i="6"/>
  <c r="AU68" i="6"/>
  <c r="AU67" i="6"/>
  <c r="AU66" i="6"/>
  <c r="AU65" i="6"/>
  <c r="AU64" i="6"/>
  <c r="AU63" i="6"/>
  <c r="AU62" i="6"/>
  <c r="AU61" i="6"/>
  <c r="AU60" i="6"/>
  <c r="AU59" i="6"/>
  <c r="AU58" i="6"/>
  <c r="AU57" i="6"/>
  <c r="AU56" i="6"/>
  <c r="AU55" i="6"/>
  <c r="AU54" i="6"/>
  <c r="AU53" i="6"/>
  <c r="AU52" i="6"/>
  <c r="AU51" i="6"/>
  <c r="AU50" i="6"/>
  <c r="AU49" i="6"/>
  <c r="AU48" i="6"/>
  <c r="AU47" i="6"/>
  <c r="AU46" i="6"/>
  <c r="AU45" i="6"/>
  <c r="AU44" i="6"/>
  <c r="AU43" i="6"/>
  <c r="AU42" i="6"/>
  <c r="AU41" i="6"/>
  <c r="AU40" i="6"/>
  <c r="AU39" i="6"/>
  <c r="AU38" i="6"/>
  <c r="AU37" i="6"/>
  <c r="AU36" i="6"/>
  <c r="AU35" i="6"/>
  <c r="AU34" i="6"/>
  <c r="AU33" i="6"/>
  <c r="AU32" i="6"/>
  <c r="AU31" i="6"/>
  <c r="AU30" i="6"/>
  <c r="AU29" i="6"/>
  <c r="AU28" i="6"/>
  <c r="AU27" i="6"/>
  <c r="AU26" i="6"/>
  <c r="AU25" i="6"/>
  <c r="AU24" i="6"/>
  <c r="AS568" i="6"/>
  <c r="AS567" i="6"/>
  <c r="AS566" i="6"/>
  <c r="AS565" i="6"/>
  <c r="AS564" i="6"/>
  <c r="AS563" i="6"/>
  <c r="AS562" i="6"/>
  <c r="AS561" i="6"/>
  <c r="AS560" i="6"/>
  <c r="AS559" i="6"/>
  <c r="AS558" i="6"/>
  <c r="AS557" i="6"/>
  <c r="AS556" i="6"/>
  <c r="AS555" i="6"/>
  <c r="AS554" i="6"/>
  <c r="AS553" i="6"/>
  <c r="AS552" i="6"/>
  <c r="AS551" i="6"/>
  <c r="AS550" i="6"/>
  <c r="AS549" i="6"/>
  <c r="AS548" i="6"/>
  <c r="AS547" i="6"/>
  <c r="AS546" i="6"/>
  <c r="AS545" i="6"/>
  <c r="AS544" i="6"/>
  <c r="AS543" i="6"/>
  <c r="AS542" i="6"/>
  <c r="AS541" i="6"/>
  <c r="AS540" i="6"/>
  <c r="AS539" i="6"/>
  <c r="AS538" i="6"/>
  <c r="AS537" i="6"/>
  <c r="AS536" i="6"/>
  <c r="AS535" i="6"/>
  <c r="AS534" i="6"/>
  <c r="AS533" i="6"/>
  <c r="AS532" i="6"/>
  <c r="AS531" i="6"/>
  <c r="AS530" i="6"/>
  <c r="AS529" i="6"/>
  <c r="AS528" i="6"/>
  <c r="AS527" i="6"/>
  <c r="AS526" i="6"/>
  <c r="AS525" i="6"/>
  <c r="AS524" i="6"/>
  <c r="AS523" i="6"/>
  <c r="AS522" i="6"/>
  <c r="AS521" i="6"/>
  <c r="AS520" i="6"/>
  <c r="AS519" i="6"/>
  <c r="AS518" i="6"/>
  <c r="AS517" i="6"/>
  <c r="AS516" i="6"/>
  <c r="AS515" i="6"/>
  <c r="AS514" i="6"/>
  <c r="AS513" i="6"/>
  <c r="AS512" i="6"/>
  <c r="AS511" i="6"/>
  <c r="AS510" i="6"/>
  <c r="AS509" i="6"/>
  <c r="AS508" i="6"/>
  <c r="AS507" i="6"/>
  <c r="AS506" i="6"/>
  <c r="AS505" i="6"/>
  <c r="AS504" i="6"/>
  <c r="AS503" i="6"/>
  <c r="AS502" i="6"/>
  <c r="AS501" i="6"/>
  <c r="AS500" i="6"/>
  <c r="AS499" i="6"/>
  <c r="AS498" i="6"/>
  <c r="AS497" i="6"/>
  <c r="AS496" i="6"/>
  <c r="AS495" i="6"/>
  <c r="AS494" i="6"/>
  <c r="AS493" i="6"/>
  <c r="AS492" i="6"/>
  <c r="AS491" i="6"/>
  <c r="AS490" i="6"/>
  <c r="AS489" i="6"/>
  <c r="AS488" i="6"/>
  <c r="AS487" i="6"/>
  <c r="AS486" i="6"/>
  <c r="AS485" i="6"/>
  <c r="AS484" i="6"/>
  <c r="AS483" i="6"/>
  <c r="AS482" i="6"/>
  <c r="AS481" i="6"/>
  <c r="AS480" i="6"/>
  <c r="AS479" i="6"/>
  <c r="AS478" i="6"/>
  <c r="AS477" i="6"/>
  <c r="AS476" i="6"/>
  <c r="AS475" i="6"/>
  <c r="AS474" i="6"/>
  <c r="AS473" i="6"/>
  <c r="AS472" i="6"/>
  <c r="AS471" i="6"/>
  <c r="AS470" i="6"/>
  <c r="AS469" i="6"/>
  <c r="AS468" i="6"/>
  <c r="AS467" i="6"/>
  <c r="AS466" i="6"/>
  <c r="AS465" i="6"/>
  <c r="AS464" i="6"/>
  <c r="AS463" i="6"/>
  <c r="AS462" i="6"/>
  <c r="AS461" i="6"/>
  <c r="AS460" i="6"/>
  <c r="AS459" i="6"/>
  <c r="AS458" i="6"/>
  <c r="AS457" i="6"/>
  <c r="AS456" i="6"/>
  <c r="AS455" i="6"/>
  <c r="AS454" i="6"/>
  <c r="AS453" i="6"/>
  <c r="AS452" i="6"/>
  <c r="AS451" i="6"/>
  <c r="AS450" i="6"/>
  <c r="AS449" i="6"/>
  <c r="AS448" i="6"/>
  <c r="AS447" i="6"/>
  <c r="AS446" i="6"/>
  <c r="AS445" i="6"/>
  <c r="AS444" i="6"/>
  <c r="AS443" i="6"/>
  <c r="AS442" i="6"/>
  <c r="AS441" i="6"/>
  <c r="AS440" i="6"/>
  <c r="AS439" i="6"/>
  <c r="AS438" i="6"/>
  <c r="AS437" i="6"/>
  <c r="AS436" i="6"/>
  <c r="AS435" i="6"/>
  <c r="AS434" i="6"/>
  <c r="AS433" i="6"/>
  <c r="AS432" i="6"/>
  <c r="AS431" i="6"/>
  <c r="AS430" i="6"/>
  <c r="AS429" i="6"/>
  <c r="AS428" i="6"/>
  <c r="AS427" i="6"/>
  <c r="AS426" i="6"/>
  <c r="AS425" i="6"/>
  <c r="AS424" i="6"/>
  <c r="AS423" i="6"/>
  <c r="AS422" i="6"/>
  <c r="AS421" i="6"/>
  <c r="AS420" i="6"/>
  <c r="AS419" i="6"/>
  <c r="AS418" i="6"/>
  <c r="AS417" i="6"/>
  <c r="AS416" i="6"/>
  <c r="AS415" i="6"/>
  <c r="AS414" i="6"/>
  <c r="AS413" i="6"/>
  <c r="AS412" i="6"/>
  <c r="AS411" i="6"/>
  <c r="AS410" i="6"/>
  <c r="AS409" i="6"/>
  <c r="AS408" i="6"/>
  <c r="AS407" i="6"/>
  <c r="AS406" i="6"/>
  <c r="AS405" i="6"/>
  <c r="AS404" i="6"/>
  <c r="AS403" i="6"/>
  <c r="AS402" i="6"/>
  <c r="AS401" i="6"/>
  <c r="AS400" i="6"/>
  <c r="AS399" i="6"/>
  <c r="AS398" i="6"/>
  <c r="AS397" i="6"/>
  <c r="AS396" i="6"/>
  <c r="AS395" i="6"/>
  <c r="AS394" i="6"/>
  <c r="AS393" i="6"/>
  <c r="AS392" i="6"/>
  <c r="AS391" i="6"/>
  <c r="AS390" i="6"/>
  <c r="AS389" i="6"/>
  <c r="AS388" i="6"/>
  <c r="AS387" i="6"/>
  <c r="AS386" i="6"/>
  <c r="AS385" i="6"/>
  <c r="AS384" i="6"/>
  <c r="AS383" i="6"/>
  <c r="AS382" i="6"/>
  <c r="AS381" i="6"/>
  <c r="AS380" i="6"/>
  <c r="AS379" i="6"/>
  <c r="AS378" i="6"/>
  <c r="AS377" i="6"/>
  <c r="AS376" i="6"/>
  <c r="AS375" i="6"/>
  <c r="AS374" i="6"/>
  <c r="AS373" i="6"/>
  <c r="AS372" i="6"/>
  <c r="AS371" i="6"/>
  <c r="AS370" i="6"/>
  <c r="AS369" i="6"/>
  <c r="AS368" i="6"/>
  <c r="AS367" i="6"/>
  <c r="AS366" i="6"/>
  <c r="AS365" i="6"/>
  <c r="AS364" i="6"/>
  <c r="AS363" i="6"/>
  <c r="AS362" i="6"/>
  <c r="AS361" i="6"/>
  <c r="AS360" i="6"/>
  <c r="AS359" i="6"/>
  <c r="AS358" i="6"/>
  <c r="AS357" i="6"/>
  <c r="AS356" i="6"/>
  <c r="AS355" i="6"/>
  <c r="AS354" i="6"/>
  <c r="AS353" i="6"/>
  <c r="AS352" i="6"/>
  <c r="AS351" i="6"/>
  <c r="AS350" i="6"/>
  <c r="AS349" i="6"/>
  <c r="AS348" i="6"/>
  <c r="AS347" i="6"/>
  <c r="AS346" i="6"/>
  <c r="AS345" i="6"/>
  <c r="AS344" i="6"/>
  <c r="AS343" i="6"/>
  <c r="AS342" i="6"/>
  <c r="AS341" i="6"/>
  <c r="AS340" i="6"/>
  <c r="AS339" i="6"/>
  <c r="AS338" i="6"/>
  <c r="AS337" i="6"/>
  <c r="AS336" i="6"/>
  <c r="AS335" i="6"/>
  <c r="AS334" i="6"/>
  <c r="AS333" i="6"/>
  <c r="AS332" i="6"/>
  <c r="AS331" i="6"/>
  <c r="AS330" i="6"/>
  <c r="AS329" i="6"/>
  <c r="AS328" i="6"/>
  <c r="AS327" i="6"/>
  <c r="AS326" i="6"/>
  <c r="AS325" i="6"/>
  <c r="AS324" i="6"/>
  <c r="AS323" i="6"/>
  <c r="AS322" i="6"/>
  <c r="AS321" i="6"/>
  <c r="AS320" i="6"/>
  <c r="AS319" i="6"/>
  <c r="AS318" i="6"/>
  <c r="AS317" i="6"/>
  <c r="AS316" i="6"/>
  <c r="AS315" i="6"/>
  <c r="AS314" i="6"/>
  <c r="AS313" i="6"/>
  <c r="AS312" i="6"/>
  <c r="AS311" i="6"/>
  <c r="AS310" i="6"/>
  <c r="AS309" i="6"/>
  <c r="AS308" i="6"/>
  <c r="AS307" i="6"/>
  <c r="AS306" i="6"/>
  <c r="AS305" i="6"/>
  <c r="AS304" i="6"/>
  <c r="AS303" i="6"/>
  <c r="AS302" i="6"/>
  <c r="AS301" i="6"/>
  <c r="AS300" i="6"/>
  <c r="AS299" i="6"/>
  <c r="AS298" i="6"/>
  <c r="AS297" i="6"/>
  <c r="AS296" i="6"/>
  <c r="AS295" i="6"/>
  <c r="AS294" i="6"/>
  <c r="AS293" i="6"/>
  <c r="AS292" i="6"/>
  <c r="AS291" i="6"/>
  <c r="AS290" i="6"/>
  <c r="AS289" i="6"/>
  <c r="AS288" i="6"/>
  <c r="AS287" i="6"/>
  <c r="AS286" i="6"/>
  <c r="AS285" i="6"/>
  <c r="AS284" i="6"/>
  <c r="AS283" i="6"/>
  <c r="AS282" i="6"/>
  <c r="AS281" i="6"/>
  <c r="AS280" i="6"/>
  <c r="AS279" i="6"/>
  <c r="AS278" i="6"/>
  <c r="AS277" i="6"/>
  <c r="AS276" i="6"/>
  <c r="AS275" i="6"/>
  <c r="AS274" i="6"/>
  <c r="AS273" i="6"/>
  <c r="AS272" i="6"/>
  <c r="AS271" i="6"/>
  <c r="AS270" i="6"/>
  <c r="AS269" i="6"/>
  <c r="AS268" i="6"/>
  <c r="AS267" i="6"/>
  <c r="AS266" i="6"/>
  <c r="AS265" i="6"/>
  <c r="AS264" i="6"/>
  <c r="AS263" i="6"/>
  <c r="AS262" i="6"/>
  <c r="AS261" i="6"/>
  <c r="AS260" i="6"/>
  <c r="AS259" i="6"/>
  <c r="AS258" i="6"/>
  <c r="AS257" i="6"/>
  <c r="AS256" i="6"/>
  <c r="AS255" i="6"/>
  <c r="AS254" i="6"/>
  <c r="AS253" i="6"/>
  <c r="AS252" i="6"/>
  <c r="AS251" i="6"/>
  <c r="AS250" i="6"/>
  <c r="AS249" i="6"/>
  <c r="AS248" i="6"/>
  <c r="AS247" i="6"/>
  <c r="AS246" i="6"/>
  <c r="AS245" i="6"/>
  <c r="AS244" i="6"/>
  <c r="AS243" i="6"/>
  <c r="AS242" i="6"/>
  <c r="AS241" i="6"/>
  <c r="AS240" i="6"/>
  <c r="AS239" i="6"/>
  <c r="AS238" i="6"/>
  <c r="AS237" i="6"/>
  <c r="AS236" i="6"/>
  <c r="AS235" i="6"/>
  <c r="AS234" i="6"/>
  <c r="AS233" i="6"/>
  <c r="AS232" i="6"/>
  <c r="AS231" i="6"/>
  <c r="AS230" i="6"/>
  <c r="AS229" i="6"/>
  <c r="AS228" i="6"/>
  <c r="AS227" i="6"/>
  <c r="AS226" i="6"/>
  <c r="AS225" i="6"/>
  <c r="AS224" i="6"/>
  <c r="AS223" i="6"/>
  <c r="AS222" i="6"/>
  <c r="AS221" i="6"/>
  <c r="AS220" i="6"/>
  <c r="AS219" i="6"/>
  <c r="AS218" i="6"/>
  <c r="AS217" i="6"/>
  <c r="AS216" i="6"/>
  <c r="AS215" i="6"/>
  <c r="AS214" i="6"/>
  <c r="AS213" i="6"/>
  <c r="AS212" i="6"/>
  <c r="AS211" i="6"/>
  <c r="AS210" i="6"/>
  <c r="AS209" i="6"/>
  <c r="AS208" i="6"/>
  <c r="AS207" i="6"/>
  <c r="AS206" i="6"/>
  <c r="AS205" i="6"/>
  <c r="AS204" i="6"/>
  <c r="AS203" i="6"/>
  <c r="AS202" i="6"/>
  <c r="AS201" i="6"/>
  <c r="AS200" i="6"/>
  <c r="AS199" i="6"/>
  <c r="AS198" i="6"/>
  <c r="AS197" i="6"/>
  <c r="AS196" i="6"/>
  <c r="AS195" i="6"/>
  <c r="AS194" i="6"/>
  <c r="AS193" i="6"/>
  <c r="AS192" i="6"/>
  <c r="AS191" i="6"/>
  <c r="AS190" i="6"/>
  <c r="AS189" i="6"/>
  <c r="AS188" i="6"/>
  <c r="AS187" i="6"/>
  <c r="AS186" i="6"/>
  <c r="AS185" i="6"/>
  <c r="AS184" i="6"/>
  <c r="AS183" i="6"/>
  <c r="AS182" i="6"/>
  <c r="AS181" i="6"/>
  <c r="AS180" i="6"/>
  <c r="AS179" i="6"/>
  <c r="AS178" i="6"/>
  <c r="AS177" i="6"/>
  <c r="AS176" i="6"/>
  <c r="AS175" i="6"/>
  <c r="AS174" i="6"/>
  <c r="AS173" i="6"/>
  <c r="AS172" i="6"/>
  <c r="AS171" i="6"/>
  <c r="AS170" i="6"/>
  <c r="AS169" i="6"/>
  <c r="AS168" i="6"/>
  <c r="AS167" i="6"/>
  <c r="AS166" i="6"/>
  <c r="AS165" i="6"/>
  <c r="AS164" i="6"/>
  <c r="AS163" i="6"/>
  <c r="AS162" i="6"/>
  <c r="AS161" i="6"/>
  <c r="AS160" i="6"/>
  <c r="AS159" i="6"/>
  <c r="AS158" i="6"/>
  <c r="AS157" i="6"/>
  <c r="AS156" i="6"/>
  <c r="AS155" i="6"/>
  <c r="AS154" i="6"/>
  <c r="AS153" i="6"/>
  <c r="AS152" i="6"/>
  <c r="AS151" i="6"/>
  <c r="AS150" i="6"/>
  <c r="AS149" i="6"/>
  <c r="AS148" i="6"/>
  <c r="AS147" i="6"/>
  <c r="AS146" i="6"/>
  <c r="AS145" i="6"/>
  <c r="AS144" i="6"/>
  <c r="AS143" i="6"/>
  <c r="AS142" i="6"/>
  <c r="AS141" i="6"/>
  <c r="AS140" i="6"/>
  <c r="AS139" i="6"/>
  <c r="AS138" i="6"/>
  <c r="AS137" i="6"/>
  <c r="AS136" i="6"/>
  <c r="AS135" i="6"/>
  <c r="AS134" i="6"/>
  <c r="AS133" i="6"/>
  <c r="AS132" i="6"/>
  <c r="AS131" i="6"/>
  <c r="AS130" i="6"/>
  <c r="AS129" i="6"/>
  <c r="AS128" i="6"/>
  <c r="AS127" i="6"/>
  <c r="AS126" i="6"/>
  <c r="AS125" i="6"/>
  <c r="AS124" i="6"/>
  <c r="AS123" i="6"/>
  <c r="AS122" i="6"/>
  <c r="AS121" i="6"/>
  <c r="AS120" i="6"/>
  <c r="AS119" i="6"/>
  <c r="AS118" i="6"/>
  <c r="AS117" i="6"/>
  <c r="AS116" i="6"/>
  <c r="AS115" i="6"/>
  <c r="AS114" i="6"/>
  <c r="AS113" i="6"/>
  <c r="AS112" i="6"/>
  <c r="AS111" i="6"/>
  <c r="AS110" i="6"/>
  <c r="AS109" i="6"/>
  <c r="AS108" i="6"/>
  <c r="AS107" i="6"/>
  <c r="AS106" i="6"/>
  <c r="AS105" i="6"/>
  <c r="AS104" i="6"/>
  <c r="AS103" i="6"/>
  <c r="AS102" i="6"/>
  <c r="AS101" i="6"/>
  <c r="AS100" i="6"/>
  <c r="AS99" i="6"/>
  <c r="AS98" i="6"/>
  <c r="AS97" i="6"/>
  <c r="AS96" i="6"/>
  <c r="AS95" i="6"/>
  <c r="AS94" i="6"/>
  <c r="AS93" i="6"/>
  <c r="AS92" i="6"/>
  <c r="AS91" i="6"/>
  <c r="AS90" i="6"/>
  <c r="AS89" i="6"/>
  <c r="AS88" i="6"/>
  <c r="AS87" i="6"/>
  <c r="AS86" i="6"/>
  <c r="AS85" i="6"/>
  <c r="AS84" i="6"/>
  <c r="AS83" i="6"/>
  <c r="AS82" i="6"/>
  <c r="AS81" i="6"/>
  <c r="AS80" i="6"/>
  <c r="AS79" i="6"/>
  <c r="AS78" i="6"/>
  <c r="AS77" i="6"/>
  <c r="AS76" i="6"/>
  <c r="AS75" i="6"/>
  <c r="AS74" i="6"/>
  <c r="AS73" i="6"/>
  <c r="AS72" i="6"/>
  <c r="AS71" i="6"/>
  <c r="AS70" i="6"/>
  <c r="AS69" i="6"/>
  <c r="AS68" i="6"/>
  <c r="AS67" i="6"/>
  <c r="AS66" i="6"/>
  <c r="AS65" i="6"/>
  <c r="AS64" i="6"/>
  <c r="AS63" i="6"/>
  <c r="AS62" i="6"/>
  <c r="AS61" i="6"/>
  <c r="AS60" i="6"/>
  <c r="AS59" i="6"/>
  <c r="AS58" i="6"/>
  <c r="AS57" i="6"/>
  <c r="AS56" i="6"/>
  <c r="AS55" i="6"/>
  <c r="AS54" i="6"/>
  <c r="AS53" i="6"/>
  <c r="AS52" i="6"/>
  <c r="AS51" i="6"/>
  <c r="AS50" i="6"/>
  <c r="AS49" i="6"/>
  <c r="AS48" i="6"/>
  <c r="AS47" i="6"/>
  <c r="AS46" i="6"/>
  <c r="AS45" i="6"/>
  <c r="AS44" i="6"/>
  <c r="AS43" i="6"/>
  <c r="AS42" i="6"/>
  <c r="AS41" i="6"/>
  <c r="AS40" i="6"/>
  <c r="AS39" i="6"/>
  <c r="AS38" i="6"/>
  <c r="AS37" i="6"/>
  <c r="AS36" i="6"/>
  <c r="AS35" i="6"/>
  <c r="AS34" i="6"/>
  <c r="AS33" i="6"/>
  <c r="AS32" i="6"/>
  <c r="AS31" i="6"/>
  <c r="AS30" i="6"/>
  <c r="AS29" i="6"/>
  <c r="AS28" i="6"/>
  <c r="AS27" i="6"/>
  <c r="AS26" i="6"/>
  <c r="AS25" i="6"/>
  <c r="AS24" i="6"/>
  <c r="FZ11" i="6"/>
  <c r="CZ11" i="6"/>
  <c r="AH564" i="6" a="1"/>
  <c r="AG482" i="6" a="1"/>
  <c r="AI390" i="6" a="1"/>
  <c r="AI511" i="6" a="1"/>
  <c r="AH429" i="6" a="1"/>
  <c r="AH527" i="6" a="1"/>
  <c r="AG445" i="6" a="1"/>
  <c r="AH488" i="6" a="1"/>
  <c r="AG511" i="6" a="1"/>
  <c r="AG552" i="6" a="1"/>
  <c r="AI460" i="6" a="1"/>
  <c r="AH378" i="6" a="1"/>
  <c r="AH515" i="6" a="1"/>
  <c r="AG433" i="6" a="1"/>
  <c r="AI542" i="6" a="1"/>
  <c r="AG499" i="6" a="1"/>
  <c r="AI407" i="6" a="1"/>
  <c r="AI544" i="6" a="1"/>
  <c r="AH535" i="6" a="1"/>
  <c r="AI562" i="6" a="1"/>
  <c r="AG487" i="6" a="1"/>
  <c r="AH514" i="6" a="1"/>
  <c r="AG432" i="6" a="1"/>
  <c r="AH385" i="6" a="1"/>
  <c r="AG283" i="6" a="1"/>
  <c r="AH423" i="6" a="1"/>
  <c r="AH494" i="6" a="1"/>
  <c r="AI337" i="6" a="1"/>
  <c r="AH255" i="6" a="1"/>
  <c r="AI409" i="6" a="1"/>
  <c r="AG310" i="6" a="1"/>
  <c r="AI399" i="6" a="1"/>
  <c r="AI307" i="6" a="1"/>
  <c r="AH393" i="6" a="1"/>
  <c r="AI284" i="6" a="1"/>
  <c r="AH422" i="6" a="1"/>
  <c r="AG393" i="6" a="1"/>
  <c r="AH300" i="6" a="1"/>
  <c r="AH415" i="6" a="1"/>
  <c r="AG307" i="6" a="1"/>
  <c r="AG425" i="6" a="1"/>
  <c r="AG526" i="6" a="1"/>
  <c r="AG368" i="6" a="1"/>
  <c r="AH475" i="6" a="1"/>
  <c r="AI331" i="6" a="1"/>
  <c r="AG442" i="6" a="1"/>
  <c r="AG336" i="6" a="1"/>
  <c r="AG474" i="6" a="1"/>
  <c r="AI347" i="6" a="1"/>
  <c r="AI253" i="6" a="1"/>
  <c r="AI220" i="6" a="1"/>
  <c r="AH138" i="6" a="1"/>
  <c r="AH227" i="6" a="1"/>
  <c r="AG145" i="6" a="1"/>
  <c r="AI320" i="6" a="1"/>
  <c r="AH188" i="6" a="1"/>
  <c r="AI278" i="6" a="1"/>
  <c r="AG344" i="6" a="1"/>
  <c r="AI394" i="6" a="1"/>
  <c r="AG222" i="6" a="1"/>
  <c r="AH249" i="6" a="1"/>
  <c r="AG562" i="6" a="1"/>
  <c r="AI470" i="6" a="1"/>
  <c r="AH388" i="6" a="1"/>
  <c r="AH509" i="6" a="1"/>
  <c r="AI568" i="6" a="1"/>
  <c r="AG525" i="6" a="1"/>
  <c r="AH568" i="6" a="1"/>
  <c r="AG486" i="6" a="1"/>
  <c r="AI499" i="6" a="1"/>
  <c r="AI540" i="6" a="1"/>
  <c r="AH458" i="6" a="1"/>
  <c r="AG376" i="6" a="1"/>
  <c r="AG513" i="6" a="1"/>
  <c r="AI421" i="6" a="1"/>
  <c r="AH540" i="6" a="1"/>
  <c r="AI487" i="6" a="1"/>
  <c r="AH405" i="6" a="1"/>
  <c r="AH542" i="6" a="1"/>
  <c r="AG533" i="6" a="1"/>
  <c r="AG567" i="6" a="1"/>
  <c r="AI475" i="6" a="1"/>
  <c r="AG512" i="6" a="1"/>
  <c r="AI420" i="6" a="1"/>
  <c r="AG382" i="6" a="1"/>
  <c r="AI271" i="6" a="1"/>
  <c r="AG420" i="6" a="1"/>
  <c r="AI472" i="6" a="1"/>
  <c r="AH335" i="6" a="1"/>
  <c r="AG253" i="6" a="1"/>
  <c r="AH406" i="6" a="1"/>
  <c r="AI298" i="6" a="1"/>
  <c r="AI387" i="6" a="1"/>
  <c r="AH305" i="6" a="1"/>
  <c r="AH390" i="6" a="1"/>
  <c r="AH282" i="6" a="1"/>
  <c r="AI415" i="6" a="1"/>
  <c r="AG390" i="6" a="1"/>
  <c r="AG298" i="6" a="1"/>
  <c r="AI408" i="6" a="1"/>
  <c r="AI295" i="6" a="1"/>
  <c r="AG405" i="6" a="1"/>
  <c r="AI498" i="6" a="1"/>
  <c r="AG365" i="6" a="1"/>
  <c r="AG468" i="6" a="1"/>
  <c r="AH329" i="6" a="1"/>
  <c r="AH438" i="6" a="1"/>
  <c r="AI324" i="6" a="1"/>
  <c r="AG455" i="6" a="1"/>
  <c r="AI333" i="6" a="1"/>
  <c r="AI546" i="6" a="1"/>
  <c r="AH218" i="6" a="1"/>
  <c r="AG462" i="6" a="1"/>
  <c r="AG225" i="6" a="1"/>
  <c r="AI133" i="6" a="1"/>
  <c r="AG306" i="6" a="1"/>
  <c r="AG186" i="6" a="1"/>
  <c r="AG271" i="6" a="1"/>
  <c r="AI326" i="6" a="1"/>
  <c r="AG334" i="6" a="1"/>
  <c r="AI210" i="6" a="1"/>
  <c r="AG244" i="6" a="1"/>
  <c r="AH153" i="6" a="1"/>
  <c r="AI352" i="6" a="1"/>
  <c r="AH210" i="6" a="1"/>
  <c r="AI442" i="6" a="1"/>
  <c r="AG241" i="6" a="1"/>
  <c r="AG286" i="6" a="1"/>
  <c r="AH180" i="6" a="1"/>
  <c r="AI290" i="6" a="1"/>
  <c r="AH189" i="6" a="1"/>
  <c r="AH339" i="6" a="1"/>
  <c r="AH191" i="6" a="1"/>
  <c r="AH216" i="6" a="1"/>
  <c r="AG134" i="6" a="1"/>
  <c r="AG171" i="6" a="1"/>
  <c r="AG87" i="6" a="1"/>
  <c r="AG52" i="6" a="1"/>
  <c r="AG114" i="6" a="1"/>
  <c r="AI31" i="6" a="1"/>
  <c r="AI102" i="6" a="1"/>
  <c r="AG108" i="6" a="1"/>
  <c r="AH56" i="6" a="1"/>
  <c r="AI208" i="6" a="1"/>
  <c r="AI81" i="6" a="1"/>
  <c r="AH193" i="6" a="1"/>
  <c r="AG79" i="6" a="1"/>
  <c r="AG141" i="6" a="1"/>
  <c r="AI44" i="6" a="1"/>
  <c r="AI550" i="6" a="1"/>
  <c r="AH468" i="6" a="1"/>
  <c r="AG386" i="6" a="1"/>
  <c r="AG507" i="6" a="1"/>
  <c r="AH566" i="6" a="1"/>
  <c r="AI513" i="6" a="1"/>
  <c r="AG566" i="6" a="1"/>
  <c r="AI474" i="6" a="1"/>
  <c r="AH497" i="6" a="1"/>
  <c r="AH538" i="6" a="1"/>
  <c r="AG456" i="6" a="1"/>
  <c r="AI364" i="6" a="1"/>
  <c r="AI501" i="6" a="1"/>
  <c r="AH419" i="6" a="1"/>
  <c r="AI567" i="6" a="1"/>
  <c r="AH485" i="6" a="1"/>
  <c r="AG403" i="6" a="1"/>
  <c r="AG540" i="6" a="1"/>
  <c r="AI521" i="6" a="1"/>
  <c r="AI555" i="6" a="1"/>
  <c r="AH473" i="6" a="1"/>
  <c r="AI500" i="6" a="1"/>
  <c r="AH418" i="6" a="1"/>
  <c r="AG379" i="6" a="1"/>
  <c r="AH269" i="6" a="1"/>
  <c r="AI416" i="6" a="1"/>
  <c r="AH459" i="6" a="1"/>
  <c r="AG333" i="6" a="1"/>
  <c r="AI241" i="6" a="1"/>
  <c r="AI393" i="6" a="1"/>
  <c r="AI541" i="6" a="1"/>
  <c r="AH384" i="6" a="1"/>
  <c r="AG303" i="6" a="1"/>
  <c r="AG378" i="6" a="1"/>
  <c r="AG280" i="6" a="1"/>
  <c r="AH412" i="6" a="1"/>
  <c r="AI377" i="6" a="1"/>
  <c r="AI286" i="6" a="1"/>
  <c r="AG399" i="6" a="1"/>
  <c r="AH293" i="6" a="1"/>
  <c r="AI398" i="6" a="1"/>
  <c r="AG476" i="6" a="1"/>
  <c r="AI353" i="6" a="1"/>
  <c r="AI461" i="6" a="1"/>
  <c r="AG327" i="6" a="1"/>
  <c r="AI427" i="6" a="1"/>
  <c r="AH322" i="6" a="1"/>
  <c r="AI434" i="6" a="1"/>
  <c r="AH331" i="6" a="1"/>
  <c r="AI466" i="6" a="1"/>
  <c r="AG216" i="6" a="1"/>
  <c r="AG377" i="6" a="1"/>
  <c r="AI213" i="6" a="1"/>
  <c r="AH131" i="6" a="1"/>
  <c r="AH288" i="6" a="1"/>
  <c r="AI174" i="6" a="1"/>
  <c r="AI261" i="6" a="1"/>
  <c r="AI304" i="6" a="1"/>
  <c r="AH326" i="6" a="1"/>
  <c r="AH208" i="6" a="1"/>
  <c r="AH241" i="6" a="1"/>
  <c r="AG151" i="6" a="1"/>
  <c r="AH342" i="6" a="1"/>
  <c r="AH548" i="6" a="1"/>
  <c r="AG466" i="6" a="1"/>
  <c r="AI374" i="6" a="1"/>
  <c r="AI495" i="6" a="1"/>
  <c r="AG564" i="6" a="1"/>
  <c r="AH511" i="6" a="1"/>
  <c r="AI554" i="6" a="1"/>
  <c r="AH472" i="6" a="1"/>
  <c r="AG495" i="6" a="1"/>
  <c r="AG536" i="6" a="1"/>
  <c r="AI444" i="6" a="1"/>
  <c r="AH362" i="6" a="1"/>
  <c r="AH499" i="6" a="1"/>
  <c r="AG417" i="6" a="1"/>
  <c r="AH565" i="6" a="1"/>
  <c r="AG483" i="6" a="1"/>
  <c r="AI391" i="6" a="1"/>
  <c r="AI528" i="6" a="1"/>
  <c r="AH519" i="6" a="1"/>
  <c r="AH553" i="6" a="1"/>
  <c r="AG471" i="6" a="1"/>
  <c r="AH498" i="6" a="1"/>
  <c r="AG416" i="6" a="1"/>
  <c r="AG367" i="6" a="1"/>
  <c r="AG267" i="6" a="1"/>
  <c r="AH413" i="6" a="1"/>
  <c r="AG441" i="6" a="1"/>
  <c r="AI321" i="6" a="1"/>
  <c r="AH239" i="6" a="1"/>
  <c r="AI381" i="6" a="1"/>
  <c r="AI520" i="6" a="1"/>
  <c r="AH381" i="6" a="1"/>
  <c r="AI291" i="6" a="1"/>
  <c r="AG375" i="6" a="1"/>
  <c r="AI268" i="6" a="1"/>
  <c r="AG409" i="6" a="1"/>
  <c r="AI365" i="6" a="1"/>
  <c r="AH284" i="6" a="1"/>
  <c r="AI386" i="6" a="1"/>
  <c r="AG291" i="6" a="1"/>
  <c r="AI395" i="6" a="1"/>
  <c r="AH462" i="6" a="1"/>
  <c r="AG351" i="6" a="1"/>
  <c r="AH431" i="6" a="1"/>
  <c r="AI315" i="6" a="1"/>
  <c r="AH424" i="6" a="1"/>
  <c r="AG320" i="6" a="1"/>
  <c r="AG431" i="6" a="1"/>
  <c r="AG329" i="6" a="1"/>
  <c r="AI430" i="6" a="1"/>
  <c r="AI204" i="6" a="1"/>
  <c r="AG337" i="6" a="1"/>
  <c r="AH211" i="6" a="1"/>
  <c r="AG129" i="6" a="1"/>
  <c r="AG268" i="6" a="1"/>
  <c r="AH172" i="6" a="1"/>
  <c r="AH247" i="6" a="1"/>
  <c r="AI297" i="6" a="1"/>
  <c r="AH304" i="6" a="1"/>
  <c r="AG206" i="6" a="1"/>
  <c r="AH231" i="6" a="1"/>
  <c r="AI139" i="6" a="1"/>
  <c r="AG318" i="6" a="1"/>
  <c r="AI196" i="6" a="1"/>
  <c r="AG389" i="6" a="1"/>
  <c r="AI228" i="6" a="1"/>
  <c r="AI260" i="6" a="1"/>
  <c r="AI166" i="6" a="1"/>
  <c r="AH260" i="6" a="1"/>
  <c r="AG438" i="6" a="1"/>
  <c r="AH280" i="6" a="1"/>
  <c r="AI361" i="6" a="1"/>
  <c r="AI202" i="6" a="1"/>
  <c r="AH120" i="6" a="1"/>
  <c r="AI125" i="6" a="1"/>
  <c r="AI70" i="6" a="1"/>
  <c r="AI24" i="6" a="1"/>
  <c r="AH108" i="6" a="1"/>
  <c r="AH70" i="6" a="1"/>
  <c r="AG68" i="6" a="1"/>
  <c r="AH94" i="6" a="1"/>
  <c r="AG38" i="6" a="1"/>
  <c r="AG174" i="6" a="1"/>
  <c r="AH72" i="6" a="1"/>
  <c r="AI169" i="6" a="1"/>
  <c r="AH65" i="6" a="1"/>
  <c r="AH127" i="6" a="1"/>
  <c r="AG40" i="6" a="1"/>
  <c r="AG546" i="6" a="1"/>
  <c r="AI454" i="6" a="1"/>
  <c r="AH372" i="6" a="1"/>
  <c r="AH493" i="6" a="1"/>
  <c r="AI552" i="6" a="1"/>
  <c r="AG509" i="6" a="1"/>
  <c r="AH552" i="6" a="1"/>
  <c r="AG470" i="6" a="1"/>
  <c r="AI483" i="6" a="1"/>
  <c r="AI524" i="6" a="1"/>
  <c r="AH442" i="6" a="1"/>
  <c r="AG360" i="6" a="1"/>
  <c r="AG497" i="6" a="1"/>
  <c r="AI405" i="6" a="1"/>
  <c r="AG563" i="6" a="1"/>
  <c r="AI471" i="6" a="1"/>
  <c r="AH389" i="6" a="1"/>
  <c r="AH526" i="6" a="1"/>
  <c r="AG517" i="6" a="1"/>
  <c r="AG551" i="6" a="1"/>
  <c r="AI459" i="6" a="1"/>
  <c r="AG496" i="6" a="1"/>
  <c r="AI404" i="6" a="1"/>
  <c r="AH347" i="6" a="1"/>
  <c r="AI255" i="6" a="1"/>
  <c r="AG410" i="6" a="1"/>
  <c r="AI433" i="6" a="1"/>
  <c r="AH319" i="6" a="1"/>
  <c r="AI534" i="6" a="1"/>
  <c r="AH452" i="6" a="1"/>
  <c r="AG370" i="6" a="1"/>
  <c r="AG491" i="6" a="1"/>
  <c r="AH550" i="6" a="1"/>
  <c r="AI497" i="6" a="1"/>
  <c r="AG550" i="6" a="1"/>
  <c r="AI563" i="6" a="1"/>
  <c r="AH481" i="6" a="1"/>
  <c r="AH522" i="6" a="1"/>
  <c r="AG440" i="6" a="1"/>
  <c r="AI348" i="6" a="1"/>
  <c r="AI485" i="6" a="1"/>
  <c r="AH403" i="6" a="1"/>
  <c r="AI551" i="6" a="1"/>
  <c r="AH469" i="6" a="1"/>
  <c r="AG387" i="6" a="1"/>
  <c r="AG524" i="6" a="1"/>
  <c r="AI505" i="6" a="1"/>
  <c r="AI539" i="6" a="1"/>
  <c r="AH457" i="6" a="1"/>
  <c r="AI484" i="6" a="1"/>
  <c r="AH402" i="6" a="1"/>
  <c r="AI335" i="6" a="1"/>
  <c r="AH253" i="6" a="1"/>
  <c r="AI403" i="6" a="1"/>
  <c r="AG430" i="6" a="1"/>
  <c r="AG317" i="6" a="1"/>
  <c r="AH560" i="6" a="1"/>
  <c r="AH375" i="6" a="1"/>
  <c r="AI493" i="6" a="1"/>
  <c r="AG366" i="6" a="1"/>
  <c r="AG558" i="6" a="1"/>
  <c r="AH354" i="6" a="1"/>
  <c r="AG264" i="6" a="1"/>
  <c r="AG396" i="6" a="1"/>
  <c r="AH359" i="6" a="1"/>
  <c r="AI270" i="6" a="1"/>
  <c r="AI371" i="6" a="1"/>
  <c r="AH277" i="6" a="1"/>
  <c r="AH380" i="6" a="1"/>
  <c r="AI446" i="6" a="1"/>
  <c r="AH343" i="6" a="1"/>
  <c r="AH414" i="6" a="1"/>
  <c r="AG311" i="6" a="1"/>
  <c r="AI382" i="6" a="1"/>
  <c r="AH306" i="6" a="1"/>
  <c r="AG414" i="6" a="1"/>
  <c r="AH315" i="6" a="1"/>
  <c r="AG294" i="6" a="1"/>
  <c r="AG200" i="6" a="1"/>
  <c r="AG321" i="6" a="1"/>
  <c r="AI197" i="6" a="1"/>
  <c r="AH115" i="6" a="1"/>
  <c r="AG250" i="6" a="1"/>
  <c r="AI158" i="6" a="1"/>
  <c r="AI397" i="6" a="1"/>
  <c r="AI282" i="6" a="1"/>
  <c r="AG287" i="6" a="1"/>
  <c r="AH192" i="6" a="1"/>
  <c r="AH217" i="6" a="1"/>
  <c r="AG135" i="6" a="1"/>
  <c r="AI296" i="6" a="1"/>
  <c r="AG192" i="6" a="1"/>
  <c r="AI341" i="6" a="1"/>
  <c r="AH219" i="6" a="1"/>
  <c r="AH254" i="6" a="1"/>
  <c r="AG162" i="6" a="1"/>
  <c r="AH251" i="6" a="1"/>
  <c r="AG340" i="6" a="1"/>
  <c r="AG263" i="6" a="1"/>
  <c r="AI338" i="6" a="1"/>
  <c r="AG198" i="6" a="1"/>
  <c r="AI106" i="6" a="1"/>
  <c r="AH114" i="6" a="1"/>
  <c r="AG66" i="6" a="1"/>
  <c r="AI232" i="6" a="1"/>
  <c r="AG100" i="6" a="1"/>
  <c r="AH38" i="6" a="1"/>
  <c r="AI48" i="6" a="1"/>
  <c r="AI86" i="6" a="1"/>
  <c r="AG63" i="6" a="1"/>
  <c r="AI153" i="6" a="1"/>
  <c r="AI58" i="6" a="1"/>
  <c r="AI161" i="6" a="1"/>
  <c r="AG31" i="6" a="1"/>
  <c r="AI121" i="6" a="1"/>
  <c r="AH532" i="6" a="1"/>
  <c r="AG450" i="6" a="1"/>
  <c r="AI358" i="6" a="1"/>
  <c r="AI479" i="6" a="1"/>
  <c r="AG548" i="6" a="1"/>
  <c r="AH495" i="6" a="1"/>
  <c r="AI538" i="6" a="1"/>
  <c r="AH561" i="6" a="1"/>
  <c r="AG479" i="6" a="1"/>
  <c r="AG520" i="6" a="1"/>
  <c r="AI428" i="6" a="1"/>
  <c r="AI565" i="6" a="1"/>
  <c r="AH483" i="6" a="1"/>
  <c r="AG401" i="6" a="1"/>
  <c r="AH549" i="6" a="1"/>
  <c r="AG467" i="6" a="1"/>
  <c r="AI375" i="6" a="1"/>
  <c r="AI512" i="6" a="1"/>
  <c r="AH503" i="6" a="1"/>
  <c r="AH537" i="6" a="1"/>
  <c r="AI564" i="6" a="1"/>
  <c r="AH482" i="6" a="1"/>
  <c r="AG532" i="6" a="1"/>
  <c r="AH333" i="6" a="1"/>
  <c r="AG251" i="6" a="1"/>
  <c r="AG394" i="6" a="1"/>
  <c r="AI426" i="6" a="1"/>
  <c r="AI305" i="6" a="1"/>
  <c r="AG542" i="6" a="1"/>
  <c r="AH363" i="6" a="1"/>
  <c r="AH486" i="6" a="1"/>
  <c r="AG363" i="6" a="1"/>
  <c r="AI510" i="6" a="1"/>
  <c r="AI346" i="6" a="1"/>
  <c r="AI252" i="6" a="1"/>
  <c r="AG384" i="6" a="1"/>
  <c r="AI356" i="6" a="1"/>
  <c r="AH555" i="6" a="1"/>
  <c r="AH368" i="6" a="1"/>
  <c r="AG537" i="6" a="1"/>
  <c r="AH377" i="6" a="1"/>
  <c r="AI435" i="6" a="1"/>
  <c r="AG341" i="6" a="1"/>
  <c r="AG411" i="6" a="1"/>
  <c r="AI299" i="6" a="1"/>
  <c r="AI379" i="6" a="1"/>
  <c r="AG304" i="6" a="1"/>
  <c r="AH407" i="6" a="1"/>
  <c r="AG313" i="6" a="1"/>
  <c r="AI288" i="6" a="1"/>
  <c r="AI188" i="6" a="1"/>
  <c r="AI306" i="6" a="1"/>
  <c r="AH195" i="6" a="1"/>
  <c r="AG113" i="6" a="1"/>
  <c r="AH242" i="6" a="1"/>
  <c r="AH156" i="6" a="1"/>
  <c r="AG373" i="6" a="1"/>
  <c r="AG278" i="6" a="1"/>
  <c r="AG274" i="6" a="1"/>
  <c r="AG190" i="6" a="1"/>
  <c r="AG215" i="6" a="1"/>
  <c r="AI123" i="6" a="1"/>
  <c r="AH291" i="6" a="1"/>
  <c r="AI180" i="6" a="1"/>
  <c r="AH310" i="6" a="1"/>
  <c r="AG217" i="6" a="1"/>
  <c r="AG246" i="6" a="1"/>
  <c r="AI150" i="6" a="1"/>
  <c r="AI248" i="6" a="1"/>
  <c r="AH323" i="6" a="1"/>
  <c r="AI245" i="6" a="1"/>
  <c r="AI322" i="6" a="1"/>
  <c r="AI186" i="6" a="1"/>
  <c r="AH104" i="6" a="1"/>
  <c r="AG530" i="6" a="1"/>
  <c r="AI438" i="6" a="1"/>
  <c r="AI559" i="6" a="1"/>
  <c r="AH477" i="6" a="1"/>
  <c r="AI536" i="6" a="1"/>
  <c r="AG493" i="6" a="1"/>
  <c r="AH536" i="6" a="1"/>
  <c r="AG559" i="6" a="1"/>
  <c r="AI467" i="6" a="1"/>
  <c r="AI508" i="6" a="1"/>
  <c r="AH426" i="6" a="1"/>
  <c r="AH563" i="6" a="1"/>
  <c r="AG481" i="6" a="1"/>
  <c r="AI389" i="6" a="1"/>
  <c r="AG547" i="6" a="1"/>
  <c r="AI455" i="6" a="1"/>
  <c r="AH373" i="6" a="1"/>
  <c r="AH510" i="6" a="1"/>
  <c r="AG501" i="6" a="1"/>
  <c r="AG535" i="6" a="1"/>
  <c r="AH562" i="6" a="1"/>
  <c r="AG480" i="6" a="1"/>
  <c r="AI504" i="6" a="1"/>
  <c r="AG331" i="6" a="1"/>
  <c r="AI239" i="6" a="1"/>
  <c r="AG391" i="6" a="1"/>
  <c r="AG400" i="6" a="1"/>
  <c r="AH303" i="6" a="1"/>
  <c r="AG521" i="6" a="1"/>
  <c r="AH360" i="6" a="1"/>
  <c r="AI478" i="6" a="1"/>
  <c r="AG357" i="6" a="1"/>
  <c r="AH478" i="6" a="1"/>
  <c r="AI332" i="6" a="1"/>
  <c r="AI557" i="6" a="1"/>
  <c r="AG381" i="6" a="1"/>
  <c r="AG354" i="6" a="1"/>
  <c r="AH518" i="6" a="1"/>
  <c r="AH365" i="6" a="1"/>
  <c r="AI526" i="6" a="1"/>
  <c r="AH374" i="6" a="1"/>
  <c r="AG428" i="6" a="1"/>
  <c r="AI329" i="6" a="1"/>
  <c r="AH401" i="6" a="1"/>
  <c r="AH297" i="6" a="1"/>
  <c r="AI376" i="6" a="1"/>
  <c r="AI292" i="6" a="1"/>
  <c r="AG404" i="6" a="1"/>
  <c r="AI301" i="6" a="1"/>
  <c r="AG284" i="6" a="1"/>
  <c r="AH186" i="6" a="1"/>
  <c r="AI293" i="6" a="1"/>
  <c r="AG193" i="6" a="1"/>
  <c r="AI101" i="6" a="1"/>
  <c r="AG232" i="6" a="1"/>
  <c r="AG154" i="6" a="1"/>
  <c r="AG356" i="6" a="1"/>
  <c r="AI267" i="6" a="1"/>
  <c r="AH270" i="6" a="1"/>
  <c r="AH446" i="6" a="1"/>
  <c r="AI518" i="6" a="1"/>
  <c r="AH436" i="6" a="1"/>
  <c r="AH557" i="6" a="1"/>
  <c r="AG475" i="6" a="1"/>
  <c r="AH534" i="6" a="1"/>
  <c r="AI481" i="6" a="1"/>
  <c r="AG534" i="6" a="1"/>
  <c r="AI547" i="6" a="1"/>
  <c r="AH465" i="6" a="1"/>
  <c r="AH506" i="6" a="1"/>
  <c r="AG424" i="6" a="1"/>
  <c r="AG561" i="6" a="1"/>
  <c r="AI469" i="6" a="1"/>
  <c r="AH387" i="6" a="1"/>
  <c r="AI535" i="6" a="1"/>
  <c r="AH453" i="6" a="1"/>
  <c r="AG371" i="6" a="1"/>
  <c r="AG508" i="6" a="1"/>
  <c r="AI489" i="6" a="1"/>
  <c r="AI523" i="6" a="1"/>
  <c r="AG560" i="6" a="1"/>
  <c r="AI468" i="6" a="1"/>
  <c r="AI480" i="6" a="1"/>
  <c r="AI319" i="6" a="1"/>
  <c r="AH237" i="6" a="1"/>
  <c r="AG388" i="6" a="1"/>
  <c r="AG397" i="6" a="1"/>
  <c r="AG301" i="6" a="1"/>
  <c r="AG494" i="6" a="1"/>
  <c r="AI354" i="6" a="1"/>
  <c r="AI464" i="6" a="1"/>
  <c r="AH349" i="6" a="1"/>
  <c r="AH464" i="6" a="1"/>
  <c r="AH330" i="6" a="1"/>
  <c r="AH539" i="6" a="1"/>
  <c r="AG538" i="6" a="1"/>
  <c r="AH346" i="6" a="1"/>
  <c r="AG500" i="6" a="1"/>
  <c r="AH351" i="6" a="1"/>
  <c r="AH508" i="6" a="1"/>
  <c r="AH516" i="6" a="1"/>
  <c r="AG434" i="6" a="1"/>
  <c r="AG555" i="6" a="1"/>
  <c r="AI463" i="6" a="1"/>
  <c r="AI561" i="6" a="1"/>
  <c r="AH479" i="6" a="1"/>
  <c r="AI522" i="6" a="1"/>
  <c r="AH545" i="6" a="1"/>
  <c r="AG463" i="6" a="1"/>
  <c r="AG504" i="6" a="1"/>
  <c r="AI412" i="6" a="1"/>
  <c r="AI549" i="6" a="1"/>
  <c r="AH467" i="6" a="1"/>
  <c r="AG385" i="6" a="1"/>
  <c r="AH533" i="6" a="1"/>
  <c r="AG451" i="6" a="1"/>
  <c r="AI359" i="6" a="1"/>
  <c r="AI496" i="6" a="1"/>
  <c r="AH487" i="6" a="1"/>
  <c r="AH521" i="6" a="1"/>
  <c r="AI548" i="6" a="1"/>
  <c r="AH466" i="6" a="1"/>
  <c r="AG460" i="6" a="1"/>
  <c r="AH317" i="6" a="1"/>
  <c r="AH544" i="6" a="1"/>
  <c r="AI366" i="6" a="1"/>
  <c r="AI384" i="6" a="1"/>
  <c r="AI289" i="6" a="1"/>
  <c r="AI448" i="6" a="1"/>
  <c r="AG352" i="6" a="1"/>
  <c r="AI458" i="6" a="1"/>
  <c r="AH344" i="6" a="1"/>
  <c r="AG458" i="6" a="1"/>
  <c r="AG328" i="6" a="1"/>
  <c r="AH528" i="6" a="1"/>
  <c r="AI509" i="6" a="1"/>
  <c r="AI334" i="6" a="1"/>
  <c r="AG457" i="6" a="1"/>
  <c r="AH341" i="6" a="1"/>
  <c r="AH491" i="6" a="1"/>
  <c r="AG359" i="6" a="1"/>
  <c r="AI411" i="6" a="1"/>
  <c r="AG325" i="6" a="1"/>
  <c r="AG395" i="6" a="1"/>
  <c r="AI283" i="6" a="1"/>
  <c r="AH361" i="6" a="1"/>
  <c r="AG288" i="6" a="1"/>
  <c r="AI388" i="6" a="1"/>
  <c r="AG297" i="6" a="1"/>
  <c r="AH268" i="6" a="1"/>
  <c r="AI172" i="6" a="1"/>
  <c r="AG275" i="6" a="1"/>
  <c r="AH179" i="6" a="1"/>
  <c r="AH523" i="6" a="1"/>
  <c r="AI222" i="6" a="1"/>
  <c r="AH140" i="6" a="1"/>
  <c r="AG305" i="6" a="1"/>
  <c r="AH261" i="6" a="1"/>
  <c r="AG255" i="6" a="1"/>
  <c r="AG514" i="6" a="1"/>
  <c r="AI422" i="6" a="1"/>
  <c r="AI543" i="6" a="1"/>
  <c r="AH461" i="6" a="1"/>
  <c r="AH559" i="6" a="1"/>
  <c r="AG477" i="6" a="1"/>
  <c r="AH520" i="6" a="1"/>
  <c r="AG543" i="6" a="1"/>
  <c r="AI451" i="6" a="1"/>
  <c r="AI492" i="6" a="1"/>
  <c r="AH410" i="6" a="1"/>
  <c r="AH547" i="6" a="1"/>
  <c r="AG465" i="6" a="1"/>
  <c r="AI373" i="6" a="1"/>
  <c r="AG531" i="6" a="1"/>
  <c r="AI439" i="6" a="1"/>
  <c r="AH357" i="6" a="1"/>
  <c r="AH567" i="6" a="1"/>
  <c r="AG485" i="6" a="1"/>
  <c r="AG519" i="6" a="1"/>
  <c r="AH546" i="6" a="1"/>
  <c r="AG464" i="6" a="1"/>
  <c r="AH454" i="6" a="1"/>
  <c r="AG315" i="6" a="1"/>
  <c r="AG522" i="6" a="1"/>
  <c r="AI363" i="6" a="1"/>
  <c r="AI372" i="6" a="1"/>
  <c r="AH287" i="6" a="1"/>
  <c r="AH444" i="6" a="1"/>
  <c r="AG342" i="6" a="1"/>
  <c r="AG453" i="6" a="1"/>
  <c r="AI339" i="6" a="1"/>
  <c r="AH448" i="6" a="1"/>
  <c r="AI316" i="6" a="1"/>
  <c r="AG510" i="6" a="1"/>
  <c r="AG492" i="6" a="1"/>
  <c r="AH332" i="6" a="1"/>
  <c r="AG452" i="6" a="1"/>
  <c r="AG339" i="6" a="1"/>
  <c r="AG484" i="6" a="1"/>
  <c r="AH356" i="6" a="1"/>
  <c r="AH408" i="6" a="1"/>
  <c r="AI313" i="6" a="1"/>
  <c r="AG383" i="6" a="1"/>
  <c r="AH281" i="6" a="1"/>
  <c r="AH358" i="6" a="1"/>
  <c r="AI276" i="6" a="1"/>
  <c r="AI385" i="6" a="1"/>
  <c r="AI285" i="6" a="1"/>
  <c r="AH262" i="6" a="1"/>
  <c r="AH170" i="6" a="1"/>
  <c r="AH265" i="6" a="1"/>
  <c r="AG177" i="6" a="1"/>
  <c r="AH460" i="6" a="1"/>
  <c r="AH220" i="6" a="1"/>
  <c r="AG138" i="6" a="1"/>
  <c r="AH278" i="6" a="1"/>
  <c r="AI249" i="6" a="1"/>
  <c r="AG252" i="6" a="1"/>
  <c r="AI342" i="6" a="1"/>
  <c r="AI187" i="6" a="1"/>
  <c r="AH105" i="6" a="1"/>
  <c r="AI246" i="6" a="1"/>
  <c r="AH162" i="6" a="1"/>
  <c r="AH273" i="6" a="1"/>
  <c r="AI189" i="6" a="1"/>
  <c r="AI214" i="6" a="1"/>
  <c r="AH132" i="6" a="1"/>
  <c r="AI223" i="6" a="1"/>
  <c r="AI280" i="6" a="1"/>
  <c r="AI225" i="6" a="1"/>
  <c r="AI259" i="6" a="1"/>
  <c r="AI502" i="6" a="1"/>
  <c r="AH420" i="6" a="1"/>
  <c r="AH541" i="6" a="1"/>
  <c r="AG459" i="6" a="1"/>
  <c r="AG557" i="6" a="1"/>
  <c r="AI465" i="6" a="1"/>
  <c r="AG518" i="6" a="1"/>
  <c r="AI531" i="6" a="1"/>
  <c r="AH449" i="6" a="1"/>
  <c r="AH490" i="6" a="1"/>
  <c r="AG408" i="6" a="1"/>
  <c r="AG545" i="6" a="1"/>
  <c r="AI453" i="6" a="1"/>
  <c r="AH371" i="6" a="1"/>
  <c r="AI519" i="6" a="1"/>
  <c r="AH437" i="6" a="1"/>
  <c r="AG355" i="6" a="1"/>
  <c r="AG565" i="6" a="1"/>
  <c r="AI473" i="6" a="1"/>
  <c r="AI507" i="6" a="1"/>
  <c r="AG544" i="6" a="1"/>
  <c r="AI452" i="6" a="1"/>
  <c r="AH430" i="6" a="1"/>
  <c r="AI303" i="6" a="1"/>
  <c r="AI494" i="6" a="1"/>
  <c r="AI360" i="6" a="1"/>
  <c r="AI369" i="6" a="1"/>
  <c r="AG285" i="6" a="1"/>
  <c r="AI440" i="6" a="1"/>
  <c r="AI330" i="6" a="1"/>
  <c r="AG444" i="6" a="1"/>
  <c r="AH337" i="6" a="1"/>
  <c r="AH440" i="6" a="1"/>
  <c r="AH314" i="6" a="1"/>
  <c r="AH492" i="6" a="1"/>
  <c r="AI477" i="6" a="1"/>
  <c r="AG330" i="6" a="1"/>
  <c r="AH443" i="6" a="1"/>
  <c r="AI327" i="6" a="1"/>
  <c r="AH476" i="6" a="1"/>
  <c r="AG346" i="6" a="1"/>
  <c r="AI401" i="6" a="1"/>
  <c r="AH311" i="6" a="1"/>
  <c r="AI370" i="6" a="1"/>
  <c r="AG279" i="6" a="1"/>
  <c r="AG353" i="6" a="1"/>
  <c r="AH274" i="6" a="1"/>
  <c r="AH382" i="6" a="1"/>
  <c r="AH283" i="6" a="1"/>
  <c r="AH256" i="6" a="1"/>
  <c r="AG168" i="6" a="1"/>
  <c r="AG262" i="6" a="1"/>
  <c r="AI165" i="6" a="1"/>
  <c r="AG427" i="6" a="1"/>
  <c r="AG218" i="6" a="1"/>
  <c r="AI424" i="6" a="1"/>
  <c r="AI274" i="6" a="1"/>
  <c r="AG247" i="6" a="1"/>
  <c r="AH244" i="6" a="1"/>
  <c r="AI325" i="6" a="1"/>
  <c r="AH185" i="6" a="1"/>
  <c r="AG103" i="6" a="1"/>
  <c r="AI238" i="6" a="1"/>
  <c r="AG160" i="6" a="1"/>
  <c r="AI266" i="6" a="1"/>
  <c r="AH187" i="6" a="1"/>
  <c r="AH212" i="6" a="1"/>
  <c r="AG439" i="6" a="1"/>
  <c r="AH221" i="6" a="1"/>
  <c r="AH276" i="6" a="1"/>
  <c r="AH223" i="6" a="1"/>
  <c r="AI256" i="6" a="1"/>
  <c r="AG166" i="6" a="1"/>
  <c r="AI275" i="6" a="1"/>
  <c r="AG131" i="6" a="1"/>
  <c r="AG34" i="6" a="1"/>
  <c r="AH158" i="6" a="1"/>
  <c r="AG75" i="6" a="1"/>
  <c r="AH174" i="6" a="1"/>
  <c r="AI141" i="6" a="1"/>
  <c r="AH500" i="6" a="1"/>
  <c r="AG418" i="6" a="1"/>
  <c r="AG539" i="6" a="1"/>
  <c r="AI447" i="6" a="1"/>
  <c r="AI545" i="6" a="1"/>
  <c r="AH463" i="6" a="1"/>
  <c r="AI506" i="6" a="1"/>
  <c r="AH529" i="6" a="1"/>
  <c r="AG447" i="6" a="1"/>
  <c r="AG488" i="6" a="1"/>
  <c r="AI396" i="6" a="1"/>
  <c r="AI533" i="6" a="1"/>
  <c r="AH451" i="6" a="1"/>
  <c r="AG369" i="6" a="1"/>
  <c r="AH517" i="6" a="1"/>
  <c r="AG435" i="6" a="1"/>
  <c r="AI343" i="6" a="1"/>
  <c r="AI553" i="6" a="1"/>
  <c r="AH471" i="6" a="1"/>
  <c r="AH505" i="6" a="1"/>
  <c r="AI532" i="6" a="1"/>
  <c r="AH450" i="6" a="1"/>
  <c r="AI413" i="6" a="1"/>
  <c r="AH301" i="6" a="1"/>
  <c r="AH480" i="6" a="1"/>
  <c r="AI357" i="6" a="1"/>
  <c r="AH366" i="6" a="1"/>
  <c r="AI273" i="6" a="1"/>
  <c r="AG437" i="6" a="1"/>
  <c r="AH328" i="6" a="1"/>
  <c r="AH433" i="6" a="1"/>
  <c r="AG335" i="6" a="1"/>
  <c r="AH409" i="6" a="1"/>
  <c r="AG312" i="6" a="1"/>
  <c r="AG478" i="6" a="1"/>
  <c r="AH470" i="6" a="1"/>
  <c r="AI318" i="6" a="1"/>
  <c r="AH432" i="6" a="1"/>
  <c r="AH325" i="6" a="1"/>
  <c r="AI462" i="6" a="1"/>
  <c r="AI336" i="6" a="1"/>
  <c r="AH398" i="6" a="1"/>
  <c r="AG309" i="6" a="1"/>
  <c r="AI367" i="6" a="1"/>
  <c r="AH524" i="6" a="1"/>
  <c r="AH350" i="6" a="1"/>
  <c r="AG272" i="6" a="1"/>
  <c r="AH370" i="6" a="1"/>
  <c r="AG281" i="6" a="1"/>
  <c r="AH250" i="6" a="1"/>
  <c r="AI156" i="6" a="1"/>
  <c r="AG259" i="6" a="1"/>
  <c r="AH163" i="6" a="1"/>
  <c r="AH376" i="6" a="1"/>
  <c r="AI206" i="6" a="1"/>
  <c r="AG374" i="6" a="1"/>
  <c r="AI264" i="6" a="1"/>
  <c r="AG239" i="6" a="1"/>
  <c r="AH236" i="6" a="1"/>
  <c r="AH318" i="6" a="1"/>
  <c r="AG183" i="6" a="1"/>
  <c r="AI91" i="6" a="1"/>
  <c r="AG236" i="6" a="1"/>
  <c r="AI148" i="6" a="1"/>
  <c r="AI263" i="6" a="1"/>
  <c r="AI488" i="6" a="1"/>
  <c r="AG210" i="6" a="1"/>
  <c r="AH411" i="6" a="1"/>
  <c r="AG219" i="6" a="1"/>
  <c r="AI272" i="6" a="1"/>
  <c r="AG221" i="6" a="1"/>
  <c r="AI250" i="6" a="1"/>
  <c r="AI154" i="6" a="1"/>
  <c r="AH225" i="6" a="1"/>
  <c r="AH128" i="6" a="1"/>
  <c r="AH45" i="6" a="1"/>
  <c r="AH150" i="6" a="1"/>
  <c r="AI63" i="6" a="1"/>
  <c r="AH166" i="6" a="1"/>
  <c r="AI137" i="6" a="1"/>
  <c r="AH47" i="6" a="1"/>
  <c r="AI46" i="6" a="1"/>
  <c r="AI113" i="6" a="1"/>
  <c r="AI32" i="6" a="1"/>
  <c r="AI96" i="6" a="1"/>
  <c r="AI177" i="6" a="1"/>
  <c r="AH74" i="6" a="1"/>
  <c r="AH214" i="6" a="1"/>
  <c r="AI93" i="6" a="1"/>
  <c r="AG110" i="6" a="1"/>
  <c r="AH144" i="6" a="1"/>
  <c r="AI486" i="6" a="1"/>
  <c r="AH404" i="6" a="1"/>
  <c r="AH525" i="6" a="1"/>
  <c r="AG443" i="6" a="1"/>
  <c r="AG541" i="6" a="1"/>
  <c r="AI449" i="6" a="1"/>
  <c r="AG502" i="6" a="1"/>
  <c r="AI515" i="6" a="1"/>
  <c r="AI556" i="6" a="1"/>
  <c r="AH474" i="6" a="1"/>
  <c r="AG392" i="6" a="1"/>
  <c r="AG529" i="6" a="1"/>
  <c r="AI437" i="6" a="1"/>
  <c r="AH556" i="6" a="1"/>
  <c r="AI503" i="6" a="1"/>
  <c r="AH421" i="6" a="1"/>
  <c r="AH558" i="6" a="1"/>
  <c r="AG549" i="6" a="1"/>
  <c r="AI457" i="6" a="1"/>
  <c r="AI491" i="6" a="1"/>
  <c r="AG528" i="6" a="1"/>
  <c r="AI527" i="6" a="1"/>
  <c r="AH394" i="6" a="1"/>
  <c r="AG469" i="6" a="1"/>
  <c r="AG454" i="6" a="1"/>
  <c r="AG326" i="6" a="1"/>
  <c r="AI300" i="6" a="1"/>
  <c r="AH425" i="6" a="1"/>
  <c r="AH456" i="6" a="1"/>
  <c r="AG295" i="6" a="1"/>
  <c r="AH367" i="6" a="1"/>
  <c r="AG152" i="6" a="1"/>
  <c r="AH336" i="6" a="1"/>
  <c r="AH292" i="6" a="1"/>
  <c r="AI219" i="6" a="1"/>
  <c r="AI310" i="6" a="1"/>
  <c r="AG490" i="6" a="1"/>
  <c r="AH324" i="6" a="1"/>
  <c r="AI134" i="6" a="1"/>
  <c r="AG316" i="6" a="1"/>
  <c r="AG189" i="6" a="1"/>
  <c r="AG150" i="6" a="1"/>
  <c r="AI195" i="6" a="1"/>
  <c r="AH84" i="6" a="1"/>
  <c r="AI94" i="6" a="1"/>
  <c r="AG142" i="6" a="1"/>
  <c r="AG89" i="6" a="1"/>
  <c r="AH33" i="6" a="1"/>
  <c r="AG105" i="6" a="1"/>
  <c r="AH165" i="6" a="1"/>
  <c r="AH222" i="6" a="1"/>
  <c r="AI60" i="6" a="1"/>
  <c r="AG169" i="6" a="1"/>
  <c r="AI53" i="6" a="1"/>
  <c r="AI115" i="6" a="1"/>
  <c r="AH101" i="6" a="1"/>
  <c r="AH62" i="6" a="1"/>
  <c r="AI80" i="6" a="1"/>
  <c r="AI135" i="6" a="1"/>
  <c r="AI120" i="6" a="1"/>
  <c r="AI211" i="6" a="1"/>
  <c r="AG90" i="6" a="1"/>
  <c r="AG57" i="6" a="1"/>
  <c r="AI61" i="6" a="1"/>
  <c r="AH215" i="6" a="1"/>
  <c r="AG165" i="6" a="1"/>
  <c r="AG96" i="6" a="1"/>
  <c r="AI98" i="6" a="1"/>
  <c r="AG44" i="6" a="1"/>
  <c r="AG132" i="6" a="1"/>
  <c r="AI183" i="6" a="1"/>
  <c r="AG273" i="6" a="1"/>
  <c r="AH252" i="6" a="1"/>
  <c r="AG80" i="6" a="1"/>
  <c r="AG196" i="6" a="1"/>
  <c r="AH31" i="6" a="1"/>
  <c r="AG140" i="6" a="1"/>
  <c r="AH160" i="6" a="1"/>
  <c r="AH50" i="6" a="1"/>
  <c r="AG523" i="6" a="1"/>
  <c r="AI380" i="6" a="1"/>
  <c r="AH455" i="6" a="1"/>
  <c r="AH441" i="6" a="1"/>
  <c r="AI314" i="6" a="1"/>
  <c r="AH298" i="6" a="1"/>
  <c r="AG422" i="6" a="1"/>
  <c r="AG415" i="6" a="1"/>
  <c r="AG506" i="6" a="1"/>
  <c r="AG364" i="6" a="1"/>
  <c r="AI140" i="6" a="1"/>
  <c r="AG256" i="6" a="1"/>
  <c r="AH264" i="6" a="1"/>
  <c r="AI203" i="6" a="1"/>
  <c r="AH286" i="6" a="1"/>
  <c r="AI414" i="6" a="1"/>
  <c r="AI309" i="6" a="1"/>
  <c r="AG350" i="6" a="1"/>
  <c r="AH295" i="6" a="1"/>
  <c r="AG348" i="6" a="1"/>
  <c r="AI138" i="6" a="1"/>
  <c r="AG175" i="6" a="1"/>
  <c r="AI72" i="6" a="1"/>
  <c r="AG92" i="6" a="1"/>
  <c r="AH122" i="6" a="1"/>
  <c r="AH79" i="6" a="1"/>
  <c r="AI78" i="6" a="1"/>
  <c r="AH51" i="6" a="1"/>
  <c r="AH78" i="6" a="1"/>
  <c r="AI36" i="6" a="1"/>
  <c r="AG36" i="6" a="1"/>
  <c r="AI179" i="6" a="1"/>
  <c r="AH445" i="6" a="1"/>
  <c r="AH531" i="6" a="1"/>
  <c r="AG503" i="6" a="1"/>
  <c r="AH352" i="6" a="1"/>
  <c r="AH312" i="6" a="1"/>
  <c r="AG296" i="6" a="1"/>
  <c r="AI418" i="6" a="1"/>
  <c r="AH386" i="6" a="1"/>
  <c r="AI450" i="6" a="1"/>
  <c r="AI355" i="6" a="1"/>
  <c r="AI328" i="6" a="1"/>
  <c r="AI229" i="6" a="1"/>
  <c r="AG234" i="6" a="1"/>
  <c r="AH201" i="6" a="1"/>
  <c r="AG270" i="6" a="1"/>
  <c r="AI351" i="6" a="1"/>
  <c r="AH302" i="6" a="1"/>
  <c r="AH340" i="6" a="1"/>
  <c r="AG290" i="6" a="1"/>
  <c r="AG308" i="6" a="1"/>
  <c r="AH136" i="6" a="1"/>
  <c r="AI146" i="6" a="1"/>
  <c r="AI56" i="6" a="1"/>
  <c r="AG82" i="6" a="1"/>
  <c r="AI116" i="6" a="1"/>
  <c r="AG77" i="6" a="1"/>
  <c r="AI62" i="6" a="1"/>
  <c r="AG84" i="6" a="1"/>
  <c r="AH145" i="6" a="1"/>
  <c r="AH181" i="6" a="1"/>
  <c r="AG56" i="6" a="1"/>
  <c r="AG157" i="6" a="1"/>
  <c r="AG49" i="6" a="1"/>
  <c r="AI30" i="6" a="1"/>
  <c r="AH93" i="6" a="1"/>
  <c r="AG300" i="6" a="1"/>
  <c r="AG76" i="6" a="1"/>
  <c r="AH126" i="6" a="1"/>
  <c r="AH109" i="6" a="1"/>
  <c r="AI175" i="6" a="1"/>
  <c r="AI82" i="6" a="1"/>
  <c r="AG197" i="6" a="1"/>
  <c r="AG93" i="6" a="1"/>
  <c r="AH103" i="6" a="1"/>
  <c r="AH117" i="6" a="1"/>
  <c r="AH279" i="6" a="1"/>
  <c r="AH204" i="6" a="1"/>
  <c r="AI231" i="6" a="1"/>
  <c r="AG322" i="6" a="1"/>
  <c r="AH135" i="6" a="1"/>
  <c r="AG106" i="6" a="1"/>
  <c r="AI431" i="6" a="1"/>
  <c r="AI517" i="6" a="1"/>
  <c r="AH489" i="6" a="1"/>
  <c r="AI530" i="6" a="1"/>
  <c r="AH502" i="6" a="1"/>
  <c r="AH266" i="6" a="1"/>
  <c r="AI383" i="6" a="1"/>
  <c r="AH383" i="6" a="1"/>
  <c r="AG446" i="6" a="1"/>
  <c r="AI317" i="6" a="1"/>
  <c r="AH543" i="6" a="1"/>
  <c r="AG449" i="6" a="1"/>
  <c r="AH530" i="6" a="1"/>
  <c r="AH512" i="6" a="1"/>
  <c r="AI429" i="6" a="1"/>
  <c r="AI432" i="6" a="1"/>
  <c r="AG323" i="6" a="1"/>
  <c r="AG380" i="6" a="1"/>
  <c r="AI417" i="6" a="1"/>
  <c r="AH299" i="6" a="1"/>
  <c r="AI247" i="6" a="1"/>
  <c r="AG202" i="6" a="1"/>
  <c r="AG505" i="6" a="1"/>
  <c r="AI171" i="6" a="1"/>
  <c r="AI233" i="6" a="1"/>
  <c r="AI281" i="6" a="1"/>
  <c r="AH257" i="6" a="1"/>
  <c r="AG302" i="6" a="1"/>
  <c r="AG260" i="6" a="1"/>
  <c r="AH272" i="6" a="1"/>
  <c r="AG118" i="6" a="1"/>
  <c r="AG117" i="6" a="1"/>
  <c r="AI64" i="6" a="1"/>
  <c r="AH77" i="6" a="1"/>
  <c r="AG97" i="6" a="1"/>
  <c r="AH63" i="6" a="1"/>
  <c r="AI230" i="6" a="1"/>
  <c r="AG70" i="6" a="1"/>
  <c r="AH133" i="6" a="1"/>
  <c r="AH161" i="6" a="1"/>
  <c r="AI28" i="6" a="1"/>
  <c r="AI136" i="6" a="1"/>
  <c r="AH35" i="6" a="1"/>
  <c r="AH213" i="6" a="1"/>
  <c r="AI85" i="6" a="1"/>
  <c r="AG238" i="6" a="1"/>
  <c r="AH30" i="6" a="1"/>
  <c r="AH112" i="6" a="1"/>
  <c r="AG98" i="6" a="1"/>
  <c r="AH155" i="6" a="1"/>
  <c r="AH73" i="6" a="1"/>
  <c r="AH171" i="6" a="1"/>
  <c r="AH55" i="6" a="1"/>
  <c r="AH39" i="6" a="1"/>
  <c r="AG48" i="6" a="1"/>
  <c r="AH71" i="6" a="1"/>
  <c r="AI118" i="6" a="1"/>
  <c r="AI176" i="6" a="1"/>
  <c r="AI308" i="6" a="1"/>
  <c r="AI243" i="6" a="1"/>
  <c r="AI162" i="6" a="1"/>
  <c r="AH53" i="6" a="1"/>
  <c r="AI529" i="6" a="1"/>
  <c r="AH435" i="6" a="1"/>
  <c r="AI516" i="6" a="1"/>
  <c r="AI349" i="6" a="1"/>
  <c r="AG426" i="6" a="1"/>
  <c r="AG429" i="6" a="1"/>
  <c r="AI311" i="6" a="1"/>
  <c r="AH348" i="6" a="1"/>
  <c r="AH364" i="6" a="1"/>
  <c r="AI269" i="6" a="1"/>
  <c r="AG245" i="6" a="1"/>
  <c r="AI190" i="6" a="1"/>
  <c r="AG292" i="6" a="1"/>
  <c r="AH169" i="6" a="1"/>
  <c r="AH226" i="6" a="1"/>
  <c r="AG277" i="6" a="1"/>
  <c r="AH238" i="6" a="1"/>
  <c r="AH263" i="6" a="1"/>
  <c r="AG254" i="6" a="1"/>
  <c r="AG248" i="6" a="1"/>
  <c r="AG102" i="6" a="1"/>
  <c r="AI108" i="6" a="1"/>
  <c r="AI224" i="6" a="1"/>
  <c r="AH61" i="6" a="1"/>
  <c r="AI40" i="6" a="1"/>
  <c r="AG61" i="6" a="1"/>
  <c r="AG223" i="6" a="1"/>
  <c r="AG54" i="6" a="1"/>
  <c r="AI124" i="6" a="1"/>
  <c r="AG153" i="6" a="1"/>
  <c r="AH26" i="6" a="1"/>
  <c r="AG133" i="6" a="1"/>
  <c r="AG33" i="6" a="1"/>
  <c r="AH206" i="6" a="1"/>
  <c r="AI71" i="6" a="1"/>
  <c r="AI227" i="6" a="1"/>
  <c r="AH294" i="6" a="1"/>
  <c r="AG289" i="6" a="1"/>
  <c r="AI87" i="6" a="1"/>
  <c r="AH151" i="6" a="1"/>
  <c r="AG71" i="6" a="1"/>
  <c r="AH167" i="6" a="1"/>
  <c r="AI25" i="6" a="1"/>
  <c r="AI128" i="6" a="1"/>
  <c r="AI114" i="6" a="1"/>
  <c r="AH80" i="6" a="1"/>
  <c r="AI59" i="6" a="1"/>
  <c r="AG163" i="6" a="1"/>
  <c r="AG101" i="6" a="1"/>
  <c r="AG191" i="6" a="1"/>
  <c r="AG212" i="6" a="1"/>
  <c r="AG78" i="6" a="1"/>
  <c r="AH57" i="6" a="1"/>
  <c r="AH159" i="6" a="1"/>
  <c r="AG30" i="6" a="1"/>
  <c r="AH87" i="6" a="1"/>
  <c r="AI157" i="6" a="1"/>
  <c r="AH91" i="6" a="1"/>
  <c r="AH46" i="6" a="1"/>
  <c r="AG185" i="6" a="1"/>
  <c r="AG220" i="6" a="1"/>
  <c r="AH275" i="6" a="1"/>
  <c r="AG214" i="6" a="1"/>
  <c r="AH182" i="6" a="1"/>
  <c r="AH86" i="6" a="1"/>
  <c r="AH82" i="6" a="1"/>
  <c r="AG461" i="6" a="1"/>
  <c r="AI558" i="6" a="1"/>
  <c r="AG448" i="6" a="1"/>
  <c r="AG347" i="6" a="1"/>
  <c r="AI419" i="6" a="1"/>
  <c r="AI425" i="6" a="1"/>
  <c r="AH309" i="6" a="1"/>
  <c r="AH327" i="6" a="1"/>
  <c r="AH345" i="6" a="1"/>
  <c r="AH267" i="6" a="1"/>
  <c r="AI234" i="6" a="1"/>
  <c r="AG170" i="6" a="1"/>
  <c r="AH258" i="6" a="1"/>
  <c r="AG167" i="6" a="1"/>
  <c r="AG224" i="6" a="1"/>
  <c r="AI251" i="6" a="1"/>
  <c r="AH233" i="6" a="1"/>
  <c r="AG257" i="6" a="1"/>
  <c r="AG349" i="6" a="1"/>
  <c r="AH240" i="6" a="1"/>
  <c r="AI90" i="6" a="1"/>
  <c r="AH97" i="6" a="1"/>
  <c r="AI217" i="6" a="1"/>
  <c r="AG59" i="6" a="1"/>
  <c r="AG361" i="6" a="1"/>
  <c r="AI49" i="6" a="1"/>
  <c r="AI215" i="6" a="1"/>
  <c r="AH40" i="6" a="1"/>
  <c r="AH113" i="6" a="1"/>
  <c r="AG149" i="6" a="1"/>
  <c r="AG24" i="6" a="1"/>
  <c r="AG127" i="6" a="1"/>
  <c r="AG181" i="6" a="1"/>
  <c r="AH199" i="6" a="1"/>
  <c r="AH69" i="6" a="1"/>
  <c r="AH198" i="6" a="1"/>
  <c r="AI237" i="6" a="1"/>
  <c r="AI236" i="6" a="1"/>
  <c r="AG147" i="6" a="1"/>
  <c r="AH43" i="6" a="1"/>
  <c r="AG173" i="6" a="1"/>
  <c r="AG67" i="6" a="1"/>
  <c r="AG227" i="6" a="1"/>
  <c r="AH143" i="6" a="1"/>
  <c r="AI97" i="6" a="1"/>
  <c r="AG74" i="6" a="1"/>
  <c r="AH124" i="6" a="1"/>
  <c r="AH107" i="6" a="1"/>
  <c r="AI160" i="6" a="1"/>
  <c r="AI168" i="6" a="1"/>
  <c r="AI55" i="6" a="1"/>
  <c r="AH197" i="6" a="1"/>
  <c r="AI66" i="6" a="1"/>
  <c r="AG139" i="6" a="1"/>
  <c r="AG55" i="6" a="1"/>
  <c r="AG95" i="6" a="1"/>
  <c r="AG143" i="6" a="1"/>
  <c r="AH59" i="6" a="1"/>
  <c r="AG161" i="6" a="1"/>
  <c r="AH320" i="6" a="1"/>
  <c r="AH121" i="6" a="1"/>
  <c r="AH196" i="6" a="1"/>
  <c r="AH68" i="6" a="1"/>
  <c r="AH64" i="6" a="1"/>
  <c r="AH34" i="6" a="1"/>
  <c r="AH447" i="6" a="1"/>
  <c r="AG554" i="6" a="1"/>
  <c r="AI436" i="6" a="1"/>
  <c r="AI344" i="6" a="1"/>
  <c r="AH369" i="6" a="1"/>
  <c r="AH399" i="6" a="1"/>
  <c r="AI279" i="6" a="1"/>
  <c r="AI525" i="6" a="1"/>
  <c r="AI340" i="6" a="1"/>
  <c r="AG265" i="6" a="1"/>
  <c r="AG209" i="6" a="1"/>
  <c r="AI142" i="6" a="1"/>
  <c r="AG229" i="6" a="1"/>
  <c r="AI155" i="6" a="1"/>
  <c r="AI212" i="6" a="1"/>
  <c r="AG249" i="6" a="1"/>
  <c r="AG226" i="6" a="1"/>
  <c r="AH243" i="6" a="1"/>
  <c r="AH308" i="6" a="1"/>
  <c r="AH230" i="6" a="1"/>
  <c r="AH88" i="6" a="1"/>
  <c r="AI89" i="6" a="1"/>
  <c r="AG195" i="6" a="1"/>
  <c r="AI47" i="6" a="1"/>
  <c r="AI262" i="6" a="1"/>
  <c r="AG45" i="6" a="1"/>
  <c r="AI201" i="6" a="1"/>
  <c r="AH24" i="6" a="1"/>
  <c r="AG94" i="6" a="1"/>
  <c r="AG130" i="6" a="1"/>
  <c r="AG42" i="6" a="1"/>
  <c r="AH504" i="6" a="1"/>
  <c r="AG515" i="6" a="1"/>
  <c r="AH434" i="6" a="1"/>
  <c r="AH271" i="6" a="1"/>
  <c r="AI323" i="6" a="1"/>
  <c r="AI443" i="6" a="1"/>
  <c r="AI456" i="6" a="1"/>
  <c r="AG516" i="6" a="1"/>
  <c r="AH338" i="6" a="1"/>
  <c r="AH379" i="6" a="1"/>
  <c r="AI181" i="6" a="1"/>
  <c r="AG345" i="6" a="1"/>
  <c r="AI226" i="6" a="1"/>
  <c r="AH137" i="6" a="1"/>
  <c r="AG208" i="6" a="1"/>
  <c r="AH246" i="6" a="1"/>
  <c r="AI198" i="6" a="1"/>
  <c r="AI235" i="6" a="1"/>
  <c r="AG276" i="6" a="1"/>
  <c r="AI218" i="6" a="1"/>
  <c r="AG86" i="6" a="1"/>
  <c r="AI84" i="6" a="1"/>
  <c r="AG188" i="6" a="1"/>
  <c r="AG43" i="6" a="1"/>
  <c r="AI244" i="6" a="1"/>
  <c r="AI33" i="6" a="1"/>
  <c r="AH75" i="6" a="1"/>
  <c r="AH224" i="6" a="1"/>
  <c r="AG116" i="6" a="1"/>
  <c r="AG213" i="6" a="1"/>
  <c r="AI490" i="6" a="1"/>
  <c r="AH501" i="6" a="1"/>
  <c r="AG407" i="6" a="1"/>
  <c r="AG269" i="6" a="1"/>
  <c r="AH321" i="6" a="1"/>
  <c r="AG436" i="6" a="1"/>
  <c r="AH439" i="6" a="1"/>
  <c r="AI482" i="6" a="1"/>
  <c r="AG527" i="6" a="1"/>
  <c r="AI423" i="6" a="1"/>
  <c r="AH400" i="6" a="1"/>
  <c r="AI257" i="6" a="1"/>
  <c r="AG319" i="6" a="1"/>
  <c r="AG412" i="6" a="1"/>
  <c r="AH428" i="6" a="1"/>
  <c r="AG421" i="6" a="1"/>
  <c r="AH290" i="6" a="1"/>
  <c r="AI242" i="6" a="1"/>
  <c r="AI149" i="6" a="1"/>
  <c r="AG293" i="6" a="1"/>
  <c r="AI194" i="6" a="1"/>
  <c r="AG119" i="6" a="1"/>
  <c r="AH178" i="6" a="1"/>
  <c r="AG231" i="6" a="1"/>
  <c r="AG194" i="6" a="1"/>
  <c r="AI207" i="6" a="1"/>
  <c r="AH235" i="6" a="1"/>
  <c r="AH200" i="6" a="1"/>
  <c r="AH183" i="6" a="1"/>
  <c r="AI54" i="6" a="1"/>
  <c r="AH134" i="6" a="1"/>
  <c r="AH54" i="6" a="1"/>
  <c r="AG158" i="6" a="1"/>
  <c r="AG29" i="6" a="1"/>
  <c r="AI145" i="6" a="1"/>
  <c r="AH44" i="6" a="1"/>
  <c r="AH81" i="6" a="1"/>
  <c r="AH110" i="6" a="1"/>
  <c r="AI240" i="6" a="1"/>
  <c r="AH96" i="6" a="1"/>
  <c r="AH83" i="6" a="1"/>
  <c r="AI129" i="6" a="1"/>
  <c r="AG51" i="6" a="1"/>
  <c r="AG156" i="6" a="1"/>
  <c r="AI184" i="6" a="1"/>
  <c r="AG180" i="6" a="1"/>
  <c r="AG62" i="6" a="1"/>
  <c r="AI131" i="6" a="1"/>
  <c r="AH41" i="6" a="1"/>
  <c r="AG69" i="6" a="1"/>
  <c r="AH92" i="6" a="1"/>
  <c r="AG123" i="6" a="1"/>
  <c r="AG25" i="6" a="1"/>
  <c r="AI221" i="6" a="1"/>
  <c r="AH52" i="6" a="1"/>
  <c r="AG128" i="6" a="1"/>
  <c r="AI130" i="6" a="1"/>
  <c r="AG338" i="6" a="1"/>
  <c r="AI67" i="6" a="1"/>
  <c r="AG99" i="6" a="1"/>
  <c r="AG91" i="6" a="1"/>
  <c r="AH76" i="6" a="1"/>
  <c r="AI126" i="6" a="1"/>
  <c r="AG148" i="6" a="1"/>
  <c r="AI167" i="6" a="1"/>
  <c r="AG126" i="6" a="1"/>
  <c r="AI45" i="6" a="1"/>
  <c r="AH66" i="6" a="1"/>
  <c r="AI73" i="6" a="1"/>
  <c r="AH416" i="6" a="1"/>
  <c r="AH507" i="6" a="1"/>
  <c r="AH203" i="6" a="1"/>
  <c r="AH164" i="6" a="1"/>
  <c r="AI191" i="6" a="1"/>
  <c r="AH207" i="6" a="1"/>
  <c r="AI170" i="6" a="1"/>
  <c r="AI38" i="6" a="1"/>
  <c r="AG122" i="6" a="1"/>
  <c r="AI83" i="6" a="1"/>
  <c r="AI69" i="6" a="1"/>
  <c r="AG199" i="6" a="1"/>
  <c r="AG266" i="6" a="1"/>
  <c r="AI122" i="6" a="1"/>
  <c r="AG64" i="6" a="1"/>
  <c r="AH228" i="6" a="1"/>
  <c r="AG58" i="6" a="1"/>
  <c r="AI566" i="6" a="1"/>
  <c r="AH513" i="6" a="1"/>
  <c r="AG419" i="6" a="1"/>
  <c r="AH397" i="6" a="1"/>
  <c r="AG237" i="6" a="1"/>
  <c r="AH289" i="6" a="1"/>
  <c r="AI362" i="6" a="1"/>
  <c r="AI392" i="6" a="1"/>
  <c r="AG398" i="6" a="1"/>
  <c r="AI514" i="6" a="1"/>
  <c r="AG240" i="6" a="1"/>
  <c r="AH147" i="6" a="1"/>
  <c r="AH234" i="6" a="1"/>
  <c r="AH392" i="6" a="1"/>
  <c r="AI107" i="6" a="1"/>
  <c r="AG176" i="6" a="1"/>
  <c r="AI182" i="6" a="1"/>
  <c r="AH205" i="6" a="1"/>
  <c r="AG228" i="6" a="1"/>
  <c r="AH184" i="6" a="1"/>
  <c r="AG179" i="6" a="1"/>
  <c r="AI265" i="6" a="1"/>
  <c r="AI42" i="6" a="1"/>
  <c r="AH141" i="6" a="1"/>
  <c r="AH229" i="6" a="1"/>
  <c r="AI39" i="6" a="1"/>
  <c r="AH176" i="6" a="1"/>
  <c r="AI50" i="6" a="1"/>
  <c r="AG39" i="6" a="1"/>
  <c r="AI111" i="6" a="1"/>
  <c r="AI287" i="6" a="1"/>
  <c r="AI350" i="6" a="1"/>
  <c r="AH202" i="6" a="1"/>
  <c r="AI216" i="6" a="1"/>
  <c r="AI127" i="6" a="1"/>
  <c r="AG230" i="6" a="1"/>
  <c r="AI199" i="6" a="1"/>
  <c r="AH118" i="6" a="1"/>
  <c r="AG104" i="6" a="1"/>
  <c r="AI147" i="6" a="1"/>
  <c r="AI100" i="6" a="1"/>
  <c r="AG155" i="6" a="1"/>
  <c r="AI57" i="6" a="1"/>
  <c r="AG204" i="6" a="1"/>
  <c r="AG324" i="6" a="1"/>
  <c r="AH42" i="6" a="1"/>
  <c r="AH307" i="6" a="1"/>
  <c r="AG115" i="6" a="1"/>
  <c r="AG498" i="6" a="1"/>
  <c r="AG568" i="6" a="1"/>
  <c r="AI560" i="6" a="1"/>
  <c r="AG299" i="6" a="1"/>
  <c r="AG423" i="6" a="1"/>
  <c r="AG406" i="6" a="1"/>
  <c r="AH316" i="6" a="1"/>
  <c r="AG362" i="6" a="1"/>
  <c r="AH353" i="6" a="1"/>
  <c r="AH496" i="6" a="1"/>
  <c r="AH232" i="6" a="1"/>
  <c r="AI117" i="6" a="1"/>
  <c r="AI312" i="6" a="1"/>
  <c r="AI368" i="6" a="1"/>
  <c r="AH89" i="6" a="1"/>
  <c r="AI164" i="6" a="1"/>
  <c r="AI205" i="6" a="1"/>
  <c r="AG178" i="6" a="1"/>
  <c r="AG203" i="6" a="1"/>
  <c r="AI209" i="6" a="1"/>
  <c r="AG182" i="6" a="1"/>
  <c r="AH175" i="6" a="1"/>
  <c r="AG50" i="6" a="1"/>
  <c r="AH125" i="6" a="1"/>
  <c r="AH245" i="6" a="1"/>
  <c r="AG125" i="6" a="1"/>
  <c r="AI26" i="6" a="1"/>
  <c r="AH130" i="6" a="1"/>
  <c r="AH259" i="6" a="1"/>
  <c r="AG47" i="6" a="1"/>
  <c r="AI88" i="6" a="1"/>
  <c r="AG207" i="6" a="1"/>
  <c r="AG81" i="6" a="1"/>
  <c r="AH60" i="6" a="1"/>
  <c r="AG121" i="6" a="1"/>
  <c r="AH37" i="6" a="1"/>
  <c r="AG136" i="6" a="1"/>
  <c r="AG172" i="6" a="1"/>
  <c r="AI159" i="6" a="1"/>
  <c r="AH48" i="6" a="1"/>
  <c r="AH106" i="6" a="1"/>
  <c r="AI27" i="6" a="1"/>
  <c r="AI29" i="6" a="1"/>
  <c r="AI41" i="6" a="1"/>
  <c r="AG37" i="6" a="1"/>
  <c r="AI95" i="6" a="1"/>
  <c r="AH484" i="6" a="1"/>
  <c r="AH554" i="6" a="1"/>
  <c r="AG556" i="6" a="1"/>
  <c r="AI402" i="6" a="1"/>
  <c r="AG314" i="6" a="1"/>
  <c r="AH334" i="6" a="1"/>
  <c r="AG489" i="6" a="1"/>
  <c r="AH99" i="6" a="1"/>
  <c r="AI277" i="6" a="1"/>
  <c r="AI445" i="6" a="1"/>
  <c r="AH146" i="6" a="1"/>
  <c r="AG159" i="6" a="1"/>
  <c r="AI119" i="6" a="1"/>
  <c r="AI51" i="6" a="1"/>
  <c r="AH28" i="6" a="1"/>
  <c r="AG28" i="6" a="1"/>
  <c r="AG35" i="6" a="1"/>
  <c r="AG164" i="6" a="1"/>
  <c r="AG46" i="6" a="1"/>
  <c r="AH25" i="6" a="1"/>
  <c r="AH90" i="6" a="1"/>
  <c r="AH27" i="6" a="1"/>
  <c r="AG85" i="6" a="1"/>
  <c r="AG32" i="6" a="1"/>
  <c r="AI254" i="6" a="1"/>
  <c r="AH142" i="6" a="1"/>
  <c r="AI79" i="6" a="1"/>
  <c r="AG26" i="6" a="1"/>
  <c r="AI103" i="6" a="1"/>
  <c r="AI406" i="6" a="1"/>
  <c r="AI476" i="6" a="1"/>
  <c r="AH551" i="6" a="1"/>
  <c r="AH285" i="6" a="1"/>
  <c r="AG413" i="6" a="1"/>
  <c r="AH396" i="6" a="1"/>
  <c r="AI302" i="6" a="1"/>
  <c r="AG332" i="6" a="1"/>
  <c r="AG343" i="6" a="1"/>
  <c r="AH427" i="6" a="1"/>
  <c r="AG184" i="6" a="1"/>
  <c r="AG358" i="6" a="1"/>
  <c r="AH395" i="6" a="1"/>
  <c r="AG261" i="6" a="1"/>
  <c r="AH417" i="6" a="1"/>
  <c r="AG144" i="6" a="1"/>
  <c r="AG201" i="6" a="1"/>
  <c r="AH148" i="6" a="1"/>
  <c r="AG187" i="6" a="1"/>
  <c r="AG205" i="6" a="1"/>
  <c r="AH168" i="6" a="1"/>
  <c r="AG120" i="6" a="1"/>
  <c r="AH36" i="6" a="1"/>
  <c r="AH111" i="6" a="1"/>
  <c r="AH209" i="6" a="1"/>
  <c r="AH119" i="6" a="1"/>
  <c r="AH49" i="6" a="1"/>
  <c r="AH116" i="6" a="1"/>
  <c r="AI200" i="6" a="1"/>
  <c r="AI258" i="6" a="1"/>
  <c r="AI76" i="6" a="1"/>
  <c r="AI192" i="6" a="1"/>
  <c r="AH67" i="6" a="1"/>
  <c r="AI185" i="6" a="1"/>
  <c r="AI112" i="6" a="1"/>
  <c r="AH129" i="6" a="1"/>
  <c r="AH98" i="6" a="1"/>
  <c r="AI151" i="6" a="1"/>
  <c r="AH139" i="6" a="1"/>
  <c r="AI34" i="6" a="1"/>
  <c r="AH95" i="6" a="1"/>
  <c r="AH248" i="6" a="1"/>
  <c r="AG109" i="6" a="1"/>
  <c r="AG53" i="6" a="1"/>
  <c r="AH100" i="6" a="1"/>
  <c r="CI23" i="7" a="1"/>
  <c r="AI410" i="6" a="1"/>
  <c r="AI105" i="6" a="1"/>
  <c r="AI178" i="6" a="1"/>
  <c r="AI35" i="6" a="1"/>
  <c r="AI110" i="6" a="1"/>
  <c r="AI173" i="6" a="1"/>
  <c r="AG242" i="6" a="1"/>
  <c r="AG72" i="6" a="1"/>
  <c r="AH177" i="6" a="1"/>
  <c r="AG65" i="6" a="1"/>
  <c r="AG107" i="6" a="1"/>
  <c r="AI109" i="6" a="1"/>
  <c r="AI143" i="6" a="1"/>
  <c r="AH32" i="6" a="1"/>
  <c r="AG235" i="6" a="1"/>
  <c r="AI77" i="6" a="1"/>
  <c r="CH23" i="7" a="1"/>
  <c r="CJ23" i="7" a="1"/>
  <c r="AH157" i="6" a="1"/>
  <c r="AI294" i="6" a="1"/>
  <c r="AI65" i="6" a="1"/>
  <c r="AG137" i="6" a="1"/>
  <c r="AI144" i="6" a="1"/>
  <c r="AG88" i="6" a="1"/>
  <c r="AG60" i="6" a="1"/>
  <c r="AI75" i="6" a="1"/>
  <c r="AH194" i="6" a="1"/>
  <c r="AG27" i="6" a="1"/>
  <c r="AI104" i="6" a="1"/>
  <c r="AH190" i="6" a="1"/>
  <c r="AI43" i="6" a="1"/>
  <c r="AG402" i="6" a="1"/>
  <c r="AG472" i="6" a="1"/>
  <c r="AI537" i="6" a="1"/>
  <c r="AG473" i="6" a="1"/>
  <c r="AI378" i="6" a="1"/>
  <c r="AG372" i="6" a="1"/>
  <c r="AG282" i="6" a="1"/>
  <c r="AG553" i="6" a="1"/>
  <c r="AH313" i="6" a="1"/>
  <c r="AI400" i="6" a="1"/>
  <c r="AH154" i="6" a="1"/>
  <c r="AI345" i="6" a="1"/>
  <c r="AH355" i="6" a="1"/>
  <c r="AG258" i="6" a="1"/>
  <c r="AH391" i="6" a="1"/>
  <c r="AI132" i="6" a="1"/>
  <c r="AI441" i="6" a="1"/>
  <c r="AG146" i="6" a="1"/>
  <c r="AI193" i="6" a="1"/>
  <c r="AH152" i="6" a="1"/>
  <c r="AG233" i="6" a="1"/>
  <c r="AH29" i="6" a="1"/>
  <c r="AI99" i="6" a="1"/>
  <c r="AI152" i="6" a="1"/>
  <c r="AG83" i="6" a="1"/>
  <c r="AH123" i="6" a="1"/>
  <c r="AI92" i="6" a="1"/>
  <c r="AI68" i="6" a="1"/>
  <c r="AH85" i="6" a="1"/>
  <c r="AG211" i="6" a="1"/>
  <c r="AI52" i="6" a="1"/>
  <c r="AH102" i="6" a="1"/>
  <c r="AH58" i="6" a="1"/>
  <c r="AG112" i="6" a="1"/>
  <c r="AG41" i="6" a="1"/>
  <c r="AH296" i="6" a="1"/>
  <c r="AG111" i="6" a="1"/>
  <c r="AI74" i="6" a="1"/>
  <c r="AH173" i="6" a="1"/>
  <c r="AI37" i="6" a="1"/>
  <c r="AI163" i="6" a="1"/>
  <c r="AG73" i="6" a="1"/>
  <c r="AG243" i="6" a="1"/>
  <c r="AH149" i="6" a="1"/>
  <c r="AG124" i="6" a="1"/>
  <c r="CJ23" i="7" l="1"/>
  <c r="CH23" i="7"/>
  <c r="CI23" i="7"/>
  <c r="CK23" i="7" s="1"/>
  <c r="CW23" i="7"/>
  <c r="CX23" i="7" s="1"/>
  <c r="AI57" i="6"/>
  <c r="AI95" i="6"/>
  <c r="AI111" i="6"/>
  <c r="AG25" i="6"/>
  <c r="AH34" i="6"/>
  <c r="AH59" i="6"/>
  <c r="AI97" i="6"/>
  <c r="AH71" i="6"/>
  <c r="AI114" i="6"/>
  <c r="AG48" i="6"/>
  <c r="AG73" i="6"/>
  <c r="AH117" i="6"/>
  <c r="AI36" i="6"/>
  <c r="AI61" i="6"/>
  <c r="AH85" i="6"/>
  <c r="AJ85" i="6" s="1"/>
  <c r="AH100" i="6"/>
  <c r="AH27" i="6"/>
  <c r="AG37" i="6"/>
  <c r="AI73" i="6"/>
  <c r="AG123" i="6"/>
  <c r="AH50" i="6"/>
  <c r="AH75" i="6"/>
  <c r="AH87" i="6"/>
  <c r="AG101" i="6"/>
  <c r="AI128" i="6"/>
  <c r="AH39" i="6"/>
  <c r="AG64" i="6"/>
  <c r="AH103" i="6"/>
  <c r="AG41" i="6"/>
  <c r="AI52" i="6"/>
  <c r="AI77" i="6"/>
  <c r="AG53" i="6"/>
  <c r="AH90" i="6"/>
  <c r="AI41" i="6"/>
  <c r="AH66" i="6"/>
  <c r="AH92" i="6"/>
  <c r="AG106" i="6"/>
  <c r="AG143" i="6"/>
  <c r="AG30" i="6"/>
  <c r="AH43" i="6"/>
  <c r="AI25" i="6"/>
  <c r="AH55" i="6"/>
  <c r="AG80" i="6"/>
  <c r="AG93" i="6"/>
  <c r="AG32" i="6"/>
  <c r="AG57" i="6"/>
  <c r="AI68" i="6"/>
  <c r="AG109" i="6"/>
  <c r="AG155" i="6"/>
  <c r="AI29" i="6"/>
  <c r="AI45" i="6"/>
  <c r="AG69" i="6"/>
  <c r="AH82" i="6"/>
  <c r="AG95" i="6"/>
  <c r="AH159" i="6"/>
  <c r="AG163" i="6"/>
  <c r="AH167" i="6"/>
  <c r="AH171" i="6"/>
  <c r="AI179" i="6"/>
  <c r="AG197" i="6"/>
  <c r="AG204" i="6"/>
  <c r="AG211" i="6"/>
  <c r="AG235" i="6"/>
  <c r="AH248" i="6"/>
  <c r="AH25" i="6"/>
  <c r="AJ25" i="6" s="1"/>
  <c r="AI27" i="6"/>
  <c r="AG39" i="6"/>
  <c r="AH41" i="6"/>
  <c r="AI43" i="6"/>
  <c r="AG55" i="6"/>
  <c r="AH57" i="6"/>
  <c r="AI59" i="6"/>
  <c r="AG71" i="6"/>
  <c r="AH73" i="6"/>
  <c r="AJ73" i="6" s="1"/>
  <c r="AI75" i="6"/>
  <c r="AI82" i="6"/>
  <c r="AG85" i="6"/>
  <c r="AG90" i="6"/>
  <c r="AI92" i="6"/>
  <c r="AH95" i="6"/>
  <c r="AI100" i="6"/>
  <c r="AH106" i="6"/>
  <c r="AG126" i="6"/>
  <c r="AI131" i="6"/>
  <c r="AH135" i="6"/>
  <c r="AG139" i="6"/>
  <c r="AH143" i="6"/>
  <c r="AG147" i="6"/>
  <c r="AH151" i="6"/>
  <c r="AH155" i="6"/>
  <c r="AJ155" i="6" s="1"/>
  <c r="AI163" i="6"/>
  <c r="AI175" i="6"/>
  <c r="AI183" i="6"/>
  <c r="AI211" i="6"/>
  <c r="AH32" i="6"/>
  <c r="AJ32" i="6" s="1"/>
  <c r="AI34" i="6"/>
  <c r="AG46" i="6"/>
  <c r="AH48" i="6"/>
  <c r="AI50" i="6"/>
  <c r="AG62" i="6"/>
  <c r="AH64" i="6"/>
  <c r="AI66" i="6"/>
  <c r="AG78" i="6"/>
  <c r="AH80" i="6"/>
  <c r="AI87" i="6"/>
  <c r="AG98" i="6"/>
  <c r="AI103" i="6"/>
  <c r="AH109" i="6"/>
  <c r="AG112" i="6"/>
  <c r="AI120" i="6"/>
  <c r="AH123" i="6"/>
  <c r="AJ123" i="6" s="1"/>
  <c r="AH139" i="6"/>
  <c r="AI147" i="6"/>
  <c r="AI159" i="6"/>
  <c r="AI167" i="6"/>
  <c r="AG180" i="6"/>
  <c r="AH190" i="6"/>
  <c r="AH197" i="6"/>
  <c r="AG212" i="6"/>
  <c r="AI236" i="6"/>
  <c r="AG289" i="6"/>
  <c r="AH112" i="6"/>
  <c r="AJ112" i="6" s="1"/>
  <c r="AG115" i="6"/>
  <c r="AH126" i="6"/>
  <c r="AJ126" i="6" s="1"/>
  <c r="AG132" i="6"/>
  <c r="AI135" i="6"/>
  <c r="AI143" i="6"/>
  <c r="AI151" i="6"/>
  <c r="AG164" i="6"/>
  <c r="AG172" i="6"/>
  <c r="AH176" i="6"/>
  <c r="AI184" i="6"/>
  <c r="AG213" i="6"/>
  <c r="AG220" i="6"/>
  <c r="AG227" i="6"/>
  <c r="AI237" i="6"/>
  <c r="AH294" i="6"/>
  <c r="AH30" i="6"/>
  <c r="AJ30" i="6" s="1"/>
  <c r="AG60" i="6"/>
  <c r="AG76" i="6"/>
  <c r="AH78" i="6"/>
  <c r="AJ78" i="6" s="1"/>
  <c r="AI80" i="6"/>
  <c r="AG83" i="6"/>
  <c r="AH98" i="6"/>
  <c r="AG104" i="6"/>
  <c r="AG136" i="6"/>
  <c r="AG148" i="6"/>
  <c r="AG156" i="6"/>
  <c r="AH160" i="6"/>
  <c r="AG185" i="6"/>
  <c r="AG191" i="6"/>
  <c r="AH198" i="6"/>
  <c r="AI227" i="6"/>
  <c r="AG238" i="6"/>
  <c r="AH252" i="6"/>
  <c r="AG300" i="6"/>
  <c r="AG44" i="6"/>
  <c r="AH62" i="6"/>
  <c r="AJ62" i="6" s="1"/>
  <c r="AI109" i="6"/>
  <c r="AH129" i="6"/>
  <c r="AG35" i="6"/>
  <c r="AH37" i="6"/>
  <c r="AJ37" i="6" s="1"/>
  <c r="AI39" i="6"/>
  <c r="AG51" i="6"/>
  <c r="AH53" i="6"/>
  <c r="AI55" i="6"/>
  <c r="AG67" i="6"/>
  <c r="AH69" i="6"/>
  <c r="AJ69" i="6" s="1"/>
  <c r="AI71" i="6"/>
  <c r="AI85" i="6"/>
  <c r="AG88" i="6"/>
  <c r="AH93" i="6"/>
  <c r="AJ93" i="6" s="1"/>
  <c r="AI98" i="6"/>
  <c r="AH101" i="6"/>
  <c r="AJ101" i="6" s="1"/>
  <c r="AG107" i="6"/>
  <c r="AI112" i="6"/>
  <c r="AH118" i="6"/>
  <c r="AG121" i="6"/>
  <c r="AI126" i="6"/>
  <c r="AI129" i="6"/>
  <c r="AG140" i="6"/>
  <c r="AH144" i="6"/>
  <c r="AI168" i="6"/>
  <c r="AI176" i="6"/>
  <c r="AH199" i="6"/>
  <c r="AH206" i="6"/>
  <c r="AH213" i="6"/>
  <c r="AJ213" i="6" s="1"/>
  <c r="AH307" i="6"/>
  <c r="AI30" i="6"/>
  <c r="AG96" i="6"/>
  <c r="AI115" i="6"/>
  <c r="AI152" i="6"/>
  <c r="AI185" i="6"/>
  <c r="AG28" i="6"/>
  <c r="AH60" i="6"/>
  <c r="AH76" i="6"/>
  <c r="AH83" i="6"/>
  <c r="AG110" i="6"/>
  <c r="AG124" i="6"/>
  <c r="AI160" i="6"/>
  <c r="AG173" i="6"/>
  <c r="AG181" i="6"/>
  <c r="AG33" i="6"/>
  <c r="AH35" i="6"/>
  <c r="AJ35" i="6" s="1"/>
  <c r="AI37" i="6"/>
  <c r="AG49" i="6"/>
  <c r="AH51" i="6"/>
  <c r="AJ51" i="6" s="1"/>
  <c r="AI53" i="6"/>
  <c r="AG65" i="6"/>
  <c r="AH67" i="6"/>
  <c r="AI69" i="6"/>
  <c r="AG81" i="6"/>
  <c r="AG91" i="6"/>
  <c r="AI93" i="6"/>
  <c r="AH96" i="6"/>
  <c r="AI104" i="6"/>
  <c r="AH107" i="6"/>
  <c r="AI118" i="6"/>
  <c r="AG127" i="6"/>
  <c r="AG133" i="6"/>
  <c r="AI136" i="6"/>
  <c r="AI144" i="6"/>
  <c r="AG157" i="6"/>
  <c r="AG165" i="6"/>
  <c r="AG169" i="6"/>
  <c r="AH177" i="6"/>
  <c r="AI192" i="6"/>
  <c r="AI199" i="6"/>
  <c r="AG207" i="6"/>
  <c r="AH214" i="6"/>
  <c r="AH229" i="6"/>
  <c r="AI240" i="6"/>
  <c r="AG322" i="6"/>
  <c r="AH46" i="6"/>
  <c r="AJ46" i="6" s="1"/>
  <c r="AG42" i="6"/>
  <c r="AG24" i="6"/>
  <c r="AH26" i="6"/>
  <c r="AI28" i="6"/>
  <c r="AG40" i="6"/>
  <c r="AH42" i="6"/>
  <c r="AJ42" i="6" s="1"/>
  <c r="AI44" i="6"/>
  <c r="AG56" i="6"/>
  <c r="AH58" i="6"/>
  <c r="AI60" i="6"/>
  <c r="AG72" i="6"/>
  <c r="AH74" i="6"/>
  <c r="AI76" i="6"/>
  <c r="AI83" i="6"/>
  <c r="AI88" i="6"/>
  <c r="AG99" i="6"/>
  <c r="AH110" i="6"/>
  <c r="AG116" i="6"/>
  <c r="AI121" i="6"/>
  <c r="AH124" i="6"/>
  <c r="AJ124" i="6" s="1"/>
  <c r="AH127" i="6"/>
  <c r="AJ127" i="6" s="1"/>
  <c r="AG130" i="6"/>
  <c r="AG141" i="6"/>
  <c r="AG149" i="6"/>
  <c r="AG153" i="6"/>
  <c r="AH161" i="6"/>
  <c r="AH173" i="6"/>
  <c r="AI177" i="6"/>
  <c r="AH181" i="6"/>
  <c r="AH215" i="6"/>
  <c r="AH222" i="6"/>
  <c r="AG242" i="6"/>
  <c r="AI258" i="6"/>
  <c r="AH28" i="6"/>
  <c r="AJ28" i="6" s="1"/>
  <c r="AG31" i="6"/>
  <c r="AG47" i="6"/>
  <c r="AH65" i="6"/>
  <c r="AJ65" i="6" s="1"/>
  <c r="AI67" i="6"/>
  <c r="AG79" i="6"/>
  <c r="AH81" i="6"/>
  <c r="AJ81" i="6" s="1"/>
  <c r="AH86" i="6"/>
  <c r="AH91" i="6"/>
  <c r="AJ91" i="6" s="1"/>
  <c r="AG94" i="6"/>
  <c r="AI96" i="6"/>
  <c r="AH113" i="6"/>
  <c r="AI124" i="6"/>
  <c r="AH133" i="6"/>
  <c r="AG137" i="6"/>
  <c r="AH145" i="6"/>
  <c r="AH157" i="6"/>
  <c r="AI161" i="6"/>
  <c r="AH165" i="6"/>
  <c r="AI169" i="6"/>
  <c r="AI173" i="6"/>
  <c r="AH193" i="6"/>
  <c r="AI200" i="6"/>
  <c r="AG230" i="6"/>
  <c r="AH259" i="6"/>
  <c r="AG338" i="6"/>
  <c r="AI32" i="6"/>
  <c r="AH44" i="6"/>
  <c r="AG58" i="6"/>
  <c r="AG74" i="6"/>
  <c r="AH24" i="6"/>
  <c r="AJ24" i="6" s="1"/>
  <c r="AH40" i="6"/>
  <c r="AG54" i="6"/>
  <c r="AI58" i="6"/>
  <c r="AG70" i="6"/>
  <c r="AH72" i="6"/>
  <c r="AJ72" i="6" s="1"/>
  <c r="AI74" i="6"/>
  <c r="AI81" i="6"/>
  <c r="AG84" i="6"/>
  <c r="AH102" i="6"/>
  <c r="AG105" i="6"/>
  <c r="AI110" i="6"/>
  <c r="AI113" i="6"/>
  <c r="AH116" i="6"/>
  <c r="AI127" i="6"/>
  <c r="AH130" i="6"/>
  <c r="AH141" i="6"/>
  <c r="AJ141" i="6" s="1"/>
  <c r="AI145" i="6"/>
  <c r="AH149" i="6"/>
  <c r="AJ149" i="6" s="1"/>
  <c r="AI153" i="6"/>
  <c r="AI157" i="6"/>
  <c r="AG174" i="6"/>
  <c r="AI201" i="6"/>
  <c r="AI208" i="6"/>
  <c r="AI215" i="6"/>
  <c r="AG223" i="6"/>
  <c r="AI230" i="6"/>
  <c r="AG26" i="6"/>
  <c r="AI46" i="6"/>
  <c r="AI62" i="6"/>
  <c r="AI78" i="6"/>
  <c r="AH33" i="6"/>
  <c r="AJ33" i="6" s="1"/>
  <c r="AI35" i="6"/>
  <c r="AH49" i="6"/>
  <c r="AI51" i="6"/>
  <c r="AG63" i="6"/>
  <c r="AI26" i="6"/>
  <c r="AG38" i="6"/>
  <c r="AI42" i="6"/>
  <c r="AH56" i="6"/>
  <c r="AJ56" i="6" s="1"/>
  <c r="AG29" i="6"/>
  <c r="AH31" i="6"/>
  <c r="AI33" i="6"/>
  <c r="AG45" i="6"/>
  <c r="AH47" i="6"/>
  <c r="AI49" i="6"/>
  <c r="AG61" i="6"/>
  <c r="AH63" i="6"/>
  <c r="AI65" i="6"/>
  <c r="AG77" i="6"/>
  <c r="AH79" i="6"/>
  <c r="AJ79" i="6" s="1"/>
  <c r="AI86" i="6"/>
  <c r="AG89" i="6"/>
  <c r="AH94" i="6"/>
  <c r="AJ94" i="6" s="1"/>
  <c r="AI99" i="6"/>
  <c r="AG108" i="6"/>
  <c r="AH119" i="6"/>
  <c r="AG122" i="6"/>
  <c r="AG125" i="6"/>
  <c r="AI130" i="6"/>
  <c r="AI137" i="6"/>
  <c r="AI141" i="6"/>
  <c r="AG158" i="6"/>
  <c r="AH182" i="6"/>
  <c r="AI244" i="6"/>
  <c r="AI262" i="6"/>
  <c r="AG361" i="6"/>
  <c r="AI48" i="6"/>
  <c r="AI40" i="6"/>
  <c r="AG68" i="6"/>
  <c r="AG97" i="6"/>
  <c r="AI102" i="6"/>
  <c r="AG111" i="6"/>
  <c r="AI116" i="6"/>
  <c r="AH122" i="6"/>
  <c r="AJ122" i="6" s="1"/>
  <c r="AG142" i="6"/>
  <c r="AH166" i="6"/>
  <c r="AJ166" i="6" s="1"/>
  <c r="AH174" i="6"/>
  <c r="AI178" i="6"/>
  <c r="AH209" i="6"/>
  <c r="AI216" i="6"/>
  <c r="AH245" i="6"/>
  <c r="AI265" i="6"/>
  <c r="AH38" i="6"/>
  <c r="AH54" i="6"/>
  <c r="AJ54" i="6" s="1"/>
  <c r="AH70" i="6"/>
  <c r="AG27" i="6"/>
  <c r="AI31" i="6"/>
  <c r="AG43" i="6"/>
  <c r="AI47" i="6"/>
  <c r="AG59" i="6"/>
  <c r="AH61" i="6"/>
  <c r="AI63" i="6"/>
  <c r="AG75" i="6"/>
  <c r="AH77" i="6"/>
  <c r="AJ77" i="6" s="1"/>
  <c r="AI79" i="6"/>
  <c r="AG82" i="6"/>
  <c r="AG92" i="6"/>
  <c r="AI94" i="6"/>
  <c r="AG100" i="6"/>
  <c r="AI105" i="6"/>
  <c r="AH108" i="6"/>
  <c r="AJ108" i="6" s="1"/>
  <c r="AH111" i="6"/>
  <c r="AJ111" i="6" s="1"/>
  <c r="AG114" i="6"/>
  <c r="AI119" i="6"/>
  <c r="AH125" i="6"/>
  <c r="AG128" i="6"/>
  <c r="AH134" i="6"/>
  <c r="AH150" i="6"/>
  <c r="AJ150" i="6" s="1"/>
  <c r="AH158" i="6"/>
  <c r="AI162" i="6"/>
  <c r="AG188" i="6"/>
  <c r="AG195" i="6"/>
  <c r="AI217" i="6"/>
  <c r="AI224" i="6"/>
  <c r="AI232" i="6"/>
  <c r="AI64" i="6"/>
  <c r="AI24" i="6"/>
  <c r="AG36" i="6"/>
  <c r="AG52" i="6"/>
  <c r="AI56" i="6"/>
  <c r="AI72" i="6"/>
  <c r="AH84" i="6"/>
  <c r="AJ84" i="6" s="1"/>
  <c r="AH29" i="6"/>
  <c r="AJ29" i="6" s="1"/>
  <c r="AH45" i="6"/>
  <c r="AJ45" i="6" s="1"/>
  <c r="AG34" i="6"/>
  <c r="AH36" i="6"/>
  <c r="AI38" i="6"/>
  <c r="AG50" i="6"/>
  <c r="AH52" i="6"/>
  <c r="AJ52" i="6" s="1"/>
  <c r="AI54" i="6"/>
  <c r="AG66" i="6"/>
  <c r="AH68" i="6"/>
  <c r="AI70" i="6"/>
  <c r="AI84" i="6"/>
  <c r="AG87" i="6"/>
  <c r="AI89" i="6"/>
  <c r="AH97" i="6"/>
  <c r="AI108" i="6"/>
  <c r="AG117" i="6"/>
  <c r="AH128" i="6"/>
  <c r="AJ128" i="6" s="1"/>
  <c r="AG131" i="6"/>
  <c r="AH142" i="6"/>
  <c r="AJ142" i="6" s="1"/>
  <c r="AI146" i="6"/>
  <c r="AG175" i="6"/>
  <c r="AI195" i="6"/>
  <c r="AG233" i="6"/>
  <c r="AH114" i="6"/>
  <c r="AJ114" i="6" s="1"/>
  <c r="AG120" i="6"/>
  <c r="AI125" i="6"/>
  <c r="AG159" i="6"/>
  <c r="AG171" i="6"/>
  <c r="AH175" i="6"/>
  <c r="AG179" i="6"/>
  <c r="AH183" i="6"/>
  <c r="AG196" i="6"/>
  <c r="AH225" i="6"/>
  <c r="AI275" i="6"/>
  <c r="AG86" i="6"/>
  <c r="AH88" i="6"/>
  <c r="AJ88" i="6" s="1"/>
  <c r="AI90" i="6"/>
  <c r="AG102" i="6"/>
  <c r="AH104" i="6"/>
  <c r="AJ104" i="6" s="1"/>
  <c r="AI106" i="6"/>
  <c r="AG118" i="6"/>
  <c r="AH120" i="6"/>
  <c r="AI122" i="6"/>
  <c r="AG134" i="6"/>
  <c r="AH136" i="6"/>
  <c r="AJ136" i="6" s="1"/>
  <c r="AI138" i="6"/>
  <c r="AG150" i="6"/>
  <c r="AH152" i="6"/>
  <c r="AI154" i="6"/>
  <c r="AG166" i="6"/>
  <c r="AH168" i="6"/>
  <c r="AI170" i="6"/>
  <c r="AG182" i="6"/>
  <c r="AH184" i="6"/>
  <c r="AI186" i="6"/>
  <c r="AG198" i="6"/>
  <c r="AH200" i="6"/>
  <c r="AI202" i="6"/>
  <c r="AG214" i="6"/>
  <c r="AH216" i="6"/>
  <c r="AI218" i="6"/>
  <c r="AH230" i="6"/>
  <c r="AJ230" i="6" s="1"/>
  <c r="AH240" i="6"/>
  <c r="AG248" i="6"/>
  <c r="AI250" i="6"/>
  <c r="AI256" i="6"/>
  <c r="AI259" i="6"/>
  <c r="AH272" i="6"/>
  <c r="AI294" i="6"/>
  <c r="AG308" i="6"/>
  <c r="AI322" i="6"/>
  <c r="AI338" i="6"/>
  <c r="AG348" i="6"/>
  <c r="AI361" i="6"/>
  <c r="AG189" i="6"/>
  <c r="AH191" i="6"/>
  <c r="AJ191" i="6" s="1"/>
  <c r="AI193" i="6"/>
  <c r="AG205" i="6"/>
  <c r="AH207" i="6"/>
  <c r="AJ207" i="6" s="1"/>
  <c r="AI209" i="6"/>
  <c r="AG221" i="6"/>
  <c r="AH223" i="6"/>
  <c r="AJ223" i="6" s="1"/>
  <c r="AI225" i="6"/>
  <c r="AG228" i="6"/>
  <c r="AH235" i="6"/>
  <c r="AJ235" i="6" s="1"/>
  <c r="AG243" i="6"/>
  <c r="AI245" i="6"/>
  <c r="AG263" i="6"/>
  <c r="AG276" i="6"/>
  <c r="AH280" i="6"/>
  <c r="AH308" i="6"/>
  <c r="AJ308" i="6" s="1"/>
  <c r="AH339" i="6"/>
  <c r="AG349" i="6"/>
  <c r="AG254" i="6"/>
  <c r="AG260" i="6"/>
  <c r="AG266" i="6"/>
  <c r="AI272" i="6"/>
  <c r="AH276" i="6"/>
  <c r="AI280" i="6"/>
  <c r="AG290" i="6"/>
  <c r="AH295" i="6"/>
  <c r="AG316" i="6"/>
  <c r="AH323" i="6"/>
  <c r="AG340" i="6"/>
  <c r="AI410" i="6"/>
  <c r="AG438" i="6"/>
  <c r="AG187" i="6"/>
  <c r="AH189" i="6"/>
  <c r="AI191" i="6"/>
  <c r="AG203" i="6"/>
  <c r="AH205" i="6"/>
  <c r="AJ205" i="6" s="1"/>
  <c r="AI207" i="6"/>
  <c r="AG219" i="6"/>
  <c r="AH221" i="6"/>
  <c r="AI223" i="6"/>
  <c r="AH228" i="6"/>
  <c r="AJ228" i="6" s="1"/>
  <c r="AI235" i="6"/>
  <c r="AH243" i="6"/>
  <c r="AJ243" i="6" s="1"/>
  <c r="AI248" i="6"/>
  <c r="AH251" i="6"/>
  <c r="AG257" i="6"/>
  <c r="AH260" i="6"/>
  <c r="AJ260" i="6" s="1"/>
  <c r="AH263" i="6"/>
  <c r="AJ263" i="6" s="1"/>
  <c r="AI290" i="6"/>
  <c r="AG302" i="6"/>
  <c r="AG324" i="6"/>
  <c r="AH340" i="6"/>
  <c r="AG350" i="6"/>
  <c r="AH411" i="6"/>
  <c r="AG439" i="6"/>
  <c r="AH132" i="6"/>
  <c r="AJ132" i="6" s="1"/>
  <c r="AI134" i="6"/>
  <c r="AG146" i="6"/>
  <c r="AH148" i="6"/>
  <c r="AJ148" i="6" s="1"/>
  <c r="AI150" i="6"/>
  <c r="AG162" i="6"/>
  <c r="AH164" i="6"/>
  <c r="AJ164" i="6" s="1"/>
  <c r="AI166" i="6"/>
  <c r="AG178" i="6"/>
  <c r="AH180" i="6"/>
  <c r="AJ180" i="6" s="1"/>
  <c r="AI182" i="6"/>
  <c r="AG194" i="6"/>
  <c r="AH196" i="6"/>
  <c r="AJ196" i="6" s="1"/>
  <c r="AI198" i="6"/>
  <c r="AG210" i="6"/>
  <c r="AH212" i="6"/>
  <c r="AJ212" i="6" s="1"/>
  <c r="AI214" i="6"/>
  <c r="AG226" i="6"/>
  <c r="AH233" i="6"/>
  <c r="AJ233" i="6" s="1"/>
  <c r="AH238" i="6"/>
  <c r="AG246" i="6"/>
  <c r="AH254" i="6"/>
  <c r="AJ254" i="6" s="1"/>
  <c r="AH257" i="6"/>
  <c r="AJ257" i="6" s="1"/>
  <c r="AI260" i="6"/>
  <c r="AG273" i="6"/>
  <c r="AG286" i="6"/>
  <c r="AH302" i="6"/>
  <c r="AJ302" i="6" s="1"/>
  <c r="AI309" i="6"/>
  <c r="AH324" i="6"/>
  <c r="AJ324" i="6" s="1"/>
  <c r="AI441" i="6"/>
  <c r="AI488" i="6"/>
  <c r="AH187" i="6"/>
  <c r="AI189" i="6"/>
  <c r="AG201" i="6"/>
  <c r="AH203" i="6"/>
  <c r="AJ203" i="6" s="1"/>
  <c r="AI205" i="6"/>
  <c r="AG217" i="6"/>
  <c r="AH219" i="6"/>
  <c r="AI221" i="6"/>
  <c r="AI228" i="6"/>
  <c r="AG231" i="6"/>
  <c r="AG241" i="6"/>
  <c r="AI243" i="6"/>
  <c r="AH246" i="6"/>
  <c r="AG249" i="6"/>
  <c r="AI251" i="6"/>
  <c r="AI263" i="6"/>
  <c r="AI266" i="6"/>
  <c r="AH273" i="6"/>
  <c r="AG277" i="6"/>
  <c r="AI281" i="6"/>
  <c r="AH296" i="6"/>
  <c r="AH310" i="6"/>
  <c r="AI341" i="6"/>
  <c r="AI351" i="6"/>
  <c r="AG389" i="6"/>
  <c r="AI414" i="6"/>
  <c r="AI442" i="6"/>
  <c r="AG490" i="6"/>
  <c r="AI132" i="6"/>
  <c r="AG144" i="6"/>
  <c r="AH146" i="6"/>
  <c r="AI148" i="6"/>
  <c r="AG160" i="6"/>
  <c r="AH162" i="6"/>
  <c r="AJ162" i="6" s="1"/>
  <c r="AI164" i="6"/>
  <c r="AG176" i="6"/>
  <c r="AH178" i="6"/>
  <c r="AI180" i="6"/>
  <c r="AG192" i="6"/>
  <c r="AH194" i="6"/>
  <c r="AJ194" i="6" s="1"/>
  <c r="AI196" i="6"/>
  <c r="AG208" i="6"/>
  <c r="AH210" i="6"/>
  <c r="AI212" i="6"/>
  <c r="AG224" i="6"/>
  <c r="AH226" i="6"/>
  <c r="AI233" i="6"/>
  <c r="AG236" i="6"/>
  <c r="AI238" i="6"/>
  <c r="AI246" i="6"/>
  <c r="AI254" i="6"/>
  <c r="AG270" i="6"/>
  <c r="AH286" i="6"/>
  <c r="AJ286" i="6" s="1"/>
  <c r="AH291" i="6"/>
  <c r="AI296" i="6"/>
  <c r="AI310" i="6"/>
  <c r="AG318" i="6"/>
  <c r="AH342" i="6"/>
  <c r="AI352" i="6"/>
  <c r="AH391" i="6"/>
  <c r="AH417" i="6"/>
  <c r="AI445" i="6"/>
  <c r="AH89" i="6"/>
  <c r="AI91" i="6"/>
  <c r="AG103" i="6"/>
  <c r="AH105" i="6"/>
  <c r="AJ105" i="6" s="1"/>
  <c r="AI107" i="6"/>
  <c r="AG119" i="6"/>
  <c r="AH121" i="6"/>
  <c r="AJ121" i="6" s="1"/>
  <c r="AI123" i="6"/>
  <c r="AG135" i="6"/>
  <c r="AH137" i="6"/>
  <c r="AJ137" i="6" s="1"/>
  <c r="AI139" i="6"/>
  <c r="AG151" i="6"/>
  <c r="AH153" i="6"/>
  <c r="AJ153" i="6" s="1"/>
  <c r="AI155" i="6"/>
  <c r="AG167" i="6"/>
  <c r="AH169" i="6"/>
  <c r="AJ169" i="6" s="1"/>
  <c r="AI171" i="6"/>
  <c r="AG183" i="6"/>
  <c r="AH185" i="6"/>
  <c r="AI187" i="6"/>
  <c r="AG199" i="6"/>
  <c r="AH201" i="6"/>
  <c r="AJ201" i="6" s="1"/>
  <c r="AI203" i="6"/>
  <c r="AG215" i="6"/>
  <c r="AH217" i="6"/>
  <c r="AJ217" i="6" s="1"/>
  <c r="AI219" i="6"/>
  <c r="AH231" i="6"/>
  <c r="AH241" i="6"/>
  <c r="AJ241" i="6" s="1"/>
  <c r="AG244" i="6"/>
  <c r="AH249" i="6"/>
  <c r="AJ249" i="6" s="1"/>
  <c r="AG258" i="6"/>
  <c r="AG261" i="6"/>
  <c r="AI277" i="6"/>
  <c r="AH318" i="6"/>
  <c r="AI325" i="6"/>
  <c r="AI342" i="6"/>
  <c r="AI368" i="6"/>
  <c r="AH392" i="6"/>
  <c r="AH446" i="6"/>
  <c r="AG190" i="6"/>
  <c r="AH192" i="6"/>
  <c r="AJ192" i="6" s="1"/>
  <c r="AI194" i="6"/>
  <c r="AG206" i="6"/>
  <c r="AH208" i="6"/>
  <c r="AI210" i="6"/>
  <c r="AG222" i="6"/>
  <c r="AH224" i="6"/>
  <c r="AJ224" i="6" s="1"/>
  <c r="AI226" i="6"/>
  <c r="AG229" i="6"/>
  <c r="AH236" i="6"/>
  <c r="AJ236" i="6" s="1"/>
  <c r="AH244" i="6"/>
  <c r="AG252" i="6"/>
  <c r="AG255" i="6"/>
  <c r="AH258" i="6"/>
  <c r="AJ258" i="6" s="1"/>
  <c r="AH270" i="6"/>
  <c r="AG274" i="6"/>
  <c r="AG287" i="6"/>
  <c r="AG292" i="6"/>
  <c r="AH304" i="6"/>
  <c r="AH326" i="6"/>
  <c r="AG334" i="6"/>
  <c r="AI394" i="6"/>
  <c r="AG505" i="6"/>
  <c r="AI231" i="6"/>
  <c r="AG234" i="6"/>
  <c r="AG239" i="6"/>
  <c r="AG247" i="6"/>
  <c r="AI249" i="6"/>
  <c r="AH261" i="6"/>
  <c r="AJ261" i="6" s="1"/>
  <c r="AH264" i="6"/>
  <c r="AI267" i="6"/>
  <c r="AG278" i="6"/>
  <c r="AI282" i="6"/>
  <c r="AH292" i="6"/>
  <c r="AJ292" i="6" s="1"/>
  <c r="AI297" i="6"/>
  <c r="AI304" i="6"/>
  <c r="AI326" i="6"/>
  <c r="AG344" i="6"/>
  <c r="AH355" i="6"/>
  <c r="AH395" i="6"/>
  <c r="AH507" i="6"/>
  <c r="AI264" i="6"/>
  <c r="AI274" i="6"/>
  <c r="AH278" i="6"/>
  <c r="AG305" i="6"/>
  <c r="AI312" i="6"/>
  <c r="AG356" i="6"/>
  <c r="AG373" i="6"/>
  <c r="AI397" i="6"/>
  <c r="AH234" i="6"/>
  <c r="AJ234" i="6" s="1"/>
  <c r="AH247" i="6"/>
  <c r="AJ247" i="6" s="1"/>
  <c r="AI261" i="6"/>
  <c r="AG271" i="6"/>
  <c r="AI278" i="6"/>
  <c r="AG293" i="6"/>
  <c r="AH320" i="6"/>
  <c r="AG345" i="6"/>
  <c r="AG374" i="6"/>
  <c r="AI424" i="6"/>
  <c r="AG138" i="6"/>
  <c r="AH140" i="6"/>
  <c r="AJ140" i="6" s="1"/>
  <c r="AI142" i="6"/>
  <c r="AG154" i="6"/>
  <c r="AH156" i="6"/>
  <c r="AJ156" i="6" s="1"/>
  <c r="AI158" i="6"/>
  <c r="AG170" i="6"/>
  <c r="AH172" i="6"/>
  <c r="AJ172" i="6" s="1"/>
  <c r="AI174" i="6"/>
  <c r="AG186" i="6"/>
  <c r="AH188" i="6"/>
  <c r="AJ188" i="6" s="1"/>
  <c r="AI190" i="6"/>
  <c r="AG202" i="6"/>
  <c r="AH204" i="6"/>
  <c r="AJ204" i="6" s="1"/>
  <c r="AI206" i="6"/>
  <c r="AG218" i="6"/>
  <c r="AH220" i="6"/>
  <c r="AI222" i="6"/>
  <c r="AI229" i="6"/>
  <c r="AG232" i="6"/>
  <c r="AH242" i="6"/>
  <c r="AG250" i="6"/>
  <c r="AG256" i="6"/>
  <c r="AG268" i="6"/>
  <c r="AH288" i="6"/>
  <c r="AG306" i="6"/>
  <c r="AI320" i="6"/>
  <c r="AH336" i="6"/>
  <c r="AI345" i="6"/>
  <c r="AG358" i="6"/>
  <c r="AH376" i="6"/>
  <c r="AG427" i="6"/>
  <c r="AH460" i="6"/>
  <c r="AH523" i="6"/>
  <c r="AH99" i="6"/>
  <c r="AJ99" i="6" s="1"/>
  <c r="AI101" i="6"/>
  <c r="AG113" i="6"/>
  <c r="AH115" i="6"/>
  <c r="AJ115" i="6" s="1"/>
  <c r="AI117" i="6"/>
  <c r="AG129" i="6"/>
  <c r="AH131" i="6"/>
  <c r="AJ131" i="6" s="1"/>
  <c r="AI133" i="6"/>
  <c r="AG145" i="6"/>
  <c r="AH147" i="6"/>
  <c r="AJ147" i="6" s="1"/>
  <c r="AI149" i="6"/>
  <c r="AG161" i="6"/>
  <c r="AH163" i="6"/>
  <c r="AJ163" i="6" s="1"/>
  <c r="AI165" i="6"/>
  <c r="AG177" i="6"/>
  <c r="AH179" i="6"/>
  <c r="AJ179" i="6" s="1"/>
  <c r="AI181" i="6"/>
  <c r="AG193" i="6"/>
  <c r="AH195" i="6"/>
  <c r="AI197" i="6"/>
  <c r="AG209" i="6"/>
  <c r="AH211" i="6"/>
  <c r="AJ211" i="6" s="1"/>
  <c r="AI213" i="6"/>
  <c r="AG225" i="6"/>
  <c r="AH227" i="6"/>
  <c r="AJ227" i="6" s="1"/>
  <c r="AI234" i="6"/>
  <c r="AG245" i="6"/>
  <c r="AI247" i="6"/>
  <c r="AG259" i="6"/>
  <c r="AG262" i="6"/>
  <c r="AH265" i="6"/>
  <c r="AG275" i="6"/>
  <c r="AH279" i="6"/>
  <c r="AI293" i="6"/>
  <c r="AI306" i="6"/>
  <c r="AG321" i="6"/>
  <c r="AI328" i="6"/>
  <c r="AG337" i="6"/>
  <c r="AG377" i="6"/>
  <c r="AG462" i="6"/>
  <c r="AH138" i="6"/>
  <c r="AI140" i="6"/>
  <c r="AG152" i="6"/>
  <c r="AH154" i="6"/>
  <c r="AJ154" i="6" s="1"/>
  <c r="AI156" i="6"/>
  <c r="AG168" i="6"/>
  <c r="AH170" i="6"/>
  <c r="AI172" i="6"/>
  <c r="AG184" i="6"/>
  <c r="AH186" i="6"/>
  <c r="AJ186" i="6" s="1"/>
  <c r="AI188" i="6"/>
  <c r="AG200" i="6"/>
  <c r="AH202" i="6"/>
  <c r="AJ202" i="6" s="1"/>
  <c r="AI204" i="6"/>
  <c r="AG216" i="6"/>
  <c r="AH218" i="6"/>
  <c r="AJ218" i="6" s="1"/>
  <c r="AI220" i="6"/>
  <c r="AH232" i="6"/>
  <c r="AG240" i="6"/>
  <c r="AI242" i="6"/>
  <c r="AH250" i="6"/>
  <c r="AJ250" i="6" s="1"/>
  <c r="AH256" i="6"/>
  <c r="AH262" i="6"/>
  <c r="AJ262" i="6" s="1"/>
  <c r="AH268" i="6"/>
  <c r="AH275" i="6"/>
  <c r="AJ275" i="6" s="1"/>
  <c r="AG284" i="6"/>
  <c r="AI288" i="6"/>
  <c r="AG294" i="6"/>
  <c r="AH379" i="6"/>
  <c r="AI430" i="6"/>
  <c r="AI466" i="6"/>
  <c r="AI546" i="6"/>
  <c r="AI253" i="6"/>
  <c r="AG265" i="6"/>
  <c r="AH267" i="6"/>
  <c r="AI269" i="6"/>
  <c r="AG281" i="6"/>
  <c r="AH283" i="6"/>
  <c r="AI285" i="6"/>
  <c r="AG297" i="6"/>
  <c r="AH299" i="6"/>
  <c r="AI301" i="6"/>
  <c r="AG313" i="6"/>
  <c r="AH315" i="6"/>
  <c r="AI317" i="6"/>
  <c r="AG329" i="6"/>
  <c r="AH331" i="6"/>
  <c r="AI333" i="6"/>
  <c r="AI347" i="6"/>
  <c r="AI355" i="6"/>
  <c r="AG364" i="6"/>
  <c r="AH367" i="6"/>
  <c r="AH370" i="6"/>
  <c r="AH382" i="6"/>
  <c r="AI385" i="6"/>
  <c r="AI388" i="6"/>
  <c r="AI400" i="6"/>
  <c r="AG404" i="6"/>
  <c r="AH407" i="6"/>
  <c r="AG414" i="6"/>
  <c r="AH427" i="6"/>
  <c r="AJ427" i="6" s="1"/>
  <c r="AG431" i="6"/>
  <c r="AI434" i="6"/>
  <c r="AG455" i="6"/>
  <c r="AG474" i="6"/>
  <c r="AG489" i="6"/>
  <c r="AH496" i="6"/>
  <c r="AI514" i="6"/>
  <c r="AG272" i="6"/>
  <c r="AH274" i="6"/>
  <c r="AI276" i="6"/>
  <c r="AG288" i="6"/>
  <c r="AH290" i="6"/>
  <c r="AJ290" i="6" s="1"/>
  <c r="AI292" i="6"/>
  <c r="AG304" i="6"/>
  <c r="AH306" i="6"/>
  <c r="AJ306" i="6" s="1"/>
  <c r="AI308" i="6"/>
  <c r="AG320" i="6"/>
  <c r="AH322" i="6"/>
  <c r="AJ322" i="6" s="1"/>
  <c r="AI324" i="6"/>
  <c r="AG336" i="6"/>
  <c r="AH338" i="6"/>
  <c r="AJ338" i="6" s="1"/>
  <c r="AI340" i="6"/>
  <c r="AH345" i="6"/>
  <c r="AJ345" i="6" s="1"/>
  <c r="AH350" i="6"/>
  <c r="AJ350" i="6" s="1"/>
  <c r="AG353" i="6"/>
  <c r="AH358" i="6"/>
  <c r="AJ358" i="6" s="1"/>
  <c r="AH361" i="6"/>
  <c r="AJ361" i="6" s="1"/>
  <c r="AH364" i="6"/>
  <c r="AJ364" i="6" s="1"/>
  <c r="AI376" i="6"/>
  <c r="AI379" i="6"/>
  <c r="AI382" i="6"/>
  <c r="AI417" i="6"/>
  <c r="AH424" i="6"/>
  <c r="AI427" i="6"/>
  <c r="AH438" i="6"/>
  <c r="AG442" i="6"/>
  <c r="AG446" i="6"/>
  <c r="AI450" i="6"/>
  <c r="AG506" i="6"/>
  <c r="AH524" i="6"/>
  <c r="AG279" i="6"/>
  <c r="AH281" i="6"/>
  <c r="AI283" i="6"/>
  <c r="AG295" i="6"/>
  <c r="AH297" i="6"/>
  <c r="AJ297" i="6" s="1"/>
  <c r="AI299" i="6"/>
  <c r="AG311" i="6"/>
  <c r="AH313" i="6"/>
  <c r="AJ313" i="6" s="1"/>
  <c r="AI315" i="6"/>
  <c r="AG327" i="6"/>
  <c r="AH329" i="6"/>
  <c r="AI331" i="6"/>
  <c r="AG343" i="6"/>
  <c r="AI350" i="6"/>
  <c r="AH353" i="6"/>
  <c r="AJ353" i="6" s="1"/>
  <c r="AI367" i="6"/>
  <c r="AI370" i="6"/>
  <c r="AG383" i="6"/>
  <c r="AG395" i="6"/>
  <c r="AG398" i="6"/>
  <c r="AH401" i="6"/>
  <c r="AG411" i="6"/>
  <c r="AH414" i="6"/>
  <c r="AJ414" i="6" s="1"/>
  <c r="AG421" i="6"/>
  <c r="AH431" i="6"/>
  <c r="AJ431" i="6" s="1"/>
  <c r="AI461" i="6"/>
  <c r="AG468" i="6"/>
  <c r="AH475" i="6"/>
  <c r="AI482" i="6"/>
  <c r="AG516" i="6"/>
  <c r="AI525" i="6"/>
  <c r="AG309" i="6"/>
  <c r="AH311" i="6"/>
  <c r="AI313" i="6"/>
  <c r="AG325" i="6"/>
  <c r="AH327" i="6"/>
  <c r="AI329" i="6"/>
  <c r="AG341" i="6"/>
  <c r="AH343" i="6"/>
  <c r="AJ343" i="6" s="1"/>
  <c r="AH348" i="6"/>
  <c r="AJ348" i="6" s="1"/>
  <c r="AG351" i="6"/>
  <c r="AI353" i="6"/>
  <c r="AG365" i="6"/>
  <c r="AG368" i="6"/>
  <c r="AG380" i="6"/>
  <c r="AH383" i="6"/>
  <c r="AH386" i="6"/>
  <c r="AH398" i="6"/>
  <c r="AI401" i="6"/>
  <c r="AH408" i="6"/>
  <c r="AI411" i="6"/>
  <c r="AG415" i="6"/>
  <c r="AG428" i="6"/>
  <c r="AI435" i="6"/>
  <c r="AI446" i="6"/>
  <c r="AH456" i="6"/>
  <c r="AH462" i="6"/>
  <c r="AJ462" i="6" s="1"/>
  <c r="AG476" i="6"/>
  <c r="AI498" i="6"/>
  <c r="AG526" i="6"/>
  <c r="AG553" i="6"/>
  <c r="AG332" i="6"/>
  <c r="AH334" i="6"/>
  <c r="AJ334" i="6" s="1"/>
  <c r="AI336" i="6"/>
  <c r="AG346" i="6"/>
  <c r="AH356" i="6"/>
  <c r="AJ356" i="6" s="1"/>
  <c r="AG359" i="6"/>
  <c r="AG362" i="6"/>
  <c r="AH374" i="6"/>
  <c r="AH377" i="6"/>
  <c r="AH380" i="6"/>
  <c r="AJ380" i="6" s="1"/>
  <c r="AI392" i="6"/>
  <c r="AI395" i="6"/>
  <c r="AI398" i="6"/>
  <c r="AG405" i="6"/>
  <c r="AG425" i="6"/>
  <c r="AH428" i="6"/>
  <c r="AH439" i="6"/>
  <c r="AJ439" i="6" s="1"/>
  <c r="AI456" i="6"/>
  <c r="AI462" i="6"/>
  <c r="AH476" i="6"/>
  <c r="AG484" i="6"/>
  <c r="AH491" i="6"/>
  <c r="AH508" i="6"/>
  <c r="AI526" i="6"/>
  <c r="AG537" i="6"/>
  <c r="AH277" i="6"/>
  <c r="AJ277" i="6" s="1"/>
  <c r="AI279" i="6"/>
  <c r="AG291" i="6"/>
  <c r="AH293" i="6"/>
  <c r="AJ293" i="6" s="1"/>
  <c r="AI295" i="6"/>
  <c r="AG307" i="6"/>
  <c r="AH309" i="6"/>
  <c r="AI311" i="6"/>
  <c r="AG323" i="6"/>
  <c r="AH325" i="6"/>
  <c r="AJ325" i="6" s="1"/>
  <c r="AI327" i="6"/>
  <c r="AG339" i="6"/>
  <c r="AH341" i="6"/>
  <c r="AH351" i="6"/>
  <c r="AH365" i="6"/>
  <c r="AJ365" i="6" s="1"/>
  <c r="AH368" i="6"/>
  <c r="AJ368" i="6" s="1"/>
  <c r="AI371" i="6"/>
  <c r="AI383" i="6"/>
  <c r="AI386" i="6"/>
  <c r="AG399" i="6"/>
  <c r="AI408" i="6"/>
  <c r="AH415" i="6"/>
  <c r="AI418" i="6"/>
  <c r="AG422" i="6"/>
  <c r="AH425" i="6"/>
  <c r="AJ425" i="6" s="1"/>
  <c r="AH432" i="6"/>
  <c r="AH443" i="6"/>
  <c r="AG452" i="6"/>
  <c r="AG457" i="6"/>
  <c r="AG500" i="6"/>
  <c r="AH518" i="6"/>
  <c r="AH555" i="6"/>
  <c r="AI270" i="6"/>
  <c r="AG282" i="6"/>
  <c r="AH284" i="6"/>
  <c r="AJ284" i="6" s="1"/>
  <c r="AI286" i="6"/>
  <c r="AG298" i="6"/>
  <c r="AH300" i="6"/>
  <c r="AJ300" i="6" s="1"/>
  <c r="AI302" i="6"/>
  <c r="AG314" i="6"/>
  <c r="AH316" i="6"/>
  <c r="AJ316" i="6" s="1"/>
  <c r="AI318" i="6"/>
  <c r="AG330" i="6"/>
  <c r="AH332" i="6"/>
  <c r="AJ332" i="6" s="1"/>
  <c r="AI334" i="6"/>
  <c r="AH346" i="6"/>
  <c r="AJ346" i="6" s="1"/>
  <c r="AG354" i="6"/>
  <c r="AI356" i="6"/>
  <c r="AH359" i="6"/>
  <c r="AJ359" i="6" s="1"/>
  <c r="AI362" i="6"/>
  <c r="AI365" i="6"/>
  <c r="AI377" i="6"/>
  <c r="AG390" i="6"/>
  <c r="AG393" i="6"/>
  <c r="AG412" i="6"/>
  <c r="AG436" i="6"/>
  <c r="AI443" i="6"/>
  <c r="AH470" i="6"/>
  <c r="AI477" i="6"/>
  <c r="AG492" i="6"/>
  <c r="AI509" i="6"/>
  <c r="AG538" i="6"/>
  <c r="AG381" i="6"/>
  <c r="AG384" i="6"/>
  <c r="AG396" i="6"/>
  <c r="AH399" i="6"/>
  <c r="AG409" i="6"/>
  <c r="AH412" i="6"/>
  <c r="AJ412" i="6" s="1"/>
  <c r="AI415" i="6"/>
  <c r="AH422" i="6"/>
  <c r="AJ422" i="6" s="1"/>
  <c r="AI425" i="6"/>
  <c r="AG429" i="6"/>
  <c r="AI432" i="6"/>
  <c r="AG478" i="6"/>
  <c r="AH492" i="6"/>
  <c r="AG510" i="6"/>
  <c r="AH528" i="6"/>
  <c r="AH539" i="6"/>
  <c r="AI557" i="6"/>
  <c r="AI252" i="6"/>
  <c r="AG264" i="6"/>
  <c r="AH266" i="6"/>
  <c r="AJ266" i="6" s="1"/>
  <c r="AI268" i="6"/>
  <c r="AG280" i="6"/>
  <c r="AH282" i="6"/>
  <c r="AI284" i="6"/>
  <c r="AG296" i="6"/>
  <c r="AH298" i="6"/>
  <c r="AJ298" i="6" s="1"/>
  <c r="AI300" i="6"/>
  <c r="AG312" i="6"/>
  <c r="AH314" i="6"/>
  <c r="AJ314" i="6" s="1"/>
  <c r="AI316" i="6"/>
  <c r="AG328" i="6"/>
  <c r="AH330" i="6"/>
  <c r="AJ330" i="6" s="1"/>
  <c r="AI332" i="6"/>
  <c r="AI346" i="6"/>
  <c r="AH354" i="6"/>
  <c r="AJ354" i="6" s="1"/>
  <c r="AG372" i="6"/>
  <c r="AG375" i="6"/>
  <c r="AG378" i="6"/>
  <c r="AH390" i="6"/>
  <c r="AJ390" i="6" s="1"/>
  <c r="AH393" i="6"/>
  <c r="AJ393" i="6" s="1"/>
  <c r="AH396" i="6"/>
  <c r="AI402" i="6"/>
  <c r="AG406" i="6"/>
  <c r="AH409" i="6"/>
  <c r="AH440" i="6"/>
  <c r="AH448" i="6"/>
  <c r="AG458" i="6"/>
  <c r="AH464" i="6"/>
  <c r="AH478" i="6"/>
  <c r="AI510" i="6"/>
  <c r="AG558" i="6"/>
  <c r="AH289" i="6"/>
  <c r="AJ289" i="6" s="1"/>
  <c r="AI291" i="6"/>
  <c r="AG303" i="6"/>
  <c r="AH305" i="6"/>
  <c r="AJ305" i="6" s="1"/>
  <c r="AI307" i="6"/>
  <c r="AG319" i="6"/>
  <c r="AH321" i="6"/>
  <c r="AJ321" i="6" s="1"/>
  <c r="AI323" i="6"/>
  <c r="AG335" i="6"/>
  <c r="AH337" i="6"/>
  <c r="AI339" i="6"/>
  <c r="AH344" i="6"/>
  <c r="AJ344" i="6" s="1"/>
  <c r="AH349" i="6"/>
  <c r="AJ349" i="6" s="1"/>
  <c r="AG357" i="6"/>
  <c r="AG363" i="6"/>
  <c r="AG366" i="6"/>
  <c r="AH369" i="6"/>
  <c r="AH381" i="6"/>
  <c r="AJ381" i="6" s="1"/>
  <c r="AH384" i="6"/>
  <c r="AJ384" i="6" s="1"/>
  <c r="AI387" i="6"/>
  <c r="AI399" i="6"/>
  <c r="AI419" i="6"/>
  <c r="AG426" i="6"/>
  <c r="AI429" i="6"/>
  <c r="AH433" i="6"/>
  <c r="AG444" i="6"/>
  <c r="AG453" i="6"/>
  <c r="AI458" i="6"/>
  <c r="AI464" i="6"/>
  <c r="AI478" i="6"/>
  <c r="AH486" i="6"/>
  <c r="AI493" i="6"/>
  <c r="AH502" i="6"/>
  <c r="AI520" i="6"/>
  <c r="AI541" i="6"/>
  <c r="AI298" i="6"/>
  <c r="AG310" i="6"/>
  <c r="AH312" i="6"/>
  <c r="AI314" i="6"/>
  <c r="AG326" i="6"/>
  <c r="AH328" i="6"/>
  <c r="AJ328" i="6" s="1"/>
  <c r="AI330" i="6"/>
  <c r="AG342" i="6"/>
  <c r="AG352" i="6"/>
  <c r="AI354" i="6"/>
  <c r="AH360" i="6"/>
  <c r="AH363" i="6"/>
  <c r="AJ363" i="6" s="1"/>
  <c r="AH375" i="6"/>
  <c r="AI378" i="6"/>
  <c r="AI381" i="6"/>
  <c r="AI393" i="6"/>
  <c r="AH406" i="6"/>
  <c r="AJ406" i="6" s="1"/>
  <c r="AI409" i="6"/>
  <c r="AG413" i="6"/>
  <c r="AH416" i="6"/>
  <c r="AG423" i="6"/>
  <c r="AG437" i="6"/>
  <c r="AI440" i="6"/>
  <c r="AH444" i="6"/>
  <c r="AJ444" i="6" s="1"/>
  <c r="AI448" i="6"/>
  <c r="AG494" i="6"/>
  <c r="AG521" i="6"/>
  <c r="AG542" i="6"/>
  <c r="AH560" i="6"/>
  <c r="AG237" i="6"/>
  <c r="AH239" i="6"/>
  <c r="AI241" i="6"/>
  <c r="AG253" i="6"/>
  <c r="AH255" i="6"/>
  <c r="AJ255" i="6" s="1"/>
  <c r="AI257" i="6"/>
  <c r="AG269" i="6"/>
  <c r="AH271" i="6"/>
  <c r="AJ271" i="6" s="1"/>
  <c r="AI273" i="6"/>
  <c r="AG285" i="6"/>
  <c r="AH287" i="6"/>
  <c r="AJ287" i="6" s="1"/>
  <c r="AI289" i="6"/>
  <c r="AG301" i="6"/>
  <c r="AH303" i="6"/>
  <c r="AI305" i="6"/>
  <c r="AG317" i="6"/>
  <c r="AH319" i="6"/>
  <c r="AJ319" i="6" s="1"/>
  <c r="AI321" i="6"/>
  <c r="AG333" i="6"/>
  <c r="AH335" i="6"/>
  <c r="AI337" i="6"/>
  <c r="AI344" i="6"/>
  <c r="AG347" i="6"/>
  <c r="AI349" i="6"/>
  <c r="AH366" i="6"/>
  <c r="AJ366" i="6" s="1"/>
  <c r="AI369" i="6"/>
  <c r="AI372" i="6"/>
  <c r="AI384" i="6"/>
  <c r="AG397" i="6"/>
  <c r="AG400" i="6"/>
  <c r="AI426" i="6"/>
  <c r="AG430" i="6"/>
  <c r="AI433" i="6"/>
  <c r="AG441" i="6"/>
  <c r="AH459" i="6"/>
  <c r="AI472" i="6"/>
  <c r="AH494" i="6"/>
  <c r="AH512" i="6"/>
  <c r="AI530" i="6"/>
  <c r="AH352" i="6"/>
  <c r="AJ352" i="6" s="1"/>
  <c r="AI357" i="6"/>
  <c r="AI360" i="6"/>
  <c r="AI363" i="6"/>
  <c r="AI366" i="6"/>
  <c r="AG388" i="6"/>
  <c r="AG391" i="6"/>
  <c r="AG394" i="6"/>
  <c r="AI403" i="6"/>
  <c r="AG410" i="6"/>
  <c r="AH413" i="6"/>
  <c r="AJ413" i="6" s="1"/>
  <c r="AI416" i="6"/>
  <c r="AG420" i="6"/>
  <c r="AH423" i="6"/>
  <c r="AJ423" i="6" s="1"/>
  <c r="AH441" i="6"/>
  <c r="AG454" i="6"/>
  <c r="AG473" i="6"/>
  <c r="AH480" i="6"/>
  <c r="AJ480" i="6" s="1"/>
  <c r="AI494" i="6"/>
  <c r="AG522" i="6"/>
  <c r="AH544" i="6"/>
  <c r="AH237" i="6"/>
  <c r="AI239" i="6"/>
  <c r="AG251" i="6"/>
  <c r="AH253" i="6"/>
  <c r="AJ253" i="6" s="1"/>
  <c r="AI255" i="6"/>
  <c r="AG267" i="6"/>
  <c r="AH269" i="6"/>
  <c r="AJ269" i="6" s="1"/>
  <c r="AI271" i="6"/>
  <c r="AG283" i="6"/>
  <c r="AH285" i="6"/>
  <c r="AJ285" i="6" s="1"/>
  <c r="AI287" i="6"/>
  <c r="AG299" i="6"/>
  <c r="AH301" i="6"/>
  <c r="AI303" i="6"/>
  <c r="AG315" i="6"/>
  <c r="AH317" i="6"/>
  <c r="AI319" i="6"/>
  <c r="AG331" i="6"/>
  <c r="AH333" i="6"/>
  <c r="AI335" i="6"/>
  <c r="AH347" i="6"/>
  <c r="AJ347" i="6" s="1"/>
  <c r="AG367" i="6"/>
  <c r="AG379" i="6"/>
  <c r="AG382" i="6"/>
  <c r="AH385" i="6"/>
  <c r="AH397" i="6"/>
  <c r="AH400" i="6"/>
  <c r="AJ400" i="6" s="1"/>
  <c r="AG407" i="6"/>
  <c r="AI413" i="6"/>
  <c r="AH430" i="6"/>
  <c r="AH454" i="6"/>
  <c r="AJ454" i="6" s="1"/>
  <c r="AG460" i="6"/>
  <c r="AI480" i="6"/>
  <c r="AI504" i="6"/>
  <c r="AG532" i="6"/>
  <c r="AH402" i="6"/>
  <c r="AI404" i="6"/>
  <c r="AG416" i="6"/>
  <c r="AH418" i="6"/>
  <c r="AI420" i="6"/>
  <c r="AG432" i="6"/>
  <c r="AH434" i="6"/>
  <c r="AI436" i="6"/>
  <c r="AG448" i="6"/>
  <c r="AH450" i="6"/>
  <c r="AI452" i="6"/>
  <c r="AG464" i="6"/>
  <c r="AH466" i="6"/>
  <c r="AI468" i="6"/>
  <c r="AG480" i="6"/>
  <c r="AH482" i="6"/>
  <c r="AI484" i="6"/>
  <c r="AG496" i="6"/>
  <c r="AH498" i="6"/>
  <c r="AI500" i="6"/>
  <c r="AG512" i="6"/>
  <c r="AH514" i="6"/>
  <c r="AI516" i="6"/>
  <c r="AG528" i="6"/>
  <c r="AH530" i="6"/>
  <c r="AI532" i="6"/>
  <c r="AG544" i="6"/>
  <c r="AH546" i="6"/>
  <c r="AI548" i="6"/>
  <c r="AG560" i="6"/>
  <c r="AH562" i="6"/>
  <c r="AI564" i="6"/>
  <c r="AH457" i="6"/>
  <c r="AJ457" i="6" s="1"/>
  <c r="AI459" i="6"/>
  <c r="AG471" i="6"/>
  <c r="AH473" i="6"/>
  <c r="AJ473" i="6" s="1"/>
  <c r="AI475" i="6"/>
  <c r="AG487" i="6"/>
  <c r="AH489" i="6"/>
  <c r="AJ489" i="6" s="1"/>
  <c r="AI491" i="6"/>
  <c r="AG503" i="6"/>
  <c r="AH505" i="6"/>
  <c r="AJ505" i="6" s="1"/>
  <c r="AI507" i="6"/>
  <c r="AG519" i="6"/>
  <c r="AH521" i="6"/>
  <c r="AJ521" i="6" s="1"/>
  <c r="AI523" i="6"/>
  <c r="AG535" i="6"/>
  <c r="AH537" i="6"/>
  <c r="AJ537" i="6" s="1"/>
  <c r="AI539" i="6"/>
  <c r="AG551" i="6"/>
  <c r="AH553" i="6"/>
  <c r="AJ553" i="6" s="1"/>
  <c r="AI555" i="6"/>
  <c r="AG567" i="6"/>
  <c r="AI562" i="6"/>
  <c r="AH455" i="6"/>
  <c r="AJ455" i="6" s="1"/>
  <c r="AI457" i="6"/>
  <c r="AG469" i="6"/>
  <c r="AH471" i="6"/>
  <c r="AI473" i="6"/>
  <c r="AG485" i="6"/>
  <c r="AH487" i="6"/>
  <c r="AJ487" i="6" s="1"/>
  <c r="AI489" i="6"/>
  <c r="AG501" i="6"/>
  <c r="AH503" i="6"/>
  <c r="AJ503" i="6" s="1"/>
  <c r="AI505" i="6"/>
  <c r="AG517" i="6"/>
  <c r="AH519" i="6"/>
  <c r="AJ519" i="6" s="1"/>
  <c r="AI521" i="6"/>
  <c r="AG533" i="6"/>
  <c r="AH535" i="6"/>
  <c r="AJ535" i="6" s="1"/>
  <c r="AI537" i="6"/>
  <c r="AG549" i="6"/>
  <c r="AH551" i="6"/>
  <c r="AI553" i="6"/>
  <c r="AG565" i="6"/>
  <c r="AH567" i="6"/>
  <c r="AJ567" i="6" s="1"/>
  <c r="AI496" i="6"/>
  <c r="AG508" i="6"/>
  <c r="AH510" i="6"/>
  <c r="AJ510" i="6" s="1"/>
  <c r="AI512" i="6"/>
  <c r="AG524" i="6"/>
  <c r="AH526" i="6"/>
  <c r="AJ526" i="6" s="1"/>
  <c r="AI528" i="6"/>
  <c r="AG540" i="6"/>
  <c r="AH542" i="6"/>
  <c r="AJ542" i="6" s="1"/>
  <c r="AI544" i="6"/>
  <c r="AG556" i="6"/>
  <c r="AH558" i="6"/>
  <c r="AJ558" i="6" s="1"/>
  <c r="AI560" i="6"/>
  <c r="AI343" i="6"/>
  <c r="AG355" i="6"/>
  <c r="AH357" i="6"/>
  <c r="AJ357" i="6" s="1"/>
  <c r="AI359" i="6"/>
  <c r="AG371" i="6"/>
  <c r="AH373" i="6"/>
  <c r="AJ373" i="6" s="1"/>
  <c r="AI375" i="6"/>
  <c r="AG387" i="6"/>
  <c r="AH389" i="6"/>
  <c r="AJ389" i="6" s="1"/>
  <c r="AI391" i="6"/>
  <c r="AG403" i="6"/>
  <c r="AH405" i="6"/>
  <c r="AJ405" i="6" s="1"/>
  <c r="AI407" i="6"/>
  <c r="AG419" i="6"/>
  <c r="AH421" i="6"/>
  <c r="AI423" i="6"/>
  <c r="AG435" i="6"/>
  <c r="AH437" i="6"/>
  <c r="AI439" i="6"/>
  <c r="AG451" i="6"/>
  <c r="AH453" i="6"/>
  <c r="AJ453" i="6" s="1"/>
  <c r="AI455" i="6"/>
  <c r="AG467" i="6"/>
  <c r="AH469" i="6"/>
  <c r="AJ469" i="6" s="1"/>
  <c r="AI471" i="6"/>
  <c r="AG483" i="6"/>
  <c r="AH485" i="6"/>
  <c r="AJ485" i="6" s="1"/>
  <c r="AI487" i="6"/>
  <c r="AG499" i="6"/>
  <c r="AH501" i="6"/>
  <c r="AJ501" i="6" s="1"/>
  <c r="AI503" i="6"/>
  <c r="AG515" i="6"/>
  <c r="AH517" i="6"/>
  <c r="AI519" i="6"/>
  <c r="AG531" i="6"/>
  <c r="AH533" i="6"/>
  <c r="AJ533" i="6" s="1"/>
  <c r="AI535" i="6"/>
  <c r="AG547" i="6"/>
  <c r="AH549" i="6"/>
  <c r="AJ549" i="6" s="1"/>
  <c r="AI551" i="6"/>
  <c r="AG563" i="6"/>
  <c r="AH565" i="6"/>
  <c r="AJ565" i="6" s="1"/>
  <c r="AI567" i="6"/>
  <c r="AH540" i="6"/>
  <c r="AI542" i="6"/>
  <c r="AG554" i="6"/>
  <c r="AH556" i="6"/>
  <c r="AJ556" i="6" s="1"/>
  <c r="AI558" i="6"/>
  <c r="AG369" i="6"/>
  <c r="AH371" i="6"/>
  <c r="AI373" i="6"/>
  <c r="AG385" i="6"/>
  <c r="AH387" i="6"/>
  <c r="AJ387" i="6" s="1"/>
  <c r="AI389" i="6"/>
  <c r="AG401" i="6"/>
  <c r="AH403" i="6"/>
  <c r="AI405" i="6"/>
  <c r="AG417" i="6"/>
  <c r="AH419" i="6"/>
  <c r="AJ419" i="6" s="1"/>
  <c r="AI421" i="6"/>
  <c r="AG433" i="6"/>
  <c r="AH435" i="6"/>
  <c r="AI437" i="6"/>
  <c r="AG449" i="6"/>
  <c r="AH451" i="6"/>
  <c r="AJ451" i="6" s="1"/>
  <c r="AI453" i="6"/>
  <c r="AG465" i="6"/>
  <c r="AH467" i="6"/>
  <c r="AJ467" i="6" s="1"/>
  <c r="AI469" i="6"/>
  <c r="AG481" i="6"/>
  <c r="AH483" i="6"/>
  <c r="AI485" i="6"/>
  <c r="AG497" i="6"/>
  <c r="AH499" i="6"/>
  <c r="AJ499" i="6" s="1"/>
  <c r="AI501" i="6"/>
  <c r="AG513" i="6"/>
  <c r="AH515" i="6"/>
  <c r="AJ515" i="6" s="1"/>
  <c r="AI517" i="6"/>
  <c r="AG529" i="6"/>
  <c r="AH531" i="6"/>
  <c r="AI533" i="6"/>
  <c r="AG545" i="6"/>
  <c r="AH547" i="6"/>
  <c r="AJ547" i="6" s="1"/>
  <c r="AI549" i="6"/>
  <c r="AG561" i="6"/>
  <c r="AH563" i="6"/>
  <c r="AI565" i="6"/>
  <c r="AI348" i="6"/>
  <c r="AG360" i="6"/>
  <c r="AH362" i="6"/>
  <c r="AJ362" i="6" s="1"/>
  <c r="AI364" i="6"/>
  <c r="AG376" i="6"/>
  <c r="AH378" i="6"/>
  <c r="AI380" i="6"/>
  <c r="AG392" i="6"/>
  <c r="AH394" i="6"/>
  <c r="AJ394" i="6" s="1"/>
  <c r="AI396" i="6"/>
  <c r="AG408" i="6"/>
  <c r="AH410" i="6"/>
  <c r="AI412" i="6"/>
  <c r="AG424" i="6"/>
  <c r="AH426" i="6"/>
  <c r="AJ426" i="6" s="1"/>
  <c r="AI428" i="6"/>
  <c r="AG440" i="6"/>
  <c r="AH442" i="6"/>
  <c r="AJ442" i="6" s="1"/>
  <c r="AI444" i="6"/>
  <c r="AG456" i="6"/>
  <c r="AH458" i="6"/>
  <c r="AJ458" i="6" s="1"/>
  <c r="AI460" i="6"/>
  <c r="AG472" i="6"/>
  <c r="AH474" i="6"/>
  <c r="AJ474" i="6" s="1"/>
  <c r="AI476" i="6"/>
  <c r="AG488" i="6"/>
  <c r="AH490" i="6"/>
  <c r="AJ490" i="6" s="1"/>
  <c r="AI492" i="6"/>
  <c r="AG504" i="6"/>
  <c r="AH506" i="6"/>
  <c r="AJ506" i="6" s="1"/>
  <c r="AI508" i="6"/>
  <c r="AG520" i="6"/>
  <c r="AH522" i="6"/>
  <c r="AJ522" i="6" s="1"/>
  <c r="AI524" i="6"/>
  <c r="AG536" i="6"/>
  <c r="AH538" i="6"/>
  <c r="AJ538" i="6" s="1"/>
  <c r="AI540" i="6"/>
  <c r="AG552" i="6"/>
  <c r="AH554" i="6"/>
  <c r="AJ554" i="6" s="1"/>
  <c r="AI556" i="6"/>
  <c r="AG568" i="6"/>
  <c r="AG447" i="6"/>
  <c r="AH449" i="6"/>
  <c r="AJ449" i="6" s="1"/>
  <c r="AI451" i="6"/>
  <c r="AG463" i="6"/>
  <c r="AH465" i="6"/>
  <c r="AJ465" i="6" s="1"/>
  <c r="AI467" i="6"/>
  <c r="AG479" i="6"/>
  <c r="AH481" i="6"/>
  <c r="AJ481" i="6" s="1"/>
  <c r="AI483" i="6"/>
  <c r="AG495" i="6"/>
  <c r="AH497" i="6"/>
  <c r="AJ497" i="6" s="1"/>
  <c r="AI499" i="6"/>
  <c r="AG511" i="6"/>
  <c r="AH513" i="6"/>
  <c r="AJ513" i="6" s="1"/>
  <c r="AI515" i="6"/>
  <c r="AG527" i="6"/>
  <c r="AH529" i="6"/>
  <c r="AJ529" i="6" s="1"/>
  <c r="AI531" i="6"/>
  <c r="AG543" i="6"/>
  <c r="AH545" i="6"/>
  <c r="AJ545" i="6" s="1"/>
  <c r="AI547" i="6"/>
  <c r="AG559" i="6"/>
  <c r="AH561" i="6"/>
  <c r="AI563" i="6"/>
  <c r="AG470" i="6"/>
  <c r="AH472" i="6"/>
  <c r="AJ472" i="6" s="1"/>
  <c r="AI474" i="6"/>
  <c r="AG486" i="6"/>
  <c r="AH488" i="6"/>
  <c r="AI490" i="6"/>
  <c r="AG502" i="6"/>
  <c r="AH504" i="6"/>
  <c r="AJ504" i="6" s="1"/>
  <c r="AI506" i="6"/>
  <c r="AG518" i="6"/>
  <c r="AH520" i="6"/>
  <c r="AJ520" i="6" s="1"/>
  <c r="AI522" i="6"/>
  <c r="AG534" i="6"/>
  <c r="AH536" i="6"/>
  <c r="AI538" i="6"/>
  <c r="AG550" i="6"/>
  <c r="AH552" i="6"/>
  <c r="AJ552" i="6" s="1"/>
  <c r="AI554" i="6"/>
  <c r="AG566" i="6"/>
  <c r="AH568" i="6"/>
  <c r="AJ568" i="6" s="1"/>
  <c r="AG445" i="6"/>
  <c r="AH447" i="6"/>
  <c r="AI449" i="6"/>
  <c r="AG461" i="6"/>
  <c r="AH463" i="6"/>
  <c r="AJ463" i="6" s="1"/>
  <c r="AI465" i="6"/>
  <c r="AG477" i="6"/>
  <c r="AH479" i="6"/>
  <c r="AJ479" i="6" s="1"/>
  <c r="AI481" i="6"/>
  <c r="AG493" i="6"/>
  <c r="AH495" i="6"/>
  <c r="AI497" i="6"/>
  <c r="AG509" i="6"/>
  <c r="AH511" i="6"/>
  <c r="AJ511" i="6" s="1"/>
  <c r="AI513" i="6"/>
  <c r="AG525" i="6"/>
  <c r="AH527" i="6"/>
  <c r="AJ527" i="6" s="1"/>
  <c r="AI529" i="6"/>
  <c r="AG541" i="6"/>
  <c r="AH543" i="6"/>
  <c r="AI545" i="6"/>
  <c r="AG557" i="6"/>
  <c r="AH559" i="6"/>
  <c r="AJ559" i="6" s="1"/>
  <c r="AI561" i="6"/>
  <c r="AH534" i="6"/>
  <c r="AJ534" i="6" s="1"/>
  <c r="AI536" i="6"/>
  <c r="AG548" i="6"/>
  <c r="AH550" i="6"/>
  <c r="AJ550" i="6" s="1"/>
  <c r="AI552" i="6"/>
  <c r="AG564" i="6"/>
  <c r="AH566" i="6"/>
  <c r="AJ566" i="6" s="1"/>
  <c r="AI568" i="6"/>
  <c r="AH429" i="6"/>
  <c r="AJ429" i="6" s="1"/>
  <c r="AI431" i="6"/>
  <c r="AG443" i="6"/>
  <c r="AH445" i="6"/>
  <c r="AJ445" i="6" s="1"/>
  <c r="AI447" i="6"/>
  <c r="AG459" i="6"/>
  <c r="AH461" i="6"/>
  <c r="AJ461" i="6" s="1"/>
  <c r="AI463" i="6"/>
  <c r="AG475" i="6"/>
  <c r="AH477" i="6"/>
  <c r="AI479" i="6"/>
  <c r="AG491" i="6"/>
  <c r="AH493" i="6"/>
  <c r="AJ493" i="6" s="1"/>
  <c r="AI495" i="6"/>
  <c r="AG507" i="6"/>
  <c r="AH509" i="6"/>
  <c r="AI511" i="6"/>
  <c r="AG523" i="6"/>
  <c r="AH525" i="6"/>
  <c r="AI527" i="6"/>
  <c r="AG539" i="6"/>
  <c r="AH541" i="6"/>
  <c r="AJ541" i="6" s="1"/>
  <c r="AI543" i="6"/>
  <c r="AG555" i="6"/>
  <c r="AH557" i="6"/>
  <c r="AJ557" i="6" s="1"/>
  <c r="AI559" i="6"/>
  <c r="AI358" i="6"/>
  <c r="AG370" i="6"/>
  <c r="AH372" i="6"/>
  <c r="AJ372" i="6" s="1"/>
  <c r="AI374" i="6"/>
  <c r="AG386" i="6"/>
  <c r="AH388" i="6"/>
  <c r="AI390" i="6"/>
  <c r="AG402" i="6"/>
  <c r="AH404" i="6"/>
  <c r="AJ404" i="6" s="1"/>
  <c r="AI406" i="6"/>
  <c r="AG418" i="6"/>
  <c r="AH420" i="6"/>
  <c r="AJ420" i="6" s="1"/>
  <c r="AI422" i="6"/>
  <c r="AG434" i="6"/>
  <c r="AH436" i="6"/>
  <c r="AJ436" i="6" s="1"/>
  <c r="AI438" i="6"/>
  <c r="AG450" i="6"/>
  <c r="AH452" i="6"/>
  <c r="AJ452" i="6" s="1"/>
  <c r="AI454" i="6"/>
  <c r="AG466" i="6"/>
  <c r="AH468" i="6"/>
  <c r="AJ468" i="6" s="1"/>
  <c r="AI470" i="6"/>
  <c r="AG482" i="6"/>
  <c r="AH484" i="6"/>
  <c r="AJ484" i="6" s="1"/>
  <c r="AI486" i="6"/>
  <c r="AG498" i="6"/>
  <c r="AH500" i="6"/>
  <c r="AJ500" i="6" s="1"/>
  <c r="AI502" i="6"/>
  <c r="AG514" i="6"/>
  <c r="AH516" i="6"/>
  <c r="AJ516" i="6" s="1"/>
  <c r="AI518" i="6"/>
  <c r="AG530" i="6"/>
  <c r="AH532" i="6"/>
  <c r="AJ532" i="6" s="1"/>
  <c r="AI534" i="6"/>
  <c r="AG546" i="6"/>
  <c r="AH548" i="6"/>
  <c r="AJ548" i="6" s="1"/>
  <c r="AI550" i="6"/>
  <c r="AG562" i="6"/>
  <c r="AH564" i="6"/>
  <c r="AI566" i="6"/>
  <c r="BS95" i="6" l="1"/>
  <c r="BI95" i="6"/>
  <c r="BI498" i="6"/>
  <c r="BS498" i="6"/>
  <c r="BG445" i="6"/>
  <c r="BQ445" i="6"/>
  <c r="BS461" i="6"/>
  <c r="BI461" i="6"/>
  <c r="BQ504" i="6"/>
  <c r="BG504" i="6"/>
  <c r="BS527" i="6"/>
  <c r="BI527" i="6"/>
  <c r="BS568" i="6"/>
  <c r="BI568" i="6"/>
  <c r="BG394" i="6"/>
  <c r="BQ394" i="6"/>
  <c r="BS449" i="6"/>
  <c r="BI449" i="6"/>
  <c r="BI515" i="6"/>
  <c r="BS515" i="6"/>
  <c r="BS469" i="6"/>
  <c r="BI469" i="6"/>
  <c r="BS503" i="6"/>
  <c r="BI503" i="6"/>
  <c r="BS448" i="6"/>
  <c r="BI448" i="6"/>
  <c r="BS407" i="6"/>
  <c r="BI407" i="6"/>
  <c r="BS299" i="6"/>
  <c r="BI299" i="6"/>
  <c r="BS473" i="6"/>
  <c r="BI473" i="6"/>
  <c r="BQ352" i="6"/>
  <c r="BG352" i="6"/>
  <c r="BQ271" i="6"/>
  <c r="BG271" i="6"/>
  <c r="BS423" i="6"/>
  <c r="BI423" i="6"/>
  <c r="BS326" i="6"/>
  <c r="BI326" i="6"/>
  <c r="BI406" i="6"/>
  <c r="BS406" i="6"/>
  <c r="BQ316" i="6"/>
  <c r="BG316" i="6"/>
  <c r="BG425" i="6"/>
  <c r="BQ425" i="6"/>
  <c r="BS323" i="6"/>
  <c r="BI323" i="6"/>
  <c r="BQ334" i="6"/>
  <c r="BG334" i="6"/>
  <c r="BG353" i="6"/>
  <c r="BQ353" i="6"/>
  <c r="BI506" i="6"/>
  <c r="BS506" i="6"/>
  <c r="BQ345" i="6"/>
  <c r="BG345" i="6"/>
  <c r="BQ154" i="6"/>
  <c r="BG154" i="6"/>
  <c r="BS161" i="6"/>
  <c r="BI161" i="6"/>
  <c r="BS358" i="6"/>
  <c r="BI358" i="6"/>
  <c r="BQ204" i="6"/>
  <c r="BG204" i="6"/>
  <c r="BS345" i="6"/>
  <c r="BI345" i="6"/>
  <c r="BS234" i="6"/>
  <c r="BI234" i="6"/>
  <c r="BS229" i="6"/>
  <c r="BI229" i="6"/>
  <c r="BS350" i="6"/>
  <c r="BI350" i="6"/>
  <c r="BS266" i="6"/>
  <c r="BI266" i="6"/>
  <c r="BS248" i="6"/>
  <c r="BI248" i="6"/>
  <c r="BS196" i="6"/>
  <c r="BI196" i="6"/>
  <c r="BS117" i="6"/>
  <c r="BI117" i="6"/>
  <c r="BG29" i="6"/>
  <c r="BQ29" i="6"/>
  <c r="BS142" i="6"/>
  <c r="BI142" i="6"/>
  <c r="BI45" i="6"/>
  <c r="BS45" i="6"/>
  <c r="BS26" i="6"/>
  <c r="BI26" i="6"/>
  <c r="BI338" i="6"/>
  <c r="BS338" i="6"/>
  <c r="BS94" i="6"/>
  <c r="BI94" i="6"/>
  <c r="BS72" i="6"/>
  <c r="BI72" i="6"/>
  <c r="BS207" i="6"/>
  <c r="BI207" i="6"/>
  <c r="BS91" i="6"/>
  <c r="BI91" i="6"/>
  <c r="BS140" i="6"/>
  <c r="BI140" i="6"/>
  <c r="BS213" i="6"/>
  <c r="BI213" i="6"/>
  <c r="BS106" i="6"/>
  <c r="BI106" i="6"/>
  <c r="BG500" i="6"/>
  <c r="BQ500" i="6"/>
  <c r="BG366" i="6"/>
  <c r="BQ366" i="6"/>
  <c r="BG350" i="6"/>
  <c r="BQ350" i="6"/>
  <c r="BQ150" i="6"/>
  <c r="BG150" i="6"/>
  <c r="BS139" i="6"/>
  <c r="BI139" i="6"/>
  <c r="BG404" i="6"/>
  <c r="BQ404" i="6"/>
  <c r="AJ525" i="6"/>
  <c r="BS443" i="6"/>
  <c r="BI443" i="6"/>
  <c r="BS541" i="6"/>
  <c r="BI541" i="6"/>
  <c r="BS502" i="6"/>
  <c r="BI502" i="6"/>
  <c r="BG474" i="6"/>
  <c r="BQ474" i="6"/>
  <c r="BS392" i="6"/>
  <c r="BI392" i="6"/>
  <c r="BS529" i="6"/>
  <c r="BI529" i="6"/>
  <c r="BQ556" i="6"/>
  <c r="BG556" i="6"/>
  <c r="BQ558" i="6"/>
  <c r="BG558" i="6"/>
  <c r="BI549" i="6"/>
  <c r="BS549" i="6"/>
  <c r="BI528" i="6"/>
  <c r="BS528" i="6"/>
  <c r="BQ400" i="6"/>
  <c r="BG400" i="6"/>
  <c r="BS454" i="6"/>
  <c r="BI454" i="6"/>
  <c r="BS347" i="6"/>
  <c r="BI347" i="6"/>
  <c r="BS269" i="6"/>
  <c r="BI269" i="6"/>
  <c r="BS426" i="6"/>
  <c r="BI426" i="6"/>
  <c r="BQ321" i="6"/>
  <c r="BG321" i="6"/>
  <c r="BQ298" i="6"/>
  <c r="BG298" i="6"/>
  <c r="BS429" i="6"/>
  <c r="BI429" i="6"/>
  <c r="BS436" i="6"/>
  <c r="BI436" i="6"/>
  <c r="BS314" i="6"/>
  <c r="BI314" i="6"/>
  <c r="BS422" i="6"/>
  <c r="BI422" i="6"/>
  <c r="BQ439" i="6"/>
  <c r="BG439" i="6"/>
  <c r="BS332" i="6"/>
  <c r="BI332" i="6"/>
  <c r="BS516" i="6"/>
  <c r="BI516" i="6"/>
  <c r="BS364" i="6"/>
  <c r="BI364" i="6"/>
  <c r="BI240" i="6"/>
  <c r="BS240" i="6"/>
  <c r="BS152" i="6"/>
  <c r="BI152" i="6"/>
  <c r="BS245" i="6"/>
  <c r="BI245" i="6"/>
  <c r="BS202" i="6"/>
  <c r="BI202" i="6"/>
  <c r="BS261" i="6"/>
  <c r="BI261" i="6"/>
  <c r="BQ169" i="6"/>
  <c r="BG169" i="6"/>
  <c r="BS144" i="6"/>
  <c r="BI144" i="6"/>
  <c r="BS249" i="6"/>
  <c r="BI249" i="6"/>
  <c r="BQ324" i="6"/>
  <c r="BG324" i="6"/>
  <c r="BG196" i="6"/>
  <c r="BQ196" i="6"/>
  <c r="BG205" i="6"/>
  <c r="BQ205" i="6"/>
  <c r="BS260" i="6"/>
  <c r="BI260" i="6"/>
  <c r="BQ207" i="6"/>
  <c r="BG207" i="6"/>
  <c r="BS150" i="6"/>
  <c r="BI150" i="6"/>
  <c r="BG84" i="6"/>
  <c r="BQ84" i="6"/>
  <c r="BS128" i="6"/>
  <c r="BI128" i="6"/>
  <c r="BS59" i="6"/>
  <c r="BI59" i="6"/>
  <c r="BQ122" i="6"/>
  <c r="BG122" i="6"/>
  <c r="BS125" i="6"/>
  <c r="BI125" i="6"/>
  <c r="BS105" i="6"/>
  <c r="BI105" i="6"/>
  <c r="BG91" i="6"/>
  <c r="BQ91" i="6"/>
  <c r="BS81" i="6"/>
  <c r="BI81" i="6"/>
  <c r="BS51" i="6"/>
  <c r="BI51" i="6"/>
  <c r="BS156" i="6"/>
  <c r="BI156" i="6"/>
  <c r="BS180" i="6"/>
  <c r="BI180" i="6"/>
  <c r="BS62" i="6"/>
  <c r="BI62" i="6"/>
  <c r="BS69" i="6"/>
  <c r="BI69" i="6"/>
  <c r="BS123" i="6"/>
  <c r="BI123" i="6"/>
  <c r="BS25" i="6"/>
  <c r="BI25" i="6"/>
  <c r="BQ325" i="6"/>
  <c r="BG325" i="6"/>
  <c r="BS183" i="6"/>
  <c r="BI183" i="6"/>
  <c r="BQ484" i="6"/>
  <c r="BG484" i="6"/>
  <c r="BS402" i="6"/>
  <c r="BI402" i="6"/>
  <c r="BS523" i="6"/>
  <c r="BI523" i="6"/>
  <c r="AJ447" i="6"/>
  <c r="BQ513" i="6"/>
  <c r="BG513" i="6"/>
  <c r="BQ554" i="6"/>
  <c r="BG554" i="6"/>
  <c r="BS472" i="6"/>
  <c r="BI472" i="6"/>
  <c r="BS554" i="6"/>
  <c r="BI554" i="6"/>
  <c r="BQ501" i="6"/>
  <c r="BG501" i="6"/>
  <c r="BS419" i="6"/>
  <c r="BI419" i="6"/>
  <c r="BS556" i="6"/>
  <c r="BI556" i="6"/>
  <c r="BQ455" i="6"/>
  <c r="BG455" i="6"/>
  <c r="BQ489" i="6"/>
  <c r="BG489" i="6"/>
  <c r="BQ285" i="6"/>
  <c r="BG285" i="6"/>
  <c r="BS413" i="6"/>
  <c r="BI413" i="6"/>
  <c r="BS319" i="6"/>
  <c r="BI319" i="6"/>
  <c r="BS296" i="6"/>
  <c r="BI296" i="6"/>
  <c r="BS412" i="6"/>
  <c r="BI412" i="6"/>
  <c r="BI553" i="6"/>
  <c r="BS553" i="6"/>
  <c r="BS380" i="6"/>
  <c r="BI380" i="6"/>
  <c r="BS343" i="6"/>
  <c r="BI343" i="6"/>
  <c r="BS446" i="6"/>
  <c r="BI446" i="6"/>
  <c r="BG338" i="6"/>
  <c r="BQ338" i="6"/>
  <c r="BS489" i="6"/>
  <c r="BI489" i="6"/>
  <c r="BS265" i="6"/>
  <c r="BI265" i="6"/>
  <c r="BQ147" i="6"/>
  <c r="BG147" i="6"/>
  <c r="BS293" i="6"/>
  <c r="BI293" i="6"/>
  <c r="BS505" i="6"/>
  <c r="BI505" i="6"/>
  <c r="BQ224" i="6"/>
  <c r="BG224" i="6"/>
  <c r="BS258" i="6"/>
  <c r="BI258" i="6"/>
  <c r="BS167" i="6"/>
  <c r="BI167" i="6"/>
  <c r="BS224" i="6"/>
  <c r="BI224" i="6"/>
  <c r="BS194" i="6"/>
  <c r="BI194" i="6"/>
  <c r="BS324" i="6"/>
  <c r="BI324" i="6"/>
  <c r="BS203" i="6"/>
  <c r="BI203" i="6"/>
  <c r="BS254" i="6"/>
  <c r="BI254" i="6"/>
  <c r="BS205" i="6"/>
  <c r="BI205" i="6"/>
  <c r="BQ230" i="6"/>
  <c r="BG230" i="6"/>
  <c r="BS179" i="6"/>
  <c r="BI179" i="6"/>
  <c r="BI122" i="6"/>
  <c r="BS122" i="6"/>
  <c r="BI223" i="6"/>
  <c r="BS223" i="6"/>
  <c r="BS230" i="6"/>
  <c r="BI230" i="6"/>
  <c r="BS153" i="6"/>
  <c r="BI153" i="6"/>
  <c r="BS148" i="6"/>
  <c r="BI148" i="6"/>
  <c r="BS126" i="6"/>
  <c r="BI126" i="6"/>
  <c r="BS39" i="6"/>
  <c r="BI39" i="6"/>
  <c r="BS335" i="6"/>
  <c r="BI335" i="6"/>
  <c r="BS219" i="6"/>
  <c r="BI219" i="6"/>
  <c r="BS482" i="6"/>
  <c r="BI482" i="6"/>
  <c r="BQ429" i="6"/>
  <c r="BG429" i="6"/>
  <c r="BG527" i="6"/>
  <c r="BQ527" i="6"/>
  <c r="BS445" i="6"/>
  <c r="BI445" i="6"/>
  <c r="AJ488" i="6"/>
  <c r="BS511" i="6"/>
  <c r="BI511" i="6"/>
  <c r="BI552" i="6"/>
  <c r="BS552" i="6"/>
  <c r="BQ515" i="6"/>
  <c r="BG515" i="6"/>
  <c r="BI433" i="6"/>
  <c r="BS433" i="6"/>
  <c r="BS499" i="6"/>
  <c r="BI499" i="6"/>
  <c r="BQ535" i="6"/>
  <c r="BG535" i="6"/>
  <c r="BS487" i="6"/>
  <c r="BI487" i="6"/>
  <c r="BS432" i="6"/>
  <c r="BI432" i="6"/>
  <c r="BI283" i="6"/>
  <c r="BS283" i="6"/>
  <c r="BQ423" i="6"/>
  <c r="BG423" i="6"/>
  <c r="BQ255" i="6"/>
  <c r="BG255" i="6"/>
  <c r="BI310" i="6"/>
  <c r="BS310" i="6"/>
  <c r="BQ393" i="6"/>
  <c r="BG393" i="6"/>
  <c r="BQ422" i="6"/>
  <c r="BG422" i="6"/>
  <c r="BI393" i="6"/>
  <c r="BS393" i="6"/>
  <c r="BQ300" i="6"/>
  <c r="BG300" i="6"/>
  <c r="BS307" i="6"/>
  <c r="BI307" i="6"/>
  <c r="BS425" i="6"/>
  <c r="BI425" i="6"/>
  <c r="BS526" i="6"/>
  <c r="BI526" i="6"/>
  <c r="BS368" i="6"/>
  <c r="BI368" i="6"/>
  <c r="BI442" i="6"/>
  <c r="BS442" i="6"/>
  <c r="BS336" i="6"/>
  <c r="BI336" i="6"/>
  <c r="BS474" i="6"/>
  <c r="BI474" i="6"/>
  <c r="BG227" i="6"/>
  <c r="BQ227" i="6"/>
  <c r="BS145" i="6"/>
  <c r="BI145" i="6"/>
  <c r="BQ188" i="6"/>
  <c r="BG188" i="6"/>
  <c r="BS344" i="6"/>
  <c r="BI344" i="6"/>
  <c r="BI222" i="6"/>
  <c r="BS222" i="6"/>
  <c r="BQ249" i="6"/>
  <c r="BG249" i="6"/>
  <c r="BI490" i="6"/>
  <c r="BS490" i="6"/>
  <c r="BQ302" i="6"/>
  <c r="BG302" i="6"/>
  <c r="BS302" i="6"/>
  <c r="BI302" i="6"/>
  <c r="BI349" i="6"/>
  <c r="BS349" i="6"/>
  <c r="BQ136" i="6"/>
  <c r="BG136" i="6"/>
  <c r="BS43" i="6"/>
  <c r="BI43" i="6"/>
  <c r="BI111" i="6"/>
  <c r="BS111" i="6"/>
  <c r="BS29" i="6"/>
  <c r="BI29" i="6"/>
  <c r="BS84" i="6"/>
  <c r="BI84" i="6"/>
  <c r="BG81" i="6"/>
  <c r="BQ81" i="6"/>
  <c r="BI149" i="6"/>
  <c r="BS149" i="6"/>
  <c r="BS56" i="6"/>
  <c r="BI56" i="6"/>
  <c r="BS28" i="6"/>
  <c r="BI28" i="6"/>
  <c r="BS121" i="6"/>
  <c r="BI121" i="6"/>
  <c r="BG37" i="6"/>
  <c r="BQ37" i="6"/>
  <c r="BI136" i="6"/>
  <c r="BS136" i="6"/>
  <c r="BS172" i="6"/>
  <c r="BI172" i="6"/>
  <c r="BS37" i="6"/>
  <c r="BI37" i="6"/>
  <c r="BG529" i="6"/>
  <c r="BQ529" i="6"/>
  <c r="BS562" i="6"/>
  <c r="BI562" i="6"/>
  <c r="BS525" i="6"/>
  <c r="BI525" i="6"/>
  <c r="BQ568" i="6"/>
  <c r="BG568" i="6"/>
  <c r="BS486" i="6"/>
  <c r="BI486" i="6"/>
  <c r="BG458" i="6"/>
  <c r="BQ458" i="6"/>
  <c r="BI376" i="6"/>
  <c r="BS376" i="6"/>
  <c r="BS513" i="6"/>
  <c r="BI513" i="6"/>
  <c r="BG405" i="6"/>
  <c r="BQ405" i="6"/>
  <c r="BQ542" i="6"/>
  <c r="BG542" i="6"/>
  <c r="BS533" i="6"/>
  <c r="BI533" i="6"/>
  <c r="BS567" i="6"/>
  <c r="BI567" i="6"/>
  <c r="BS512" i="6"/>
  <c r="BI512" i="6"/>
  <c r="BS382" i="6"/>
  <c r="BI382" i="6"/>
  <c r="BS420" i="6"/>
  <c r="BI420" i="6"/>
  <c r="BI253" i="6"/>
  <c r="BS253" i="6"/>
  <c r="BQ406" i="6"/>
  <c r="BG406" i="6"/>
  <c r="BQ305" i="6"/>
  <c r="BG305" i="6"/>
  <c r="BG390" i="6"/>
  <c r="BQ390" i="6"/>
  <c r="BS390" i="6"/>
  <c r="BI390" i="6"/>
  <c r="BS298" i="6"/>
  <c r="BI298" i="6"/>
  <c r="BS405" i="6"/>
  <c r="BI405" i="6"/>
  <c r="BS365" i="6"/>
  <c r="BI365" i="6"/>
  <c r="BS468" i="6"/>
  <c r="BI468" i="6"/>
  <c r="BS455" i="6"/>
  <c r="BI455" i="6"/>
  <c r="BQ218" i="6"/>
  <c r="BG218" i="6"/>
  <c r="BS462" i="6"/>
  <c r="BI462" i="6"/>
  <c r="BS225" i="6"/>
  <c r="BI225" i="6"/>
  <c r="BI306" i="6"/>
  <c r="BS306" i="6"/>
  <c r="BS186" i="6"/>
  <c r="BI186" i="6"/>
  <c r="BS271" i="6"/>
  <c r="BI271" i="6"/>
  <c r="BS334" i="6"/>
  <c r="BI334" i="6"/>
  <c r="BI244" i="6"/>
  <c r="BS244" i="6"/>
  <c r="BG153" i="6"/>
  <c r="BQ153" i="6"/>
  <c r="BS241" i="6"/>
  <c r="BI241" i="6"/>
  <c r="BS286" i="6"/>
  <c r="BI286" i="6"/>
  <c r="BQ180" i="6"/>
  <c r="BG180" i="6"/>
  <c r="BQ191" i="6"/>
  <c r="BG191" i="6"/>
  <c r="BS134" i="6"/>
  <c r="BI134" i="6"/>
  <c r="BS171" i="6"/>
  <c r="BI171" i="6"/>
  <c r="BS87" i="6"/>
  <c r="BI87" i="6"/>
  <c r="BS52" i="6"/>
  <c r="BI52" i="6"/>
  <c r="BS114" i="6"/>
  <c r="BI114" i="6"/>
  <c r="BS108" i="6"/>
  <c r="BI108" i="6"/>
  <c r="BQ56" i="6"/>
  <c r="BG56" i="6"/>
  <c r="BS79" i="6"/>
  <c r="BI79" i="6"/>
  <c r="BS141" i="6"/>
  <c r="BI141" i="6"/>
  <c r="BS169" i="6"/>
  <c r="BI169" i="6"/>
  <c r="BS65" i="6"/>
  <c r="BI65" i="6"/>
  <c r="BS35" i="6"/>
  <c r="BI35" i="6"/>
  <c r="BS104" i="6"/>
  <c r="BI104" i="6"/>
  <c r="BI164" i="6"/>
  <c r="BS164" i="6"/>
  <c r="BS46" i="6"/>
  <c r="BI46" i="6"/>
  <c r="BG25" i="6"/>
  <c r="BQ25" i="6"/>
  <c r="BS155" i="6"/>
  <c r="BI155" i="6"/>
  <c r="BS281" i="6"/>
  <c r="BI281" i="6"/>
  <c r="BG468" i="6"/>
  <c r="BQ468" i="6"/>
  <c r="BS386" i="6"/>
  <c r="BI386" i="6"/>
  <c r="BS507" i="6"/>
  <c r="BI507" i="6"/>
  <c r="BQ566" i="6"/>
  <c r="BG566" i="6"/>
  <c r="BS566" i="6"/>
  <c r="BI566" i="6"/>
  <c r="BQ497" i="6"/>
  <c r="BG497" i="6"/>
  <c r="BQ538" i="6"/>
  <c r="BG538" i="6"/>
  <c r="BS456" i="6"/>
  <c r="BI456" i="6"/>
  <c r="BQ419" i="6"/>
  <c r="BG419" i="6"/>
  <c r="BG485" i="6"/>
  <c r="BQ485" i="6"/>
  <c r="BS403" i="6"/>
  <c r="BI403" i="6"/>
  <c r="BI540" i="6"/>
  <c r="BS540" i="6"/>
  <c r="BQ473" i="6"/>
  <c r="BG473" i="6"/>
  <c r="AJ418" i="6"/>
  <c r="BS379" i="6"/>
  <c r="BI379" i="6"/>
  <c r="BQ269" i="6"/>
  <c r="BG269" i="6"/>
  <c r="AJ459" i="6"/>
  <c r="BS333" i="6"/>
  <c r="BI333" i="6"/>
  <c r="BG384" i="6"/>
  <c r="BQ384" i="6"/>
  <c r="BS303" i="6"/>
  <c r="BI303" i="6"/>
  <c r="BI378" i="6"/>
  <c r="BS378" i="6"/>
  <c r="BS280" i="6"/>
  <c r="BI280" i="6"/>
  <c r="BG412" i="6"/>
  <c r="BQ412" i="6"/>
  <c r="BI399" i="6"/>
  <c r="BS399" i="6"/>
  <c r="BQ293" i="6"/>
  <c r="BG293" i="6"/>
  <c r="BS476" i="6"/>
  <c r="BI476" i="6"/>
  <c r="BS327" i="6"/>
  <c r="BI327" i="6"/>
  <c r="BQ322" i="6"/>
  <c r="BG322" i="6"/>
  <c r="AJ331" i="6"/>
  <c r="BS216" i="6"/>
  <c r="BI216" i="6"/>
  <c r="BS377" i="6"/>
  <c r="BI377" i="6"/>
  <c r="BQ131" i="6"/>
  <c r="BG131" i="6"/>
  <c r="AJ288" i="6"/>
  <c r="AJ326" i="6"/>
  <c r="BQ241" i="6"/>
  <c r="BG241" i="6"/>
  <c r="BS151" i="6"/>
  <c r="BI151" i="6"/>
  <c r="AJ342" i="6"/>
  <c r="BS208" i="6"/>
  <c r="BI208" i="6"/>
  <c r="BS231" i="6"/>
  <c r="BI231" i="6"/>
  <c r="BI273" i="6"/>
  <c r="BS273" i="6"/>
  <c r="BS178" i="6"/>
  <c r="BI178" i="6"/>
  <c r="BQ263" i="6"/>
  <c r="BG263" i="6"/>
  <c r="BS187" i="6"/>
  <c r="BI187" i="6"/>
  <c r="BQ308" i="6"/>
  <c r="BG308" i="6"/>
  <c r="BS189" i="6"/>
  <c r="BI189" i="6"/>
  <c r="BS214" i="6"/>
  <c r="BI214" i="6"/>
  <c r="BS159" i="6"/>
  <c r="BI159" i="6"/>
  <c r="BS36" i="6"/>
  <c r="BI36" i="6"/>
  <c r="BQ111" i="6"/>
  <c r="BG111" i="6"/>
  <c r="BS27" i="6"/>
  <c r="BI27" i="6"/>
  <c r="BS97" i="6"/>
  <c r="BI97" i="6"/>
  <c r="BS130" i="6"/>
  <c r="BI130" i="6"/>
  <c r="BQ42" i="6"/>
  <c r="BG42" i="6"/>
  <c r="BS165" i="6"/>
  <c r="BI165" i="6"/>
  <c r="AJ129" i="6"/>
  <c r="AJ98" i="6"/>
  <c r="AJ139" i="6"/>
  <c r="AJ95" i="6"/>
  <c r="AJ248" i="6"/>
  <c r="BI109" i="6"/>
  <c r="BS109" i="6"/>
  <c r="BS53" i="6"/>
  <c r="BI53" i="6"/>
  <c r="AJ100" i="6"/>
  <c r="BS488" i="6"/>
  <c r="BI488" i="6"/>
  <c r="BG328" i="6"/>
  <c r="BQ328" i="6"/>
  <c r="BG45" i="6"/>
  <c r="BQ45" i="6"/>
  <c r="BI220" i="6"/>
  <c r="BS220" i="6"/>
  <c r="BS143" i="6"/>
  <c r="BI143" i="6"/>
  <c r="BG548" i="6"/>
  <c r="BQ548" i="6"/>
  <c r="BI466" i="6"/>
  <c r="BS466" i="6"/>
  <c r="BS564" i="6"/>
  <c r="BI564" i="6"/>
  <c r="BG511" i="6"/>
  <c r="BQ511" i="6"/>
  <c r="BQ472" i="6"/>
  <c r="BG472" i="6"/>
  <c r="BS495" i="6"/>
  <c r="BI495" i="6"/>
  <c r="BS536" i="6"/>
  <c r="BI536" i="6"/>
  <c r="BG362" i="6"/>
  <c r="BQ362" i="6"/>
  <c r="BG499" i="6"/>
  <c r="BQ499" i="6"/>
  <c r="BS417" i="6"/>
  <c r="BI417" i="6"/>
  <c r="BQ565" i="6"/>
  <c r="BG565" i="6"/>
  <c r="BS483" i="6"/>
  <c r="BI483" i="6"/>
  <c r="BG519" i="6"/>
  <c r="BQ519" i="6"/>
  <c r="BQ553" i="6"/>
  <c r="BG553" i="6"/>
  <c r="BS471" i="6"/>
  <c r="BI471" i="6"/>
  <c r="AJ498" i="6"/>
  <c r="BS416" i="6"/>
  <c r="BI416" i="6"/>
  <c r="BS367" i="6"/>
  <c r="BI367" i="6"/>
  <c r="BS267" i="6"/>
  <c r="BI267" i="6"/>
  <c r="BQ413" i="6"/>
  <c r="BG413" i="6"/>
  <c r="BS441" i="6"/>
  <c r="BI441" i="6"/>
  <c r="AJ239" i="6"/>
  <c r="BQ381" i="6"/>
  <c r="BG381" i="6"/>
  <c r="BS375" i="6"/>
  <c r="BI375" i="6"/>
  <c r="BS409" i="6"/>
  <c r="BI409" i="6"/>
  <c r="BQ284" i="6"/>
  <c r="BG284" i="6"/>
  <c r="BS291" i="6"/>
  <c r="BI291" i="6"/>
  <c r="BQ462" i="6"/>
  <c r="BG462" i="6"/>
  <c r="BI351" i="6"/>
  <c r="BS351" i="6"/>
  <c r="BG431" i="6"/>
  <c r="BQ431" i="6"/>
  <c r="BS320" i="6"/>
  <c r="BI320" i="6"/>
  <c r="BS431" i="6"/>
  <c r="BI431" i="6"/>
  <c r="BS329" i="6"/>
  <c r="BI329" i="6"/>
  <c r="BS337" i="6"/>
  <c r="BI337" i="6"/>
  <c r="BG211" i="6"/>
  <c r="BQ211" i="6"/>
  <c r="BS129" i="6"/>
  <c r="BI129" i="6"/>
  <c r="BI268" i="6"/>
  <c r="BS268" i="6"/>
  <c r="BQ172" i="6"/>
  <c r="BG172" i="6"/>
  <c r="BG247" i="6"/>
  <c r="BQ247" i="6"/>
  <c r="AJ304" i="6"/>
  <c r="BS206" i="6"/>
  <c r="BI206" i="6"/>
  <c r="BS318" i="6"/>
  <c r="BI318" i="6"/>
  <c r="BS389" i="6"/>
  <c r="BI389" i="6"/>
  <c r="BG260" i="6"/>
  <c r="BQ260" i="6"/>
  <c r="BS438" i="6"/>
  <c r="BI438" i="6"/>
  <c r="BG108" i="6"/>
  <c r="BQ108" i="6"/>
  <c r="BS68" i="6"/>
  <c r="BI68" i="6"/>
  <c r="BQ94" i="6"/>
  <c r="BG94" i="6"/>
  <c r="BS38" i="6"/>
  <c r="BI38" i="6"/>
  <c r="BS174" i="6"/>
  <c r="BI174" i="6"/>
  <c r="BQ72" i="6"/>
  <c r="BG72" i="6"/>
  <c r="BG65" i="6"/>
  <c r="BQ65" i="6"/>
  <c r="BG127" i="6"/>
  <c r="BQ127" i="6"/>
  <c r="BS40" i="6"/>
  <c r="BI40" i="6"/>
  <c r="BS157" i="6"/>
  <c r="BI157" i="6"/>
  <c r="BG51" i="6"/>
  <c r="BQ51" i="6"/>
  <c r="BS107" i="6"/>
  <c r="BI107" i="6"/>
  <c r="BS83" i="6"/>
  <c r="BI83" i="6"/>
  <c r="BQ123" i="6"/>
  <c r="BG123" i="6"/>
  <c r="BQ32" i="6"/>
  <c r="BG32" i="6"/>
  <c r="BS235" i="6"/>
  <c r="BI235" i="6"/>
  <c r="BQ85" i="6"/>
  <c r="BG85" i="6"/>
  <c r="BI539" i="6"/>
  <c r="BS539" i="6"/>
  <c r="BG505" i="6"/>
  <c r="BQ505" i="6"/>
  <c r="BS309" i="6"/>
  <c r="BI309" i="6"/>
  <c r="BS239" i="6"/>
  <c r="BI239" i="6"/>
  <c r="BS546" i="6"/>
  <c r="BI546" i="6"/>
  <c r="BQ372" i="6"/>
  <c r="BG372" i="6"/>
  <c r="BQ493" i="6"/>
  <c r="BG493" i="6"/>
  <c r="BS509" i="6"/>
  <c r="BI509" i="6"/>
  <c r="BQ552" i="6"/>
  <c r="BG552" i="6"/>
  <c r="BI470" i="6"/>
  <c r="BS470" i="6"/>
  <c r="BG442" i="6"/>
  <c r="BQ442" i="6"/>
  <c r="BS360" i="6"/>
  <c r="BI360" i="6"/>
  <c r="BS497" i="6"/>
  <c r="BI497" i="6"/>
  <c r="BS563" i="6"/>
  <c r="BI563" i="6"/>
  <c r="BG389" i="6"/>
  <c r="BQ389" i="6"/>
  <c r="BQ526" i="6"/>
  <c r="BG526" i="6"/>
  <c r="BI517" i="6"/>
  <c r="BS517" i="6"/>
  <c r="BI551" i="6"/>
  <c r="BS551" i="6"/>
  <c r="BS496" i="6"/>
  <c r="BI496" i="6"/>
  <c r="BQ347" i="6"/>
  <c r="BG347" i="6"/>
  <c r="BS410" i="6"/>
  <c r="BI410" i="6"/>
  <c r="BQ319" i="6"/>
  <c r="BG319" i="6"/>
  <c r="BS237" i="6"/>
  <c r="BI237" i="6"/>
  <c r="AJ502" i="6"/>
  <c r="AJ369" i="6"/>
  <c r="BG289" i="6"/>
  <c r="BQ289" i="6"/>
  <c r="BS372" i="6"/>
  <c r="BI372" i="6"/>
  <c r="BQ266" i="6"/>
  <c r="BG266" i="6"/>
  <c r="BS282" i="6"/>
  <c r="BI282" i="6"/>
  <c r="BQ348" i="6"/>
  <c r="BG348" i="6"/>
  <c r="BS421" i="6"/>
  <c r="BI421" i="6"/>
  <c r="BG313" i="6"/>
  <c r="BQ313" i="6"/>
  <c r="BQ427" i="6"/>
  <c r="BG427" i="6"/>
  <c r="BG202" i="6"/>
  <c r="BQ202" i="6"/>
  <c r="BS209" i="6"/>
  <c r="BI209" i="6"/>
  <c r="BS256" i="6"/>
  <c r="BI256" i="6"/>
  <c r="BS170" i="6"/>
  <c r="BI170" i="6"/>
  <c r="BQ234" i="6"/>
  <c r="BG234" i="6"/>
  <c r="BG292" i="6"/>
  <c r="BQ292" i="6"/>
  <c r="BS292" i="6"/>
  <c r="BI292" i="6"/>
  <c r="BG137" i="6"/>
  <c r="BQ137" i="6"/>
  <c r="BQ194" i="6"/>
  <c r="BG194" i="6"/>
  <c r="BQ257" i="6"/>
  <c r="BG257" i="6"/>
  <c r="BQ164" i="6"/>
  <c r="BG164" i="6"/>
  <c r="BI257" i="6"/>
  <c r="BS257" i="6"/>
  <c r="BS276" i="6"/>
  <c r="BI276" i="6"/>
  <c r="BS348" i="6"/>
  <c r="BI348" i="6"/>
  <c r="AJ200" i="6"/>
  <c r="BS118" i="6"/>
  <c r="BI118" i="6"/>
  <c r="BS120" i="6"/>
  <c r="BI120" i="6"/>
  <c r="AJ68" i="6"/>
  <c r="BQ54" i="6"/>
  <c r="BG54" i="6"/>
  <c r="BS89" i="6"/>
  <c r="BI89" i="6"/>
  <c r="BI70" i="6"/>
  <c r="BS70" i="6"/>
  <c r="BS47" i="6"/>
  <c r="BI47" i="6"/>
  <c r="BQ124" i="6"/>
  <c r="BG124" i="6"/>
  <c r="BS49" i="6"/>
  <c r="BI49" i="6"/>
  <c r="BS96" i="6"/>
  <c r="BI96" i="6"/>
  <c r="BQ101" i="6"/>
  <c r="BG101" i="6"/>
  <c r="BG62" i="6"/>
  <c r="BQ62" i="6"/>
  <c r="BS90" i="6"/>
  <c r="BI90" i="6"/>
  <c r="BS211" i="6"/>
  <c r="BI211" i="6"/>
  <c r="BS57" i="6"/>
  <c r="BI57" i="6"/>
  <c r="BQ463" i="6"/>
  <c r="BG463" i="6"/>
  <c r="BG452" i="6"/>
  <c r="BQ452" i="6"/>
  <c r="BS370" i="6"/>
  <c r="BI370" i="6"/>
  <c r="BS491" i="6"/>
  <c r="BI491" i="6"/>
  <c r="BQ550" i="6"/>
  <c r="BG550" i="6"/>
  <c r="BI550" i="6"/>
  <c r="BS550" i="6"/>
  <c r="BQ481" i="6"/>
  <c r="BG481" i="6"/>
  <c r="BG522" i="6"/>
  <c r="BQ522" i="6"/>
  <c r="BS440" i="6"/>
  <c r="BI440" i="6"/>
  <c r="BG469" i="6"/>
  <c r="BQ469" i="6"/>
  <c r="BS387" i="6"/>
  <c r="BI387" i="6"/>
  <c r="BS524" i="6"/>
  <c r="BI524" i="6"/>
  <c r="BG457" i="6"/>
  <c r="BQ457" i="6"/>
  <c r="BQ253" i="6"/>
  <c r="BG253" i="6"/>
  <c r="BS430" i="6"/>
  <c r="BI430" i="6"/>
  <c r="BS317" i="6"/>
  <c r="BI317" i="6"/>
  <c r="BS366" i="6"/>
  <c r="BI366" i="6"/>
  <c r="BS558" i="6"/>
  <c r="BI558" i="6"/>
  <c r="BQ354" i="6"/>
  <c r="BG354" i="6"/>
  <c r="BS264" i="6"/>
  <c r="BI264" i="6"/>
  <c r="BS396" i="6"/>
  <c r="BI396" i="6"/>
  <c r="BG359" i="6"/>
  <c r="BQ359" i="6"/>
  <c r="BG277" i="6"/>
  <c r="BQ277" i="6"/>
  <c r="BQ380" i="6"/>
  <c r="BG380" i="6"/>
  <c r="BG343" i="6"/>
  <c r="BQ343" i="6"/>
  <c r="BG414" i="6"/>
  <c r="BQ414" i="6"/>
  <c r="BS311" i="6"/>
  <c r="BI311" i="6"/>
  <c r="BQ306" i="6"/>
  <c r="BG306" i="6"/>
  <c r="BS414" i="6"/>
  <c r="BI414" i="6"/>
  <c r="BS294" i="6"/>
  <c r="BI294" i="6"/>
  <c r="BS200" i="6"/>
  <c r="BI200" i="6"/>
  <c r="BS321" i="6"/>
  <c r="BI321" i="6"/>
  <c r="BG115" i="6"/>
  <c r="BQ115" i="6"/>
  <c r="BS250" i="6"/>
  <c r="BI250" i="6"/>
  <c r="BS287" i="6"/>
  <c r="BI287" i="6"/>
  <c r="BQ192" i="6"/>
  <c r="BG192" i="6"/>
  <c r="BQ217" i="6"/>
  <c r="BG217" i="6"/>
  <c r="BS135" i="6"/>
  <c r="BI135" i="6"/>
  <c r="BS192" i="6"/>
  <c r="BI192" i="6"/>
  <c r="AJ219" i="6"/>
  <c r="BQ254" i="6"/>
  <c r="BG254" i="6"/>
  <c r="BI162" i="6"/>
  <c r="BS162" i="6"/>
  <c r="BS340" i="6"/>
  <c r="BI340" i="6"/>
  <c r="BS263" i="6"/>
  <c r="BI263" i="6"/>
  <c r="BS198" i="6"/>
  <c r="BI198" i="6"/>
  <c r="BQ114" i="6"/>
  <c r="BG114" i="6"/>
  <c r="BI66" i="6"/>
  <c r="BS66" i="6"/>
  <c r="BS100" i="6"/>
  <c r="BI100" i="6"/>
  <c r="BS63" i="6"/>
  <c r="BI63" i="6"/>
  <c r="BS31" i="6"/>
  <c r="BI31" i="6"/>
  <c r="AJ26" i="6"/>
  <c r="BS44" i="6"/>
  <c r="BI44" i="6"/>
  <c r="BQ78" i="6"/>
  <c r="BG78" i="6"/>
  <c r="BS132" i="6"/>
  <c r="BI132" i="6"/>
  <c r="BS112" i="6"/>
  <c r="BI112" i="6"/>
  <c r="BS85" i="6"/>
  <c r="BI85" i="6"/>
  <c r="BS204" i="6"/>
  <c r="BI204" i="6"/>
  <c r="BS32" i="6"/>
  <c r="BI32" i="6"/>
  <c r="BS41" i="6"/>
  <c r="BI41" i="6"/>
  <c r="BQ451" i="6"/>
  <c r="BG451" i="6"/>
  <c r="BI435" i="6"/>
  <c r="BS435" i="6"/>
  <c r="BS478" i="6"/>
  <c r="BI478" i="6"/>
  <c r="BQ250" i="6"/>
  <c r="BG250" i="6"/>
  <c r="BI259" i="6"/>
  <c r="BS259" i="6"/>
  <c r="BS374" i="6"/>
  <c r="BI374" i="6"/>
  <c r="BS236" i="6"/>
  <c r="BI236" i="6"/>
  <c r="BS221" i="6"/>
  <c r="BI221" i="6"/>
  <c r="BG166" i="6"/>
  <c r="BQ166" i="6"/>
  <c r="BS55" i="6"/>
  <c r="BI55" i="6"/>
  <c r="BQ532" i="6"/>
  <c r="BG532" i="6"/>
  <c r="BS450" i="6"/>
  <c r="BI450" i="6"/>
  <c r="BS548" i="6"/>
  <c r="BI548" i="6"/>
  <c r="BI479" i="6"/>
  <c r="BS479" i="6"/>
  <c r="BS520" i="6"/>
  <c r="BI520" i="6"/>
  <c r="BS401" i="6"/>
  <c r="BI401" i="6"/>
  <c r="BQ549" i="6"/>
  <c r="BG549" i="6"/>
  <c r="BS467" i="6"/>
  <c r="BI467" i="6"/>
  <c r="BQ503" i="6"/>
  <c r="BG503" i="6"/>
  <c r="BQ537" i="6"/>
  <c r="BG537" i="6"/>
  <c r="BS532" i="6"/>
  <c r="BI532" i="6"/>
  <c r="BS251" i="6"/>
  <c r="BI251" i="6"/>
  <c r="BS394" i="6"/>
  <c r="BI394" i="6"/>
  <c r="BI542" i="6"/>
  <c r="BS542" i="6"/>
  <c r="BG363" i="6"/>
  <c r="BQ363" i="6"/>
  <c r="BS363" i="6"/>
  <c r="BI363" i="6"/>
  <c r="BS384" i="6"/>
  <c r="BI384" i="6"/>
  <c r="BG368" i="6"/>
  <c r="BQ368" i="6"/>
  <c r="BS537" i="6"/>
  <c r="BI537" i="6"/>
  <c r="BS341" i="6"/>
  <c r="BI341" i="6"/>
  <c r="BS411" i="6"/>
  <c r="BI411" i="6"/>
  <c r="BS304" i="6"/>
  <c r="BI304" i="6"/>
  <c r="BS313" i="6"/>
  <c r="BI313" i="6"/>
  <c r="BS113" i="6"/>
  <c r="BI113" i="6"/>
  <c r="BQ156" i="6"/>
  <c r="BG156" i="6"/>
  <c r="BS373" i="6"/>
  <c r="BI373" i="6"/>
  <c r="BS278" i="6"/>
  <c r="BI278" i="6"/>
  <c r="BS274" i="6"/>
  <c r="BI274" i="6"/>
  <c r="BS190" i="6"/>
  <c r="BI190" i="6"/>
  <c r="BS215" i="6"/>
  <c r="BI215" i="6"/>
  <c r="BS217" i="6"/>
  <c r="BI217" i="6"/>
  <c r="BI246" i="6"/>
  <c r="BS246" i="6"/>
  <c r="BQ104" i="6"/>
  <c r="BG104" i="6"/>
  <c r="BS233" i="6"/>
  <c r="BI233" i="6"/>
  <c r="BS361" i="6"/>
  <c r="BI361" i="6"/>
  <c r="BQ79" i="6"/>
  <c r="BG79" i="6"/>
  <c r="BG149" i="6"/>
  <c r="BQ149" i="6"/>
  <c r="BS54" i="6"/>
  <c r="BI54" i="6"/>
  <c r="BG28" i="6"/>
  <c r="BQ28" i="6"/>
  <c r="BS116" i="6"/>
  <c r="BI116" i="6"/>
  <c r="BS24" i="6"/>
  <c r="BI24" i="6"/>
  <c r="BS133" i="6"/>
  <c r="BI133" i="6"/>
  <c r="BG35" i="6"/>
  <c r="BQ35" i="6"/>
  <c r="BQ93" i="6"/>
  <c r="BG93" i="6"/>
  <c r="BS300" i="6"/>
  <c r="BI300" i="6"/>
  <c r="BI76" i="6"/>
  <c r="BS76" i="6"/>
  <c r="BG126" i="6"/>
  <c r="BQ126" i="6"/>
  <c r="BS197" i="6"/>
  <c r="BI197" i="6"/>
  <c r="BS93" i="6"/>
  <c r="BI93" i="6"/>
  <c r="BG236" i="6"/>
  <c r="BQ236" i="6"/>
  <c r="BS530" i="6"/>
  <c r="BI530" i="6"/>
  <c r="BS493" i="6"/>
  <c r="BI493" i="6"/>
  <c r="BS559" i="6"/>
  <c r="BI559" i="6"/>
  <c r="BG426" i="6"/>
  <c r="BQ426" i="6"/>
  <c r="BS481" i="6"/>
  <c r="BI481" i="6"/>
  <c r="BS547" i="6"/>
  <c r="BI547" i="6"/>
  <c r="BG373" i="6"/>
  <c r="BQ373" i="6"/>
  <c r="BG510" i="6"/>
  <c r="BQ510" i="6"/>
  <c r="BS501" i="6"/>
  <c r="BI501" i="6"/>
  <c r="BS535" i="6"/>
  <c r="BI535" i="6"/>
  <c r="BS480" i="6"/>
  <c r="BI480" i="6"/>
  <c r="BS331" i="6"/>
  <c r="BI331" i="6"/>
  <c r="BS391" i="6"/>
  <c r="BI391" i="6"/>
  <c r="BS400" i="6"/>
  <c r="BI400" i="6"/>
  <c r="BS521" i="6"/>
  <c r="BI521" i="6"/>
  <c r="BS357" i="6"/>
  <c r="BI357" i="6"/>
  <c r="BS381" i="6"/>
  <c r="BI381" i="6"/>
  <c r="BS354" i="6"/>
  <c r="BI354" i="6"/>
  <c r="BG365" i="6"/>
  <c r="BQ365" i="6"/>
  <c r="AJ374" i="6"/>
  <c r="BS428" i="6"/>
  <c r="BI428" i="6"/>
  <c r="BG297" i="6"/>
  <c r="BQ297" i="6"/>
  <c r="BS404" i="6"/>
  <c r="BI404" i="6"/>
  <c r="BS284" i="6"/>
  <c r="BI284" i="6"/>
  <c r="BQ186" i="6"/>
  <c r="BG186" i="6"/>
  <c r="BI193" i="6"/>
  <c r="BS193" i="6"/>
  <c r="BS232" i="6"/>
  <c r="BI232" i="6"/>
  <c r="BS154" i="6"/>
  <c r="BI154" i="6"/>
  <c r="BI356" i="6"/>
  <c r="BS356" i="6"/>
  <c r="BQ121" i="6"/>
  <c r="BG121" i="6"/>
  <c r="BG286" i="6"/>
  <c r="BQ286" i="6"/>
  <c r="BG148" i="6"/>
  <c r="BQ148" i="6"/>
  <c r="BG243" i="6"/>
  <c r="BQ243" i="6"/>
  <c r="BS316" i="6"/>
  <c r="BI316" i="6"/>
  <c r="BS243" i="6"/>
  <c r="BI243" i="6"/>
  <c r="BI308" i="6"/>
  <c r="BS308" i="6"/>
  <c r="BS102" i="6"/>
  <c r="BI102" i="6"/>
  <c r="BQ52" i="6"/>
  <c r="BG52" i="6"/>
  <c r="BS92" i="6"/>
  <c r="BI92" i="6"/>
  <c r="BS77" i="6"/>
  <c r="BI77" i="6"/>
  <c r="AJ110" i="6"/>
  <c r="BS42" i="6"/>
  <c r="BI42" i="6"/>
  <c r="BS127" i="6"/>
  <c r="BI127" i="6"/>
  <c r="BS33" i="6"/>
  <c r="BI33" i="6"/>
  <c r="BQ213" i="6"/>
  <c r="BG213" i="6"/>
  <c r="BS88" i="6"/>
  <c r="BI88" i="6"/>
  <c r="BS60" i="6"/>
  <c r="BI60" i="6"/>
  <c r="BI115" i="6"/>
  <c r="BS115" i="6"/>
  <c r="BS80" i="6"/>
  <c r="BI80" i="6"/>
  <c r="BS64" i="6"/>
  <c r="BI64" i="6"/>
  <c r="BS73" i="6"/>
  <c r="BI73" i="6"/>
  <c r="BS447" i="6"/>
  <c r="BI447" i="6"/>
  <c r="BS437" i="6"/>
  <c r="BI437" i="6"/>
  <c r="BQ163" i="6"/>
  <c r="BG163" i="6"/>
  <c r="BG128" i="6"/>
  <c r="BQ128" i="6"/>
  <c r="BS185" i="6"/>
  <c r="BI185" i="6"/>
  <c r="BQ436" i="6"/>
  <c r="BG436" i="6"/>
  <c r="BQ557" i="6"/>
  <c r="BG557" i="6"/>
  <c r="BS475" i="6"/>
  <c r="BI475" i="6"/>
  <c r="BQ534" i="6"/>
  <c r="BG534" i="6"/>
  <c r="BS534" i="6"/>
  <c r="BI534" i="6"/>
  <c r="BQ465" i="6"/>
  <c r="BG465" i="6"/>
  <c r="BQ506" i="6"/>
  <c r="BG506" i="6"/>
  <c r="BS424" i="6"/>
  <c r="BI424" i="6"/>
  <c r="BI561" i="6"/>
  <c r="BS561" i="6"/>
  <c r="BQ387" i="6"/>
  <c r="BG387" i="6"/>
  <c r="BQ453" i="6"/>
  <c r="BG453" i="6"/>
  <c r="BS371" i="6"/>
  <c r="BI371" i="6"/>
  <c r="BS508" i="6"/>
  <c r="BI508" i="6"/>
  <c r="BS560" i="6"/>
  <c r="BI560" i="6"/>
  <c r="BS388" i="6"/>
  <c r="BI388" i="6"/>
  <c r="BI397" i="6"/>
  <c r="BS397" i="6"/>
  <c r="BS301" i="6"/>
  <c r="BI301" i="6"/>
  <c r="BI494" i="6"/>
  <c r="BS494" i="6"/>
  <c r="BQ349" i="6"/>
  <c r="BG349" i="6"/>
  <c r="AJ464" i="6"/>
  <c r="BQ330" i="6"/>
  <c r="BG330" i="6"/>
  <c r="AJ539" i="6"/>
  <c r="BI538" i="6"/>
  <c r="BS538" i="6"/>
  <c r="BG346" i="6"/>
  <c r="BQ346" i="6"/>
  <c r="BS500" i="6"/>
  <c r="BI500" i="6"/>
  <c r="AJ351" i="6"/>
  <c r="BS362" i="6"/>
  <c r="BI362" i="6"/>
  <c r="BI415" i="6"/>
  <c r="BS415" i="6"/>
  <c r="BS398" i="6"/>
  <c r="BI398" i="6"/>
  <c r="BS295" i="6"/>
  <c r="BI295" i="6"/>
  <c r="BQ364" i="6"/>
  <c r="BG364" i="6"/>
  <c r="BG290" i="6"/>
  <c r="BQ290" i="6"/>
  <c r="AJ299" i="6"/>
  <c r="BQ275" i="6"/>
  <c r="BG275" i="6"/>
  <c r="BS184" i="6"/>
  <c r="BI184" i="6"/>
  <c r="AJ279" i="6"/>
  <c r="BQ99" i="6"/>
  <c r="BG99" i="6"/>
  <c r="AJ264" i="6"/>
  <c r="BG258" i="6"/>
  <c r="BQ258" i="6"/>
  <c r="BQ201" i="6"/>
  <c r="BG201" i="6"/>
  <c r="BS119" i="6"/>
  <c r="BI119" i="6"/>
  <c r="BS270" i="6"/>
  <c r="BI270" i="6"/>
  <c r="BS176" i="6"/>
  <c r="BI176" i="6"/>
  <c r="BG203" i="6"/>
  <c r="BQ203" i="6"/>
  <c r="BQ233" i="6"/>
  <c r="BG233" i="6"/>
  <c r="BS146" i="6"/>
  <c r="BI146" i="6"/>
  <c r="BQ235" i="6"/>
  <c r="BG235" i="6"/>
  <c r="BS182" i="6"/>
  <c r="BI182" i="6"/>
  <c r="BS175" i="6"/>
  <c r="BI175" i="6"/>
  <c r="BS50" i="6"/>
  <c r="BI50" i="6"/>
  <c r="BS195" i="6"/>
  <c r="BI195" i="6"/>
  <c r="BI82" i="6"/>
  <c r="BS82" i="6"/>
  <c r="BQ141" i="6"/>
  <c r="BG141" i="6"/>
  <c r="BG24" i="6"/>
  <c r="BQ24" i="6"/>
  <c r="BS137" i="6"/>
  <c r="BI137" i="6"/>
  <c r="BI242" i="6"/>
  <c r="BS242" i="6"/>
  <c r="BS99" i="6"/>
  <c r="BI99" i="6"/>
  <c r="BG46" i="6"/>
  <c r="BQ46" i="6"/>
  <c r="BS181" i="6"/>
  <c r="BI181" i="6"/>
  <c r="BS238" i="6"/>
  <c r="BI238" i="6"/>
  <c r="BQ30" i="6"/>
  <c r="BG30" i="6"/>
  <c r="BG112" i="6"/>
  <c r="BQ112" i="6"/>
  <c r="BS98" i="6"/>
  <c r="BI98" i="6"/>
  <c r="BG155" i="6"/>
  <c r="BQ155" i="6"/>
  <c r="BG73" i="6"/>
  <c r="BQ73" i="6"/>
  <c r="AJ171" i="6"/>
  <c r="AJ55" i="6"/>
  <c r="AJ39" i="6"/>
  <c r="BS48" i="6"/>
  <c r="BI48" i="6"/>
  <c r="BS418" i="6"/>
  <c r="BI418" i="6"/>
  <c r="BS369" i="6"/>
  <c r="BI369" i="6"/>
  <c r="BS312" i="6"/>
  <c r="BI312" i="6"/>
  <c r="BS272" i="6"/>
  <c r="BI272" i="6"/>
  <c r="BS110" i="6"/>
  <c r="BI110" i="6"/>
  <c r="BQ516" i="6"/>
  <c r="BG516" i="6"/>
  <c r="BS434" i="6"/>
  <c r="BI434" i="6"/>
  <c r="BS555" i="6"/>
  <c r="BI555" i="6"/>
  <c r="BQ479" i="6"/>
  <c r="BG479" i="6"/>
  <c r="BG545" i="6"/>
  <c r="BQ545" i="6"/>
  <c r="BS463" i="6"/>
  <c r="BI463" i="6"/>
  <c r="BS504" i="6"/>
  <c r="BI504" i="6"/>
  <c r="BG467" i="6"/>
  <c r="BQ467" i="6"/>
  <c r="BI385" i="6"/>
  <c r="BS385" i="6"/>
  <c r="BQ533" i="6"/>
  <c r="BG533" i="6"/>
  <c r="BS451" i="6"/>
  <c r="BI451" i="6"/>
  <c r="BG487" i="6"/>
  <c r="BQ487" i="6"/>
  <c r="BQ521" i="6"/>
  <c r="BG521" i="6"/>
  <c r="BS460" i="6"/>
  <c r="BI460" i="6"/>
  <c r="BS352" i="6"/>
  <c r="BI352" i="6"/>
  <c r="BG344" i="6"/>
  <c r="BQ344" i="6"/>
  <c r="BS458" i="6"/>
  <c r="BI458" i="6"/>
  <c r="BS328" i="6"/>
  <c r="BI328" i="6"/>
  <c r="BS457" i="6"/>
  <c r="BI457" i="6"/>
  <c r="BS359" i="6"/>
  <c r="BI359" i="6"/>
  <c r="BI325" i="6"/>
  <c r="BS325" i="6"/>
  <c r="BS395" i="6"/>
  <c r="BI395" i="6"/>
  <c r="BG361" i="6"/>
  <c r="BQ361" i="6"/>
  <c r="BS288" i="6"/>
  <c r="BI288" i="6"/>
  <c r="BS297" i="6"/>
  <c r="BI297" i="6"/>
  <c r="BS275" i="6"/>
  <c r="BI275" i="6"/>
  <c r="BQ179" i="6"/>
  <c r="BG179" i="6"/>
  <c r="BQ140" i="6"/>
  <c r="BG140" i="6"/>
  <c r="BS305" i="6"/>
  <c r="BI305" i="6"/>
  <c r="BQ261" i="6"/>
  <c r="BG261" i="6"/>
  <c r="BS255" i="6"/>
  <c r="BI255" i="6"/>
  <c r="BS199" i="6"/>
  <c r="BI199" i="6"/>
  <c r="BS277" i="6"/>
  <c r="BI277" i="6"/>
  <c r="BS201" i="6"/>
  <c r="BI201" i="6"/>
  <c r="BS226" i="6"/>
  <c r="BI226" i="6"/>
  <c r="BQ228" i="6"/>
  <c r="BG228" i="6"/>
  <c r="BS290" i="6"/>
  <c r="BI290" i="6"/>
  <c r="BS228" i="6"/>
  <c r="BI228" i="6"/>
  <c r="BQ88" i="6"/>
  <c r="BG88" i="6"/>
  <c r="BS188" i="6"/>
  <c r="BI188" i="6"/>
  <c r="BG33" i="6"/>
  <c r="BQ33" i="6"/>
  <c r="BS74" i="6"/>
  <c r="BI74" i="6"/>
  <c r="BS322" i="6"/>
  <c r="BI322" i="6"/>
  <c r="BS173" i="6"/>
  <c r="BI173" i="6"/>
  <c r="BS289" i="6"/>
  <c r="BI289" i="6"/>
  <c r="BS71" i="6"/>
  <c r="BI71" i="6"/>
  <c r="BS514" i="6"/>
  <c r="BI514" i="6"/>
  <c r="BQ461" i="6"/>
  <c r="BG461" i="6"/>
  <c r="BQ559" i="6"/>
  <c r="BG559" i="6"/>
  <c r="BI477" i="6"/>
  <c r="BS477" i="6"/>
  <c r="BQ520" i="6"/>
  <c r="BG520" i="6"/>
  <c r="BS543" i="6"/>
  <c r="BI543" i="6"/>
  <c r="BQ547" i="6"/>
  <c r="BG547" i="6"/>
  <c r="BS465" i="6"/>
  <c r="BI465" i="6"/>
  <c r="BS531" i="6"/>
  <c r="BI531" i="6"/>
  <c r="BG357" i="6"/>
  <c r="BQ357" i="6"/>
  <c r="BG567" i="6"/>
  <c r="BQ567" i="6"/>
  <c r="BS485" i="6"/>
  <c r="BI485" i="6"/>
  <c r="BI519" i="6"/>
  <c r="BS519" i="6"/>
  <c r="BS464" i="6"/>
  <c r="BI464" i="6"/>
  <c r="BG454" i="6"/>
  <c r="BQ454" i="6"/>
  <c r="BS315" i="6"/>
  <c r="BI315" i="6"/>
  <c r="BS522" i="6"/>
  <c r="BI522" i="6"/>
  <c r="BQ287" i="6"/>
  <c r="BG287" i="6"/>
  <c r="BG444" i="6"/>
  <c r="BQ444" i="6"/>
  <c r="BS342" i="6"/>
  <c r="BI342" i="6"/>
  <c r="BS453" i="6"/>
  <c r="BI453" i="6"/>
  <c r="AJ448" i="6"/>
  <c r="BS510" i="6"/>
  <c r="BI510" i="6"/>
  <c r="BS492" i="6"/>
  <c r="BI492" i="6"/>
  <c r="BQ332" i="6"/>
  <c r="BG332" i="6"/>
  <c r="BI452" i="6"/>
  <c r="BS452" i="6"/>
  <c r="BS339" i="6"/>
  <c r="BI339" i="6"/>
  <c r="BI484" i="6"/>
  <c r="BS484" i="6"/>
  <c r="BQ356" i="6"/>
  <c r="BG356" i="6"/>
  <c r="BS383" i="6"/>
  <c r="BI383" i="6"/>
  <c r="AJ281" i="6"/>
  <c r="BQ358" i="6"/>
  <c r="BG358" i="6"/>
  <c r="BG262" i="6"/>
  <c r="BQ262" i="6"/>
  <c r="AJ265" i="6"/>
  <c r="BS177" i="6"/>
  <c r="BI177" i="6"/>
  <c r="AJ220" i="6"/>
  <c r="BI138" i="6"/>
  <c r="BS138" i="6"/>
  <c r="AJ278" i="6"/>
  <c r="BS252" i="6"/>
  <c r="BI252" i="6"/>
  <c r="BQ105" i="6"/>
  <c r="BG105" i="6"/>
  <c r="BQ162" i="6"/>
  <c r="BG162" i="6"/>
  <c r="BG132" i="6"/>
  <c r="BQ132" i="6"/>
  <c r="BS86" i="6"/>
  <c r="BI86" i="6"/>
  <c r="BG142" i="6"/>
  <c r="BQ142" i="6"/>
  <c r="BG77" i="6"/>
  <c r="BQ77" i="6"/>
  <c r="BS158" i="6"/>
  <c r="BI158" i="6"/>
  <c r="BS61" i="6"/>
  <c r="BI61" i="6"/>
  <c r="BS58" i="6"/>
  <c r="BI58" i="6"/>
  <c r="BQ69" i="6"/>
  <c r="BG69" i="6"/>
  <c r="BI147" i="6"/>
  <c r="BS147" i="6"/>
  <c r="BS163" i="6"/>
  <c r="BI163" i="6"/>
  <c r="BS101" i="6"/>
  <c r="BI101" i="6"/>
  <c r="BQ480" i="6"/>
  <c r="BG480" i="6"/>
  <c r="BS210" i="6"/>
  <c r="BI210" i="6"/>
  <c r="BG420" i="6"/>
  <c r="BQ420" i="6"/>
  <c r="BQ541" i="6"/>
  <c r="BG541" i="6"/>
  <c r="BS459" i="6"/>
  <c r="BI459" i="6"/>
  <c r="BS557" i="6"/>
  <c r="BI557" i="6"/>
  <c r="BS518" i="6"/>
  <c r="BI518" i="6"/>
  <c r="BQ449" i="6"/>
  <c r="BG449" i="6"/>
  <c r="BQ490" i="6"/>
  <c r="BG490" i="6"/>
  <c r="BI408" i="6"/>
  <c r="BS408" i="6"/>
  <c r="BI545" i="6"/>
  <c r="BS545" i="6"/>
  <c r="AJ437" i="6"/>
  <c r="BS355" i="6"/>
  <c r="BI355" i="6"/>
  <c r="BS565" i="6"/>
  <c r="BI565" i="6"/>
  <c r="BS544" i="6"/>
  <c r="BI544" i="6"/>
  <c r="BS285" i="6"/>
  <c r="BI285" i="6"/>
  <c r="BS444" i="6"/>
  <c r="BI444" i="6"/>
  <c r="BQ314" i="6"/>
  <c r="BG314" i="6"/>
  <c r="BS330" i="6"/>
  <c r="BI330" i="6"/>
  <c r="BS346" i="6"/>
  <c r="BI346" i="6"/>
  <c r="BS279" i="6"/>
  <c r="BI279" i="6"/>
  <c r="BS353" i="6"/>
  <c r="BI353" i="6"/>
  <c r="BS168" i="6"/>
  <c r="BI168" i="6"/>
  <c r="BS262" i="6"/>
  <c r="BI262" i="6"/>
  <c r="BI427" i="6"/>
  <c r="BS427" i="6"/>
  <c r="BS218" i="6"/>
  <c r="BI218" i="6"/>
  <c r="BS247" i="6"/>
  <c r="BI247" i="6"/>
  <c r="AJ244" i="6"/>
  <c r="AJ185" i="6"/>
  <c r="BS103" i="6"/>
  <c r="BI103" i="6"/>
  <c r="BI160" i="6"/>
  <c r="BS160" i="6"/>
  <c r="BG212" i="6"/>
  <c r="BQ212" i="6"/>
  <c r="BS439" i="6"/>
  <c r="BI439" i="6"/>
  <c r="BQ223" i="6"/>
  <c r="BG223" i="6"/>
  <c r="BI166" i="6"/>
  <c r="BS166" i="6"/>
  <c r="BS131" i="6"/>
  <c r="BI131" i="6"/>
  <c r="BS34" i="6"/>
  <c r="BI34" i="6"/>
  <c r="BS75" i="6"/>
  <c r="BI75" i="6"/>
  <c r="BS124" i="6"/>
  <c r="BI124" i="6"/>
  <c r="BS67" i="6"/>
  <c r="BI67" i="6"/>
  <c r="BI191" i="6"/>
  <c r="BS191" i="6"/>
  <c r="BS227" i="6"/>
  <c r="BI227" i="6"/>
  <c r="BS212" i="6"/>
  <c r="BI212" i="6"/>
  <c r="BI78" i="6"/>
  <c r="BS78" i="6"/>
  <c r="AJ143" i="6"/>
  <c r="BS30" i="6"/>
  <c r="BI30" i="6"/>
  <c r="CZ23" i="7"/>
  <c r="DC23" i="7" s="1"/>
  <c r="CY23" i="7"/>
  <c r="DB23" i="7" s="1"/>
  <c r="DA23" i="7"/>
  <c r="DD23" i="7" s="1"/>
  <c r="DH23" i="7"/>
  <c r="DR23" i="7"/>
  <c r="DS23" i="7" s="1"/>
  <c r="DJ23" i="7"/>
  <c r="DT23" i="7"/>
  <c r="AJ208" i="6"/>
  <c r="AJ424" i="6"/>
  <c r="AJ231" i="6"/>
  <c r="AJ280" i="6"/>
  <c r="AJ120" i="6"/>
  <c r="AJ70" i="6"/>
  <c r="AJ403" i="6"/>
  <c r="AJ402" i="6"/>
  <c r="AJ560" i="6"/>
  <c r="AJ375" i="6"/>
  <c r="AJ315" i="6"/>
  <c r="AJ251" i="6"/>
  <c r="AJ38" i="6"/>
  <c r="AJ495" i="6"/>
  <c r="AJ561" i="6"/>
  <c r="AJ483" i="6"/>
  <c r="AJ482" i="6"/>
  <c r="AJ333" i="6"/>
  <c r="AJ486" i="6"/>
  <c r="AJ555" i="6"/>
  <c r="AJ377" i="6"/>
  <c r="AJ407" i="6"/>
  <c r="AJ195" i="6"/>
  <c r="AJ242" i="6"/>
  <c r="AJ291" i="6"/>
  <c r="AJ310" i="6"/>
  <c r="AJ323" i="6"/>
  <c r="AJ157" i="6"/>
  <c r="AJ307" i="6"/>
  <c r="AJ109" i="6"/>
  <c r="AJ103" i="6"/>
  <c r="AJ117" i="6"/>
  <c r="AJ477" i="6"/>
  <c r="AJ536" i="6"/>
  <c r="AJ563" i="6"/>
  <c r="AJ562" i="6"/>
  <c r="AJ303" i="6"/>
  <c r="AJ360" i="6"/>
  <c r="AJ478" i="6"/>
  <c r="AJ518" i="6"/>
  <c r="AJ401" i="6"/>
  <c r="AJ270" i="6"/>
  <c r="AJ446" i="6"/>
  <c r="AJ178" i="6"/>
  <c r="AJ296" i="6"/>
  <c r="AJ238" i="6"/>
  <c r="AJ184" i="6"/>
  <c r="AJ245" i="6"/>
  <c r="AJ49" i="6"/>
  <c r="AJ40" i="6"/>
  <c r="AJ145" i="6"/>
  <c r="AJ252" i="6"/>
  <c r="AJ456" i="6"/>
  <c r="AJ379" i="6"/>
  <c r="AJ237" i="6"/>
  <c r="AJ508" i="6"/>
  <c r="AJ327" i="6"/>
  <c r="AJ392" i="6"/>
  <c r="AJ295" i="6"/>
  <c r="AJ206" i="6"/>
  <c r="AJ466" i="6"/>
  <c r="AJ317" i="6"/>
  <c r="AJ544" i="6"/>
  <c r="AJ528" i="6"/>
  <c r="AJ341" i="6"/>
  <c r="AJ491" i="6"/>
  <c r="AJ268" i="6"/>
  <c r="AJ523" i="6"/>
  <c r="AJ272" i="6"/>
  <c r="AJ209" i="6"/>
  <c r="AJ182" i="6"/>
  <c r="AJ63" i="6"/>
  <c r="AJ130" i="6"/>
  <c r="AJ133" i="6"/>
  <c r="AJ222" i="6"/>
  <c r="AJ107" i="6"/>
  <c r="AJ199" i="6"/>
  <c r="AJ294" i="6"/>
  <c r="AJ151" i="6"/>
  <c r="AJ167" i="6"/>
  <c r="AJ399" i="6"/>
  <c r="AJ165" i="6"/>
  <c r="AJ410" i="6"/>
  <c r="AJ546" i="6"/>
  <c r="AJ408" i="6"/>
  <c r="AJ170" i="6"/>
  <c r="AJ460" i="6"/>
  <c r="AJ273" i="6"/>
  <c r="AJ168" i="6"/>
  <c r="AJ36" i="6"/>
  <c r="AJ215" i="6"/>
  <c r="AJ198" i="6"/>
  <c r="AJ80" i="6"/>
  <c r="AJ43" i="6"/>
  <c r="AJ71" i="6"/>
  <c r="AJ371" i="6"/>
  <c r="AJ430" i="6"/>
  <c r="AJ337" i="6"/>
  <c r="AJ440" i="6"/>
  <c r="AJ492" i="6"/>
  <c r="AJ443" i="6"/>
  <c r="AJ476" i="6"/>
  <c r="AJ311" i="6"/>
  <c r="AJ274" i="6"/>
  <c r="AJ382" i="6"/>
  <c r="AJ283" i="6"/>
  <c r="AJ256" i="6"/>
  <c r="AJ187" i="6"/>
  <c r="AJ221" i="6"/>
  <c r="AJ276" i="6"/>
  <c r="AJ158" i="6"/>
  <c r="AJ174" i="6"/>
  <c r="AJ116" i="6"/>
  <c r="AJ44" i="6"/>
  <c r="AJ113" i="6"/>
  <c r="AJ181" i="6"/>
  <c r="AJ229" i="6"/>
  <c r="AJ96" i="6"/>
  <c r="AJ57" i="6"/>
  <c r="AJ159" i="6"/>
  <c r="AJ87" i="6"/>
  <c r="AJ517" i="6"/>
  <c r="AJ471" i="6"/>
  <c r="AJ450" i="6"/>
  <c r="AJ301" i="6"/>
  <c r="AJ433" i="6"/>
  <c r="AJ409" i="6"/>
  <c r="AJ470" i="6"/>
  <c r="AJ432" i="6"/>
  <c r="AJ398" i="6"/>
  <c r="AJ524" i="6"/>
  <c r="AJ370" i="6"/>
  <c r="AJ376" i="6"/>
  <c r="AJ318" i="6"/>
  <c r="AJ411" i="6"/>
  <c r="AJ225" i="6"/>
  <c r="AJ47" i="6"/>
  <c r="AJ74" i="6"/>
  <c r="AJ214" i="6"/>
  <c r="AJ144" i="6"/>
  <c r="AJ197" i="6"/>
  <c r="AJ75" i="6"/>
  <c r="AJ59" i="6"/>
  <c r="AJ543" i="6"/>
  <c r="AJ531" i="6"/>
  <c r="AJ551" i="6"/>
  <c r="AJ530" i="6"/>
  <c r="AJ386" i="6"/>
  <c r="AJ367" i="6"/>
  <c r="AJ507" i="6"/>
  <c r="AJ89" i="6"/>
  <c r="AJ146" i="6"/>
  <c r="AJ152" i="6"/>
  <c r="AJ134" i="6"/>
  <c r="AJ61" i="6"/>
  <c r="AJ173" i="6"/>
  <c r="AJ83" i="6"/>
  <c r="AJ53" i="6"/>
  <c r="AJ160" i="6"/>
  <c r="AJ190" i="6"/>
  <c r="AJ64" i="6"/>
  <c r="AJ135" i="6"/>
  <c r="AJ82" i="6"/>
  <c r="AJ50" i="6"/>
  <c r="AJ34" i="6"/>
  <c r="AJ421" i="6"/>
  <c r="AJ416" i="6"/>
  <c r="AJ383" i="6"/>
  <c r="AJ496" i="6"/>
  <c r="AJ267" i="6"/>
  <c r="AJ320" i="6"/>
  <c r="AJ395" i="6"/>
  <c r="AJ226" i="6"/>
  <c r="AJ340" i="6"/>
  <c r="AJ240" i="6"/>
  <c r="AJ183" i="6"/>
  <c r="AJ259" i="6"/>
  <c r="AJ161" i="6"/>
  <c r="AJ76" i="6"/>
  <c r="AJ41" i="6"/>
  <c r="AJ92" i="6"/>
  <c r="AJ435" i="6"/>
  <c r="AJ434" i="6"/>
  <c r="AJ397" i="6"/>
  <c r="AJ441" i="6"/>
  <c r="AJ512" i="6"/>
  <c r="AJ312" i="6"/>
  <c r="AJ396" i="6"/>
  <c r="AJ309" i="6"/>
  <c r="AJ428" i="6"/>
  <c r="AJ232" i="6"/>
  <c r="AJ336" i="6"/>
  <c r="AJ355" i="6"/>
  <c r="AJ417" i="6"/>
  <c r="AJ246" i="6"/>
  <c r="AJ97" i="6"/>
  <c r="AJ125" i="6"/>
  <c r="AJ31" i="6"/>
  <c r="AJ102" i="6"/>
  <c r="AJ86" i="6"/>
  <c r="AJ58" i="6"/>
  <c r="AJ60" i="6"/>
  <c r="AJ176" i="6"/>
  <c r="AJ66" i="6"/>
  <c r="AJ564" i="6"/>
  <c r="AJ378" i="6"/>
  <c r="AJ514" i="6"/>
  <c r="AJ385" i="6"/>
  <c r="AJ494" i="6"/>
  <c r="AJ415" i="6"/>
  <c r="AJ475" i="6"/>
  <c r="AJ138" i="6"/>
  <c r="AJ391" i="6"/>
  <c r="AJ175" i="6"/>
  <c r="AJ119" i="6"/>
  <c r="AJ177" i="6"/>
  <c r="AJ67" i="6"/>
  <c r="AJ48" i="6"/>
  <c r="AJ106" i="6"/>
  <c r="AJ388" i="6"/>
  <c r="AJ509" i="6"/>
  <c r="AJ540" i="6"/>
  <c r="AJ335" i="6"/>
  <c r="AJ282" i="6"/>
  <c r="AJ329" i="6"/>
  <c r="AJ438" i="6"/>
  <c r="AJ210" i="6"/>
  <c r="AJ189" i="6"/>
  <c r="AJ339" i="6"/>
  <c r="AJ216" i="6"/>
  <c r="AJ193" i="6"/>
  <c r="AJ118" i="6"/>
  <c r="AJ90" i="6"/>
  <c r="AJ27" i="6"/>
  <c r="AU23" i="6"/>
  <c r="AS23" i="6"/>
  <c r="AD17" i="6"/>
  <c r="DD17" i="6" s="1"/>
  <c r="AD16" i="6"/>
  <c r="DD16" i="6" s="1"/>
  <c r="AC15" i="6"/>
  <c r="DC15" i="6" s="1"/>
  <c r="DW23" i="7" a="1"/>
  <c r="AH23" i="6" a="1"/>
  <c r="AG23" i="6" a="1"/>
  <c r="AI23" i="6" a="1"/>
  <c r="BG509" i="6" l="1"/>
  <c r="BQ509" i="6"/>
  <c r="BQ564" i="6"/>
  <c r="BG564" i="6"/>
  <c r="BQ309" i="6"/>
  <c r="BG309" i="6"/>
  <c r="BQ226" i="6"/>
  <c r="BG226" i="6"/>
  <c r="BQ83" i="6"/>
  <c r="BG83" i="6"/>
  <c r="BG197" i="6"/>
  <c r="BQ197" i="6"/>
  <c r="BQ301" i="6"/>
  <c r="BG301" i="6"/>
  <c r="BQ221" i="6"/>
  <c r="BG221" i="6"/>
  <c r="BG80" i="6"/>
  <c r="BQ80" i="6"/>
  <c r="BQ199" i="6"/>
  <c r="BG199" i="6"/>
  <c r="BQ466" i="6"/>
  <c r="BG466" i="6"/>
  <c r="BQ296" i="6"/>
  <c r="BG296" i="6"/>
  <c r="BG307" i="6"/>
  <c r="BQ307" i="6"/>
  <c r="BG38" i="6"/>
  <c r="BQ38" i="6"/>
  <c r="BQ388" i="6"/>
  <c r="BG388" i="6"/>
  <c r="BG66" i="6"/>
  <c r="BQ66" i="6"/>
  <c r="BG396" i="6"/>
  <c r="BQ396" i="6"/>
  <c r="BQ395" i="6"/>
  <c r="BG395" i="6"/>
  <c r="BQ173" i="6"/>
  <c r="BG173" i="6"/>
  <c r="BQ144" i="6"/>
  <c r="BG144" i="6"/>
  <c r="BG450" i="6"/>
  <c r="BQ450" i="6"/>
  <c r="BG187" i="6"/>
  <c r="BQ187" i="6"/>
  <c r="BG198" i="6"/>
  <c r="BQ198" i="6"/>
  <c r="BQ107" i="6"/>
  <c r="BG107" i="6"/>
  <c r="BQ206" i="6"/>
  <c r="BG206" i="6"/>
  <c r="BG178" i="6"/>
  <c r="BQ178" i="6"/>
  <c r="BQ157" i="6"/>
  <c r="BG157" i="6"/>
  <c r="BG251" i="6"/>
  <c r="BQ251" i="6"/>
  <c r="BQ106" i="6"/>
  <c r="BG106" i="6"/>
  <c r="BQ176" i="6"/>
  <c r="BG176" i="6"/>
  <c r="BQ312" i="6"/>
  <c r="BG312" i="6"/>
  <c r="BQ320" i="6"/>
  <c r="BG320" i="6"/>
  <c r="BG61" i="6"/>
  <c r="BQ61" i="6"/>
  <c r="BG214" i="6"/>
  <c r="BQ214" i="6"/>
  <c r="BG471" i="6"/>
  <c r="BQ471" i="6"/>
  <c r="BG256" i="6"/>
  <c r="BQ256" i="6"/>
  <c r="BG215" i="6"/>
  <c r="BQ215" i="6"/>
  <c r="BQ222" i="6"/>
  <c r="BG222" i="6"/>
  <c r="BQ295" i="6"/>
  <c r="BG295" i="6"/>
  <c r="BQ446" i="6"/>
  <c r="BG446" i="6"/>
  <c r="BQ323" i="6"/>
  <c r="BG323" i="6"/>
  <c r="BQ315" i="6"/>
  <c r="BG315" i="6"/>
  <c r="BG27" i="6"/>
  <c r="BQ27" i="6"/>
  <c r="BG48" i="6"/>
  <c r="BQ48" i="6"/>
  <c r="BG60" i="6"/>
  <c r="BQ60" i="6"/>
  <c r="BG512" i="6"/>
  <c r="BQ512" i="6"/>
  <c r="BQ267" i="6"/>
  <c r="BG267" i="6"/>
  <c r="BG134" i="6"/>
  <c r="BQ134" i="6"/>
  <c r="BQ74" i="6"/>
  <c r="BG74" i="6"/>
  <c r="BG517" i="6"/>
  <c r="BQ517" i="6"/>
  <c r="BQ283" i="6"/>
  <c r="BG283" i="6"/>
  <c r="BG36" i="6"/>
  <c r="BQ36" i="6"/>
  <c r="BG133" i="6"/>
  <c r="BQ133" i="6"/>
  <c r="BG392" i="6"/>
  <c r="BQ392" i="6"/>
  <c r="BQ270" i="6"/>
  <c r="BG270" i="6"/>
  <c r="BQ310" i="6"/>
  <c r="BG310" i="6"/>
  <c r="BG375" i="6"/>
  <c r="BQ375" i="6"/>
  <c r="BQ90" i="6"/>
  <c r="BG90" i="6"/>
  <c r="BG67" i="6"/>
  <c r="BQ67" i="6"/>
  <c r="BG58" i="6"/>
  <c r="BQ58" i="6"/>
  <c r="BQ441" i="6"/>
  <c r="BG441" i="6"/>
  <c r="BQ496" i="6"/>
  <c r="BG496" i="6"/>
  <c r="BQ152" i="6"/>
  <c r="BG152" i="6"/>
  <c r="BQ47" i="6"/>
  <c r="BG47" i="6"/>
  <c r="BQ87" i="6"/>
  <c r="BG87" i="6"/>
  <c r="BG382" i="6"/>
  <c r="BQ382" i="6"/>
  <c r="BQ168" i="6"/>
  <c r="BG168" i="6"/>
  <c r="BG130" i="6"/>
  <c r="BQ130" i="6"/>
  <c r="BQ327" i="6"/>
  <c r="BG327" i="6"/>
  <c r="BQ401" i="6"/>
  <c r="BG401" i="6"/>
  <c r="BQ291" i="6"/>
  <c r="BG291" i="6"/>
  <c r="BG560" i="6"/>
  <c r="BQ560" i="6"/>
  <c r="BG118" i="6"/>
  <c r="BQ118" i="6"/>
  <c r="BQ177" i="6"/>
  <c r="BG177" i="6"/>
  <c r="BG86" i="6"/>
  <c r="BQ86" i="6"/>
  <c r="BG397" i="6"/>
  <c r="BQ397" i="6"/>
  <c r="BQ383" i="6"/>
  <c r="BG383" i="6"/>
  <c r="BG146" i="6"/>
  <c r="BQ146" i="6"/>
  <c r="BQ225" i="6"/>
  <c r="BG225" i="6"/>
  <c r="BQ159" i="6"/>
  <c r="BG159" i="6"/>
  <c r="BQ274" i="6"/>
  <c r="BG274" i="6"/>
  <c r="BG273" i="6"/>
  <c r="BQ273" i="6"/>
  <c r="BQ63" i="6"/>
  <c r="BG63" i="6"/>
  <c r="BG508" i="6"/>
  <c r="BQ508" i="6"/>
  <c r="BQ518" i="6"/>
  <c r="BG518" i="6"/>
  <c r="BQ242" i="6"/>
  <c r="BG242" i="6"/>
  <c r="BQ402" i="6"/>
  <c r="BG402" i="6"/>
  <c r="BQ193" i="6"/>
  <c r="BG193" i="6"/>
  <c r="BQ119" i="6"/>
  <c r="BG119" i="6"/>
  <c r="BQ102" i="6"/>
  <c r="BG102" i="6"/>
  <c r="BQ434" i="6"/>
  <c r="BG434" i="6"/>
  <c r="BQ416" i="6"/>
  <c r="BG416" i="6"/>
  <c r="BQ89" i="6"/>
  <c r="BG89" i="6"/>
  <c r="BQ411" i="6"/>
  <c r="BG411" i="6"/>
  <c r="BG57" i="6"/>
  <c r="BQ57" i="6"/>
  <c r="BQ311" i="6"/>
  <c r="BG311" i="6"/>
  <c r="BG460" i="6"/>
  <c r="BQ460" i="6"/>
  <c r="BG182" i="6"/>
  <c r="BQ182" i="6"/>
  <c r="BG237" i="6"/>
  <c r="BQ237" i="6"/>
  <c r="BQ478" i="6"/>
  <c r="BG478" i="6"/>
  <c r="BQ195" i="6"/>
  <c r="BG195" i="6"/>
  <c r="BQ403" i="6"/>
  <c r="BG403" i="6"/>
  <c r="BQ216" i="6"/>
  <c r="BG216" i="6"/>
  <c r="BQ175" i="6"/>
  <c r="BG175" i="6"/>
  <c r="BQ31" i="6"/>
  <c r="BG31" i="6"/>
  <c r="BQ435" i="6"/>
  <c r="BG435" i="6"/>
  <c r="BG421" i="6"/>
  <c r="BQ421" i="6"/>
  <c r="BG507" i="6"/>
  <c r="BQ507" i="6"/>
  <c r="BG318" i="6"/>
  <c r="BQ318" i="6"/>
  <c r="BG96" i="6"/>
  <c r="BQ96" i="6"/>
  <c r="BG476" i="6"/>
  <c r="BQ476" i="6"/>
  <c r="BG170" i="6"/>
  <c r="BQ170" i="6"/>
  <c r="BQ209" i="6"/>
  <c r="BG209" i="6"/>
  <c r="BG379" i="6"/>
  <c r="BQ379" i="6"/>
  <c r="BG360" i="6"/>
  <c r="BQ360" i="6"/>
  <c r="BG407" i="6"/>
  <c r="BQ407" i="6"/>
  <c r="BQ70" i="6"/>
  <c r="BG70" i="6"/>
  <c r="BG339" i="6"/>
  <c r="BQ339" i="6"/>
  <c r="BQ391" i="6"/>
  <c r="BG391" i="6"/>
  <c r="BQ125" i="6"/>
  <c r="BG125" i="6"/>
  <c r="BQ92" i="6"/>
  <c r="BG92" i="6"/>
  <c r="BQ34" i="6"/>
  <c r="BG34" i="6"/>
  <c r="BG367" i="6"/>
  <c r="BQ367" i="6"/>
  <c r="BG376" i="6"/>
  <c r="BQ376" i="6"/>
  <c r="BG229" i="6"/>
  <c r="BQ229" i="6"/>
  <c r="BG443" i="6"/>
  <c r="BQ443" i="6"/>
  <c r="BG408" i="6"/>
  <c r="BQ408" i="6"/>
  <c r="BG272" i="6"/>
  <c r="BQ272" i="6"/>
  <c r="BG456" i="6"/>
  <c r="BQ456" i="6"/>
  <c r="BQ303" i="6"/>
  <c r="BG303" i="6"/>
  <c r="BG377" i="6"/>
  <c r="BQ377" i="6"/>
  <c r="BQ120" i="6"/>
  <c r="BG120" i="6"/>
  <c r="BQ189" i="6"/>
  <c r="BG189" i="6"/>
  <c r="BG138" i="6"/>
  <c r="BQ138" i="6"/>
  <c r="BQ97" i="6"/>
  <c r="BG97" i="6"/>
  <c r="BQ41" i="6"/>
  <c r="BG41" i="6"/>
  <c r="BQ50" i="6"/>
  <c r="BG50" i="6"/>
  <c r="BG386" i="6"/>
  <c r="BQ386" i="6"/>
  <c r="BG370" i="6"/>
  <c r="BQ370" i="6"/>
  <c r="BQ181" i="6"/>
  <c r="BG181" i="6"/>
  <c r="BG492" i="6"/>
  <c r="BQ492" i="6"/>
  <c r="BQ546" i="6"/>
  <c r="BG546" i="6"/>
  <c r="BQ523" i="6"/>
  <c r="BG523" i="6"/>
  <c r="BQ252" i="6"/>
  <c r="BG252" i="6"/>
  <c r="BQ562" i="6"/>
  <c r="BG562" i="6"/>
  <c r="BG555" i="6"/>
  <c r="BQ555" i="6"/>
  <c r="BQ280" i="6"/>
  <c r="BG280" i="6"/>
  <c r="BQ210" i="6"/>
  <c r="BG210" i="6"/>
  <c r="BQ475" i="6"/>
  <c r="BG475" i="6"/>
  <c r="BG246" i="6"/>
  <c r="BQ246" i="6"/>
  <c r="BQ76" i="6"/>
  <c r="BG76" i="6"/>
  <c r="BG82" i="6"/>
  <c r="BQ82" i="6"/>
  <c r="BQ530" i="6"/>
  <c r="BG530" i="6"/>
  <c r="BQ524" i="6"/>
  <c r="BG524" i="6"/>
  <c r="BQ113" i="6"/>
  <c r="BG113" i="6"/>
  <c r="BQ440" i="6"/>
  <c r="BG440" i="6"/>
  <c r="BG410" i="6"/>
  <c r="BQ410" i="6"/>
  <c r="BQ268" i="6"/>
  <c r="BG268" i="6"/>
  <c r="BG145" i="6"/>
  <c r="BQ145" i="6"/>
  <c r="BQ563" i="6"/>
  <c r="BG563" i="6"/>
  <c r="BQ486" i="6"/>
  <c r="BG486" i="6"/>
  <c r="BG231" i="6"/>
  <c r="BQ231" i="6"/>
  <c r="CA545" i="6"/>
  <c r="BQ438" i="6"/>
  <c r="BG438" i="6"/>
  <c r="BQ415" i="6"/>
  <c r="BG415" i="6"/>
  <c r="BG417" i="6"/>
  <c r="BQ417" i="6"/>
  <c r="BQ161" i="6"/>
  <c r="BG161" i="6"/>
  <c r="BG135" i="6"/>
  <c r="BQ135" i="6"/>
  <c r="BQ551" i="6"/>
  <c r="BG551" i="6"/>
  <c r="BG398" i="6"/>
  <c r="BQ398" i="6"/>
  <c r="BQ44" i="6"/>
  <c r="BG44" i="6"/>
  <c r="BG337" i="6"/>
  <c r="BQ337" i="6"/>
  <c r="BQ165" i="6"/>
  <c r="BG165" i="6"/>
  <c r="BG491" i="6"/>
  <c r="BQ491" i="6"/>
  <c r="BQ40" i="6"/>
  <c r="BG40" i="6"/>
  <c r="BQ536" i="6"/>
  <c r="BG536" i="6"/>
  <c r="BG333" i="6"/>
  <c r="BQ333" i="6"/>
  <c r="BQ424" i="6"/>
  <c r="BG424" i="6"/>
  <c r="BG329" i="6"/>
  <c r="BQ329" i="6"/>
  <c r="BQ494" i="6"/>
  <c r="BG494" i="6"/>
  <c r="BQ355" i="6"/>
  <c r="BG355" i="6"/>
  <c r="BQ259" i="6"/>
  <c r="BG259" i="6"/>
  <c r="BG64" i="6"/>
  <c r="BQ64" i="6"/>
  <c r="BG531" i="6"/>
  <c r="BQ531" i="6"/>
  <c r="BQ432" i="6"/>
  <c r="BG432" i="6"/>
  <c r="BQ116" i="6"/>
  <c r="BG116" i="6"/>
  <c r="BG430" i="6"/>
  <c r="BQ430" i="6"/>
  <c r="BQ399" i="6"/>
  <c r="BG399" i="6"/>
  <c r="BG341" i="6"/>
  <c r="BQ341" i="6"/>
  <c r="BG49" i="6"/>
  <c r="BQ49" i="6"/>
  <c r="BG477" i="6"/>
  <c r="BQ477" i="6"/>
  <c r="BQ482" i="6"/>
  <c r="BG482" i="6"/>
  <c r="BQ208" i="6"/>
  <c r="BG208" i="6"/>
  <c r="BQ282" i="6"/>
  <c r="BG282" i="6"/>
  <c r="BQ385" i="6"/>
  <c r="BG385" i="6"/>
  <c r="BQ336" i="6"/>
  <c r="BG336" i="6"/>
  <c r="BQ183" i="6"/>
  <c r="BG183" i="6"/>
  <c r="BQ190" i="6"/>
  <c r="BG190" i="6"/>
  <c r="BQ543" i="6"/>
  <c r="BG543" i="6"/>
  <c r="BQ470" i="6"/>
  <c r="BG470" i="6"/>
  <c r="BG174" i="6"/>
  <c r="BQ174" i="6"/>
  <c r="BG371" i="6"/>
  <c r="BQ371" i="6"/>
  <c r="BQ167" i="6"/>
  <c r="BG167" i="6"/>
  <c r="BG528" i="6"/>
  <c r="BQ528" i="6"/>
  <c r="BQ245" i="6"/>
  <c r="BG245" i="6"/>
  <c r="BQ117" i="6"/>
  <c r="BG117" i="6"/>
  <c r="BG483" i="6"/>
  <c r="BQ483" i="6"/>
  <c r="BG335" i="6"/>
  <c r="BQ335" i="6"/>
  <c r="BQ514" i="6"/>
  <c r="BG514" i="6"/>
  <c r="BG232" i="6"/>
  <c r="BQ232" i="6"/>
  <c r="BG240" i="6"/>
  <c r="BQ240" i="6"/>
  <c r="BQ160" i="6"/>
  <c r="BG160" i="6"/>
  <c r="BG59" i="6"/>
  <c r="BQ59" i="6"/>
  <c r="BQ409" i="6"/>
  <c r="BG409" i="6"/>
  <c r="BG158" i="6"/>
  <c r="BQ158" i="6"/>
  <c r="BQ71" i="6"/>
  <c r="BG71" i="6"/>
  <c r="BG151" i="6"/>
  <c r="BQ151" i="6"/>
  <c r="BG544" i="6"/>
  <c r="BQ544" i="6"/>
  <c r="BQ184" i="6"/>
  <c r="BG184" i="6"/>
  <c r="BQ103" i="6"/>
  <c r="BG103" i="6"/>
  <c r="BG561" i="6"/>
  <c r="BQ561" i="6"/>
  <c r="BG540" i="6"/>
  <c r="BQ540" i="6"/>
  <c r="BG378" i="6"/>
  <c r="BQ378" i="6"/>
  <c r="BG428" i="6"/>
  <c r="BQ428" i="6"/>
  <c r="BQ340" i="6"/>
  <c r="BG340" i="6"/>
  <c r="BQ53" i="6"/>
  <c r="BG53" i="6"/>
  <c r="BQ75" i="6"/>
  <c r="BG75" i="6"/>
  <c r="BQ433" i="6"/>
  <c r="BG433" i="6"/>
  <c r="BQ276" i="6"/>
  <c r="BG276" i="6"/>
  <c r="BG43" i="6"/>
  <c r="BQ43" i="6"/>
  <c r="BQ294" i="6"/>
  <c r="BG294" i="6"/>
  <c r="BG317" i="6"/>
  <c r="BQ317" i="6"/>
  <c r="BQ238" i="6"/>
  <c r="BG238" i="6"/>
  <c r="BQ109" i="6"/>
  <c r="BG109" i="6"/>
  <c r="BQ495" i="6"/>
  <c r="BG495" i="6"/>
  <c r="CA140" i="6"/>
  <c r="CA349" i="6"/>
  <c r="CA123" i="6"/>
  <c r="CA515" i="6"/>
  <c r="CA425" i="6"/>
  <c r="CA487" i="6"/>
  <c r="CA426" i="6"/>
  <c r="CA485" i="6"/>
  <c r="CA444" i="6"/>
  <c r="CA499" i="6"/>
  <c r="CA275" i="6"/>
  <c r="CA436" i="6"/>
  <c r="CA269" i="6"/>
  <c r="CA142" i="6"/>
  <c r="CA332" i="6"/>
  <c r="BG171" i="6"/>
  <c r="BQ171" i="6"/>
  <c r="CA412" i="6"/>
  <c r="CA541" i="6"/>
  <c r="CA191" i="6"/>
  <c r="BQ437" i="6"/>
  <c r="BG437" i="6"/>
  <c r="CA235" i="6"/>
  <c r="CA462" i="6"/>
  <c r="CA205" i="6"/>
  <c r="CA24" i="6"/>
  <c r="BQ281" i="6"/>
  <c r="BG281" i="6"/>
  <c r="CA287" i="6"/>
  <c r="CA33" i="6"/>
  <c r="CA361" i="6"/>
  <c r="BG39" i="6"/>
  <c r="BQ39" i="6"/>
  <c r="CA549" i="6"/>
  <c r="CA359" i="6"/>
  <c r="BQ200" i="6"/>
  <c r="BG200" i="6"/>
  <c r="CA266" i="6"/>
  <c r="CA389" i="6"/>
  <c r="BG342" i="6"/>
  <c r="BQ342" i="6"/>
  <c r="BQ331" i="6"/>
  <c r="BG331" i="6"/>
  <c r="CA419" i="6"/>
  <c r="CA25" i="6"/>
  <c r="CA218" i="6"/>
  <c r="CA405" i="6"/>
  <c r="CA37" i="6"/>
  <c r="CA188" i="6"/>
  <c r="BG525" i="6"/>
  <c r="BQ525" i="6"/>
  <c r="CA29" i="6"/>
  <c r="CA314" i="6"/>
  <c r="BG55" i="6"/>
  <c r="BQ55" i="6"/>
  <c r="CA141" i="6"/>
  <c r="BQ299" i="6"/>
  <c r="BG299" i="6"/>
  <c r="CA506" i="6"/>
  <c r="CA213" i="6"/>
  <c r="CA78" i="6"/>
  <c r="CA254" i="6"/>
  <c r="CA469" i="6"/>
  <c r="CA137" i="6"/>
  <c r="CA347" i="6"/>
  <c r="CA552" i="6"/>
  <c r="CA127" i="6"/>
  <c r="BQ304" i="6"/>
  <c r="BG304" i="6"/>
  <c r="CA362" i="6"/>
  <c r="CA322" i="6"/>
  <c r="CA180" i="6"/>
  <c r="CA316" i="6"/>
  <c r="BG351" i="6"/>
  <c r="BQ351" i="6"/>
  <c r="CA465" i="6"/>
  <c r="CA243" i="6"/>
  <c r="BG374" i="6"/>
  <c r="BQ374" i="6"/>
  <c r="CA368" i="6"/>
  <c r="CA532" i="6"/>
  <c r="CA306" i="6"/>
  <c r="CA108" i="6"/>
  <c r="BG100" i="6"/>
  <c r="BQ100" i="6"/>
  <c r="CA263" i="6"/>
  <c r="CA422" i="6"/>
  <c r="CA230" i="6"/>
  <c r="CA196" i="6"/>
  <c r="CA404" i="6"/>
  <c r="CA154" i="6"/>
  <c r="CA504" i="6"/>
  <c r="BQ278" i="6"/>
  <c r="BG278" i="6"/>
  <c r="CA520" i="6"/>
  <c r="CA533" i="6"/>
  <c r="CA479" i="6"/>
  <c r="CA290" i="6"/>
  <c r="CA52" i="6"/>
  <c r="CA126" i="6"/>
  <c r="CA114" i="6"/>
  <c r="BQ219" i="6"/>
  <c r="BG219" i="6"/>
  <c r="CA62" i="6"/>
  <c r="CA202" i="6"/>
  <c r="CA505" i="6"/>
  <c r="CA65" i="6"/>
  <c r="CA247" i="6"/>
  <c r="CA413" i="6"/>
  <c r="CA553" i="6"/>
  <c r="CA42" i="6"/>
  <c r="CA147" i="6"/>
  <c r="CA501" i="6"/>
  <c r="CA324" i="6"/>
  <c r="CA298" i="6"/>
  <c r="CA400" i="6"/>
  <c r="CA345" i="6"/>
  <c r="BQ185" i="6"/>
  <c r="BG185" i="6"/>
  <c r="CA77" i="6"/>
  <c r="CA356" i="6"/>
  <c r="CA567" i="6"/>
  <c r="CA88" i="6"/>
  <c r="CA179" i="6"/>
  <c r="CA73" i="6"/>
  <c r="CA201" i="6"/>
  <c r="CA364" i="6"/>
  <c r="CA148" i="6"/>
  <c r="CA365" i="6"/>
  <c r="CA510" i="6"/>
  <c r="CA115" i="6"/>
  <c r="CA101" i="6"/>
  <c r="CA427" i="6"/>
  <c r="CA72" i="6"/>
  <c r="CA172" i="6"/>
  <c r="CA284" i="6"/>
  <c r="CA548" i="6"/>
  <c r="CA241" i="6"/>
  <c r="BG418" i="6"/>
  <c r="BQ418" i="6"/>
  <c r="CA302" i="6"/>
  <c r="CA393" i="6"/>
  <c r="BG244" i="6"/>
  <c r="BQ244" i="6"/>
  <c r="CA344" i="6"/>
  <c r="CA155" i="6"/>
  <c r="CA46" i="6"/>
  <c r="CA128" i="6"/>
  <c r="CA186" i="6"/>
  <c r="CA250" i="6"/>
  <c r="CA519" i="6"/>
  <c r="CA473" i="6"/>
  <c r="CA538" i="6"/>
  <c r="CA390" i="6"/>
  <c r="CA529" i="6"/>
  <c r="CA285" i="6"/>
  <c r="CA484" i="6"/>
  <c r="CA439" i="6"/>
  <c r="CA321" i="6"/>
  <c r="CA357" i="6"/>
  <c r="CA453" i="6"/>
  <c r="CA286" i="6"/>
  <c r="CA373" i="6"/>
  <c r="CA104" i="6"/>
  <c r="BG26" i="6"/>
  <c r="BQ26" i="6"/>
  <c r="CA253" i="6"/>
  <c r="CA522" i="6"/>
  <c r="CA452" i="6"/>
  <c r="CA292" i="6"/>
  <c r="CA289" i="6"/>
  <c r="CA493" i="6"/>
  <c r="CA260" i="6"/>
  <c r="BQ326" i="6"/>
  <c r="BG326" i="6"/>
  <c r="CA305" i="6"/>
  <c r="CA227" i="6"/>
  <c r="CA91" i="6"/>
  <c r="CA84" i="6"/>
  <c r="CA474" i="6"/>
  <c r="CA150" i="6"/>
  <c r="BQ143" i="6"/>
  <c r="BG143" i="6"/>
  <c r="CA223" i="6"/>
  <c r="BG220" i="6"/>
  <c r="BQ220" i="6"/>
  <c r="BQ448" i="6"/>
  <c r="BG448" i="6"/>
  <c r="CA233" i="6"/>
  <c r="CA258" i="6"/>
  <c r="CA346" i="6"/>
  <c r="CA163" i="6"/>
  <c r="CA121" i="6"/>
  <c r="CA354" i="6"/>
  <c r="CA481" i="6"/>
  <c r="CA463" i="6"/>
  <c r="CA54" i="6"/>
  <c r="CA234" i="6"/>
  <c r="CA313" i="6"/>
  <c r="BQ369" i="6"/>
  <c r="BG369" i="6"/>
  <c r="BG288" i="6"/>
  <c r="BQ288" i="6"/>
  <c r="CA497" i="6"/>
  <c r="CA468" i="6"/>
  <c r="CA535" i="6"/>
  <c r="BQ488" i="6"/>
  <c r="BG488" i="6"/>
  <c r="CA69" i="6"/>
  <c r="CA559" i="6"/>
  <c r="BQ264" i="6"/>
  <c r="BG264" i="6"/>
  <c r="CA387" i="6"/>
  <c r="CA28" i="6"/>
  <c r="CA166" i="6"/>
  <c r="CA414" i="6"/>
  <c r="BG502" i="6"/>
  <c r="BQ502" i="6"/>
  <c r="CA372" i="6"/>
  <c r="CA85" i="6"/>
  <c r="CA472" i="6"/>
  <c r="CA406" i="6"/>
  <c r="CA458" i="6"/>
  <c r="CA249" i="6"/>
  <c r="CA489" i="6"/>
  <c r="CA445" i="6"/>
  <c r="CA420" i="6"/>
  <c r="CA454" i="6"/>
  <c r="CA99" i="6"/>
  <c r="CA534" i="6"/>
  <c r="CA537" i="6"/>
  <c r="CA457" i="6"/>
  <c r="BG68" i="6"/>
  <c r="BQ68" i="6"/>
  <c r="CA51" i="6"/>
  <c r="CA565" i="6"/>
  <c r="CA131" i="6"/>
  <c r="CA293" i="6"/>
  <c r="CA255" i="6"/>
  <c r="CA455" i="6"/>
  <c r="CA350" i="6"/>
  <c r="CA204" i="6"/>
  <c r="CA353" i="6"/>
  <c r="CA490" i="6"/>
  <c r="CA461" i="6"/>
  <c r="CA467" i="6"/>
  <c r="CA203" i="6"/>
  <c r="CA93" i="6"/>
  <c r="CA217" i="6"/>
  <c r="CA343" i="6"/>
  <c r="CA164" i="6"/>
  <c r="BG248" i="6"/>
  <c r="BQ248" i="6"/>
  <c r="CA384" i="6"/>
  <c r="CA56" i="6"/>
  <c r="CA153" i="6"/>
  <c r="CA554" i="6"/>
  <c r="CA325" i="6"/>
  <c r="CA207" i="6"/>
  <c r="CA334" i="6"/>
  <c r="CA394" i="6"/>
  <c r="CA132" i="6"/>
  <c r="BQ265" i="6"/>
  <c r="BG265" i="6"/>
  <c r="CA112" i="6"/>
  <c r="BG279" i="6"/>
  <c r="BQ279" i="6"/>
  <c r="BG539" i="6"/>
  <c r="BQ539" i="6"/>
  <c r="CA236" i="6"/>
  <c r="CA363" i="6"/>
  <c r="CA503" i="6"/>
  <c r="CA431" i="6"/>
  <c r="CA511" i="6"/>
  <c r="CA45" i="6"/>
  <c r="BQ95" i="6"/>
  <c r="BG95" i="6"/>
  <c r="CA136" i="6"/>
  <c r="CA423" i="6"/>
  <c r="CA224" i="6"/>
  <c r="CA169" i="6"/>
  <c r="CA366" i="6"/>
  <c r="CA449" i="6"/>
  <c r="CA228" i="6"/>
  <c r="CA521" i="6"/>
  <c r="CA516" i="6"/>
  <c r="CA30" i="6"/>
  <c r="CA330" i="6"/>
  <c r="BG110" i="6"/>
  <c r="BQ110" i="6"/>
  <c r="CA192" i="6"/>
  <c r="CA380" i="6"/>
  <c r="CA124" i="6"/>
  <c r="CA257" i="6"/>
  <c r="CA348" i="6"/>
  <c r="CA319" i="6"/>
  <c r="CA442" i="6"/>
  <c r="CA94" i="6"/>
  <c r="CA381" i="6"/>
  <c r="BQ139" i="6"/>
  <c r="BG139" i="6"/>
  <c r="CA527" i="6"/>
  <c r="CA338" i="6"/>
  <c r="CA513" i="6"/>
  <c r="CA558" i="6"/>
  <c r="CA271" i="6"/>
  <c r="CA212" i="6"/>
  <c r="CA480" i="6"/>
  <c r="CA162" i="6"/>
  <c r="CA262" i="6"/>
  <c r="CA547" i="6"/>
  <c r="CA261" i="6"/>
  <c r="CA557" i="6"/>
  <c r="CA35" i="6"/>
  <c r="CA149" i="6"/>
  <c r="CA451" i="6"/>
  <c r="CA526" i="6"/>
  <c r="CA32" i="6"/>
  <c r="CA211" i="6"/>
  <c r="BG98" i="6"/>
  <c r="BQ98" i="6"/>
  <c r="CA111" i="6"/>
  <c r="CA308" i="6"/>
  <c r="CA566" i="6"/>
  <c r="CA568" i="6"/>
  <c r="CA300" i="6"/>
  <c r="CA429" i="6"/>
  <c r="CA122" i="6"/>
  <c r="CA556" i="6"/>
  <c r="CA500" i="6"/>
  <c r="CA105" i="6"/>
  <c r="CA358" i="6"/>
  <c r="BQ464" i="6"/>
  <c r="BG464" i="6"/>
  <c r="CA297" i="6"/>
  <c r="CA79" i="6"/>
  <c r="CA156" i="6"/>
  <c r="CA277" i="6"/>
  <c r="CA550" i="6"/>
  <c r="CA194" i="6"/>
  <c r="BQ239" i="6"/>
  <c r="BG239" i="6"/>
  <c r="BQ498" i="6"/>
  <c r="BG498" i="6"/>
  <c r="CA328" i="6"/>
  <c r="BG129" i="6"/>
  <c r="BQ129" i="6"/>
  <c r="BG459" i="6"/>
  <c r="BQ459" i="6"/>
  <c r="CA542" i="6"/>
  <c r="CA81" i="6"/>
  <c r="BG447" i="6"/>
  <c r="BQ447" i="6"/>
  <c r="CA352" i="6"/>
  <c r="DF23" i="7"/>
  <c r="DG23" i="7" s="1"/>
  <c r="DW23" i="7"/>
  <c r="DY23" i="7"/>
  <c r="DU23" i="7"/>
  <c r="DV23" i="7" s="1"/>
  <c r="EB23" i="7"/>
  <c r="DI23" i="7"/>
  <c r="AI23" i="6"/>
  <c r="AH23" i="6"/>
  <c r="AG23" i="6"/>
  <c r="DM23" i="7" a="1"/>
  <c r="CA98" i="6" l="1"/>
  <c r="CA447" i="6"/>
  <c r="CA464" i="6"/>
  <c r="CA539" i="6"/>
  <c r="CA129" i="6"/>
  <c r="CA279" i="6"/>
  <c r="CA68" i="6"/>
  <c r="CA498" i="6"/>
  <c r="CA265" i="6"/>
  <c r="CA248" i="6"/>
  <c r="CA239" i="6"/>
  <c r="CA139" i="6"/>
  <c r="CA110" i="6"/>
  <c r="CA95" i="6"/>
  <c r="CA459" i="6"/>
  <c r="CA437" i="6"/>
  <c r="CA160" i="6"/>
  <c r="CA336" i="6"/>
  <c r="CA399" i="6"/>
  <c r="CA494" i="6"/>
  <c r="CA438" i="6"/>
  <c r="CA440" i="6"/>
  <c r="CA210" i="6"/>
  <c r="CA181" i="6"/>
  <c r="CA120" i="6"/>
  <c r="CA376" i="6"/>
  <c r="CA170" i="6"/>
  <c r="CA175" i="6"/>
  <c r="CA311" i="6"/>
  <c r="CA193" i="6"/>
  <c r="CA159" i="6"/>
  <c r="CA560" i="6"/>
  <c r="CA47" i="6"/>
  <c r="CA446" i="6"/>
  <c r="CA320" i="6"/>
  <c r="CA107" i="6"/>
  <c r="CA143" i="6"/>
  <c r="CA342" i="6"/>
  <c r="CA200" i="6"/>
  <c r="CA433" i="6"/>
  <c r="CA103" i="6"/>
  <c r="CA528" i="6"/>
  <c r="CA337" i="6"/>
  <c r="CA310" i="6"/>
  <c r="CA134" i="6"/>
  <c r="CA66" i="6"/>
  <c r="CA221" i="6"/>
  <c r="CA495" i="6"/>
  <c r="CA184" i="6"/>
  <c r="CA167" i="6"/>
  <c r="CA385" i="6"/>
  <c r="CA44" i="6"/>
  <c r="CA113" i="6"/>
  <c r="CA280" i="6"/>
  <c r="CA216" i="6"/>
  <c r="CA402" i="6"/>
  <c r="CA225" i="6"/>
  <c r="CA291" i="6"/>
  <c r="CA152" i="6"/>
  <c r="CA270" i="6"/>
  <c r="CA267" i="6"/>
  <c r="CA295" i="6"/>
  <c r="CA312" i="6"/>
  <c r="CA388" i="6"/>
  <c r="CA301" i="6"/>
  <c r="CA369" i="6"/>
  <c r="CA219" i="6"/>
  <c r="CA299" i="6"/>
  <c r="CA75" i="6"/>
  <c r="CA240" i="6"/>
  <c r="CA430" i="6"/>
  <c r="CA329" i="6"/>
  <c r="CA370" i="6"/>
  <c r="CA377" i="6"/>
  <c r="CA367" i="6"/>
  <c r="CA476" i="6"/>
  <c r="CA57" i="6"/>
  <c r="CA198" i="6"/>
  <c r="CA264" i="6"/>
  <c r="CA26" i="6"/>
  <c r="CA374" i="6"/>
  <c r="CA304" i="6"/>
  <c r="CA109" i="6"/>
  <c r="CA53" i="6"/>
  <c r="CA544" i="6"/>
  <c r="CA282" i="6"/>
  <c r="CA116" i="6"/>
  <c r="CA424" i="6"/>
  <c r="CA524" i="6"/>
  <c r="CA386" i="6"/>
  <c r="CA303" i="6"/>
  <c r="CA34" i="6"/>
  <c r="CA403" i="6"/>
  <c r="CA411" i="6"/>
  <c r="CA242" i="6"/>
  <c r="CA146" i="6"/>
  <c r="CA401" i="6"/>
  <c r="CA496" i="6"/>
  <c r="CA222" i="6"/>
  <c r="CA176" i="6"/>
  <c r="CA39" i="6"/>
  <c r="CA232" i="6"/>
  <c r="CA371" i="6"/>
  <c r="CA398" i="6"/>
  <c r="CA231" i="6"/>
  <c r="CA555" i="6"/>
  <c r="CA96" i="6"/>
  <c r="CA392" i="6"/>
  <c r="CA512" i="6"/>
  <c r="CA187" i="6"/>
  <c r="CA38" i="6"/>
  <c r="CA197" i="6"/>
  <c r="CA238" i="6"/>
  <c r="CA340" i="6"/>
  <c r="CA208" i="6"/>
  <c r="CA432" i="6"/>
  <c r="CA551" i="6"/>
  <c r="CA486" i="6"/>
  <c r="CA530" i="6"/>
  <c r="CA562" i="6"/>
  <c r="CA92" i="6"/>
  <c r="CA70" i="6"/>
  <c r="CA318" i="6"/>
  <c r="CA195" i="6"/>
  <c r="CA89" i="6"/>
  <c r="CA518" i="6"/>
  <c r="CA383" i="6"/>
  <c r="CA327" i="6"/>
  <c r="CA106" i="6"/>
  <c r="CA83" i="6"/>
  <c r="CA185" i="6"/>
  <c r="CA525" i="6"/>
  <c r="CA151" i="6"/>
  <c r="CA514" i="6"/>
  <c r="CA174" i="6"/>
  <c r="CA333" i="6"/>
  <c r="CA50" i="6"/>
  <c r="CA456" i="6"/>
  <c r="CA441" i="6"/>
  <c r="CA133" i="6"/>
  <c r="CA60" i="6"/>
  <c r="CA215" i="6"/>
  <c r="CA450" i="6"/>
  <c r="CA307" i="6"/>
  <c r="CA448" i="6"/>
  <c r="CA244" i="6"/>
  <c r="CA71" i="6"/>
  <c r="CA470" i="6"/>
  <c r="CA482" i="6"/>
  <c r="CA536" i="6"/>
  <c r="CA563" i="6"/>
  <c r="CA252" i="6"/>
  <c r="CA125" i="6"/>
  <c r="CA478" i="6"/>
  <c r="CA416" i="6"/>
  <c r="CA130" i="6"/>
  <c r="CA58" i="6"/>
  <c r="CA144" i="6"/>
  <c r="CA296" i="6"/>
  <c r="CA55" i="6"/>
  <c r="CA317" i="6"/>
  <c r="CA428" i="6"/>
  <c r="CA335" i="6"/>
  <c r="CA531" i="6"/>
  <c r="CA135" i="6"/>
  <c r="CA82" i="6"/>
  <c r="CA41" i="6"/>
  <c r="CA272" i="6"/>
  <c r="CA407" i="6"/>
  <c r="CA507" i="6"/>
  <c r="CA508" i="6"/>
  <c r="CA397" i="6"/>
  <c r="CA36" i="6"/>
  <c r="CA48" i="6"/>
  <c r="CA256" i="6"/>
  <c r="CA251" i="6"/>
  <c r="CA226" i="6"/>
  <c r="CA294" i="6"/>
  <c r="CA543" i="6"/>
  <c r="CA40" i="6"/>
  <c r="CA161" i="6"/>
  <c r="CA76" i="6"/>
  <c r="CA523" i="6"/>
  <c r="CA97" i="6"/>
  <c r="CA391" i="6"/>
  <c r="CA360" i="6"/>
  <c r="CA434" i="6"/>
  <c r="CA63" i="6"/>
  <c r="CA168" i="6"/>
  <c r="CA283" i="6"/>
  <c r="CA157" i="6"/>
  <c r="CA173" i="6"/>
  <c r="CA466" i="6"/>
  <c r="CA309" i="6"/>
  <c r="CA220" i="6"/>
  <c r="CA171" i="6"/>
  <c r="CA378" i="6"/>
  <c r="CA158" i="6"/>
  <c r="CA483" i="6"/>
  <c r="CA477" i="6"/>
  <c r="CA64" i="6"/>
  <c r="CA145" i="6"/>
  <c r="CA408" i="6"/>
  <c r="CA421" i="6"/>
  <c r="CA237" i="6"/>
  <c r="CA86" i="6"/>
  <c r="CA67" i="6"/>
  <c r="CA27" i="6"/>
  <c r="CA471" i="6"/>
  <c r="CA288" i="6"/>
  <c r="CA117" i="6"/>
  <c r="CA190" i="6"/>
  <c r="CA259" i="6"/>
  <c r="CA546" i="6"/>
  <c r="CA138" i="6"/>
  <c r="CA435" i="6"/>
  <c r="CA102" i="6"/>
  <c r="CA177" i="6"/>
  <c r="CA90" i="6"/>
  <c r="CA315" i="6"/>
  <c r="CA395" i="6"/>
  <c r="CA199" i="6"/>
  <c r="CA564" i="6"/>
  <c r="CA502" i="6"/>
  <c r="CA488" i="6"/>
  <c r="CA326" i="6"/>
  <c r="CA100" i="6"/>
  <c r="CA351" i="6"/>
  <c r="CA281" i="6"/>
  <c r="CA43" i="6"/>
  <c r="CA540" i="6"/>
  <c r="CA409" i="6"/>
  <c r="CA49" i="6"/>
  <c r="CA491" i="6"/>
  <c r="CA417" i="6"/>
  <c r="CA268" i="6"/>
  <c r="CA246" i="6"/>
  <c r="CA443" i="6"/>
  <c r="CA339" i="6"/>
  <c r="CA379" i="6"/>
  <c r="CA182" i="6"/>
  <c r="CA273" i="6"/>
  <c r="CA382" i="6"/>
  <c r="CA517" i="6"/>
  <c r="CA214" i="6"/>
  <c r="CA178" i="6"/>
  <c r="CA418" i="6"/>
  <c r="CA278" i="6"/>
  <c r="CA331" i="6"/>
  <c r="CA561" i="6"/>
  <c r="CA245" i="6"/>
  <c r="CA183" i="6"/>
  <c r="CA165" i="6"/>
  <c r="CA415" i="6"/>
  <c r="CA475" i="6"/>
  <c r="CA189" i="6"/>
  <c r="CA209" i="6"/>
  <c r="CA31" i="6"/>
  <c r="CA119" i="6"/>
  <c r="CA274" i="6"/>
  <c r="CA87" i="6"/>
  <c r="CA74" i="6"/>
  <c r="CA323" i="6"/>
  <c r="CA206" i="6"/>
  <c r="CA276" i="6"/>
  <c r="CA59" i="6"/>
  <c r="CA341" i="6"/>
  <c r="CA355" i="6"/>
  <c r="CA410" i="6"/>
  <c r="CA492" i="6"/>
  <c r="CA229" i="6"/>
  <c r="CA460" i="6"/>
  <c r="CA118" i="6"/>
  <c r="CA375" i="6"/>
  <c r="CA61" i="6"/>
  <c r="CA396" i="6"/>
  <c r="CA80" i="6"/>
  <c r="CA509" i="6"/>
  <c r="DM23" i="7"/>
  <c r="DZ23" i="7" s="1"/>
  <c r="EA23" i="7" s="1"/>
  <c r="DO23" i="7"/>
  <c r="DP23" i="7" s="1"/>
  <c r="DQ23" i="7" s="1"/>
  <c r="DK23" i="7"/>
  <c r="DL23" i="7" s="1"/>
  <c r="BS23" i="6"/>
  <c r="BI23" i="6"/>
  <c r="AJ23" i="6"/>
  <c r="EC23" i="7" l="1"/>
  <c r="ED23" i="7" s="1"/>
  <c r="BG23" i="6"/>
  <c r="BQ23" i="6"/>
  <c r="CA23" i="6" l="1"/>
  <c r="AM14" i="6"/>
  <c r="DM14" i="6" s="1"/>
  <c r="AM15" i="6"/>
  <c r="DM15" i="6" s="1"/>
  <c r="AM17" i="6" l="1"/>
  <c r="DM17" i="6" s="1"/>
  <c r="AM16" i="6"/>
  <c r="DM16" i="6" s="1"/>
  <c r="K11" i="6"/>
  <c r="K23" i="6"/>
  <c r="J23" i="6"/>
  <c r="M23" i="6" l="1"/>
  <c r="I48" i="6" s="1"/>
  <c r="L23" i="6"/>
  <c r="I50" i="6" s="1"/>
  <c r="L50" i="6" l="1"/>
  <c r="L48" i="6"/>
  <c r="L59" i="6" s="1"/>
  <c r="Z11" i="6" l="1"/>
  <c r="F23" i="6" l="1"/>
  <c r="AV323" i="6" l="1"/>
  <c r="AW323" i="6" s="1"/>
  <c r="AV161" i="6"/>
  <c r="AW161" i="6" s="1"/>
  <c r="AV142" i="6"/>
  <c r="AW142" i="6" s="1"/>
  <c r="AV25" i="6"/>
  <c r="AW25" i="6" s="1"/>
  <c r="AV296" i="6"/>
  <c r="AW296" i="6" s="1"/>
  <c r="AV179" i="6"/>
  <c r="AW179" i="6" s="1"/>
  <c r="AV148" i="6"/>
  <c r="AW148" i="6" s="1"/>
  <c r="AV283" i="6"/>
  <c r="AW283" i="6" s="1"/>
  <c r="AV442" i="6"/>
  <c r="AW442" i="6" s="1"/>
  <c r="AV349" i="6"/>
  <c r="AW349" i="6" s="1"/>
  <c r="AV525" i="6"/>
  <c r="AW525" i="6" s="1"/>
  <c r="AV108" i="6"/>
  <c r="AW108" i="6" s="1"/>
  <c r="AV155" i="6"/>
  <c r="AW155" i="6" s="1"/>
  <c r="AV337" i="6"/>
  <c r="AW337" i="6" s="1"/>
  <c r="AV206" i="6"/>
  <c r="AW206" i="6" s="1"/>
  <c r="AV470" i="6"/>
  <c r="AW470" i="6" s="1"/>
  <c r="AV410" i="6"/>
  <c r="AW410" i="6" s="1"/>
  <c r="AV47" i="6"/>
  <c r="AW47" i="6" s="1"/>
  <c r="AV211" i="6"/>
  <c r="AW211" i="6" s="1"/>
  <c r="AV287" i="6"/>
  <c r="AW287" i="6" s="1"/>
  <c r="AV132" i="6"/>
  <c r="AW132" i="6" s="1"/>
  <c r="AV236" i="6"/>
  <c r="AW236" i="6" s="1"/>
  <c r="AV548" i="6"/>
  <c r="AW548" i="6" s="1"/>
  <c r="AV133" i="6"/>
  <c r="AW133" i="6" s="1"/>
  <c r="AV521" i="6"/>
  <c r="AW521" i="6" s="1"/>
  <c r="AV316" i="6"/>
  <c r="AW316" i="6" s="1"/>
  <c r="AV73" i="6"/>
  <c r="AW73" i="6" s="1"/>
  <c r="AV270" i="6"/>
  <c r="AW270" i="6" s="1"/>
  <c r="AV110" i="6"/>
  <c r="AW110" i="6" s="1"/>
  <c r="AV463" i="6"/>
  <c r="AW463" i="6" s="1"/>
  <c r="AV328" i="6"/>
  <c r="AW328" i="6" s="1"/>
  <c r="AV288" i="6"/>
  <c r="AW288" i="6" s="1"/>
  <c r="AV519" i="6"/>
  <c r="AW519" i="6" s="1"/>
  <c r="AV565" i="6"/>
  <c r="AW565" i="6" s="1"/>
  <c r="AV227" i="6"/>
  <c r="AW227" i="6" s="1"/>
  <c r="AV568" i="6"/>
  <c r="AW568" i="6" s="1"/>
  <c r="AV358" i="6"/>
  <c r="AW358" i="6" s="1"/>
  <c r="AV350" i="6"/>
  <c r="AW350" i="6" s="1"/>
  <c r="AV443" i="6"/>
  <c r="AW443" i="6" s="1"/>
  <c r="AV436" i="6"/>
  <c r="AW436" i="6" s="1"/>
  <c r="AV261" i="6"/>
  <c r="AW261" i="6" s="1"/>
  <c r="AV505" i="6"/>
  <c r="AW505" i="6" s="1"/>
  <c r="AV126" i="6"/>
  <c r="AW126" i="6" s="1"/>
  <c r="AV344" i="6"/>
  <c r="AW344" i="6" s="1"/>
  <c r="AV136" i="6"/>
  <c r="AW136" i="6" s="1"/>
  <c r="AV65" i="6"/>
  <c r="AW65" i="6" s="1"/>
  <c r="AV216" i="6"/>
  <c r="AW216" i="6" s="1"/>
  <c r="AV208" i="6"/>
  <c r="AW208" i="6" s="1"/>
  <c r="AV351" i="6"/>
  <c r="AW351" i="6" s="1"/>
  <c r="AV40" i="6"/>
  <c r="AW40" i="6" s="1"/>
  <c r="AV387" i="6"/>
  <c r="AW387" i="6" s="1"/>
  <c r="AV366" i="6"/>
  <c r="AW366" i="6" s="1"/>
  <c r="AV340" i="6"/>
  <c r="AW340" i="6" s="1"/>
  <c r="AV467" i="6"/>
  <c r="AW467" i="6" s="1"/>
  <c r="AV77" i="6"/>
  <c r="AW77" i="6" s="1"/>
  <c r="AV424" i="6"/>
  <c r="AW424" i="6" s="1"/>
  <c r="AV415" i="6"/>
  <c r="AW415" i="6" s="1"/>
  <c r="AV452" i="6"/>
  <c r="AW452" i="6" s="1"/>
  <c r="AV61" i="6"/>
  <c r="AW61" i="6" s="1"/>
  <c r="AV518" i="6"/>
  <c r="AW518" i="6" s="1"/>
  <c r="AV427" i="6"/>
  <c r="AW427" i="6" s="1"/>
  <c r="AV34" i="6"/>
  <c r="AW34" i="6" s="1"/>
  <c r="AV95" i="6"/>
  <c r="AW95" i="6" s="1"/>
  <c r="AV503" i="6"/>
  <c r="AW503" i="6" s="1"/>
  <c r="AV266" i="6"/>
  <c r="AW266" i="6" s="1"/>
  <c r="AV364" i="6"/>
  <c r="AW364" i="6" s="1"/>
  <c r="AV260" i="6"/>
  <c r="AW260" i="6" s="1"/>
  <c r="AV156" i="6"/>
  <c r="AW156" i="6" s="1"/>
  <c r="AV324" i="6"/>
  <c r="AW324" i="6" s="1"/>
  <c r="AV122" i="6"/>
  <c r="AW122" i="6" s="1"/>
  <c r="AV433" i="6"/>
  <c r="AW433" i="6" s="1"/>
  <c r="AV336" i="6"/>
  <c r="AW336" i="6" s="1"/>
  <c r="AV244" i="6"/>
  <c r="AW244" i="6" s="1"/>
  <c r="AV134" i="6"/>
  <c r="AW134" i="6" s="1"/>
  <c r="AV399" i="6"/>
  <c r="AW399" i="6" s="1"/>
  <c r="AV239" i="6"/>
  <c r="AW239" i="6" s="1"/>
  <c r="AV256" i="6"/>
  <c r="AW256" i="6" s="1"/>
  <c r="AV120" i="6"/>
  <c r="AW120" i="6" s="1"/>
  <c r="AV294" i="6"/>
  <c r="AW294" i="6" s="1"/>
  <c r="AV542" i="6"/>
  <c r="AW542" i="6" s="1"/>
  <c r="AV341" i="6"/>
  <c r="AW341" i="6" s="1"/>
  <c r="AV93" i="6"/>
  <c r="AW93" i="6" s="1"/>
  <c r="AV154" i="6"/>
  <c r="AW154" i="6" s="1"/>
  <c r="AV184" i="6"/>
  <c r="AW184" i="6" s="1"/>
  <c r="AV175" i="6"/>
  <c r="AW175" i="6" s="1"/>
  <c r="AV137" i="6"/>
  <c r="AW137" i="6" s="1"/>
  <c r="AV418" i="6"/>
  <c r="AW418" i="6" s="1"/>
  <c r="AV255" i="6"/>
  <c r="AW255" i="6" s="1"/>
  <c r="AV74" i="6"/>
  <c r="AW74" i="6" s="1"/>
  <c r="AV514" i="6"/>
  <c r="AW514" i="6" s="1"/>
  <c r="AV464" i="6"/>
  <c r="AW464" i="6" s="1"/>
  <c r="AV180" i="6"/>
  <c r="AW180" i="6" s="1"/>
  <c r="AV556" i="6"/>
  <c r="AW556" i="6" s="1"/>
  <c r="AV222" i="6"/>
  <c r="AW222" i="6" s="1"/>
  <c r="AV149" i="6"/>
  <c r="AW149" i="6" s="1"/>
  <c r="AV253" i="6"/>
  <c r="AW253" i="6" s="1"/>
  <c r="AV405" i="6"/>
  <c r="AW405" i="6" s="1"/>
  <c r="AV403" i="6"/>
  <c r="AW403" i="6" s="1"/>
  <c r="AV333" i="6"/>
  <c r="AW333" i="6" s="1"/>
  <c r="AV417" i="6"/>
  <c r="AW417" i="6" s="1"/>
  <c r="AV416" i="6"/>
  <c r="AW416" i="6" s="1"/>
  <c r="AV129" i="6"/>
  <c r="AW129" i="6" s="1"/>
  <c r="AV318" i="6"/>
  <c r="AW318" i="6" s="1"/>
  <c r="AV517" i="6"/>
  <c r="AW517" i="6" s="1"/>
  <c r="AV170" i="6"/>
  <c r="AW170" i="6" s="1"/>
  <c r="AV57" i="6"/>
  <c r="AW57" i="6" s="1"/>
  <c r="AV200" i="6"/>
  <c r="AW200" i="6" s="1"/>
  <c r="AV112" i="6"/>
  <c r="AW112" i="6" s="1"/>
  <c r="AV435" i="6"/>
  <c r="AW435" i="6" s="1"/>
  <c r="AV411" i="6"/>
  <c r="AW411" i="6" s="1"/>
  <c r="AV373" i="6"/>
  <c r="AW373" i="6" s="1"/>
  <c r="AV217" i="6"/>
  <c r="AW217" i="6" s="1"/>
  <c r="AV481" i="6"/>
  <c r="AW481" i="6" s="1"/>
  <c r="AV357" i="6"/>
  <c r="AW357" i="6" s="1"/>
  <c r="AV243" i="6"/>
  <c r="AW243" i="6" s="1"/>
  <c r="AV42" i="6"/>
  <c r="AW42" i="6" s="1"/>
  <c r="AV60" i="6"/>
  <c r="AW60" i="6" s="1"/>
  <c r="AV447" i="6"/>
  <c r="AW447" i="6" s="1"/>
  <c r="AV561" i="6"/>
  <c r="AW561" i="6" s="1"/>
  <c r="AV176" i="6"/>
  <c r="AW176" i="6" s="1"/>
  <c r="AV50" i="6"/>
  <c r="AW50" i="6" s="1"/>
  <c r="AV504" i="6"/>
  <c r="AW504" i="6" s="1"/>
  <c r="AV460" i="6"/>
  <c r="AW460" i="6" s="1"/>
  <c r="AV457" i="6"/>
  <c r="AW457" i="6" s="1"/>
  <c r="AV290" i="6"/>
  <c r="AW290" i="6" s="1"/>
  <c r="AV342" i="6"/>
  <c r="AW342" i="6" s="1"/>
  <c r="AV346" i="6"/>
  <c r="AW346" i="6" s="1"/>
  <c r="AV212" i="6"/>
  <c r="AW212" i="6" s="1"/>
  <c r="AV498" i="6"/>
  <c r="AW498" i="6" s="1"/>
  <c r="AV45" i="6"/>
  <c r="AW45" i="6" s="1"/>
  <c r="AV207" i="6"/>
  <c r="AW207" i="6" s="1"/>
  <c r="AV541" i="6"/>
  <c r="AW541" i="6" s="1"/>
  <c r="AV269" i="6"/>
  <c r="AW269" i="6" s="1"/>
  <c r="AV314" i="6"/>
  <c r="AW314" i="6" s="1"/>
  <c r="AV240" i="6"/>
  <c r="AW240" i="6" s="1"/>
  <c r="AV125" i="6"/>
  <c r="AW125" i="6" s="1"/>
  <c r="AV307" i="6"/>
  <c r="AW307" i="6" s="1"/>
  <c r="AV533" i="6"/>
  <c r="AW533" i="6" s="1"/>
  <c r="AV365" i="6"/>
  <c r="AW365" i="6" s="1"/>
  <c r="AV225" i="6"/>
  <c r="AW225" i="6" s="1"/>
  <c r="AV35" i="6"/>
  <c r="AW35" i="6" s="1"/>
  <c r="AV566" i="6"/>
  <c r="AW566" i="6" s="1"/>
  <c r="AV377" i="6"/>
  <c r="AW377" i="6" s="1"/>
  <c r="AV231" i="6"/>
  <c r="AW231" i="6" s="1"/>
  <c r="AV189" i="6"/>
  <c r="AW189" i="6" s="1"/>
  <c r="AV27" i="6"/>
  <c r="AW27" i="6" s="1"/>
  <c r="AV157" i="6"/>
  <c r="AW157" i="6" s="1"/>
  <c r="AV235" i="6"/>
  <c r="AW235" i="6" s="1"/>
  <c r="AV524" i="6"/>
  <c r="AW524" i="6" s="1"/>
  <c r="AV558" i="6"/>
  <c r="AW558" i="6" s="1"/>
  <c r="AV63" i="6"/>
  <c r="AW63" i="6" s="1"/>
  <c r="AV278" i="6"/>
  <c r="AW278" i="6" s="1"/>
  <c r="AV547" i="6"/>
  <c r="AW547" i="6" s="1"/>
  <c r="AV480" i="6"/>
  <c r="AW480" i="6" s="1"/>
  <c r="AV404" i="6"/>
  <c r="AW404" i="6" s="1"/>
  <c r="AV356" i="6"/>
  <c r="AW356" i="6" s="1"/>
  <c r="AV437" i="6"/>
  <c r="AW437" i="6" s="1"/>
  <c r="AV475" i="6"/>
  <c r="AW475" i="6" s="1"/>
  <c r="AV388" i="6"/>
  <c r="AW388" i="6" s="1"/>
  <c r="AV242" i="6"/>
  <c r="AW242" i="6" s="1"/>
  <c r="AV465" i="6"/>
  <c r="AW465" i="6" s="1"/>
  <c r="AV58" i="6"/>
  <c r="AW58" i="6" s="1"/>
  <c r="AV210" i="6"/>
  <c r="AW210" i="6" s="1"/>
  <c r="AV448" i="6"/>
  <c r="AW448" i="6" s="1"/>
  <c r="AV423" i="6"/>
  <c r="AW423" i="6" s="1"/>
  <c r="AV549" i="6"/>
  <c r="AW549" i="6" s="1"/>
  <c r="AV412" i="6"/>
  <c r="AW412" i="6" s="1"/>
  <c r="AV203" i="6"/>
  <c r="AW203" i="6" s="1"/>
  <c r="AV223" i="6"/>
  <c r="AW223" i="6" s="1"/>
  <c r="AV172" i="6"/>
  <c r="AW172" i="6" s="1"/>
  <c r="AV486" i="6"/>
  <c r="AW486" i="6" s="1"/>
  <c r="AV104" i="6"/>
  <c r="AW104" i="6" s="1"/>
  <c r="AV220" i="6"/>
  <c r="AW220" i="6" s="1"/>
  <c r="AV375" i="6"/>
  <c r="AW375" i="6" s="1"/>
  <c r="AV38" i="6"/>
  <c r="AW38" i="6" s="1"/>
  <c r="AV546" i="6"/>
  <c r="AW546" i="6" s="1"/>
  <c r="AV237" i="6"/>
  <c r="AW237" i="6" s="1"/>
  <c r="AV49" i="6"/>
  <c r="AW49" i="6" s="1"/>
  <c r="AV550" i="6"/>
  <c r="AW550" i="6" s="1"/>
  <c r="AV221" i="6"/>
  <c r="AW221" i="6" s="1"/>
  <c r="AV479" i="6"/>
  <c r="AW479" i="6" s="1"/>
  <c r="AV363" i="6"/>
  <c r="AW363" i="6" s="1"/>
  <c r="AV246" i="6"/>
  <c r="AW246" i="6" s="1"/>
  <c r="AV54" i="6"/>
  <c r="AW54" i="6" s="1"/>
  <c r="AV300" i="6"/>
  <c r="AW300" i="6" s="1"/>
  <c r="AV308" i="6"/>
  <c r="AW308" i="6" s="1"/>
  <c r="AV538" i="6"/>
  <c r="AW538" i="6" s="1"/>
  <c r="AV398" i="6"/>
  <c r="AW398" i="6" s="1"/>
  <c r="AV369" i="6"/>
  <c r="AW369" i="6" s="1"/>
  <c r="AV434" i="6"/>
  <c r="AW434" i="6" s="1"/>
  <c r="AV297" i="6"/>
  <c r="AW297" i="6" s="1"/>
  <c r="AV322" i="6"/>
  <c r="AW322" i="6" s="1"/>
  <c r="AV339" i="6"/>
  <c r="AW339" i="6" s="1"/>
  <c r="AV544" i="6"/>
  <c r="AW544" i="6" s="1"/>
  <c r="AV218" i="6"/>
  <c r="AW218" i="6" s="1"/>
  <c r="AV439" i="6"/>
  <c r="AW439" i="6" s="1"/>
  <c r="AV124" i="6"/>
  <c r="AW124" i="6" s="1"/>
  <c r="AV78" i="6"/>
  <c r="AW78" i="6" s="1"/>
  <c r="AV345" i="6"/>
  <c r="AW345" i="6" s="1"/>
  <c r="AV144" i="6"/>
  <c r="AW144" i="6" s="1"/>
  <c r="AV489" i="6"/>
  <c r="AW489" i="6" s="1"/>
  <c r="AV258" i="6"/>
  <c r="AW258" i="6" s="1"/>
  <c r="AV39" i="6"/>
  <c r="AW39" i="6" s="1"/>
  <c r="AV445" i="6"/>
  <c r="AW445" i="6" s="1"/>
  <c r="AV499" i="6"/>
  <c r="AW499" i="6" s="1"/>
  <c r="AV43" i="6"/>
  <c r="AW43" i="6" s="1"/>
  <c r="AV567" i="6"/>
  <c r="AW567" i="6" s="1"/>
  <c r="AV306" i="6"/>
  <c r="AW306" i="6" s="1"/>
  <c r="AV171" i="6"/>
  <c r="AW171" i="6" s="1"/>
  <c r="AV281" i="6"/>
  <c r="AW281" i="6" s="1"/>
  <c r="AV540" i="6"/>
  <c r="AW540" i="6" s="1"/>
  <c r="AV273" i="6"/>
  <c r="AW273" i="6" s="1"/>
  <c r="AV367" i="6"/>
  <c r="AW367" i="6" s="1"/>
  <c r="AV409" i="6"/>
  <c r="AW409" i="6" s="1"/>
  <c r="AV389" i="6"/>
  <c r="AW389" i="6" s="1"/>
  <c r="AV174" i="6"/>
  <c r="AW174" i="6" s="1"/>
  <c r="AV360" i="6"/>
  <c r="AW360" i="6" s="1"/>
  <c r="AV551" i="6"/>
  <c r="AW551" i="6" s="1"/>
  <c r="AV421" i="6"/>
  <c r="AW421" i="6" s="1"/>
  <c r="AV257" i="6"/>
  <c r="AW257" i="6" s="1"/>
  <c r="AV96" i="6"/>
  <c r="AW96" i="6" s="1"/>
  <c r="AV321" i="6"/>
  <c r="AW321" i="6" s="1"/>
  <c r="AV263" i="6"/>
  <c r="AW263" i="6" s="1"/>
  <c r="AV85" i="6"/>
  <c r="AW85" i="6" s="1"/>
  <c r="AV532" i="6"/>
  <c r="AW532" i="6" s="1"/>
  <c r="AV304" i="6"/>
  <c r="AW304" i="6" s="1"/>
  <c r="AV381" i="6"/>
  <c r="AW381" i="6" s="1"/>
  <c r="AV115" i="6"/>
  <c r="AW115" i="6" s="1"/>
  <c r="AV397" i="6"/>
  <c r="AW397" i="6" s="1"/>
  <c r="AV359" i="6"/>
  <c r="AW359" i="6" s="1"/>
  <c r="AV228" i="6"/>
  <c r="AW228" i="6" s="1"/>
  <c r="AV453" i="6"/>
  <c r="AW453" i="6" s="1"/>
  <c r="AV177" i="6"/>
  <c r="AW177" i="6" s="1"/>
  <c r="AV279" i="6"/>
  <c r="AW279" i="6" s="1"/>
  <c r="AV248" i="6"/>
  <c r="AW248" i="6" s="1"/>
  <c r="AV91" i="6"/>
  <c r="AW91" i="6" s="1"/>
  <c r="AV502" i="6"/>
  <c r="AW502" i="6" s="1"/>
  <c r="AV426" i="6"/>
  <c r="AW426" i="6" s="1"/>
  <c r="AV422" i="6"/>
  <c r="AW422" i="6" s="1"/>
  <c r="AV249" i="6"/>
  <c r="AW249" i="6" s="1"/>
  <c r="AV150" i="6"/>
  <c r="AW150" i="6" s="1"/>
  <c r="AV105" i="6"/>
  <c r="AW105" i="6" s="1"/>
  <c r="AV183" i="6"/>
  <c r="AW183" i="6" s="1"/>
  <c r="AV472" i="6"/>
  <c r="AW472" i="6" s="1"/>
  <c r="AV230" i="6"/>
  <c r="AW230" i="6" s="1"/>
  <c r="AV310" i="6"/>
  <c r="AW310" i="6" s="1"/>
  <c r="AV425" i="6"/>
  <c r="AW425" i="6" s="1"/>
  <c r="AV474" i="6"/>
  <c r="AW474" i="6" s="1"/>
  <c r="AV56" i="6"/>
  <c r="AW56" i="6" s="1"/>
  <c r="AV468" i="6"/>
  <c r="AW468" i="6" s="1"/>
  <c r="AV97" i="6"/>
  <c r="AW97" i="6" s="1"/>
  <c r="AV109" i="6"/>
  <c r="AW109" i="6" s="1"/>
  <c r="AV320" i="6"/>
  <c r="AW320" i="6" s="1"/>
  <c r="AV268" i="6"/>
  <c r="AW268" i="6" s="1"/>
  <c r="AV135" i="6"/>
  <c r="AW135" i="6" s="1"/>
  <c r="AV31" i="6"/>
  <c r="AW31" i="6" s="1"/>
  <c r="AV478" i="6"/>
  <c r="AW478" i="6" s="1"/>
  <c r="AV530" i="6"/>
  <c r="AW530" i="6" s="1"/>
  <c r="AV331" i="6"/>
  <c r="AW331" i="6" s="1"/>
  <c r="AV354" i="6"/>
  <c r="AW354" i="6" s="1"/>
  <c r="AV284" i="6"/>
  <c r="AW284" i="6" s="1"/>
  <c r="AV102" i="6"/>
  <c r="AW102" i="6" s="1"/>
  <c r="AV98" i="6"/>
  <c r="AW98" i="6" s="1"/>
  <c r="AV199" i="6"/>
  <c r="AW199" i="6" s="1"/>
  <c r="AV531" i="6"/>
  <c r="AW531" i="6" s="1"/>
  <c r="AV315" i="6"/>
  <c r="AW315" i="6" s="1"/>
  <c r="AV484" i="6"/>
  <c r="AW484" i="6" s="1"/>
  <c r="AV86" i="6"/>
  <c r="AW86" i="6" s="1"/>
  <c r="AV408" i="6"/>
  <c r="AW408" i="6" s="1"/>
  <c r="AV407" i="6"/>
  <c r="AW407" i="6" s="1"/>
  <c r="AV326" i="6"/>
  <c r="AW326" i="6" s="1"/>
  <c r="AV506" i="6"/>
  <c r="AW506" i="6" s="1"/>
  <c r="AV26" i="6"/>
  <c r="AW26" i="6" s="1"/>
  <c r="AV140" i="6"/>
  <c r="AW140" i="6" s="1"/>
  <c r="AV528" i="6"/>
  <c r="AW528" i="6" s="1"/>
  <c r="AV152" i="6"/>
  <c r="AW152" i="6" s="1"/>
  <c r="AV62" i="6"/>
  <c r="AW62" i="6" s="1"/>
  <c r="AV553" i="6"/>
  <c r="AW553" i="6" s="1"/>
  <c r="AV254" i="6"/>
  <c r="AW254" i="6" s="1"/>
  <c r="AV511" i="6"/>
  <c r="AW511" i="6" s="1"/>
  <c r="AV526" i="6"/>
  <c r="AW526" i="6" s="1"/>
  <c r="AV490" i="6"/>
  <c r="AW490" i="6" s="1"/>
  <c r="AV111" i="6"/>
  <c r="AW111" i="6" s="1"/>
  <c r="AV37" i="6"/>
  <c r="AW37" i="6" s="1"/>
  <c r="AV241" i="6"/>
  <c r="AW241" i="6" s="1"/>
  <c r="AV79" i="6"/>
  <c r="AW79" i="6" s="1"/>
  <c r="AV303" i="6"/>
  <c r="AW303" i="6" s="1"/>
  <c r="AV476" i="6"/>
  <c r="AW476" i="6" s="1"/>
  <c r="AV214" i="6"/>
  <c r="AW214" i="6" s="1"/>
  <c r="AV483" i="6"/>
  <c r="AW483" i="6" s="1"/>
  <c r="AV264" i="6"/>
  <c r="AW264" i="6" s="1"/>
  <c r="AV493" i="6"/>
  <c r="AW493" i="6" s="1"/>
  <c r="AV391" i="6"/>
  <c r="AW391" i="6" s="1"/>
  <c r="AV127" i="6"/>
  <c r="AW127" i="6" s="1"/>
  <c r="AV80" i="6"/>
  <c r="AW80" i="6" s="1"/>
  <c r="AV534" i="6"/>
  <c r="AW534" i="6" s="1"/>
  <c r="AV295" i="6"/>
  <c r="AW295" i="6" s="1"/>
  <c r="AV195" i="6"/>
  <c r="AW195" i="6" s="1"/>
  <c r="AV99" i="6"/>
  <c r="AW99" i="6" s="1"/>
  <c r="AV385" i="6"/>
  <c r="AW385" i="6" s="1"/>
  <c r="AV352" i="6"/>
  <c r="AW352" i="6" s="1"/>
  <c r="AV325" i="6"/>
  <c r="AW325" i="6" s="1"/>
  <c r="AV275" i="6"/>
  <c r="AW275" i="6" s="1"/>
  <c r="AV173" i="6"/>
  <c r="AW173" i="6" s="1"/>
  <c r="AV477" i="6"/>
  <c r="AW477" i="6" s="1"/>
  <c r="AV449" i="6"/>
  <c r="AW449" i="6" s="1"/>
  <c r="AV234" i="6"/>
  <c r="AW234" i="6" s="1"/>
  <c r="AV265" i="6"/>
  <c r="AW265" i="6" s="1"/>
  <c r="AV167" i="6"/>
  <c r="AW167" i="6" s="1"/>
  <c r="AV205" i="6"/>
  <c r="AW205" i="6" s="1"/>
  <c r="AV335" i="6"/>
  <c r="AW335" i="6" s="1"/>
  <c r="AV376" i="6"/>
  <c r="AW376" i="6" s="1"/>
  <c r="AV87" i="6"/>
  <c r="AW87" i="6" s="1"/>
  <c r="AV164" i="6"/>
  <c r="AW164" i="6" s="1"/>
  <c r="AV378" i="6"/>
  <c r="AW378" i="6" s="1"/>
  <c r="AV143" i="6"/>
  <c r="AW143" i="6" s="1"/>
  <c r="AV495" i="6"/>
  <c r="AW495" i="6" s="1"/>
  <c r="AV267" i="6"/>
  <c r="AW267" i="6" s="1"/>
  <c r="AV107" i="6"/>
  <c r="AW107" i="6" s="1"/>
  <c r="AV539" i="6"/>
  <c r="AW539" i="6" s="1"/>
  <c r="AV497" i="6"/>
  <c r="AW497" i="6" s="1"/>
  <c r="AV198" i="6"/>
  <c r="AW198" i="6" s="1"/>
  <c r="AV204" i="6"/>
  <c r="AW204" i="6" s="1"/>
  <c r="AV520" i="6"/>
  <c r="AW520" i="6" s="1"/>
  <c r="AV251" i="6"/>
  <c r="AW251" i="6" s="1"/>
  <c r="AV274" i="6"/>
  <c r="AW274" i="6" s="1"/>
  <c r="AV76" i="6"/>
  <c r="AW76" i="6" s="1"/>
  <c r="AV555" i="6"/>
  <c r="AW555" i="6" s="1"/>
  <c r="AV138" i="6"/>
  <c r="AW138" i="6" s="1"/>
  <c r="AV353" i="6"/>
  <c r="AW353" i="6" s="1"/>
  <c r="AV166" i="6"/>
  <c r="AW166" i="6" s="1"/>
  <c r="AV461" i="6"/>
  <c r="AW461" i="6" s="1"/>
  <c r="AV406" i="6"/>
  <c r="AW406" i="6" s="1"/>
  <c r="AV196" i="6"/>
  <c r="AW196" i="6" s="1"/>
  <c r="AV338" i="6"/>
  <c r="AW338" i="6" s="1"/>
  <c r="AV554" i="6"/>
  <c r="AW554" i="6" s="1"/>
  <c r="AV28" i="6"/>
  <c r="AW28" i="6" s="1"/>
  <c r="AV186" i="6"/>
  <c r="AW186" i="6" s="1"/>
  <c r="AV456" i="6"/>
  <c r="AW456" i="6" s="1"/>
  <c r="AV178" i="6"/>
  <c r="AW178" i="6" s="1"/>
  <c r="AV130" i="6"/>
  <c r="AW130" i="6" s="1"/>
  <c r="AV431" i="6"/>
  <c r="AW431" i="6" s="1"/>
  <c r="AV509" i="6"/>
  <c r="AW509" i="6" s="1"/>
  <c r="AV563" i="6"/>
  <c r="AW563" i="6" s="1"/>
  <c r="AV372" i="6"/>
  <c r="AW372" i="6" s="1"/>
  <c r="AV276" i="6"/>
  <c r="AW276" i="6" s="1"/>
  <c r="AV89" i="6"/>
  <c r="AW89" i="6" s="1"/>
  <c r="AV311" i="6"/>
  <c r="AW311" i="6" s="1"/>
  <c r="AV192" i="6"/>
  <c r="AW192" i="6" s="1"/>
  <c r="AV55" i="6"/>
  <c r="AW55" i="6" s="1"/>
  <c r="AV384" i="6"/>
  <c r="AW384" i="6" s="1"/>
  <c r="AV116" i="6"/>
  <c r="AW116" i="6" s="1"/>
  <c r="AV301" i="6"/>
  <c r="AW301" i="6" s="1"/>
  <c r="AV146" i="6"/>
  <c r="AW146" i="6" s="1"/>
  <c r="AV82" i="6"/>
  <c r="AW82" i="6" s="1"/>
  <c r="AV312" i="6"/>
  <c r="AW312" i="6" s="1"/>
  <c r="AV277" i="6"/>
  <c r="AW277" i="6" s="1"/>
  <c r="AV510" i="6"/>
  <c r="AW510" i="6" s="1"/>
  <c r="AV545" i="6"/>
  <c r="AW545" i="6" s="1"/>
  <c r="AV67" i="6"/>
  <c r="AW67" i="6" s="1"/>
  <c r="AV30" i="6"/>
  <c r="AW30" i="6" s="1"/>
  <c r="AV515" i="6"/>
  <c r="AW515" i="6" s="1"/>
  <c r="AV299" i="6"/>
  <c r="AW299" i="6" s="1"/>
  <c r="AV139" i="6"/>
  <c r="AW139" i="6" s="1"/>
  <c r="AV245" i="6"/>
  <c r="AW245" i="6" s="1"/>
  <c r="AV69" i="6"/>
  <c r="AW69" i="6" s="1"/>
  <c r="AV380" i="6"/>
  <c r="AW380" i="6" s="1"/>
  <c r="AV487" i="6"/>
  <c r="AW487" i="6" s="1"/>
  <c r="AV513" i="6"/>
  <c r="AW513" i="6" s="1"/>
  <c r="AV512" i="6"/>
  <c r="AW512" i="6" s="1"/>
  <c r="AV286" i="6"/>
  <c r="AW286" i="6" s="1"/>
  <c r="AV141" i="6"/>
  <c r="AW141" i="6" s="1"/>
  <c r="AV327" i="6"/>
  <c r="AW327" i="6" s="1"/>
  <c r="AV151" i="6"/>
  <c r="AW151" i="6" s="1"/>
  <c r="AV159" i="6"/>
  <c r="AW159" i="6" s="1"/>
  <c r="AV53" i="6"/>
  <c r="AW53" i="6" s="1"/>
  <c r="AV438" i="6"/>
  <c r="AW438" i="6" s="1"/>
  <c r="AV496" i="6"/>
  <c r="AW496" i="6" s="1"/>
  <c r="AV430" i="6"/>
  <c r="AW430" i="6" s="1"/>
  <c r="AV44" i="6"/>
  <c r="AW44" i="6" s="1"/>
  <c r="AV259" i="6"/>
  <c r="AW259" i="6" s="1"/>
  <c r="AV313" i="6"/>
  <c r="AW313" i="6" s="1"/>
  <c r="AV233" i="6"/>
  <c r="AW233" i="6" s="1"/>
  <c r="AV559" i="6"/>
  <c r="AW559" i="6" s="1"/>
  <c r="AV193" i="6"/>
  <c r="AW193" i="6" s="1"/>
  <c r="AV33" i="6"/>
  <c r="AW33" i="6" s="1"/>
  <c r="AV64" i="6"/>
  <c r="AW64" i="6" s="1"/>
  <c r="AV371" i="6"/>
  <c r="AW371" i="6" s="1"/>
  <c r="AV500" i="6"/>
  <c r="AW500" i="6" s="1"/>
  <c r="AV458" i="6"/>
  <c r="AW458" i="6" s="1"/>
  <c r="AV395" i="6"/>
  <c r="AW395" i="6" s="1"/>
  <c r="AV289" i="6"/>
  <c r="AW289" i="6" s="1"/>
  <c r="AV383" i="6"/>
  <c r="AW383" i="6" s="1"/>
  <c r="AV459" i="6"/>
  <c r="AW459" i="6" s="1"/>
  <c r="AV444" i="6"/>
  <c r="AW444" i="6" s="1"/>
  <c r="AV131" i="6"/>
  <c r="AW131" i="6" s="1"/>
  <c r="AV392" i="6"/>
  <c r="AW392" i="6" s="1"/>
  <c r="AV454" i="6"/>
  <c r="AW454" i="6" s="1"/>
  <c r="AV332" i="6"/>
  <c r="AW332" i="6" s="1"/>
  <c r="AV202" i="6"/>
  <c r="AW202" i="6" s="1"/>
  <c r="AV128" i="6"/>
  <c r="AW128" i="6" s="1"/>
  <c r="AV81" i="6"/>
  <c r="AW81" i="6" s="1"/>
  <c r="AV402" i="6"/>
  <c r="AW402" i="6" s="1"/>
  <c r="AV413" i="6"/>
  <c r="AW413" i="6" s="1"/>
  <c r="AV224" i="6"/>
  <c r="AW224" i="6" s="1"/>
  <c r="AV219" i="6"/>
  <c r="AW219" i="6" s="1"/>
  <c r="AV145" i="6"/>
  <c r="AW145" i="6" s="1"/>
  <c r="AV302" i="6"/>
  <c r="AW302" i="6" s="1"/>
  <c r="AV29" i="6"/>
  <c r="AW29" i="6" s="1"/>
  <c r="AV455" i="6"/>
  <c r="AW455" i="6" s="1"/>
  <c r="AV52" i="6"/>
  <c r="AW52" i="6" s="1"/>
  <c r="AV386" i="6"/>
  <c r="AW386" i="6" s="1"/>
  <c r="AV536" i="6"/>
  <c r="AW536" i="6" s="1"/>
  <c r="AV441" i="6"/>
  <c r="AW441" i="6" s="1"/>
  <c r="AV292" i="6"/>
  <c r="AW292" i="6" s="1"/>
  <c r="AV70" i="6"/>
  <c r="AW70" i="6" s="1"/>
  <c r="AV370" i="6"/>
  <c r="AW370" i="6" s="1"/>
  <c r="AV440" i="6"/>
  <c r="AW440" i="6" s="1"/>
  <c r="AV32" i="6"/>
  <c r="AW32" i="6" s="1"/>
  <c r="AV401" i="6"/>
  <c r="AW401" i="6" s="1"/>
  <c r="AV190" i="6"/>
  <c r="AW190" i="6" s="1"/>
  <c r="AV92" i="6"/>
  <c r="AW92" i="6" s="1"/>
  <c r="AV494" i="6"/>
  <c r="AW494" i="6" s="1"/>
  <c r="AV527" i="6"/>
  <c r="AW527" i="6" s="1"/>
  <c r="AV117" i="6"/>
  <c r="AW117" i="6" s="1"/>
  <c r="AV213" i="6"/>
  <c r="AW213" i="6" s="1"/>
  <c r="AV59" i="6"/>
  <c r="AW59" i="6" s="1"/>
  <c r="AV319" i="6"/>
  <c r="AW319" i="6" s="1"/>
  <c r="AV153" i="6"/>
  <c r="AW153" i="6" s="1"/>
  <c r="AV552" i="6"/>
  <c r="AW552" i="6" s="1"/>
  <c r="AV84" i="6"/>
  <c r="AW84" i="6" s="1"/>
  <c r="AV121" i="6"/>
  <c r="AW121" i="6" s="1"/>
  <c r="AV562" i="6"/>
  <c r="AW562" i="6" s="1"/>
  <c r="AV390" i="6"/>
  <c r="AW390" i="6" s="1"/>
  <c r="AV271" i="6"/>
  <c r="AW271" i="6" s="1"/>
  <c r="AV46" i="6"/>
  <c r="AW46" i="6" s="1"/>
  <c r="AV379" i="6"/>
  <c r="AW379" i="6" s="1"/>
  <c r="AV466" i="6"/>
  <c r="AW466" i="6" s="1"/>
  <c r="AV291" i="6"/>
  <c r="AW291" i="6" s="1"/>
  <c r="AV329" i="6"/>
  <c r="AW329" i="6" s="1"/>
  <c r="AV83" i="6"/>
  <c r="AW83" i="6" s="1"/>
  <c r="AV209" i="6"/>
  <c r="AW209" i="6" s="1"/>
  <c r="AV348" i="6"/>
  <c r="AW348" i="6" s="1"/>
  <c r="AV396" i="6"/>
  <c r="AW396" i="6" s="1"/>
  <c r="AV250" i="6"/>
  <c r="AW250" i="6" s="1"/>
  <c r="AV66" i="6"/>
  <c r="AW66" i="6" s="1"/>
  <c r="AV450" i="6"/>
  <c r="AW450" i="6" s="1"/>
  <c r="AV215" i="6"/>
  <c r="AW215" i="6" s="1"/>
  <c r="AV24" i="6"/>
  <c r="AW24" i="6" s="1"/>
  <c r="AV400" i="6"/>
  <c r="AW400" i="6" s="1"/>
  <c r="AV185" i="6"/>
  <c r="AW185" i="6" s="1"/>
  <c r="AV119" i="6"/>
  <c r="AW119" i="6" s="1"/>
  <c r="AV181" i="6"/>
  <c r="AW181" i="6" s="1"/>
  <c r="AV272" i="6"/>
  <c r="AW272" i="6" s="1"/>
  <c r="AV201" i="6"/>
  <c r="AW201" i="6" s="1"/>
  <c r="AV188" i="6"/>
  <c r="AW188" i="6" s="1"/>
  <c r="AV492" i="6"/>
  <c r="AW492" i="6" s="1"/>
  <c r="AV262" i="6"/>
  <c r="AW262" i="6" s="1"/>
  <c r="AV103" i="6"/>
  <c r="AW103" i="6" s="1"/>
  <c r="AV473" i="6"/>
  <c r="AW473" i="6" s="1"/>
  <c r="AV229" i="6"/>
  <c r="AW229" i="6" s="1"/>
  <c r="AV94" i="6"/>
  <c r="AW94" i="6" s="1"/>
  <c r="AV106" i="6"/>
  <c r="AW106" i="6" s="1"/>
  <c r="AV429" i="6"/>
  <c r="AW429" i="6" s="1"/>
  <c r="AV343" i="6"/>
  <c r="AW343" i="6" s="1"/>
  <c r="AV293" i="6"/>
  <c r="AW293" i="6" s="1"/>
  <c r="AV432" i="6"/>
  <c r="AW432" i="6" s="1"/>
  <c r="AV393" i="6"/>
  <c r="AW393" i="6" s="1"/>
  <c r="AV368" i="6"/>
  <c r="AW368" i="6" s="1"/>
  <c r="AV382" i="6"/>
  <c r="AW382" i="6" s="1"/>
  <c r="AV298" i="6"/>
  <c r="AW298" i="6" s="1"/>
  <c r="AV334" i="6"/>
  <c r="AW334" i="6" s="1"/>
  <c r="AV169" i="6"/>
  <c r="AW169" i="6" s="1"/>
  <c r="AV280" i="6"/>
  <c r="AW280" i="6" s="1"/>
  <c r="AV68" i="6"/>
  <c r="AW68" i="6" s="1"/>
  <c r="AV317" i="6"/>
  <c r="AW317" i="6" s="1"/>
  <c r="AV394" i="6"/>
  <c r="AW394" i="6" s="1"/>
  <c r="AV113" i="6"/>
  <c r="AW113" i="6" s="1"/>
  <c r="AV361" i="6"/>
  <c r="AW361" i="6" s="1"/>
  <c r="AV501" i="6"/>
  <c r="AW501" i="6" s="1"/>
  <c r="AV88" i="6"/>
  <c r="AW88" i="6" s="1"/>
  <c r="AV508" i="6"/>
  <c r="AW508" i="6" s="1"/>
  <c r="AV238" i="6"/>
  <c r="AW238" i="6" s="1"/>
  <c r="AV451" i="6"/>
  <c r="AW451" i="6" s="1"/>
  <c r="AV226" i="6"/>
  <c r="AW226" i="6" s="1"/>
  <c r="AV485" i="6"/>
  <c r="AW485" i="6" s="1"/>
  <c r="AV252" i="6"/>
  <c r="AW252" i="6" s="1"/>
  <c r="AV158" i="6"/>
  <c r="AW158" i="6" s="1"/>
  <c r="AV557" i="6"/>
  <c r="AW557" i="6" s="1"/>
  <c r="AV330" i="6"/>
  <c r="AW330" i="6" s="1"/>
  <c r="AV347" i="6"/>
  <c r="AW347" i="6" s="1"/>
  <c r="AV419" i="6"/>
  <c r="AW419" i="6" s="1"/>
  <c r="AV194" i="6"/>
  <c r="AW194" i="6" s="1"/>
  <c r="AV507" i="6"/>
  <c r="AW507" i="6" s="1"/>
  <c r="AV488" i="6"/>
  <c r="AW488" i="6" s="1"/>
  <c r="AV482" i="6"/>
  <c r="AW482" i="6" s="1"/>
  <c r="AV428" i="6"/>
  <c r="AW428" i="6" s="1"/>
  <c r="AV305" i="6"/>
  <c r="AW305" i="6" s="1"/>
  <c r="AV543" i="6"/>
  <c r="AW543" i="6" s="1"/>
  <c r="AV191" i="6"/>
  <c r="AW191" i="6" s="1"/>
  <c r="AV523" i="6"/>
  <c r="AW523" i="6" s="1"/>
  <c r="AV197" i="6"/>
  <c r="AW197" i="6" s="1"/>
  <c r="AV560" i="6"/>
  <c r="AW560" i="6" s="1"/>
  <c r="AV529" i="6"/>
  <c r="AW529" i="6" s="1"/>
  <c r="AV420" i="6"/>
  <c r="AW420" i="6" s="1"/>
  <c r="AV165" i="6"/>
  <c r="AW165" i="6" s="1"/>
  <c r="AV100" i="6"/>
  <c r="AW100" i="6" s="1"/>
  <c r="AV118" i="6"/>
  <c r="AW118" i="6" s="1"/>
  <c r="AV182" i="6"/>
  <c r="AW182" i="6" s="1"/>
  <c r="AV71" i="6"/>
  <c r="AW71" i="6" s="1"/>
  <c r="AV123" i="6"/>
  <c r="AW123" i="6" s="1"/>
  <c r="AV147" i="6"/>
  <c r="AW147" i="6" s="1"/>
  <c r="AV247" i="6"/>
  <c r="AW247" i="6" s="1"/>
  <c r="AV469" i="6"/>
  <c r="AW469" i="6" s="1"/>
  <c r="AV36" i="6"/>
  <c r="AW36" i="6" s="1"/>
  <c r="AV355" i="6"/>
  <c r="AW355" i="6" s="1"/>
  <c r="AV446" i="6"/>
  <c r="AW446" i="6" s="1"/>
  <c r="AV162" i="6"/>
  <c r="AW162" i="6" s="1"/>
  <c r="AV537" i="6"/>
  <c r="AW537" i="6" s="1"/>
  <c r="AV471" i="6"/>
  <c r="AW471" i="6" s="1"/>
  <c r="AV374" i="6"/>
  <c r="AW374" i="6" s="1"/>
  <c r="AV522" i="6"/>
  <c r="AW522" i="6" s="1"/>
  <c r="AV516" i="6"/>
  <c r="AW516" i="6" s="1"/>
  <c r="AV535" i="6"/>
  <c r="AW535" i="6" s="1"/>
  <c r="AV163" i="6"/>
  <c r="AW163" i="6" s="1"/>
  <c r="AV51" i="6"/>
  <c r="AW51" i="6" s="1"/>
  <c r="AV48" i="6"/>
  <c r="AW48" i="6" s="1"/>
  <c r="AV187" i="6"/>
  <c r="AW187" i="6" s="1"/>
  <c r="AV309" i="6"/>
  <c r="AW309" i="6" s="1"/>
  <c r="AV491" i="6"/>
  <c r="AW491" i="6" s="1"/>
  <c r="AV41" i="6"/>
  <c r="AW41" i="6" s="1"/>
  <c r="AV160" i="6"/>
  <c r="AW160" i="6" s="1"/>
  <c r="AV75" i="6"/>
  <c r="AW75" i="6" s="1"/>
  <c r="AV462" i="6"/>
  <c r="AW462" i="6" s="1"/>
  <c r="AV282" i="6"/>
  <c r="AW282" i="6" s="1"/>
  <c r="AV362" i="6"/>
  <c r="AW362" i="6" s="1"/>
  <c r="AV101" i="6"/>
  <c r="AW101" i="6" s="1"/>
  <c r="AV168" i="6"/>
  <c r="AW168" i="6" s="1"/>
  <c r="AV72" i="6"/>
  <c r="AW72" i="6" s="1"/>
  <c r="AV564" i="6"/>
  <c r="AW564" i="6" s="1"/>
  <c r="AV285" i="6"/>
  <c r="AW285" i="6" s="1"/>
  <c r="AV90" i="6"/>
  <c r="AW90" i="6" s="1"/>
  <c r="AV414" i="6"/>
  <c r="AW414" i="6" s="1"/>
  <c r="AV232" i="6"/>
  <c r="AW232" i="6" s="1"/>
  <c r="AV114" i="6"/>
  <c r="AW114" i="6" s="1"/>
  <c r="BH485" i="6"/>
  <c r="BH191" i="6"/>
  <c r="BR358" i="6"/>
  <c r="BR156" i="6"/>
  <c r="BR436" i="6"/>
  <c r="BR137" i="6"/>
  <c r="BH213" i="6"/>
  <c r="BR247" i="6"/>
  <c r="BH52" i="6"/>
  <c r="BR520" i="6"/>
  <c r="BR128" i="6"/>
  <c r="BH241" i="6"/>
  <c r="BR400" i="6"/>
  <c r="BH344" i="6"/>
  <c r="BH493" i="6"/>
  <c r="BH529" i="6"/>
  <c r="BH163" i="6"/>
  <c r="BR285" i="6"/>
  <c r="BH258" i="6"/>
  <c r="BR535" i="6"/>
  <c r="BH69" i="6"/>
  <c r="BR54" i="6"/>
  <c r="BR497" i="6"/>
  <c r="BR131" i="6"/>
  <c r="BR431" i="6"/>
  <c r="BH394" i="6"/>
  <c r="BH558" i="6"/>
  <c r="BH521" i="6"/>
  <c r="BR503" i="6"/>
  <c r="BH319" i="6"/>
  <c r="BR169" i="6"/>
  <c r="BR319" i="6"/>
  <c r="BH308" i="6"/>
  <c r="BR513" i="6"/>
  <c r="BR425" i="6"/>
  <c r="BH332" i="6"/>
  <c r="BR389" i="6"/>
  <c r="BR29" i="6"/>
  <c r="BH188" i="6"/>
  <c r="BH314" i="6"/>
  <c r="BH137" i="6"/>
  <c r="BR419" i="6"/>
  <c r="BH316" i="6"/>
  <c r="BR368" i="6"/>
  <c r="BH553" i="6"/>
  <c r="BR230" i="6"/>
  <c r="BH202" i="6"/>
  <c r="BR42" i="6"/>
  <c r="BH400" i="6"/>
  <c r="BR52" i="6"/>
  <c r="BH101" i="6"/>
  <c r="BR373" i="6"/>
  <c r="BR72" i="6"/>
  <c r="BR474" i="6"/>
  <c r="BH286" i="6"/>
  <c r="BH522" i="6"/>
  <c r="BR484" i="6"/>
  <c r="BH481" i="6"/>
  <c r="BR121" i="6"/>
  <c r="BR234" i="6"/>
  <c r="BR350" i="6"/>
  <c r="BR467" i="6"/>
  <c r="BR343" i="6"/>
  <c r="BH293" i="6"/>
  <c r="BH93" i="6"/>
  <c r="BR565" i="6"/>
  <c r="BR359" i="6"/>
  <c r="BH266" i="6"/>
  <c r="BR269" i="6"/>
  <c r="BR266" i="6"/>
  <c r="BH532" i="6"/>
  <c r="BH501" i="6"/>
  <c r="BR567" i="6"/>
  <c r="BR148" i="6"/>
  <c r="BR263" i="6"/>
  <c r="BH88" i="6"/>
  <c r="BR345" i="6"/>
  <c r="BR541" i="6"/>
  <c r="BH346" i="6"/>
  <c r="BH463" i="6"/>
  <c r="BR454" i="6"/>
  <c r="BH461" i="6"/>
  <c r="BH499" i="6"/>
  <c r="BR332" i="6"/>
  <c r="BH389" i="6"/>
  <c r="BR515" i="6"/>
  <c r="BR287" i="6"/>
  <c r="BR243" i="6"/>
  <c r="BH347" i="6"/>
  <c r="BH180" i="6"/>
  <c r="BH196" i="6"/>
  <c r="BH520" i="6"/>
  <c r="BR365" i="6"/>
  <c r="BH505" i="6"/>
  <c r="BH179" i="6"/>
  <c r="BH148" i="6"/>
  <c r="BH427" i="6"/>
  <c r="BR390" i="6"/>
  <c r="BR172" i="6"/>
  <c r="BR227" i="6"/>
  <c r="BR186" i="6"/>
  <c r="BH452" i="6"/>
  <c r="BR473" i="6"/>
  <c r="BH91" i="6"/>
  <c r="BR453" i="6"/>
  <c r="BH559" i="6"/>
  <c r="BH287" i="6"/>
  <c r="BH419" i="6"/>
  <c r="BR78" i="6"/>
  <c r="BH42" i="6"/>
  <c r="BR510" i="6"/>
  <c r="BH345" i="6"/>
  <c r="BH72" i="6"/>
  <c r="BR284" i="6"/>
  <c r="BR393" i="6"/>
  <c r="BR538" i="6"/>
  <c r="BH84" i="6"/>
  <c r="BH444" i="6"/>
  <c r="BH412" i="6"/>
  <c r="BH552" i="6"/>
  <c r="BR545" i="6"/>
  <c r="BR218" i="6"/>
  <c r="BH465" i="6"/>
  <c r="BR254" i="6"/>
  <c r="BH263" i="6"/>
  <c r="BH126" i="6"/>
  <c r="BH65" i="6"/>
  <c r="BH302" i="6"/>
  <c r="BR344" i="6"/>
  <c r="BR529" i="6"/>
  <c r="BR155" i="6"/>
  <c r="BH250" i="6"/>
  <c r="BH519" i="6"/>
  <c r="BH285" i="6"/>
  <c r="BH373" i="6"/>
  <c r="BR468" i="6"/>
  <c r="BR163" i="6"/>
  <c r="BH54" i="6"/>
  <c r="BR33" i="6"/>
  <c r="BR25" i="6"/>
  <c r="BH33" i="6"/>
  <c r="BR123" i="6"/>
  <c r="BH25" i="6"/>
  <c r="BH205" i="6"/>
  <c r="BR549" i="6"/>
  <c r="BR552" i="6"/>
  <c r="BR188" i="6"/>
  <c r="BH306" i="6"/>
  <c r="BH404" i="6"/>
  <c r="BR140" i="6"/>
  <c r="BR422" i="6"/>
  <c r="BR504" i="6"/>
  <c r="BR533" i="6"/>
  <c r="BH365" i="6"/>
  <c r="BH115" i="6"/>
  <c r="BH292" i="6"/>
  <c r="BH121" i="6"/>
  <c r="BH497" i="6"/>
  <c r="BH275" i="6"/>
  <c r="BH142" i="6"/>
  <c r="BR194" i="6"/>
  <c r="BR290" i="6"/>
  <c r="BH549" i="6"/>
  <c r="BR127" i="6"/>
  <c r="BH78" i="6"/>
  <c r="BH127" i="6"/>
  <c r="BH230" i="6"/>
  <c r="BH368" i="6"/>
  <c r="BH247" i="6"/>
  <c r="BH147" i="6"/>
  <c r="BR479" i="6"/>
  <c r="BH172" i="6"/>
  <c r="BR302" i="6"/>
  <c r="BH46" i="6"/>
  <c r="BH104" i="6"/>
  <c r="BR439" i="6"/>
  <c r="BH234" i="6"/>
  <c r="BR150" i="6"/>
  <c r="BH166" i="6"/>
  <c r="BH490" i="6"/>
  <c r="BH204" i="6"/>
  <c r="BH467" i="6"/>
  <c r="BR191" i="6"/>
  <c r="BR213" i="6"/>
  <c r="BR62" i="6"/>
  <c r="BR322" i="6"/>
  <c r="BH533" i="6"/>
  <c r="BR532" i="6"/>
  <c r="BH510" i="6"/>
  <c r="BR201" i="6"/>
  <c r="BR522" i="6"/>
  <c r="BR313" i="6"/>
  <c r="BR321" i="6"/>
  <c r="BR28" i="6"/>
  <c r="BH468" i="6"/>
  <c r="BR51" i="6"/>
  <c r="BH420" i="6"/>
  <c r="BR387" i="6"/>
  <c r="BR85" i="6"/>
  <c r="BR406" i="6"/>
  <c r="BH217" i="6"/>
  <c r="BH140" i="6"/>
  <c r="BR79" i="6"/>
  <c r="BH361" i="6"/>
  <c r="BR462" i="6"/>
  <c r="BH218" i="6"/>
  <c r="BH141" i="6"/>
  <c r="BR108" i="6"/>
  <c r="BR154" i="6"/>
  <c r="BH479" i="6"/>
  <c r="BH73" i="6"/>
  <c r="BH284" i="6"/>
  <c r="BH393" i="6"/>
  <c r="BR364" i="6"/>
  <c r="BR452" i="6"/>
  <c r="BR241" i="6"/>
  <c r="BH484" i="6"/>
  <c r="BH357" i="6"/>
  <c r="BH305" i="6"/>
  <c r="BH474" i="6"/>
  <c r="BR104" i="6"/>
  <c r="BH313" i="6"/>
  <c r="BR233" i="6"/>
  <c r="BH249" i="6"/>
  <c r="BH436" i="6"/>
  <c r="BH235" i="6"/>
  <c r="BR314" i="6"/>
  <c r="BH254" i="6"/>
  <c r="BH243" i="6"/>
  <c r="BR202" i="6"/>
  <c r="BR180" i="6"/>
  <c r="BR316" i="6"/>
  <c r="BH114" i="6"/>
  <c r="BR501" i="6"/>
  <c r="BR46" i="6"/>
  <c r="BR413" i="6"/>
  <c r="BH349" i="6"/>
  <c r="BH487" i="6"/>
  <c r="BR405" i="6"/>
  <c r="BH462" i="6"/>
  <c r="BR105" i="6"/>
  <c r="BH359" i="6"/>
  <c r="BH405" i="6"/>
  <c r="BH29" i="6"/>
  <c r="BR196" i="6"/>
  <c r="BR347" i="6"/>
  <c r="BR73" i="6"/>
  <c r="BH413" i="6"/>
  <c r="BH77" i="6"/>
  <c r="BR519" i="6"/>
  <c r="BR356" i="6"/>
  <c r="BH128" i="6"/>
  <c r="BH473" i="6"/>
  <c r="BR84" i="6"/>
  <c r="BH155" i="6"/>
  <c r="BH227" i="6"/>
  <c r="BH150" i="6"/>
  <c r="BR445" i="6"/>
  <c r="BH472" i="6"/>
  <c r="BH545" i="6"/>
  <c r="BH123" i="6"/>
  <c r="BR141" i="6"/>
  <c r="BH269" i="6"/>
  <c r="BH24" i="6"/>
  <c r="BR362" i="6"/>
  <c r="BH425" i="6"/>
  <c r="BR505" i="6"/>
  <c r="BR235" i="6"/>
  <c r="BH324" i="6"/>
  <c r="BH356" i="6"/>
  <c r="BH201" i="6"/>
  <c r="BR114" i="6"/>
  <c r="BR147" i="6"/>
  <c r="BR292" i="6"/>
  <c r="BH538" i="6"/>
  <c r="BR258" i="6"/>
  <c r="BH535" i="6"/>
  <c r="BR414" i="6"/>
  <c r="BR305" i="6"/>
  <c r="BH541" i="6"/>
  <c r="BR24" i="6"/>
  <c r="BR275" i="6"/>
  <c r="BR469" i="6"/>
  <c r="BH37" i="6"/>
  <c r="BH469" i="6"/>
  <c r="BH362" i="6"/>
  <c r="BR65" i="6"/>
  <c r="BH504" i="6"/>
  <c r="BH290" i="6"/>
  <c r="BR306" i="6"/>
  <c r="BH548" i="6"/>
  <c r="BR357" i="6"/>
  <c r="BR286" i="6"/>
  <c r="BR427" i="6"/>
  <c r="BR346" i="6"/>
  <c r="BR493" i="6"/>
  <c r="BH372" i="6"/>
  <c r="BR458" i="6"/>
  <c r="BH515" i="6"/>
  <c r="BH426" i="6"/>
  <c r="BR361" i="6"/>
  <c r="BR205" i="6"/>
  <c r="BR37" i="6"/>
  <c r="BR349" i="6"/>
  <c r="BR404" i="6"/>
  <c r="BH422" i="6"/>
  <c r="BR553" i="6"/>
  <c r="BH567" i="6"/>
  <c r="BH364" i="6"/>
  <c r="BR115" i="6"/>
  <c r="BR324" i="6"/>
  <c r="BR88" i="6"/>
  <c r="BH186" i="6"/>
  <c r="BR289" i="6"/>
  <c r="BH390" i="6"/>
  <c r="BH439" i="6"/>
  <c r="BH233" i="6"/>
  <c r="BH354" i="6"/>
  <c r="BR352" i="6"/>
  <c r="BH506" i="6"/>
  <c r="BR506" i="6"/>
  <c r="BH322" i="6"/>
  <c r="BH154" i="6"/>
  <c r="BR126" i="6"/>
  <c r="BH108" i="6"/>
  <c r="BR77" i="6"/>
  <c r="BR465" i="6"/>
  <c r="BH62" i="6"/>
  <c r="BR548" i="6"/>
  <c r="BH298" i="6"/>
  <c r="BR489" i="6"/>
  <c r="BR472" i="6"/>
  <c r="BH350" i="6"/>
  <c r="BH164" i="6"/>
  <c r="BH449" i="6"/>
  <c r="BR93" i="6"/>
  <c r="BH423" i="6"/>
  <c r="BH527" i="6"/>
  <c r="BR516" i="6"/>
  <c r="BR277" i="6"/>
  <c r="BH429" i="6"/>
  <c r="BH105" i="6"/>
  <c r="BH297" i="6"/>
  <c r="BR32" i="6"/>
  <c r="BR250" i="6"/>
  <c r="BH28" i="6"/>
  <c r="BR353" i="6"/>
  <c r="BR534" i="6"/>
  <c r="BH203" i="6"/>
  <c r="BR255" i="6"/>
  <c r="BR527" i="6"/>
  <c r="BR212" i="6"/>
  <c r="BH330" i="6"/>
  <c r="BR224" i="6"/>
  <c r="BR30" i="6"/>
  <c r="BH550" i="6"/>
  <c r="BH111" i="6"/>
  <c r="BR99" i="6"/>
  <c r="BH132" i="6"/>
  <c r="BH363" i="6"/>
  <c r="BR45" i="6"/>
  <c r="BH381" i="6"/>
  <c r="BH338" i="6"/>
  <c r="BR330" i="6"/>
  <c r="BR124" i="6"/>
  <c r="BR426" i="6"/>
  <c r="BR485" i="6"/>
  <c r="BR556" i="6"/>
  <c r="BR298" i="6"/>
  <c r="BH445" i="6"/>
  <c r="BR449" i="6"/>
  <c r="BH124" i="6"/>
  <c r="BH45" i="6"/>
  <c r="BH480" i="6"/>
  <c r="BR257" i="6"/>
  <c r="BH122" i="6"/>
  <c r="BH358" i="6"/>
  <c r="BR566" i="6"/>
  <c r="BH253" i="6"/>
  <c r="BR223" i="6"/>
  <c r="BH131" i="6"/>
  <c r="BR384" i="6"/>
  <c r="BH353" i="6"/>
  <c r="BR511" i="6"/>
  <c r="BR455" i="6"/>
  <c r="BH503" i="6"/>
  <c r="BH224" i="6"/>
  <c r="BH162" i="6"/>
  <c r="BH557" i="6"/>
  <c r="BH79" i="6"/>
  <c r="BH352" i="6"/>
  <c r="BR166" i="6"/>
  <c r="BR420" i="6"/>
  <c r="BH414" i="6"/>
  <c r="BR394" i="6"/>
  <c r="BR236" i="6"/>
  <c r="BR338" i="6"/>
  <c r="BR262" i="6"/>
  <c r="BH257" i="6"/>
  <c r="BH513" i="6"/>
  <c r="BR162" i="6"/>
  <c r="BR297" i="6"/>
  <c r="BR444" i="6"/>
  <c r="BR142" i="6"/>
  <c r="BH406" i="6"/>
  <c r="BR69" i="6"/>
  <c r="BH537" i="6"/>
  <c r="BH554" i="6"/>
  <c r="BR461" i="6"/>
  <c r="BR217" i="6"/>
  <c r="BR554" i="6"/>
  <c r="BH526" i="6"/>
  <c r="BH566" i="6"/>
  <c r="BH556" i="6"/>
  <c r="BR547" i="6"/>
  <c r="BH156" i="6"/>
  <c r="BR542" i="6"/>
  <c r="BR179" i="6"/>
  <c r="BR91" i="6"/>
  <c r="BR253" i="6"/>
  <c r="BR354" i="6"/>
  <c r="BR153" i="6"/>
  <c r="BR293" i="6"/>
  <c r="BH380" i="6"/>
  <c r="BR325" i="6"/>
  <c r="BR35" i="6"/>
  <c r="BR348" i="6"/>
  <c r="BH262" i="6"/>
  <c r="BH35" i="6"/>
  <c r="BH500" i="6"/>
  <c r="BR451" i="6"/>
  <c r="BR499" i="6"/>
  <c r="BR457" i="6"/>
  <c r="BH458" i="6"/>
  <c r="BR249" i="6"/>
  <c r="BR490" i="6"/>
  <c r="BR363" i="6"/>
  <c r="BH384" i="6"/>
  <c r="BH325" i="6"/>
  <c r="BH112" i="6"/>
  <c r="BR56" i="6"/>
  <c r="BR207" i="6"/>
  <c r="BH228" i="6"/>
  <c r="BR149" i="6"/>
  <c r="BH149" i="6"/>
  <c r="BH32" i="6"/>
  <c r="BH542" i="6"/>
  <c r="BH328" i="6"/>
  <c r="BH81" i="6"/>
  <c r="BH321" i="6"/>
  <c r="BH223" i="6"/>
  <c r="BR481" i="6"/>
  <c r="BH457" i="6"/>
  <c r="BH255" i="6"/>
  <c r="BR132" i="6"/>
  <c r="BR537" i="6"/>
  <c r="BH568" i="6"/>
  <c r="BR558" i="6"/>
  <c r="BR94" i="6"/>
  <c r="BR261" i="6"/>
  <c r="BR300" i="6"/>
  <c r="BH289" i="6"/>
  <c r="BH489" i="6"/>
  <c r="BR463" i="6"/>
  <c r="BH454" i="6"/>
  <c r="BH56" i="6"/>
  <c r="BH207" i="6"/>
  <c r="BR164" i="6"/>
  <c r="BH169" i="6"/>
  <c r="BH442" i="6"/>
  <c r="BH547" i="6"/>
  <c r="BR568" i="6"/>
  <c r="BR271" i="6"/>
  <c r="BR487" i="6"/>
  <c r="BH277" i="6"/>
  <c r="BR559" i="6"/>
  <c r="BR366" i="6"/>
  <c r="BH348" i="6"/>
  <c r="BR136" i="6"/>
  <c r="BR500" i="6"/>
  <c r="BR228" i="6"/>
  <c r="BH211" i="6"/>
  <c r="BR81" i="6"/>
  <c r="BR429" i="6"/>
  <c r="BH455" i="6"/>
  <c r="BR204" i="6"/>
  <c r="BR442" i="6"/>
  <c r="BH516" i="6"/>
  <c r="BH192" i="6"/>
  <c r="BH94" i="6"/>
  <c r="BR381" i="6"/>
  <c r="BR550" i="6"/>
  <c r="BR111" i="6"/>
  <c r="BH453" i="6"/>
  <c r="BR260" i="6"/>
  <c r="BH387" i="6"/>
  <c r="BR203" i="6"/>
  <c r="BH51" i="6"/>
  <c r="BH343" i="6"/>
  <c r="BH136" i="6"/>
  <c r="BH366" i="6"/>
  <c r="BH30" i="6"/>
  <c r="BH271" i="6"/>
  <c r="BH261" i="6"/>
  <c r="BH451" i="6"/>
  <c r="BR308" i="6"/>
  <c r="BR101" i="6"/>
  <c r="BR372" i="6"/>
  <c r="BH153" i="6"/>
  <c r="BH334" i="6"/>
  <c r="BH431" i="6"/>
  <c r="BR423" i="6"/>
  <c r="BR521" i="6"/>
  <c r="BR328" i="6"/>
  <c r="BH300" i="6"/>
  <c r="BR480" i="6"/>
  <c r="BR557" i="6"/>
  <c r="BH194" i="6"/>
  <c r="BH260" i="6"/>
  <c r="BH534" i="6"/>
  <c r="BH85" i="6"/>
  <c r="BH99" i="6"/>
  <c r="BH565" i="6"/>
  <c r="BR112" i="6"/>
  <c r="BH236" i="6"/>
  <c r="BH511" i="6"/>
  <c r="BR334" i="6"/>
  <c r="BR380" i="6"/>
  <c r="BR211" i="6"/>
  <c r="BH212" i="6"/>
  <c r="BR192" i="6"/>
  <c r="BR526" i="6"/>
  <c r="BR412" i="6"/>
  <c r="BR122" i="6"/>
  <c r="BH447" i="6"/>
  <c r="BH279" i="6"/>
  <c r="BH95" i="6"/>
  <c r="BH437" i="6"/>
  <c r="BH107" i="6"/>
  <c r="BH528" i="6"/>
  <c r="BR193" i="6"/>
  <c r="BH495" i="6"/>
  <c r="BH280" i="6"/>
  <c r="BH152" i="6"/>
  <c r="BR26" i="6"/>
  <c r="BH430" i="6"/>
  <c r="BH26" i="6"/>
  <c r="BR371" i="6"/>
  <c r="BH34" i="6"/>
  <c r="BR512" i="6"/>
  <c r="BH232" i="6"/>
  <c r="BH38" i="6"/>
  <c r="BR333" i="6"/>
  <c r="BR318" i="6"/>
  <c r="BH318" i="6"/>
  <c r="BH450" i="6"/>
  <c r="BR407" i="6"/>
  <c r="BR470" i="6"/>
  <c r="BH256" i="6"/>
  <c r="BH543" i="6"/>
  <c r="BR27" i="6"/>
  <c r="BR523" i="6"/>
  <c r="BH409" i="6"/>
  <c r="BR443" i="6"/>
  <c r="BH315" i="6"/>
  <c r="BH379" i="6"/>
  <c r="BH276" i="6"/>
  <c r="BH87" i="6"/>
  <c r="BH492" i="6"/>
  <c r="BR74" i="6"/>
  <c r="BR323" i="6"/>
  <c r="BR265" i="6"/>
  <c r="BH438" i="6"/>
  <c r="BH311" i="6"/>
  <c r="BR159" i="6"/>
  <c r="BH329" i="6"/>
  <c r="BR402" i="6"/>
  <c r="BH222" i="6"/>
  <c r="BH371" i="6"/>
  <c r="BH96" i="6"/>
  <c r="BH551" i="6"/>
  <c r="BR450" i="6"/>
  <c r="BH174" i="6"/>
  <c r="BR195" i="6"/>
  <c r="BH482" i="6"/>
  <c r="BR507" i="6"/>
  <c r="BH144" i="6"/>
  <c r="BR482" i="6"/>
  <c r="BH407" i="6"/>
  <c r="BH391" i="6"/>
  <c r="BR471" i="6"/>
  <c r="BH378" i="6"/>
  <c r="BR97" i="6"/>
  <c r="BR283" i="6"/>
  <c r="BH117" i="6"/>
  <c r="BR339" i="6"/>
  <c r="BR214" i="6"/>
  <c r="BH100" i="6"/>
  <c r="BR259" i="6"/>
  <c r="BH178" i="6"/>
  <c r="BR492" i="6"/>
  <c r="BR375" i="6"/>
  <c r="BR276" i="6"/>
  <c r="BR498" i="6"/>
  <c r="BH193" i="6"/>
  <c r="BR66" i="6"/>
  <c r="BR336" i="6"/>
  <c r="BH560" i="6"/>
  <c r="BH75" i="6"/>
  <c r="BR370" i="6"/>
  <c r="BH270" i="6"/>
  <c r="BH219" i="6"/>
  <c r="BR225" i="6"/>
  <c r="BR219" i="6"/>
  <c r="BH282" i="6"/>
  <c r="BR96" i="6"/>
  <c r="BR403" i="6"/>
  <c r="BH197" i="6"/>
  <c r="BH195" i="6"/>
  <c r="BR307" i="6"/>
  <c r="BR208" i="6"/>
  <c r="BR89" i="6"/>
  <c r="BH307" i="6"/>
  <c r="BH478" i="6"/>
  <c r="BH507" i="6"/>
  <c r="BH251" i="6"/>
  <c r="BR477" i="6"/>
  <c r="BH158" i="6"/>
  <c r="BH408" i="6"/>
  <c r="BH27" i="6"/>
  <c r="BR379" i="6"/>
  <c r="BR178" i="6"/>
  <c r="BH351" i="6"/>
  <c r="BR435" i="6"/>
  <c r="BR561" i="6"/>
  <c r="BH189" i="6"/>
  <c r="BH74" i="6"/>
  <c r="BH561" i="6"/>
  <c r="BR189" i="6"/>
  <c r="BH61" i="6"/>
  <c r="BH464" i="6"/>
  <c r="BH68" i="6"/>
  <c r="BH139" i="6"/>
  <c r="BH440" i="6"/>
  <c r="BH221" i="6"/>
  <c r="BR399" i="6"/>
  <c r="BR47" i="6"/>
  <c r="BH184" i="6"/>
  <c r="BR377" i="6"/>
  <c r="BH267" i="6"/>
  <c r="BR374" i="6"/>
  <c r="BR44" i="6"/>
  <c r="BR291" i="6"/>
  <c r="BR282" i="6"/>
  <c r="BR411" i="6"/>
  <c r="BH486" i="6"/>
  <c r="BH83" i="6"/>
  <c r="BR432" i="6"/>
  <c r="BR518" i="6"/>
  <c r="BR83" i="6"/>
  <c r="BR531" i="6"/>
  <c r="BH296" i="6"/>
  <c r="BH531" i="6"/>
  <c r="BR64" i="6"/>
  <c r="BR360" i="6"/>
  <c r="BH157" i="6"/>
  <c r="BH395" i="6"/>
  <c r="BH491" i="6"/>
  <c r="BH182" i="6"/>
  <c r="BR395" i="6"/>
  <c r="BR59" i="6"/>
  <c r="BH229" i="6"/>
  <c r="BH98" i="6"/>
  <c r="BR264" i="6"/>
  <c r="BR110" i="6"/>
  <c r="BH433" i="6"/>
  <c r="BH143" i="6"/>
  <c r="BR494" i="6"/>
  <c r="BR367" i="6"/>
  <c r="BR113" i="6"/>
  <c r="BR152" i="6"/>
  <c r="BH374" i="6"/>
  <c r="BH116" i="6"/>
  <c r="BH403" i="6"/>
  <c r="BH176" i="6"/>
  <c r="BR116" i="6"/>
  <c r="BR242" i="6"/>
  <c r="BR525" i="6"/>
  <c r="BH89" i="6"/>
  <c r="BR383" i="6"/>
  <c r="BH536" i="6"/>
  <c r="BH416" i="6"/>
  <c r="BH226" i="6"/>
  <c r="BR536" i="6"/>
  <c r="BR478" i="6"/>
  <c r="BR144" i="6"/>
  <c r="BH40" i="6"/>
  <c r="BR421" i="6"/>
  <c r="BH173" i="6"/>
  <c r="BH483" i="6"/>
  <c r="BR391" i="6"/>
  <c r="BH471" i="6"/>
  <c r="BH190" i="6"/>
  <c r="BH435" i="6"/>
  <c r="BR199" i="6"/>
  <c r="BH245" i="6"/>
  <c r="BR229" i="6"/>
  <c r="BH59" i="6"/>
  <c r="BR206" i="6"/>
  <c r="BR464" i="6"/>
  <c r="BR459" i="6"/>
  <c r="BH103" i="6"/>
  <c r="BH210" i="6"/>
  <c r="BH159" i="6"/>
  <c r="BH337" i="6"/>
  <c r="BR310" i="6"/>
  <c r="BR240" i="6"/>
  <c r="BR476" i="6"/>
  <c r="BH299" i="6"/>
  <c r="BR280" i="6"/>
  <c r="BR270" i="6"/>
  <c r="BH424" i="6"/>
  <c r="BR187" i="6"/>
  <c r="BR424" i="6"/>
  <c r="BH146" i="6"/>
  <c r="BH238" i="6"/>
  <c r="BH530" i="6"/>
  <c r="BR244" i="6"/>
  <c r="BH333" i="6"/>
  <c r="BR327" i="6"/>
  <c r="BH448" i="6"/>
  <c r="BR448" i="6"/>
  <c r="BH135" i="6"/>
  <c r="BR416" i="6"/>
  <c r="BR296" i="6"/>
  <c r="BR237" i="6"/>
  <c r="BH360" i="6"/>
  <c r="BR49" i="6"/>
  <c r="BR182" i="6"/>
  <c r="BH417" i="6"/>
  <c r="BR102" i="6"/>
  <c r="BR564" i="6"/>
  <c r="BH209" i="6"/>
  <c r="BH323" i="6"/>
  <c r="BR245" i="6"/>
  <c r="BR209" i="6"/>
  <c r="BH396" i="6"/>
  <c r="BH539" i="6"/>
  <c r="BH265" i="6"/>
  <c r="BH134" i="6"/>
  <c r="BH216" i="6"/>
  <c r="BH295" i="6"/>
  <c r="BH370" i="6"/>
  <c r="BR267" i="6"/>
  <c r="BH304" i="6"/>
  <c r="BH411" i="6"/>
  <c r="BR38" i="6"/>
  <c r="BH398" i="6"/>
  <c r="BR401" i="6"/>
  <c r="BH518" i="6"/>
  <c r="BR551" i="6"/>
  <c r="BH244" i="6"/>
  <c r="BR135" i="6"/>
  <c r="BR508" i="6"/>
  <c r="BH508" i="6"/>
  <c r="BH466" i="6"/>
  <c r="BR543" i="6"/>
  <c r="BR157" i="6"/>
  <c r="BH259" i="6"/>
  <c r="BH102" i="6"/>
  <c r="BH199" i="6"/>
  <c r="BH281" i="6"/>
  <c r="BR61" i="6"/>
  <c r="BR183" i="6"/>
  <c r="BR31" i="6"/>
  <c r="BH248" i="6"/>
  <c r="BH160" i="6"/>
  <c r="BH181" i="6"/>
  <c r="BR560" i="6"/>
  <c r="BH342" i="6"/>
  <c r="BR438" i="6"/>
  <c r="BH167" i="6"/>
  <c r="BR495" i="6"/>
  <c r="BR295" i="6"/>
  <c r="BR299" i="6"/>
  <c r="BR398" i="6"/>
  <c r="BH242" i="6"/>
  <c r="BR197" i="6"/>
  <c r="BR496" i="6"/>
  <c r="BH340" i="6"/>
  <c r="BH562" i="6"/>
  <c r="BH383" i="6"/>
  <c r="BH185" i="6"/>
  <c r="BR486" i="6"/>
  <c r="BR441" i="6"/>
  <c r="BR397" i="6"/>
  <c r="BR563" i="6"/>
  <c r="BR226" i="6"/>
  <c r="BH161" i="6"/>
  <c r="BH434" i="6"/>
  <c r="BH421" i="6"/>
  <c r="BR173" i="6"/>
  <c r="BR268" i="6"/>
  <c r="BH273" i="6"/>
  <c r="BR488" i="6"/>
  <c r="BH183" i="6"/>
  <c r="BH31" i="6"/>
  <c r="BH206" i="6"/>
  <c r="BR502" i="6"/>
  <c r="BR528" i="6"/>
  <c r="BR440" i="6"/>
  <c r="BR446" i="6"/>
  <c r="BH385" i="6"/>
  <c r="BR57" i="6"/>
  <c r="BH312" i="6"/>
  <c r="BR312" i="6"/>
  <c r="BR39" i="6"/>
  <c r="BR231" i="6"/>
  <c r="BH525" i="6"/>
  <c r="BR530" i="6"/>
  <c r="BR185" i="6"/>
  <c r="BH563" i="6"/>
  <c r="BH55" i="6"/>
  <c r="BH82" i="6"/>
  <c r="BH397" i="6"/>
  <c r="BR220" i="6"/>
  <c r="BR145" i="6"/>
  <c r="BH63" i="6"/>
  <c r="BH309" i="6"/>
  <c r="BH477" i="6"/>
  <c r="BH237" i="6"/>
  <c r="BR466" i="6"/>
  <c r="BR491" i="6"/>
  <c r="BR273" i="6"/>
  <c r="BH564" i="6"/>
  <c r="BH43" i="6"/>
  <c r="BH246" i="6"/>
  <c r="BR177" i="6"/>
  <c r="BR326" i="6"/>
  <c r="BR341" i="6"/>
  <c r="BH341" i="6"/>
  <c r="BH460" i="6"/>
  <c r="BH80" i="6"/>
  <c r="BH418" i="6"/>
  <c r="BH509" i="6"/>
  <c r="BR239" i="6"/>
  <c r="BH336" i="6"/>
  <c r="BH120" i="6"/>
  <c r="BH47" i="6"/>
  <c r="BR200" i="6"/>
  <c r="BR210" i="6"/>
  <c r="BR320" i="6"/>
  <c r="BR198" i="6"/>
  <c r="BR75" i="6"/>
  <c r="BH377" i="6"/>
  <c r="BH109" i="6"/>
  <c r="BH524" i="6"/>
  <c r="BR304" i="6"/>
  <c r="BH231" i="6"/>
  <c r="BH392" i="6"/>
  <c r="BR151" i="6"/>
  <c r="BH50" i="6"/>
  <c r="BH327" i="6"/>
  <c r="BR562" i="6"/>
  <c r="BH133" i="6"/>
  <c r="BR55" i="6"/>
  <c r="BR82" i="6"/>
  <c r="BR130" i="6"/>
  <c r="BH317" i="6"/>
  <c r="BH76" i="6"/>
  <c r="BH64" i="6"/>
  <c r="BR309" i="6"/>
  <c r="BR417" i="6"/>
  <c r="BH177" i="6"/>
  <c r="BH355" i="6"/>
  <c r="BR460" i="6"/>
  <c r="BR396" i="6"/>
  <c r="BR119" i="6"/>
  <c r="BR447" i="6"/>
  <c r="BR129" i="6"/>
  <c r="BH459" i="6"/>
  <c r="BH310" i="6"/>
  <c r="BR437" i="6"/>
  <c r="BR181" i="6"/>
  <c r="BR107" i="6"/>
  <c r="BR430" i="6"/>
  <c r="BH402" i="6"/>
  <c r="BR184" i="6"/>
  <c r="BH367" i="6"/>
  <c r="BH198" i="6"/>
  <c r="BR146" i="6"/>
  <c r="BR524" i="6"/>
  <c r="BH512" i="6"/>
  <c r="BH514" i="6"/>
  <c r="BR456" i="6"/>
  <c r="BR238" i="6"/>
  <c r="BH60" i="6"/>
  <c r="BR317" i="6"/>
  <c r="BH252" i="6"/>
  <c r="BR252" i="6"/>
  <c r="BH130" i="6"/>
  <c r="BR171" i="6"/>
  <c r="BR86" i="6"/>
  <c r="BR288" i="6"/>
  <c r="BR434" i="6"/>
  <c r="BH268" i="6"/>
  <c r="BH502" i="6"/>
  <c r="BH540" i="6"/>
  <c r="BR546" i="6"/>
  <c r="BH382" i="6"/>
  <c r="BH165" i="6"/>
  <c r="BH119" i="6"/>
  <c r="BR80" i="6"/>
  <c r="BR355" i="6"/>
  <c r="BR274" i="6"/>
  <c r="BR279" i="6"/>
  <c r="BH239" i="6"/>
  <c r="BR376" i="6"/>
  <c r="BR134" i="6"/>
  <c r="BR120" i="6"/>
  <c r="BH66" i="6"/>
  <c r="BR329" i="6"/>
  <c r="BH388" i="6"/>
  <c r="BR388" i="6"/>
  <c r="BR555" i="6"/>
  <c r="BH401" i="6"/>
  <c r="BH39" i="6"/>
  <c r="BH555" i="6"/>
  <c r="BR174" i="6"/>
  <c r="BH441" i="6"/>
  <c r="BR340" i="6"/>
  <c r="BR50" i="6"/>
  <c r="BR428" i="6"/>
  <c r="BR58" i="6"/>
  <c r="BH428" i="6"/>
  <c r="BH58" i="6"/>
  <c r="BH294" i="6"/>
  <c r="BR40" i="6"/>
  <c r="BR63" i="6"/>
  <c r="BH288" i="6"/>
  <c r="BR246" i="6"/>
  <c r="BR382" i="6"/>
  <c r="BH138" i="6"/>
  <c r="BR90" i="6"/>
  <c r="BR509" i="6"/>
  <c r="BR165" i="6"/>
  <c r="BH118" i="6"/>
  <c r="BH498" i="6"/>
  <c r="BR95" i="6"/>
  <c r="BR98" i="6"/>
  <c r="BH399" i="6"/>
  <c r="BR433" i="6"/>
  <c r="BH376" i="6"/>
  <c r="BH44" i="6"/>
  <c r="BH225" i="6"/>
  <c r="BH301" i="6"/>
  <c r="BH240" i="6"/>
  <c r="BR301" i="6"/>
  <c r="BH53" i="6"/>
  <c r="BR109" i="6"/>
  <c r="BR222" i="6"/>
  <c r="BH208" i="6"/>
  <c r="BH92" i="6"/>
  <c r="BR133" i="6"/>
  <c r="BH71" i="6"/>
  <c r="BH41" i="6"/>
  <c r="BR36" i="6"/>
  <c r="BR41" i="6"/>
  <c r="BH36" i="6"/>
  <c r="BH523" i="6"/>
  <c r="BH168" i="6"/>
  <c r="BH220" i="6"/>
  <c r="BR161" i="6"/>
  <c r="BH86" i="6"/>
  <c r="BR100" i="6"/>
  <c r="BH546" i="6"/>
  <c r="BH90" i="6"/>
  <c r="BH488" i="6"/>
  <c r="BR409" i="6"/>
  <c r="BH517" i="6"/>
  <c r="BH278" i="6"/>
  <c r="BR539" i="6"/>
  <c r="BR415" i="6"/>
  <c r="BR68" i="6"/>
  <c r="BR248" i="6"/>
  <c r="BR139" i="6"/>
  <c r="BH494" i="6"/>
  <c r="BR170" i="6"/>
  <c r="BH446" i="6"/>
  <c r="BH170" i="6"/>
  <c r="BR167" i="6"/>
  <c r="BH476" i="6"/>
  <c r="BH264" i="6"/>
  <c r="BR386" i="6"/>
  <c r="BR53" i="6"/>
  <c r="BH386" i="6"/>
  <c r="BR176" i="6"/>
  <c r="BH70" i="6"/>
  <c r="BR60" i="6"/>
  <c r="BH151" i="6"/>
  <c r="BH456" i="6"/>
  <c r="BH215" i="6"/>
  <c r="BR272" i="6"/>
  <c r="BR48" i="6"/>
  <c r="BR71" i="6"/>
  <c r="BH272" i="6"/>
  <c r="BR378" i="6"/>
  <c r="BR67" i="6"/>
  <c r="BH171" i="6"/>
  <c r="BR351" i="6"/>
  <c r="BR117" i="6"/>
  <c r="BH443" i="6"/>
  <c r="BH331" i="6"/>
  <c r="BH415" i="6"/>
  <c r="BH274" i="6"/>
  <c r="BR278" i="6"/>
  <c r="BH410" i="6"/>
  <c r="BR87" i="6"/>
  <c r="BH110" i="6"/>
  <c r="BR342" i="6"/>
  <c r="BH175" i="6"/>
  <c r="BR103" i="6"/>
  <c r="BR175" i="6"/>
  <c r="BR221" i="6"/>
  <c r="BH291" i="6"/>
  <c r="BR385" i="6"/>
  <c r="BR216" i="6"/>
  <c r="BR544" i="6"/>
  <c r="BH496" i="6"/>
  <c r="BH544" i="6"/>
  <c r="BR303" i="6"/>
  <c r="BH432" i="6"/>
  <c r="BR215" i="6"/>
  <c r="BR92" i="6"/>
  <c r="BR106" i="6"/>
  <c r="BR335" i="6"/>
  <c r="BH125" i="6"/>
  <c r="BR256" i="6"/>
  <c r="BH335" i="6"/>
  <c r="BH48" i="6"/>
  <c r="BR158" i="6"/>
  <c r="BH97" i="6"/>
  <c r="BH145" i="6"/>
  <c r="BR168" i="6"/>
  <c r="BR43" i="6"/>
  <c r="BR517" i="6"/>
  <c r="BH326" i="6"/>
  <c r="BR190" i="6"/>
  <c r="BH339" i="6"/>
  <c r="BR315" i="6"/>
  <c r="BR410" i="6"/>
  <c r="BR118" i="6"/>
  <c r="BH375" i="6"/>
  <c r="BH129" i="6"/>
  <c r="BH200" i="6"/>
  <c r="BR337" i="6"/>
  <c r="BH320" i="6"/>
  <c r="BR160" i="6"/>
  <c r="BR311" i="6"/>
  <c r="BR143" i="6"/>
  <c r="BH113" i="6"/>
  <c r="BH369" i="6"/>
  <c r="BH57" i="6"/>
  <c r="BR369" i="6"/>
  <c r="BR232" i="6"/>
  <c r="BH303" i="6"/>
  <c r="BR392" i="6"/>
  <c r="BR34" i="6"/>
  <c r="BH187" i="6"/>
  <c r="BH106" i="6"/>
  <c r="BR514" i="6"/>
  <c r="BR70" i="6"/>
  <c r="BH470" i="6"/>
  <c r="BR251" i="6"/>
  <c r="BR125" i="6"/>
  <c r="BR483" i="6"/>
  <c r="BR408" i="6"/>
  <c r="BH283" i="6"/>
  <c r="BR294" i="6"/>
  <c r="BR76" i="6"/>
  <c r="BH67" i="6"/>
  <c r="BR540" i="6"/>
  <c r="BR138" i="6"/>
  <c r="BR418" i="6"/>
  <c r="BH49" i="6"/>
  <c r="BH214" i="6"/>
  <c r="BR281" i="6"/>
  <c r="BH475" i="6"/>
  <c r="BR331" i="6"/>
  <c r="BR475" i="6"/>
  <c r="BR23" i="6"/>
  <c r="BX23" i="6" s="1"/>
  <c r="BH23" i="6"/>
  <c r="BN23" i="6" s="1"/>
  <c r="AV23" i="6"/>
  <c r="AW23" i="6" s="1"/>
  <c r="I49" i="6"/>
  <c r="I51" i="6" s="1"/>
  <c r="L49" i="6"/>
  <c r="L31" i="6"/>
  <c r="BV389" i="6" a="1"/>
  <c r="BV269" i="6" a="1"/>
  <c r="BL389" i="6" a="1"/>
  <c r="BL404" i="6" a="1"/>
  <c r="BL224" i="6" a="1"/>
  <c r="BL542" i="6" a="1"/>
  <c r="BL194" i="6" a="1"/>
  <c r="BV26" i="6" a="1"/>
  <c r="BV518" i="6" a="1"/>
  <c r="BL98" i="6" a="1"/>
  <c r="BL89" i="6" a="1"/>
  <c r="BL530" i="6" a="1"/>
  <c r="BL209" i="6" a="1"/>
  <c r="BL398" i="6" a="1"/>
  <c r="BL434" i="6" a="1"/>
  <c r="BV440" i="6" a="1"/>
  <c r="BL80" i="6" a="1"/>
  <c r="BV320" i="6" a="1"/>
  <c r="BV437" i="6" a="1"/>
  <c r="BL239" i="6" a="1"/>
  <c r="BV428" i="6" a="1"/>
  <c r="BV95" i="6" a="1"/>
  <c r="BL71" i="6" a="1"/>
  <c r="BL278" i="6" a="1"/>
  <c r="BL446" i="6" a="1"/>
  <c r="BV71" i="6" a="1"/>
  <c r="BV335" i="6" a="1"/>
  <c r="BL320" i="6" a="1"/>
  <c r="BL470" i="6" a="1"/>
  <c r="BV137" i="6" a="1"/>
  <c r="BV29" i="6" a="1"/>
  <c r="BV266" i="6" a="1"/>
  <c r="BV515" i="6" a="1"/>
  <c r="BL452" i="6" a="1"/>
  <c r="BV140" i="6" a="1"/>
  <c r="BL467" i="6" a="1"/>
  <c r="BV347" i="6" a="1"/>
  <c r="BV77" i="6" a="1"/>
  <c r="BV449" i="6" a="1"/>
  <c r="BV293" i="6" a="1"/>
  <c r="BL440" i="6" a="1"/>
  <c r="BV83" i="6" a="1"/>
  <c r="BV383" i="6" a="1"/>
  <c r="BL245" i="6" a="1"/>
  <c r="BL323" i="6" a="1"/>
  <c r="BV401" i="6" a="1"/>
  <c r="BV299" i="6" a="1"/>
  <c r="BV446" i="6" a="1"/>
  <c r="BL317" i="6" a="1"/>
  <c r="BV98" i="6" a="1"/>
  <c r="BL41" i="6" a="1"/>
  <c r="BV539" i="6" a="1"/>
  <c r="BL170" i="6" a="1"/>
  <c r="BL272" i="6" a="1"/>
  <c r="BL125" i="6" a="1"/>
  <c r="BV251" i="6" a="1"/>
  <c r="BV497" i="6" a="1"/>
  <c r="BL188" i="6" a="1"/>
  <c r="BV287" i="6" a="1"/>
  <c r="BV473" i="6" a="1"/>
  <c r="BV422" i="6" a="1"/>
  <c r="BL230" i="6" a="1"/>
  <c r="BV191" i="6" a="1"/>
  <c r="BV452" i="6" a="1"/>
  <c r="BL269" i="6" a="1"/>
  <c r="BV305" i="6" a="1"/>
  <c r="BL557" i="6" a="1"/>
  <c r="BL380" i="6" a="1"/>
  <c r="BL26" i="6" a="1"/>
  <c r="BL371" i="6" a="1"/>
  <c r="BL74" i="6" a="1"/>
  <c r="BL221" i="6" a="1"/>
  <c r="BV110" i="6" a="1"/>
  <c r="BL536" i="6" a="1"/>
  <c r="BV245" i="6" a="1"/>
  <c r="BL518" i="6" a="1"/>
  <c r="BV398" i="6" a="1"/>
  <c r="BV173" i="6" a="1"/>
  <c r="BV107" i="6" a="1"/>
  <c r="BV134" i="6" a="1"/>
  <c r="BL428" i="6" a="1"/>
  <c r="BV167" i="6" a="1"/>
  <c r="BV311" i="6" a="1"/>
  <c r="BV125" i="6" a="1"/>
  <c r="BV131" i="6" a="1"/>
  <c r="BL314" i="6" a="1"/>
  <c r="BL368" i="6" a="1"/>
  <c r="BL413" i="6" a="1"/>
  <c r="BL62" i="6" a="1"/>
  <c r="BV32" i="6" a="1"/>
  <c r="BV485" i="6" a="1"/>
  <c r="BL458" i="6" a="1"/>
  <c r="BV308" i="6" a="1"/>
  <c r="BL236" i="6" a="1"/>
  <c r="BV371" i="6" a="1"/>
  <c r="BV443" i="6" a="1"/>
  <c r="BV89" i="6" a="1"/>
  <c r="BL296" i="6" a="1"/>
  <c r="BL416" i="6" a="1"/>
  <c r="BL59" i="6" a="1"/>
  <c r="BV209" i="6" a="1"/>
  <c r="BV551" i="6" a="1"/>
  <c r="BL242" i="6" a="1"/>
  <c r="BL377" i="6" a="1"/>
  <c r="BV41" i="6" a="1"/>
  <c r="BL476" i="6" a="1"/>
  <c r="BL335" i="6" a="1"/>
  <c r="BV143" i="6" a="1"/>
  <c r="BV431" i="6" a="1"/>
  <c r="BL137" i="6" a="1"/>
  <c r="BL347" i="6" a="1"/>
  <c r="BV545" i="6" a="1"/>
  <c r="BV533" i="6" a="1"/>
  <c r="BV62" i="6" a="1"/>
  <c r="BL77" i="6" a="1"/>
  <c r="BV362" i="6" a="1"/>
  <c r="BV548" i="6" a="1"/>
  <c r="BL554" i="6" a="1"/>
  <c r="BV35" i="6" a="1"/>
  <c r="BL551" i="6" a="1"/>
  <c r="BV47" i="6" a="1"/>
  <c r="BL143" i="6" a="1"/>
  <c r="BV206" i="6" a="1"/>
  <c r="BV197" i="6" a="1"/>
  <c r="BV86" i="6" a="1"/>
  <c r="BV221" i="6" a="1"/>
  <c r="BL113" i="6" a="1"/>
  <c r="BV419" i="6" a="1"/>
  <c r="BV218" i="6" a="1"/>
  <c r="BL365" i="6" a="1"/>
  <c r="BL140" i="6" a="1"/>
  <c r="BL425" i="6" a="1"/>
  <c r="BV275" i="6" a="1"/>
  <c r="BV458" i="6" a="1"/>
  <c r="BV257" i="6" a="1"/>
  <c r="BV461" i="6" a="1"/>
  <c r="BV101" i="6" a="1"/>
  <c r="BV512" i="6" a="1"/>
  <c r="BV323" i="6" a="1"/>
  <c r="BL560" i="6" a="1"/>
  <c r="BV494" i="6" a="1"/>
  <c r="BV536" i="6" a="1"/>
  <c r="BV488" i="6" a="1"/>
  <c r="BL524" i="6" a="1"/>
  <c r="BV329" i="6" a="1"/>
  <c r="BL44" i="6" a="1"/>
  <c r="BV386" i="6" a="1"/>
  <c r="BV158" i="6" a="1"/>
  <c r="BV128" i="6" a="1"/>
  <c r="BV263" i="6" a="1"/>
  <c r="BL287" i="6" a="1"/>
  <c r="BV479" i="6" a="1"/>
  <c r="BL533" i="6" a="1"/>
  <c r="BL305" i="6" a="1"/>
  <c r="BV356" i="6" a="1"/>
  <c r="BL515" i="6" a="1"/>
  <c r="BL122" i="6" a="1"/>
  <c r="BV380" i="6" a="1"/>
  <c r="BV377" i="6" a="1"/>
  <c r="BL539" i="6" a="1"/>
  <c r="BV491" i="6" a="1"/>
  <c r="BV434" i="6" a="1"/>
  <c r="BV53" i="6" a="1"/>
  <c r="BL521" i="6" a="1"/>
  <c r="BV368" i="6" a="1"/>
  <c r="BL419" i="6" a="1"/>
  <c r="BV254" i="6" a="1"/>
  <c r="BV413" i="6" a="1"/>
  <c r="BL128" i="6" a="1"/>
  <c r="BV353" i="6" a="1"/>
  <c r="BV554" i="6" a="1"/>
  <c r="BL35" i="6" a="1"/>
  <c r="BV500" i="6" a="1"/>
  <c r="BL38" i="6" a="1"/>
  <c r="BL251" i="6" a="1"/>
  <c r="BV113" i="6" a="1"/>
  <c r="BV476" i="6" a="1"/>
  <c r="BV416" i="6" a="1"/>
  <c r="BL386" i="6" a="1"/>
  <c r="BL443" i="6" a="1"/>
  <c r="BV503" i="6" a="1"/>
  <c r="BV350" i="6" a="1"/>
  <c r="BV365" i="6" a="1"/>
  <c r="BL263" i="6" a="1"/>
  <c r="BV302" i="6" a="1"/>
  <c r="BV104" i="6" a="1"/>
  <c r="BL473" i="6" a="1"/>
  <c r="BL233" i="6" a="1"/>
  <c r="BL350" i="6" a="1"/>
  <c r="BV566" i="6" a="1"/>
  <c r="BL500" i="6" a="1"/>
  <c r="BV260" i="6" a="1"/>
  <c r="BL212" i="6" a="1"/>
  <c r="BL95" i="6" a="1"/>
  <c r="BL482" i="6" a="1"/>
  <c r="BV374" i="6" a="1"/>
  <c r="BL395" i="6" a="1"/>
  <c r="BV152" i="6" a="1"/>
  <c r="BL299" i="6" a="1"/>
  <c r="BV296" i="6" a="1"/>
  <c r="BL134" i="6" a="1"/>
  <c r="BL248" i="6" a="1"/>
  <c r="BL383" i="6" a="1"/>
  <c r="BL206" i="6" a="1"/>
  <c r="BL392" i="6" a="1"/>
  <c r="BV146" i="6" a="1"/>
  <c r="BV161" i="6" a="1"/>
  <c r="BV176" i="6" a="1"/>
  <c r="BL344" i="6" a="1"/>
  <c r="BV230" i="6" a="1"/>
  <c r="BV467" i="6" a="1"/>
  <c r="BL497" i="6" a="1"/>
  <c r="BL218" i="6" a="1"/>
  <c r="BL356" i="6" a="1"/>
  <c r="BL362" i="6" a="1"/>
  <c r="BL164" i="6" a="1"/>
  <c r="BL203" i="6" a="1"/>
  <c r="BL566" i="6" a="1"/>
  <c r="BL431" i="6" a="1"/>
  <c r="BL437" i="6" a="1"/>
  <c r="BV74" i="6" a="1"/>
  <c r="BL158" i="6" a="1"/>
  <c r="BV44" i="6" a="1"/>
  <c r="BL491" i="6" a="1"/>
  <c r="BL374" i="6" a="1"/>
  <c r="BL185" i="6" a="1"/>
  <c r="BV530" i="6" a="1"/>
  <c r="BL509" i="6" a="1"/>
  <c r="BV524" i="6" a="1"/>
  <c r="BL401" i="6" a="1"/>
  <c r="BL86" i="6" a="1"/>
  <c r="BL179" i="6" a="1"/>
  <c r="BL65" i="6" a="1"/>
  <c r="BL275" i="6" a="1"/>
  <c r="BL104" i="6" a="1"/>
  <c r="BV233" i="6" a="1"/>
  <c r="BL155" i="6" a="1"/>
  <c r="BV65" i="6" a="1"/>
  <c r="BL449" i="6" a="1"/>
  <c r="BL131" i="6" a="1"/>
  <c r="BV236" i="6" a="1"/>
  <c r="BV56" i="6" a="1"/>
  <c r="BL56" i="6" a="1"/>
  <c r="BL455" i="6" a="1"/>
  <c r="BV203" i="6" a="1"/>
  <c r="BL107" i="6" a="1"/>
  <c r="BL182" i="6" a="1"/>
  <c r="BL116" i="6" a="1"/>
  <c r="BL173" i="6" a="1"/>
  <c r="BV185" i="6" a="1"/>
  <c r="BV239" i="6" a="1"/>
  <c r="BL50" i="6" a="1"/>
  <c r="BV119" i="6" a="1"/>
  <c r="BL512" i="6" a="1"/>
  <c r="BL53" i="6" a="1"/>
  <c r="BV392" i="6" a="1"/>
  <c r="BL293" i="6" a="1"/>
  <c r="BL302" i="6" a="1"/>
  <c r="BL227" i="6" a="1"/>
  <c r="BL506" i="6" a="1"/>
  <c r="BV527" i="6" a="1"/>
  <c r="BV338" i="6" a="1"/>
  <c r="BV521" i="6" a="1"/>
  <c r="BV482" i="6" a="1"/>
  <c r="BV395" i="6" a="1"/>
  <c r="BV560" i="6" a="1"/>
  <c r="BL563" i="6" a="1"/>
  <c r="BV68" i="6" a="1"/>
  <c r="BV278" i="6" a="1"/>
  <c r="BL326" i="6" a="1"/>
  <c r="BL485" i="6" a="1"/>
  <c r="BL308" i="6" a="1"/>
  <c r="BV344" i="6" a="1"/>
  <c r="BV194" i="6" a="1"/>
  <c r="BL290" i="6" a="1"/>
  <c r="BV404" i="6" a="1"/>
  <c r="BV506" i="6" a="1"/>
  <c r="BV212" i="6" a="1"/>
  <c r="BL353" i="6" a="1"/>
  <c r="BV179" i="6" a="1"/>
  <c r="BV164" i="6" a="1"/>
  <c r="BV122" i="6" a="1"/>
  <c r="BV407" i="6" a="1"/>
  <c r="BL407" i="6" a="1"/>
  <c r="BV59" i="6" a="1"/>
  <c r="BL176" i="6" a="1"/>
  <c r="BV182" i="6" a="1"/>
  <c r="BV326" i="6" a="1"/>
  <c r="BV509" i="6" a="1"/>
  <c r="BV248" i="6" a="1"/>
  <c r="BL410" i="6" a="1"/>
  <c r="BL191" i="6" a="1"/>
  <c r="BL461" i="6" a="1"/>
  <c r="BV284" i="6" a="1"/>
  <c r="BV290" i="6" a="1"/>
  <c r="BL479" i="6" a="1"/>
  <c r="BL359" i="6" a="1"/>
  <c r="BL422" i="6" a="1"/>
  <c r="BL527" i="6" a="1"/>
  <c r="BL257" i="6" a="1"/>
  <c r="BV542" i="6" a="1"/>
  <c r="BV149" i="6" a="1"/>
  <c r="BL260" i="6" a="1"/>
  <c r="BV470" i="6" a="1"/>
  <c r="BL311" i="6" a="1"/>
  <c r="BV116" i="6" a="1"/>
  <c r="BV563" i="6" a="1"/>
  <c r="BV341" i="6" a="1"/>
  <c r="BL47" i="6" a="1"/>
  <c r="BL119" i="6" a="1"/>
  <c r="BL488" i="6" a="1"/>
  <c r="BL215" i="6" a="1"/>
  <c r="BV215" i="6" a="1"/>
  <c r="BV425" i="6" a="1"/>
  <c r="BL101" i="6" a="1"/>
  <c r="BV359" i="6" a="1"/>
  <c r="BV155" i="6" a="1"/>
  <c r="BV188" i="6" a="1"/>
  <c r="BV314" i="6" a="1"/>
  <c r="BL548" i="6" a="1"/>
  <c r="BV224" i="6" a="1"/>
  <c r="BV455" i="6" a="1"/>
  <c r="BL149" i="6" a="1"/>
  <c r="BL464" i="6" a="1"/>
  <c r="BL83" i="6" a="1"/>
  <c r="BV242" i="6" a="1"/>
  <c r="BL146" i="6" a="1"/>
  <c r="BL281" i="6" a="1"/>
  <c r="BL167" i="6" a="1"/>
  <c r="BL341" i="6" a="1"/>
  <c r="BV200" i="6" a="1"/>
  <c r="BV80" i="6" a="1"/>
  <c r="BL92" i="6" a="1"/>
  <c r="BL494" i="6" a="1"/>
  <c r="BV272" i="6" a="1"/>
  <c r="BV92" i="6" a="1"/>
  <c r="BL200" i="6" a="1"/>
  <c r="BV281" i="6" a="1"/>
  <c r="BL332" i="6" a="1"/>
  <c r="BL266" i="6" a="1"/>
  <c r="BV332" i="6" a="1"/>
  <c r="BV227" i="6" a="1"/>
  <c r="BL284" i="6" a="1"/>
  <c r="BL254" i="6" a="1"/>
  <c r="BL29" i="6" a="1"/>
  <c r="BL545" i="6" a="1"/>
  <c r="BL338" i="6" a="1"/>
  <c r="BL503" i="6" a="1"/>
  <c r="BL32" i="6" a="1"/>
  <c r="BV557" i="6" a="1"/>
  <c r="BL152" i="6" a="1"/>
  <c r="BL329" i="6" a="1"/>
  <c r="BL197" i="6" a="1"/>
  <c r="BL68" i="6" a="1"/>
  <c r="BV464" i="6" a="1"/>
  <c r="BV38" i="6" a="1"/>
  <c r="BL161" i="6" a="1"/>
  <c r="BV317" i="6" a="1"/>
  <c r="BV50" i="6" a="1"/>
  <c r="BV170" i="6" a="1"/>
  <c r="BL110" i="6" a="1"/>
  <c r="BV410" i="6" a="1"/>
  <c r="BV23" i="6" a="1"/>
  <c r="BV410" i="6" l="1"/>
  <c r="BL110" i="6"/>
  <c r="BV170" i="6"/>
  <c r="BV50" i="6"/>
  <c r="BV317" i="6"/>
  <c r="BL161" i="6"/>
  <c r="BV38" i="6"/>
  <c r="BV464" i="6"/>
  <c r="BL68" i="6"/>
  <c r="BL197" i="6"/>
  <c r="BL329" i="6"/>
  <c r="BL152" i="6"/>
  <c r="BV557" i="6"/>
  <c r="BL32" i="6"/>
  <c r="BL503" i="6"/>
  <c r="BL338" i="6"/>
  <c r="BL545" i="6"/>
  <c r="BL29" i="6"/>
  <c r="BL254" i="6"/>
  <c r="BL284" i="6"/>
  <c r="BV227" i="6"/>
  <c r="BV332" i="6"/>
  <c r="BL266" i="6"/>
  <c r="BL332" i="6"/>
  <c r="BV281" i="6"/>
  <c r="CB281" i="6" s="1"/>
  <c r="CC281" i="6" s="1"/>
  <c r="BL200" i="6"/>
  <c r="BV92" i="6"/>
  <c r="BV272" i="6"/>
  <c r="BL494" i="6"/>
  <c r="BL92" i="6"/>
  <c r="BV80" i="6"/>
  <c r="BV200" i="6"/>
  <c r="CB200" i="6" s="1"/>
  <c r="CC200" i="6" s="1"/>
  <c r="BL341" i="6"/>
  <c r="BL167" i="6"/>
  <c r="BL281" i="6"/>
  <c r="BL146" i="6"/>
  <c r="BV242" i="6"/>
  <c r="BL83" i="6"/>
  <c r="BL464" i="6"/>
  <c r="BL149" i="6"/>
  <c r="BV455" i="6"/>
  <c r="BV224" i="6"/>
  <c r="BL548" i="6"/>
  <c r="BV314" i="6"/>
  <c r="BV188" i="6"/>
  <c r="BV155" i="6"/>
  <c r="BV359" i="6"/>
  <c r="CB359" i="6" s="1"/>
  <c r="CC359" i="6" s="1"/>
  <c r="BL101" i="6"/>
  <c r="BV425" i="6"/>
  <c r="BV215" i="6"/>
  <c r="BL215" i="6"/>
  <c r="BL488" i="6"/>
  <c r="BL119" i="6"/>
  <c r="BL47" i="6"/>
  <c r="BV341" i="6"/>
  <c r="CB341" i="6" s="1"/>
  <c r="CC341" i="6" s="1"/>
  <c r="BV563" i="6"/>
  <c r="BV116" i="6"/>
  <c r="CB116" i="6" s="1"/>
  <c r="CC116" i="6" s="1"/>
  <c r="BL311" i="6"/>
  <c r="BV470" i="6"/>
  <c r="BL260" i="6"/>
  <c r="BV149" i="6"/>
  <c r="CB149" i="6" s="1"/>
  <c r="CC149" i="6" s="1"/>
  <c r="BV542" i="6"/>
  <c r="BL257" i="6"/>
  <c r="BL527" i="6"/>
  <c r="BL422" i="6"/>
  <c r="BL359" i="6"/>
  <c r="BL479" i="6"/>
  <c r="BV290" i="6"/>
  <c r="BV284" i="6"/>
  <c r="CB284" i="6" s="1"/>
  <c r="CC284" i="6" s="1"/>
  <c r="BL461" i="6"/>
  <c r="BL191" i="6"/>
  <c r="BL410" i="6"/>
  <c r="BV248" i="6"/>
  <c r="CB248" i="6" s="1"/>
  <c r="CC248" i="6" s="1"/>
  <c r="BV509" i="6"/>
  <c r="BV326" i="6"/>
  <c r="BV182" i="6"/>
  <c r="CB182" i="6" s="1"/>
  <c r="CC182" i="6" s="1"/>
  <c r="BL176" i="6"/>
  <c r="BV59" i="6"/>
  <c r="BL407" i="6"/>
  <c r="BV407" i="6"/>
  <c r="BV122" i="6"/>
  <c r="BV164" i="6"/>
  <c r="BV179" i="6"/>
  <c r="BL353" i="6"/>
  <c r="BV212" i="6"/>
  <c r="BV506" i="6"/>
  <c r="BV404" i="6"/>
  <c r="BL290" i="6"/>
  <c r="BV194" i="6"/>
  <c r="BV344" i="6"/>
  <c r="BL308" i="6"/>
  <c r="BL485" i="6"/>
  <c r="BL326" i="6"/>
  <c r="BV278" i="6"/>
  <c r="BV68" i="6"/>
  <c r="CB68" i="6" s="1"/>
  <c r="CC68" i="6" s="1"/>
  <c r="BL563" i="6"/>
  <c r="BV560" i="6"/>
  <c r="BV395" i="6"/>
  <c r="BV482" i="6"/>
  <c r="BV521" i="6"/>
  <c r="BV338" i="6"/>
  <c r="BV527" i="6"/>
  <c r="BL506" i="6"/>
  <c r="BL227" i="6"/>
  <c r="BL302" i="6"/>
  <c r="BL293" i="6"/>
  <c r="BV392" i="6"/>
  <c r="BL53" i="6"/>
  <c r="BL512" i="6"/>
  <c r="BV119" i="6"/>
  <c r="CB119" i="6" s="1"/>
  <c r="CC119" i="6" s="1"/>
  <c r="BL50" i="6"/>
  <c r="BV239" i="6"/>
  <c r="BV185" i="6"/>
  <c r="BL173" i="6"/>
  <c r="BL116" i="6"/>
  <c r="BL182" i="6"/>
  <c r="BL107" i="6"/>
  <c r="BV203" i="6"/>
  <c r="CB203" i="6" s="1"/>
  <c r="CC203" i="6" s="1"/>
  <c r="BL455" i="6"/>
  <c r="BL56" i="6"/>
  <c r="BV56" i="6"/>
  <c r="CB56" i="6" s="1"/>
  <c r="CC56" i="6" s="1"/>
  <c r="BV236" i="6"/>
  <c r="BL131" i="6"/>
  <c r="BL449" i="6"/>
  <c r="BV65" i="6"/>
  <c r="CB65" i="6" s="1"/>
  <c r="CC65" i="6" s="1"/>
  <c r="BL155" i="6"/>
  <c r="BV233" i="6"/>
  <c r="BL104" i="6"/>
  <c r="BL275" i="6"/>
  <c r="BL65" i="6"/>
  <c r="BL179" i="6"/>
  <c r="BL86" i="6"/>
  <c r="BL401" i="6"/>
  <c r="BV524" i="6"/>
  <c r="BL509" i="6"/>
  <c r="BV530" i="6"/>
  <c r="BL185" i="6"/>
  <c r="BL374" i="6"/>
  <c r="BL491" i="6"/>
  <c r="BV44" i="6"/>
  <c r="BL158" i="6"/>
  <c r="BV74" i="6"/>
  <c r="BL437" i="6"/>
  <c r="BL431" i="6"/>
  <c r="BL566" i="6"/>
  <c r="BL203" i="6"/>
  <c r="BL164" i="6"/>
  <c r="BL362" i="6"/>
  <c r="BL356" i="6"/>
  <c r="BL218" i="6"/>
  <c r="BL497" i="6"/>
  <c r="BV467" i="6"/>
  <c r="BV230" i="6"/>
  <c r="BL344" i="6"/>
  <c r="BV176" i="6"/>
  <c r="BV161" i="6"/>
  <c r="CB161" i="6" s="1"/>
  <c r="CC161" i="6" s="1"/>
  <c r="BV146" i="6"/>
  <c r="CB146" i="6" s="1"/>
  <c r="CC146" i="6" s="1"/>
  <c r="BL392" i="6"/>
  <c r="BL206" i="6"/>
  <c r="BL383" i="6"/>
  <c r="BL248" i="6"/>
  <c r="BL134" i="6"/>
  <c r="BV296" i="6"/>
  <c r="BL299" i="6"/>
  <c r="BV152" i="6"/>
  <c r="CB152" i="6" s="1"/>
  <c r="CC152" i="6" s="1"/>
  <c r="BL395" i="6"/>
  <c r="BV374" i="6"/>
  <c r="CB374" i="6" s="1"/>
  <c r="CC374" i="6" s="1"/>
  <c r="BL482" i="6"/>
  <c r="BL95" i="6"/>
  <c r="BL212" i="6"/>
  <c r="BV260" i="6"/>
  <c r="CB260" i="6" s="1"/>
  <c r="CC260" i="6" s="1"/>
  <c r="BL500" i="6"/>
  <c r="BV566" i="6"/>
  <c r="CB566" i="6" s="1"/>
  <c r="CC566" i="6" s="1"/>
  <c r="BL350" i="6"/>
  <c r="BL233" i="6"/>
  <c r="BL473" i="6"/>
  <c r="BV104" i="6"/>
  <c r="BV302" i="6"/>
  <c r="BL263" i="6"/>
  <c r="BV365" i="6"/>
  <c r="BV350" i="6"/>
  <c r="BV503" i="6"/>
  <c r="CB503" i="6" s="1"/>
  <c r="CC503" i="6" s="1"/>
  <c r="BL443" i="6"/>
  <c r="BL386" i="6"/>
  <c r="BV416" i="6"/>
  <c r="CB416" i="6" s="1"/>
  <c r="CC416" i="6" s="1"/>
  <c r="BV476" i="6"/>
  <c r="BV113" i="6"/>
  <c r="BL251" i="6"/>
  <c r="BL38" i="6"/>
  <c r="BV500" i="6"/>
  <c r="BL35" i="6"/>
  <c r="BV554" i="6"/>
  <c r="BV353" i="6"/>
  <c r="CB353" i="6" s="1"/>
  <c r="CC353" i="6" s="1"/>
  <c r="BL128" i="6"/>
  <c r="BV413" i="6"/>
  <c r="BV254" i="6"/>
  <c r="CB254" i="6" s="1"/>
  <c r="CC254" i="6" s="1"/>
  <c r="BL419" i="6"/>
  <c r="BV368" i="6"/>
  <c r="BL521" i="6"/>
  <c r="BV53" i="6"/>
  <c r="BV434" i="6"/>
  <c r="BV491" i="6"/>
  <c r="CB491" i="6" s="1"/>
  <c r="CC491" i="6" s="1"/>
  <c r="BL539" i="6"/>
  <c r="BV377" i="6"/>
  <c r="BV380" i="6"/>
  <c r="BL122" i="6"/>
  <c r="BL515" i="6"/>
  <c r="BV356" i="6"/>
  <c r="CB356" i="6" s="1"/>
  <c r="CC356" i="6" s="1"/>
  <c r="BL305" i="6"/>
  <c r="BL533" i="6"/>
  <c r="BV479" i="6"/>
  <c r="CB479" i="6" s="1"/>
  <c r="CC479" i="6" s="1"/>
  <c r="BL287" i="6"/>
  <c r="BV263" i="6"/>
  <c r="CB263" i="6" s="1"/>
  <c r="CC263" i="6" s="1"/>
  <c r="BV128" i="6"/>
  <c r="CB128" i="6" s="1"/>
  <c r="CC128" i="6" s="1"/>
  <c r="BV158" i="6"/>
  <c r="BV386" i="6"/>
  <c r="CB386" i="6" s="1"/>
  <c r="CC386" i="6" s="1"/>
  <c r="BL44" i="6"/>
  <c r="BV329" i="6"/>
  <c r="CB329" i="6" s="1"/>
  <c r="CC329" i="6" s="1"/>
  <c r="BL524" i="6"/>
  <c r="BV488" i="6"/>
  <c r="CB488" i="6" s="1"/>
  <c r="CC488" i="6" s="1"/>
  <c r="BV536" i="6"/>
  <c r="CB536" i="6" s="1"/>
  <c r="CC536" i="6" s="1"/>
  <c r="BV494" i="6"/>
  <c r="CB494" i="6" s="1"/>
  <c r="CC494" i="6" s="1"/>
  <c r="BL560" i="6"/>
  <c r="BV323" i="6"/>
  <c r="BV512" i="6"/>
  <c r="BV101" i="6"/>
  <c r="BV461" i="6"/>
  <c r="CB461" i="6" s="1"/>
  <c r="CC461" i="6" s="1"/>
  <c r="BV257" i="6"/>
  <c r="CB257" i="6" s="1"/>
  <c r="CC257" i="6" s="1"/>
  <c r="BV458" i="6"/>
  <c r="BV275" i="6"/>
  <c r="CB275" i="6" s="1"/>
  <c r="CC275" i="6" s="1"/>
  <c r="BL425" i="6"/>
  <c r="BL140" i="6"/>
  <c r="BL365" i="6"/>
  <c r="BV218" i="6"/>
  <c r="CB218" i="6" s="1"/>
  <c r="CC218" i="6" s="1"/>
  <c r="BV419" i="6"/>
  <c r="BL113" i="6"/>
  <c r="BV221" i="6"/>
  <c r="BV86" i="6"/>
  <c r="CB86" i="6" s="1"/>
  <c r="CC86" i="6" s="1"/>
  <c r="BV197" i="6"/>
  <c r="CB197" i="6" s="1"/>
  <c r="CC197" i="6" s="1"/>
  <c r="BV206" i="6"/>
  <c r="BL143" i="6"/>
  <c r="BV47" i="6"/>
  <c r="CB47" i="6" s="1"/>
  <c r="CC47" i="6" s="1"/>
  <c r="BL551" i="6"/>
  <c r="BV35" i="6"/>
  <c r="BL554" i="6"/>
  <c r="BV548" i="6"/>
  <c r="CB548" i="6" s="1"/>
  <c r="CC548" i="6" s="1"/>
  <c r="BV362" i="6"/>
  <c r="CB362" i="6" s="1"/>
  <c r="CC362" i="6" s="1"/>
  <c r="BL77" i="6"/>
  <c r="BV62" i="6"/>
  <c r="CB62" i="6" s="1"/>
  <c r="CC62" i="6" s="1"/>
  <c r="BV533" i="6"/>
  <c r="CB533" i="6" s="1"/>
  <c r="CC533" i="6" s="1"/>
  <c r="BV545" i="6"/>
  <c r="CB545" i="6" s="1"/>
  <c r="CC545" i="6" s="1"/>
  <c r="BL347" i="6"/>
  <c r="BL137" i="6"/>
  <c r="BV431" i="6"/>
  <c r="BV143" i="6"/>
  <c r="CB143" i="6" s="1"/>
  <c r="CC143" i="6" s="1"/>
  <c r="BL335" i="6"/>
  <c r="BL476" i="6"/>
  <c r="BV41" i="6"/>
  <c r="BL377" i="6"/>
  <c r="BL242" i="6"/>
  <c r="BV551" i="6"/>
  <c r="BV209" i="6"/>
  <c r="BL59" i="6"/>
  <c r="BL416" i="6"/>
  <c r="BL296" i="6"/>
  <c r="BV89" i="6"/>
  <c r="BV443" i="6"/>
  <c r="BV371" i="6"/>
  <c r="BL236" i="6"/>
  <c r="BV308" i="6"/>
  <c r="CB308" i="6" s="1"/>
  <c r="CC308" i="6" s="1"/>
  <c r="BL458" i="6"/>
  <c r="BV485" i="6"/>
  <c r="CB485" i="6" s="1"/>
  <c r="CC485" i="6" s="1"/>
  <c r="BV32" i="6"/>
  <c r="BL62" i="6"/>
  <c r="BL413" i="6"/>
  <c r="BL368" i="6"/>
  <c r="BL314" i="6"/>
  <c r="BV131" i="6"/>
  <c r="CB131" i="6" s="1"/>
  <c r="CC131" i="6" s="1"/>
  <c r="BV125" i="6"/>
  <c r="BV311" i="6"/>
  <c r="CB311" i="6" s="1"/>
  <c r="CC311" i="6" s="1"/>
  <c r="BV167" i="6"/>
  <c r="CB167" i="6" s="1"/>
  <c r="CC167" i="6" s="1"/>
  <c r="BL428" i="6"/>
  <c r="BV134" i="6"/>
  <c r="CB134" i="6" s="1"/>
  <c r="CC134" i="6" s="1"/>
  <c r="BV107" i="6"/>
  <c r="CB107" i="6" s="1"/>
  <c r="CC107" i="6" s="1"/>
  <c r="BV173" i="6"/>
  <c r="CB173" i="6" s="1"/>
  <c r="CC173" i="6" s="1"/>
  <c r="BV398" i="6"/>
  <c r="BL518" i="6"/>
  <c r="BV245" i="6"/>
  <c r="BL536" i="6"/>
  <c r="BV110" i="6"/>
  <c r="CB110" i="6" s="1"/>
  <c r="CC110" i="6" s="1"/>
  <c r="BL221" i="6"/>
  <c r="BL74" i="6"/>
  <c r="BL371" i="6"/>
  <c r="BL26" i="6"/>
  <c r="BL380" i="6"/>
  <c r="BL557" i="6"/>
  <c r="BV305" i="6"/>
  <c r="CB305" i="6" s="1"/>
  <c r="CC305" i="6" s="1"/>
  <c r="BL269" i="6"/>
  <c r="BV452" i="6"/>
  <c r="BV191" i="6"/>
  <c r="BL230" i="6"/>
  <c r="BV422" i="6"/>
  <c r="CB422" i="6" s="1"/>
  <c r="CC422" i="6" s="1"/>
  <c r="BV473" i="6"/>
  <c r="BV287" i="6"/>
  <c r="CB287" i="6" s="1"/>
  <c r="CC287" i="6" s="1"/>
  <c r="BL188" i="6"/>
  <c r="BV497" i="6"/>
  <c r="BV251" i="6"/>
  <c r="BL125" i="6"/>
  <c r="BL272" i="6"/>
  <c r="BL170" i="6"/>
  <c r="BV539" i="6"/>
  <c r="CB539" i="6" s="1"/>
  <c r="CC539" i="6" s="1"/>
  <c r="BL41" i="6"/>
  <c r="BV98" i="6"/>
  <c r="CB98" i="6" s="1"/>
  <c r="CC98" i="6" s="1"/>
  <c r="BL317" i="6"/>
  <c r="BV446" i="6"/>
  <c r="BV299" i="6"/>
  <c r="CB299" i="6" s="1"/>
  <c r="CC299" i="6" s="1"/>
  <c r="BV401" i="6"/>
  <c r="CB401" i="6" s="1"/>
  <c r="CC401" i="6" s="1"/>
  <c r="BL323" i="6"/>
  <c r="BL245" i="6"/>
  <c r="BV383" i="6"/>
  <c r="BV83" i="6"/>
  <c r="CB83" i="6" s="1"/>
  <c r="CC83" i="6" s="1"/>
  <c r="BL440" i="6"/>
  <c r="BV293" i="6"/>
  <c r="CB293" i="6" s="1"/>
  <c r="CC293" i="6" s="1"/>
  <c r="BV449" i="6"/>
  <c r="CB449" i="6" s="1"/>
  <c r="CC449" i="6" s="1"/>
  <c r="BV77" i="6"/>
  <c r="CB77" i="6" s="1"/>
  <c r="CC77" i="6" s="1"/>
  <c r="BV347" i="6"/>
  <c r="BL467" i="6"/>
  <c r="BV140" i="6"/>
  <c r="CB140" i="6" s="1"/>
  <c r="CC140" i="6" s="1"/>
  <c r="BL452" i="6"/>
  <c r="BV515" i="6"/>
  <c r="CB515" i="6" s="1"/>
  <c r="CC515" i="6" s="1"/>
  <c r="BV266" i="6"/>
  <c r="BV29" i="6"/>
  <c r="CB29" i="6" s="1"/>
  <c r="CC29" i="6" s="1"/>
  <c r="BV137" i="6"/>
  <c r="CB137" i="6" s="1"/>
  <c r="CC137" i="6" s="1"/>
  <c r="BL470" i="6"/>
  <c r="BL320" i="6"/>
  <c r="BV335" i="6"/>
  <c r="CB335" i="6" s="1"/>
  <c r="CC335" i="6" s="1"/>
  <c r="BV71" i="6"/>
  <c r="BL446" i="6"/>
  <c r="BL278" i="6"/>
  <c r="BL71" i="6"/>
  <c r="BV95" i="6"/>
  <c r="CB95" i="6" s="1"/>
  <c r="CC95" i="6" s="1"/>
  <c r="BV428" i="6"/>
  <c r="CB428" i="6" s="1"/>
  <c r="CC428" i="6" s="1"/>
  <c r="BL239" i="6"/>
  <c r="BV437" i="6"/>
  <c r="CB437" i="6" s="1"/>
  <c r="CC437" i="6" s="1"/>
  <c r="BV320" i="6"/>
  <c r="CB320" i="6" s="1"/>
  <c r="CC320" i="6" s="1"/>
  <c r="BL80" i="6"/>
  <c r="BV440" i="6"/>
  <c r="CB440" i="6" s="1"/>
  <c r="CC440" i="6" s="1"/>
  <c r="BL434" i="6"/>
  <c r="BL398" i="6"/>
  <c r="BL209" i="6"/>
  <c r="BL530" i="6"/>
  <c r="BL89" i="6"/>
  <c r="BL98" i="6"/>
  <c r="BV518" i="6"/>
  <c r="BV26" i="6"/>
  <c r="BL194" i="6"/>
  <c r="BL542" i="6"/>
  <c r="BL224" i="6"/>
  <c r="BL404" i="6"/>
  <c r="BL389" i="6"/>
  <c r="BV269" i="6"/>
  <c r="CB269" i="6" s="1"/>
  <c r="CC269" i="6" s="1"/>
  <c r="BV389" i="6"/>
  <c r="BX118" i="6"/>
  <c r="BT118" i="6"/>
  <c r="BU118" i="6" s="1"/>
  <c r="BJ53" i="6"/>
  <c r="BK53" i="6" s="1"/>
  <c r="BN53" i="6"/>
  <c r="BO53" i="6" s="1"/>
  <c r="BP53" i="6" s="1"/>
  <c r="BN281" i="6"/>
  <c r="BO281" i="6" s="1"/>
  <c r="BP281" i="6" s="1"/>
  <c r="BJ281" i="6"/>
  <c r="BK281" i="6" s="1"/>
  <c r="BJ320" i="6"/>
  <c r="BK320" i="6" s="1"/>
  <c r="BN320" i="6"/>
  <c r="BT315" i="6"/>
  <c r="BU315" i="6" s="1"/>
  <c r="BX315" i="6"/>
  <c r="BN151" i="6"/>
  <c r="BJ151" i="6"/>
  <c r="BK151" i="6" s="1"/>
  <c r="BT456" i="6"/>
  <c r="BU456" i="6" s="1"/>
  <c r="BX456" i="6"/>
  <c r="BJ76" i="6"/>
  <c r="BK76" i="6" s="1"/>
  <c r="BN76" i="6"/>
  <c r="BX75" i="6"/>
  <c r="BT75" i="6"/>
  <c r="BU75" i="6" s="1"/>
  <c r="BJ309" i="6"/>
  <c r="BK309" i="6" s="1"/>
  <c r="BN309" i="6"/>
  <c r="BN385" i="6"/>
  <c r="BJ385" i="6"/>
  <c r="BK385" i="6" s="1"/>
  <c r="BN161" i="6"/>
  <c r="BJ161" i="6"/>
  <c r="BK161" i="6" s="1"/>
  <c r="BX495" i="6"/>
  <c r="BT495" i="6"/>
  <c r="BU495" i="6" s="1"/>
  <c r="BN102" i="6"/>
  <c r="BJ102" i="6"/>
  <c r="BK102" i="6" s="1"/>
  <c r="BX267" i="6"/>
  <c r="BT267" i="6"/>
  <c r="BU267" i="6" s="1"/>
  <c r="BT49" i="6"/>
  <c r="BU49" i="6" s="1"/>
  <c r="BX49" i="6"/>
  <c r="BJ424" i="6"/>
  <c r="BK424" i="6" s="1"/>
  <c r="BN424" i="6"/>
  <c r="BX536" i="6"/>
  <c r="BY536" i="6" s="1"/>
  <c r="BZ536" i="6" s="1"/>
  <c r="BT536" i="6"/>
  <c r="BU536" i="6" s="1"/>
  <c r="BT494" i="6"/>
  <c r="BU494" i="6" s="1"/>
  <c r="BX494" i="6"/>
  <c r="BY494" i="6" s="1"/>
  <c r="BZ494" i="6" s="1"/>
  <c r="BT518" i="6"/>
  <c r="BU518" i="6" s="1"/>
  <c r="BX518" i="6"/>
  <c r="BY518" i="6" s="1"/>
  <c r="BZ518" i="6" s="1"/>
  <c r="BX339" i="6"/>
  <c r="BT339" i="6"/>
  <c r="BU339" i="6" s="1"/>
  <c r="BJ96" i="6"/>
  <c r="BK96" i="6" s="1"/>
  <c r="BN96" i="6"/>
  <c r="BX74" i="6"/>
  <c r="BY74" i="6" s="1"/>
  <c r="BZ74" i="6" s="1"/>
  <c r="BT74" i="6"/>
  <c r="BU74" i="6" s="1"/>
  <c r="BX318" i="6"/>
  <c r="BT318" i="6"/>
  <c r="BU318" i="6" s="1"/>
  <c r="BN437" i="6"/>
  <c r="BO437" i="6" s="1"/>
  <c r="BP437" i="6" s="1"/>
  <c r="BJ437" i="6"/>
  <c r="BK437" i="6" s="1"/>
  <c r="BT249" i="6"/>
  <c r="BU249" i="6" s="1"/>
  <c r="BX249" i="6"/>
  <c r="AX485" i="6"/>
  <c r="BA485" i="6" s="1"/>
  <c r="AZ485" i="6"/>
  <c r="BC485" i="6" s="1"/>
  <c r="AY485" i="6"/>
  <c r="BB485" i="6" s="1"/>
  <c r="BX475" i="6"/>
  <c r="BT475" i="6"/>
  <c r="BU475" i="6" s="1"/>
  <c r="BJ199" i="6"/>
  <c r="BK199" i="6" s="1"/>
  <c r="BN199" i="6"/>
  <c r="BJ551" i="6"/>
  <c r="BK551" i="6" s="1"/>
  <c r="BN551" i="6"/>
  <c r="BX331" i="6"/>
  <c r="BT331" i="6"/>
  <c r="BU331" i="6" s="1"/>
  <c r="BJ470" i="6"/>
  <c r="BK470" i="6" s="1"/>
  <c r="BN470" i="6"/>
  <c r="BO470" i="6" s="1"/>
  <c r="BP470" i="6" s="1"/>
  <c r="BT92" i="6"/>
  <c r="BU92" i="6" s="1"/>
  <c r="BX92" i="6"/>
  <c r="BX278" i="6"/>
  <c r="BY278" i="6" s="1"/>
  <c r="BZ278" i="6" s="1"/>
  <c r="BT278" i="6"/>
  <c r="BU278" i="6" s="1"/>
  <c r="BX161" i="6"/>
  <c r="BY161" i="6" s="1"/>
  <c r="BZ161" i="6" s="1"/>
  <c r="BT161" i="6"/>
  <c r="BU161" i="6" s="1"/>
  <c r="BN240" i="6"/>
  <c r="BJ240" i="6"/>
  <c r="BK240" i="6" s="1"/>
  <c r="BX428" i="6"/>
  <c r="BY428" i="6" s="1"/>
  <c r="BZ428" i="6" s="1"/>
  <c r="BT428" i="6"/>
  <c r="BU428" i="6" s="1"/>
  <c r="BJ165" i="6"/>
  <c r="BK165" i="6" s="1"/>
  <c r="BN165" i="6"/>
  <c r="BJ475" i="6"/>
  <c r="BK475" i="6" s="1"/>
  <c r="BN475" i="6"/>
  <c r="BT70" i="6"/>
  <c r="BU70" i="6" s="1"/>
  <c r="BX70" i="6"/>
  <c r="BT337" i="6"/>
  <c r="BU337" i="6" s="1"/>
  <c r="BX337" i="6"/>
  <c r="BJ339" i="6"/>
  <c r="BK339" i="6" s="1"/>
  <c r="BN339" i="6"/>
  <c r="BT215" i="6"/>
  <c r="BU215" i="6" s="1"/>
  <c r="BX215" i="6"/>
  <c r="BY215" i="6" s="1"/>
  <c r="BZ215" i="6" s="1"/>
  <c r="BN274" i="6"/>
  <c r="BJ274" i="6"/>
  <c r="BK274" i="6" s="1"/>
  <c r="BX60" i="6"/>
  <c r="BT60" i="6"/>
  <c r="BU60" i="6" s="1"/>
  <c r="BX139" i="6"/>
  <c r="BT139" i="6"/>
  <c r="BU139" i="6" s="1"/>
  <c r="BJ220" i="6"/>
  <c r="BK220" i="6" s="1"/>
  <c r="BN220" i="6"/>
  <c r="BJ301" i="6"/>
  <c r="BK301" i="6" s="1"/>
  <c r="BN301" i="6"/>
  <c r="BX50" i="6"/>
  <c r="BT50" i="6"/>
  <c r="BU50" i="6" s="1"/>
  <c r="BJ239" i="6"/>
  <c r="BK239" i="6" s="1"/>
  <c r="BN239" i="6"/>
  <c r="BJ382" i="6"/>
  <c r="BK382" i="6" s="1"/>
  <c r="BN382" i="6"/>
  <c r="BN514" i="6"/>
  <c r="BJ514" i="6"/>
  <c r="BK514" i="6" s="1"/>
  <c r="BN317" i="6"/>
  <c r="BO317" i="6" s="1"/>
  <c r="BP317" i="6" s="1"/>
  <c r="BJ317" i="6"/>
  <c r="BK317" i="6" s="1"/>
  <c r="BT198" i="6"/>
  <c r="BU198" i="6" s="1"/>
  <c r="BX198" i="6"/>
  <c r="BN63" i="6"/>
  <c r="BJ63" i="6"/>
  <c r="BK63" i="6" s="1"/>
  <c r="BT446" i="6"/>
  <c r="BU446" i="6" s="1"/>
  <c r="BX446" i="6"/>
  <c r="BY446" i="6" s="1"/>
  <c r="BZ446" i="6" s="1"/>
  <c r="BT226" i="6"/>
  <c r="BU226" i="6" s="1"/>
  <c r="BX226" i="6"/>
  <c r="BN167" i="6"/>
  <c r="BO167" i="6" s="1"/>
  <c r="BP167" i="6" s="1"/>
  <c r="BJ167" i="6"/>
  <c r="BK167" i="6" s="1"/>
  <c r="BJ259" i="6"/>
  <c r="BK259" i="6" s="1"/>
  <c r="BN259" i="6"/>
  <c r="BJ370" i="6"/>
  <c r="BK370" i="6" s="1"/>
  <c r="BN370" i="6"/>
  <c r="BN360" i="6"/>
  <c r="BJ360" i="6"/>
  <c r="BK360" i="6" s="1"/>
  <c r="BT270" i="6"/>
  <c r="BU270" i="6" s="1"/>
  <c r="BX270" i="6"/>
  <c r="BX477" i="6"/>
  <c r="BT477" i="6"/>
  <c r="BU477" i="6" s="1"/>
  <c r="BJ117" i="6"/>
  <c r="BK117" i="6" s="1"/>
  <c r="BN117" i="6"/>
  <c r="BN371" i="6"/>
  <c r="BO371" i="6" s="1"/>
  <c r="BP371" i="6" s="1"/>
  <c r="BJ371" i="6"/>
  <c r="BK371" i="6" s="1"/>
  <c r="BJ271" i="6"/>
  <c r="BK271" i="6" s="1"/>
  <c r="BN271" i="6"/>
  <c r="BJ255" i="6"/>
  <c r="BK255" i="6" s="1"/>
  <c r="BN255" i="6"/>
  <c r="BN230" i="6"/>
  <c r="BO230" i="6" s="1"/>
  <c r="BP230" i="6" s="1"/>
  <c r="BJ230" i="6"/>
  <c r="BK230" i="6" s="1"/>
  <c r="AZ91" i="6"/>
  <c r="BC91" i="6" s="1"/>
  <c r="AY91" i="6"/>
  <c r="BB91" i="6" s="1"/>
  <c r="AX91" i="6"/>
  <c r="BA91" i="6" s="1"/>
  <c r="BT125" i="6"/>
  <c r="BU125" i="6" s="1"/>
  <c r="BX125" i="6"/>
  <c r="BY125" i="6" s="1"/>
  <c r="BZ125" i="6" s="1"/>
  <c r="BN60" i="6"/>
  <c r="BJ60" i="6"/>
  <c r="BK60" i="6" s="1"/>
  <c r="BX113" i="6"/>
  <c r="BY113" i="6" s="1"/>
  <c r="BZ113" i="6" s="1"/>
  <c r="BT113" i="6"/>
  <c r="BU113" i="6" s="1"/>
  <c r="BT190" i="6"/>
  <c r="BU190" i="6" s="1"/>
  <c r="BX190" i="6"/>
  <c r="BN432" i="6"/>
  <c r="BJ432" i="6"/>
  <c r="BK432" i="6" s="1"/>
  <c r="BJ415" i="6"/>
  <c r="BK415" i="6" s="1"/>
  <c r="BN415" i="6"/>
  <c r="BJ70" i="6"/>
  <c r="BK70" i="6" s="1"/>
  <c r="BN70" i="6"/>
  <c r="BJ168" i="6"/>
  <c r="BK168" i="6" s="1"/>
  <c r="BN168" i="6"/>
  <c r="BN225" i="6"/>
  <c r="BJ225" i="6"/>
  <c r="BK225" i="6" s="1"/>
  <c r="BN118" i="6"/>
  <c r="BJ118" i="6"/>
  <c r="BK118" i="6" s="1"/>
  <c r="BX340" i="6"/>
  <c r="BT340" i="6"/>
  <c r="BU340" i="6" s="1"/>
  <c r="BX546" i="6"/>
  <c r="BT546" i="6"/>
  <c r="BU546" i="6" s="1"/>
  <c r="BN512" i="6"/>
  <c r="BO512" i="6" s="1"/>
  <c r="BP512" i="6" s="1"/>
  <c r="BJ512" i="6"/>
  <c r="BK512" i="6" s="1"/>
  <c r="BX130" i="6"/>
  <c r="BT130" i="6"/>
  <c r="BU130" i="6" s="1"/>
  <c r="BX320" i="6"/>
  <c r="BY320" i="6" s="1"/>
  <c r="BZ320" i="6" s="1"/>
  <c r="BT320" i="6"/>
  <c r="BU320" i="6" s="1"/>
  <c r="BN80" i="6"/>
  <c r="BO80" i="6" s="1"/>
  <c r="BP80" i="6" s="1"/>
  <c r="BJ80" i="6"/>
  <c r="BK80" i="6" s="1"/>
  <c r="BX145" i="6"/>
  <c r="BT145" i="6"/>
  <c r="BU145" i="6" s="1"/>
  <c r="BX440" i="6"/>
  <c r="BY440" i="6" s="1"/>
  <c r="BZ440" i="6" s="1"/>
  <c r="BT440" i="6"/>
  <c r="BU440" i="6" s="1"/>
  <c r="BT563" i="6"/>
  <c r="BU563" i="6" s="1"/>
  <c r="BX563" i="6"/>
  <c r="BT438" i="6"/>
  <c r="BU438" i="6" s="1"/>
  <c r="BX438" i="6"/>
  <c r="BJ59" i="6"/>
  <c r="BK59" i="6" s="1"/>
  <c r="BN59" i="6"/>
  <c r="BN416" i="6"/>
  <c r="BO416" i="6" s="1"/>
  <c r="BP416" i="6" s="1"/>
  <c r="BJ416" i="6"/>
  <c r="BK416" i="6" s="1"/>
  <c r="BN433" i="6"/>
  <c r="BJ433" i="6"/>
  <c r="BK433" i="6" s="1"/>
  <c r="BN83" i="6"/>
  <c r="BO83" i="6" s="1"/>
  <c r="BP83" i="6" s="1"/>
  <c r="BJ83" i="6"/>
  <c r="BK83" i="6" s="1"/>
  <c r="BJ251" i="6"/>
  <c r="BK251" i="6" s="1"/>
  <c r="BN251" i="6"/>
  <c r="BO251" i="6" s="1"/>
  <c r="BP251" i="6" s="1"/>
  <c r="BX370" i="6"/>
  <c r="BT370" i="6"/>
  <c r="BU370" i="6" s="1"/>
  <c r="BX283" i="6"/>
  <c r="BT283" i="6"/>
  <c r="BU283" i="6" s="1"/>
  <c r="BN222" i="6"/>
  <c r="BJ222" i="6"/>
  <c r="BK222" i="6" s="1"/>
  <c r="BN87" i="6"/>
  <c r="BJ87" i="6"/>
  <c r="BK87" i="6" s="1"/>
  <c r="BN38" i="6"/>
  <c r="BJ38" i="6"/>
  <c r="BK38" i="6" s="1"/>
  <c r="BT480" i="6"/>
  <c r="BU480" i="6" s="1"/>
  <c r="BX480" i="6"/>
  <c r="BX487" i="6"/>
  <c r="BT487" i="6"/>
  <c r="BU487" i="6" s="1"/>
  <c r="BN515" i="6"/>
  <c r="BO515" i="6" s="1"/>
  <c r="BP515" i="6" s="1"/>
  <c r="BJ515" i="6"/>
  <c r="BK515" i="6" s="1"/>
  <c r="BN467" i="6"/>
  <c r="BO467" i="6" s="1"/>
  <c r="BP467" i="6" s="1"/>
  <c r="BJ467" i="6"/>
  <c r="BK467" i="6" s="1"/>
  <c r="AZ458" i="6"/>
  <c r="BC458" i="6" s="1"/>
  <c r="AY458" i="6"/>
  <c r="BB458" i="6" s="1"/>
  <c r="AX458" i="6"/>
  <c r="BA458" i="6" s="1"/>
  <c r="AY151" i="6"/>
  <c r="BB151" i="6" s="1"/>
  <c r="AZ151" i="6"/>
  <c r="BC151" i="6" s="1"/>
  <c r="AX151" i="6"/>
  <c r="BA151" i="6" s="1"/>
  <c r="BX342" i="6"/>
  <c r="BT342" i="6"/>
  <c r="BU342" i="6" s="1"/>
  <c r="BT100" i="6"/>
  <c r="BU100" i="6" s="1"/>
  <c r="BX100" i="6"/>
  <c r="BN459" i="6"/>
  <c r="BJ459" i="6"/>
  <c r="BK459" i="6" s="1"/>
  <c r="BT502" i="6"/>
  <c r="BU502" i="6" s="1"/>
  <c r="BX502" i="6"/>
  <c r="BT160" i="6"/>
  <c r="BU160" i="6" s="1"/>
  <c r="BX160" i="6"/>
  <c r="BJ64" i="6"/>
  <c r="BK64" i="6" s="1"/>
  <c r="BN64" i="6"/>
  <c r="BX225" i="6"/>
  <c r="BT225" i="6"/>
  <c r="BU225" i="6" s="1"/>
  <c r="BT281" i="6"/>
  <c r="BU281" i="6" s="1"/>
  <c r="BX281" i="6"/>
  <c r="BY281" i="6" s="1"/>
  <c r="BZ281" i="6" s="1"/>
  <c r="BX514" i="6"/>
  <c r="BT514" i="6"/>
  <c r="BU514" i="6" s="1"/>
  <c r="BN200" i="6"/>
  <c r="BJ200" i="6"/>
  <c r="BK200" i="6" s="1"/>
  <c r="BN214" i="6"/>
  <c r="BJ214" i="6"/>
  <c r="BK214" i="6" s="1"/>
  <c r="BJ106" i="6"/>
  <c r="BK106" i="6" s="1"/>
  <c r="BN106" i="6"/>
  <c r="BN326" i="6"/>
  <c r="BO326" i="6" s="1"/>
  <c r="BP326" i="6" s="1"/>
  <c r="BJ326" i="6"/>
  <c r="BK326" i="6" s="1"/>
  <c r="BX303" i="6"/>
  <c r="BT303" i="6"/>
  <c r="BU303" i="6" s="1"/>
  <c r="BN110" i="6"/>
  <c r="BO110" i="6" s="1"/>
  <c r="BP110" i="6" s="1"/>
  <c r="BJ110" i="6"/>
  <c r="BK110" i="6" s="1"/>
  <c r="BJ331" i="6"/>
  <c r="BK331" i="6" s="1"/>
  <c r="BN331" i="6"/>
  <c r="BX176" i="6"/>
  <c r="BY176" i="6" s="1"/>
  <c r="BZ176" i="6" s="1"/>
  <c r="BT176" i="6"/>
  <c r="BU176" i="6" s="1"/>
  <c r="BN523" i="6"/>
  <c r="BJ523" i="6"/>
  <c r="BK523" i="6" s="1"/>
  <c r="BN44" i="6"/>
  <c r="BO44" i="6" s="1"/>
  <c r="BP44" i="6" s="1"/>
  <c r="BJ44" i="6"/>
  <c r="BK44" i="6" s="1"/>
  <c r="BT165" i="6"/>
  <c r="BU165" i="6" s="1"/>
  <c r="BX165" i="6"/>
  <c r="BN441" i="6"/>
  <c r="BJ441" i="6"/>
  <c r="BK441" i="6" s="1"/>
  <c r="BN540" i="6"/>
  <c r="BJ540" i="6"/>
  <c r="BK540" i="6" s="1"/>
  <c r="BT524" i="6"/>
  <c r="BU524" i="6" s="1"/>
  <c r="BX524" i="6"/>
  <c r="BY524" i="6" s="1"/>
  <c r="BZ524" i="6" s="1"/>
  <c r="BX82" i="6"/>
  <c r="BT82" i="6"/>
  <c r="BU82" i="6" s="1"/>
  <c r="BX210" i="6"/>
  <c r="BT210" i="6"/>
  <c r="BU210" i="6" s="1"/>
  <c r="BN460" i="6"/>
  <c r="BJ460" i="6"/>
  <c r="BK460" i="6" s="1"/>
  <c r="BX220" i="6"/>
  <c r="BT220" i="6"/>
  <c r="BU220" i="6" s="1"/>
  <c r="BT528" i="6"/>
  <c r="BU528" i="6" s="1"/>
  <c r="BX528" i="6"/>
  <c r="BX543" i="6"/>
  <c r="BT543" i="6"/>
  <c r="BU543" i="6" s="1"/>
  <c r="BN216" i="6"/>
  <c r="BJ216" i="6"/>
  <c r="BK216" i="6" s="1"/>
  <c r="BT296" i="6"/>
  <c r="BU296" i="6" s="1"/>
  <c r="BX296" i="6"/>
  <c r="BY296" i="6" s="1"/>
  <c r="BZ296" i="6" s="1"/>
  <c r="BN299" i="6"/>
  <c r="BO299" i="6" s="1"/>
  <c r="BP299" i="6" s="1"/>
  <c r="BJ299" i="6"/>
  <c r="BK299" i="6" s="1"/>
  <c r="BX229" i="6"/>
  <c r="BT229" i="6"/>
  <c r="BU229" i="6" s="1"/>
  <c r="BJ536" i="6"/>
  <c r="BK536" i="6" s="1"/>
  <c r="BN536" i="6"/>
  <c r="BO536" i="6" s="1"/>
  <c r="BP536" i="6" s="1"/>
  <c r="BN229" i="6"/>
  <c r="BJ229" i="6"/>
  <c r="BK229" i="6" s="1"/>
  <c r="BN486" i="6"/>
  <c r="BJ486" i="6"/>
  <c r="BK486" i="6" s="1"/>
  <c r="BN139" i="6"/>
  <c r="BJ139" i="6"/>
  <c r="BK139" i="6" s="1"/>
  <c r="BJ507" i="6"/>
  <c r="BK507" i="6" s="1"/>
  <c r="BN507" i="6"/>
  <c r="BN75" i="6"/>
  <c r="BJ75" i="6"/>
  <c r="BK75" i="6" s="1"/>
  <c r="BN95" i="6"/>
  <c r="BO95" i="6" s="1"/>
  <c r="BP95" i="6" s="1"/>
  <c r="BJ95" i="6"/>
  <c r="BK95" i="6" s="1"/>
  <c r="BX122" i="6"/>
  <c r="BT122" i="6"/>
  <c r="BU122" i="6" s="1"/>
  <c r="BN300" i="6"/>
  <c r="BJ300" i="6"/>
  <c r="BK300" i="6" s="1"/>
  <c r="BJ366" i="6"/>
  <c r="BK366" i="6" s="1"/>
  <c r="BN366" i="6"/>
  <c r="BN479" i="6"/>
  <c r="BO479" i="6" s="1"/>
  <c r="BP479" i="6" s="1"/>
  <c r="BJ479" i="6"/>
  <c r="BK479" i="6" s="1"/>
  <c r="BN346" i="6"/>
  <c r="BJ346" i="6"/>
  <c r="BK346" i="6" s="1"/>
  <c r="BJ417" i="6"/>
  <c r="BK417" i="6" s="1"/>
  <c r="BN417" i="6"/>
  <c r="BN410" i="6"/>
  <c r="BO410" i="6" s="1"/>
  <c r="BP410" i="6" s="1"/>
  <c r="BJ410" i="6"/>
  <c r="BK410" i="6" s="1"/>
  <c r="BN377" i="6"/>
  <c r="BJ377" i="6"/>
  <c r="BK377" i="6" s="1"/>
  <c r="BX187" i="6"/>
  <c r="BT187" i="6"/>
  <c r="BU187" i="6" s="1"/>
  <c r="BN318" i="6"/>
  <c r="BJ318" i="6"/>
  <c r="BK318" i="6" s="1"/>
  <c r="BN49" i="6"/>
  <c r="BJ49" i="6"/>
  <c r="BK49" i="6" s="1"/>
  <c r="BJ187" i="6"/>
  <c r="BK187" i="6" s="1"/>
  <c r="BN187" i="6"/>
  <c r="BX517" i="6"/>
  <c r="BT517" i="6"/>
  <c r="BU517" i="6" s="1"/>
  <c r="BJ544" i="6"/>
  <c r="BK544" i="6" s="1"/>
  <c r="BN544" i="6"/>
  <c r="BJ443" i="6"/>
  <c r="BK443" i="6" s="1"/>
  <c r="BN443" i="6"/>
  <c r="BN386" i="6"/>
  <c r="BO386" i="6" s="1"/>
  <c r="BP386" i="6" s="1"/>
  <c r="BJ386" i="6"/>
  <c r="BK386" i="6" s="1"/>
  <c r="BX248" i="6"/>
  <c r="BT248" i="6"/>
  <c r="BU248" i="6" s="1"/>
  <c r="BJ36" i="6"/>
  <c r="BK36" i="6" s="1"/>
  <c r="BN36" i="6"/>
  <c r="BN376" i="6"/>
  <c r="BJ376" i="6"/>
  <c r="BK376" i="6" s="1"/>
  <c r="BT509" i="6"/>
  <c r="BU509" i="6" s="1"/>
  <c r="BX509" i="6"/>
  <c r="BX174" i="6"/>
  <c r="BT174" i="6"/>
  <c r="BU174" i="6" s="1"/>
  <c r="BN502" i="6"/>
  <c r="BJ502" i="6"/>
  <c r="BK502" i="6" s="1"/>
  <c r="BX146" i="6"/>
  <c r="BY146" i="6" s="1"/>
  <c r="BZ146" i="6" s="1"/>
  <c r="BT146" i="6"/>
  <c r="BU146" i="6" s="1"/>
  <c r="BX55" i="6"/>
  <c r="BT55" i="6"/>
  <c r="BU55" i="6" s="1"/>
  <c r="BX200" i="6"/>
  <c r="BY200" i="6" s="1"/>
  <c r="BZ200" i="6" s="1"/>
  <c r="BT200" i="6"/>
  <c r="BU200" i="6" s="1"/>
  <c r="BX441" i="6"/>
  <c r="BT441" i="6"/>
  <c r="BU441" i="6" s="1"/>
  <c r="BX560" i="6"/>
  <c r="BT560" i="6"/>
  <c r="BU560" i="6" s="1"/>
  <c r="BN466" i="6"/>
  <c r="BJ466" i="6"/>
  <c r="BK466" i="6" s="1"/>
  <c r="BN134" i="6"/>
  <c r="BO134" i="6" s="1"/>
  <c r="BP134" i="6" s="1"/>
  <c r="BJ134" i="6"/>
  <c r="BK134" i="6" s="1"/>
  <c r="BX416" i="6"/>
  <c r="BY416" i="6" s="1"/>
  <c r="BZ416" i="6" s="1"/>
  <c r="BT416" i="6"/>
  <c r="BU416" i="6" s="1"/>
  <c r="BX476" i="6"/>
  <c r="BY476" i="6" s="1"/>
  <c r="BZ476" i="6" s="1"/>
  <c r="BT476" i="6"/>
  <c r="BU476" i="6" s="1"/>
  <c r="BT464" i="6"/>
  <c r="BU464" i="6" s="1"/>
  <c r="BX464" i="6"/>
  <c r="BY464" i="6" s="1"/>
  <c r="BZ464" i="6" s="1"/>
  <c r="BN245" i="6"/>
  <c r="BJ245" i="6"/>
  <c r="BK245" i="6" s="1"/>
  <c r="BX383" i="6"/>
  <c r="BT383" i="6"/>
  <c r="BU383" i="6" s="1"/>
  <c r="BX59" i="6"/>
  <c r="BT59" i="6"/>
  <c r="BU59" i="6" s="1"/>
  <c r="BX411" i="6"/>
  <c r="BT411" i="6"/>
  <c r="BU411" i="6" s="1"/>
  <c r="BJ61" i="6"/>
  <c r="BK61" i="6" s="1"/>
  <c r="BN61" i="6"/>
  <c r="BJ478" i="6"/>
  <c r="BK478" i="6" s="1"/>
  <c r="BN478" i="6"/>
  <c r="BJ560" i="6"/>
  <c r="BK560" i="6" s="1"/>
  <c r="BN560" i="6"/>
  <c r="BO560" i="6" s="1"/>
  <c r="BP560" i="6" s="1"/>
  <c r="BJ378" i="6"/>
  <c r="BK378" i="6" s="1"/>
  <c r="BN378" i="6"/>
  <c r="BN329" i="6"/>
  <c r="BJ329" i="6"/>
  <c r="BK329" i="6" s="1"/>
  <c r="BX323" i="6"/>
  <c r="BT323" i="6"/>
  <c r="BU323" i="6" s="1"/>
  <c r="BN379" i="6"/>
  <c r="BJ379" i="6"/>
  <c r="BK379" i="6" s="1"/>
  <c r="BX512" i="6"/>
  <c r="BY512" i="6" s="1"/>
  <c r="BZ512" i="6" s="1"/>
  <c r="BT512" i="6"/>
  <c r="BU512" i="6" s="1"/>
  <c r="BX412" i="6"/>
  <c r="BT412" i="6"/>
  <c r="BU412" i="6" s="1"/>
  <c r="BN94" i="6"/>
  <c r="BJ94" i="6"/>
  <c r="BK94" i="6" s="1"/>
  <c r="BT505" i="6"/>
  <c r="BU505" i="6" s="1"/>
  <c r="BX505" i="6"/>
  <c r="BX311" i="6"/>
  <c r="BY311" i="6" s="1"/>
  <c r="BZ311" i="6" s="1"/>
  <c r="BT311" i="6"/>
  <c r="BU311" i="6" s="1"/>
  <c r="BX309" i="6"/>
  <c r="BT309" i="6"/>
  <c r="BU309" i="6" s="1"/>
  <c r="BN221" i="6"/>
  <c r="BO221" i="6" s="1"/>
  <c r="BP221" i="6" s="1"/>
  <c r="BJ221" i="6"/>
  <c r="BK221" i="6" s="1"/>
  <c r="BN456" i="6"/>
  <c r="BJ456" i="6"/>
  <c r="BK456" i="6" s="1"/>
  <c r="BT418" i="6"/>
  <c r="BU418" i="6" s="1"/>
  <c r="BX418" i="6"/>
  <c r="BT34" i="6"/>
  <c r="BU34" i="6" s="1"/>
  <c r="BX34" i="6"/>
  <c r="BX43" i="6"/>
  <c r="BT43" i="6"/>
  <c r="BU43" i="6" s="1"/>
  <c r="BN496" i="6"/>
  <c r="BJ496" i="6"/>
  <c r="BK496" i="6" s="1"/>
  <c r="BT117" i="6"/>
  <c r="BU117" i="6" s="1"/>
  <c r="BX117" i="6"/>
  <c r="BT53" i="6"/>
  <c r="BU53" i="6" s="1"/>
  <c r="BX53" i="6"/>
  <c r="BY53" i="6" s="1"/>
  <c r="BZ53" i="6" s="1"/>
  <c r="BX41" i="6"/>
  <c r="BY41" i="6" s="1"/>
  <c r="BZ41" i="6" s="1"/>
  <c r="BT41" i="6"/>
  <c r="BU41" i="6" s="1"/>
  <c r="BX433" i="6"/>
  <c r="BT433" i="6"/>
  <c r="BU433" i="6" s="1"/>
  <c r="BX90" i="6"/>
  <c r="BT90" i="6"/>
  <c r="BU90" i="6" s="1"/>
  <c r="BN555" i="6"/>
  <c r="BJ555" i="6"/>
  <c r="BK555" i="6" s="1"/>
  <c r="BN268" i="6"/>
  <c r="BJ268" i="6"/>
  <c r="BK268" i="6" s="1"/>
  <c r="BN198" i="6"/>
  <c r="BJ198" i="6"/>
  <c r="BK198" i="6" s="1"/>
  <c r="BX129" i="6"/>
  <c r="BT129" i="6"/>
  <c r="BU129" i="6" s="1"/>
  <c r="BX341" i="6"/>
  <c r="BY341" i="6" s="1"/>
  <c r="BZ341" i="6" s="1"/>
  <c r="BT341" i="6"/>
  <c r="BU341" i="6" s="1"/>
  <c r="BN82" i="6"/>
  <c r="BJ82" i="6"/>
  <c r="BK82" i="6" s="1"/>
  <c r="BT486" i="6"/>
  <c r="BU486" i="6" s="1"/>
  <c r="BX486" i="6"/>
  <c r="BN181" i="6"/>
  <c r="BJ181" i="6"/>
  <c r="BK181" i="6" s="1"/>
  <c r="BN508" i="6"/>
  <c r="BJ508" i="6"/>
  <c r="BK508" i="6" s="1"/>
  <c r="BN135" i="6"/>
  <c r="BJ135" i="6"/>
  <c r="BK135" i="6" s="1"/>
  <c r="BX240" i="6"/>
  <c r="BT240" i="6"/>
  <c r="BU240" i="6" s="1"/>
  <c r="BX199" i="6"/>
  <c r="BT199" i="6"/>
  <c r="BU199" i="6" s="1"/>
  <c r="BJ89" i="6"/>
  <c r="BK89" i="6" s="1"/>
  <c r="BN89" i="6"/>
  <c r="BO89" i="6" s="1"/>
  <c r="BP89" i="6" s="1"/>
  <c r="BX395" i="6"/>
  <c r="BY395" i="6" s="1"/>
  <c r="BZ395" i="6" s="1"/>
  <c r="BT395" i="6"/>
  <c r="BU395" i="6" s="1"/>
  <c r="BT282" i="6"/>
  <c r="BU282" i="6" s="1"/>
  <c r="BX282" i="6"/>
  <c r="BT189" i="6"/>
  <c r="BU189" i="6" s="1"/>
  <c r="BX189" i="6"/>
  <c r="BN307" i="6"/>
  <c r="BJ307" i="6"/>
  <c r="BK307" i="6" s="1"/>
  <c r="BX336" i="6"/>
  <c r="BT336" i="6"/>
  <c r="BU336" i="6" s="1"/>
  <c r="BX471" i="6"/>
  <c r="BT471" i="6"/>
  <c r="BU471" i="6" s="1"/>
  <c r="BX159" i="6"/>
  <c r="BT159" i="6"/>
  <c r="BU159" i="6" s="1"/>
  <c r="BX526" i="6"/>
  <c r="BT526" i="6"/>
  <c r="BU526" i="6" s="1"/>
  <c r="BT521" i="6"/>
  <c r="BU521" i="6" s="1"/>
  <c r="BX521" i="6"/>
  <c r="BJ343" i="6"/>
  <c r="BK343" i="6" s="1"/>
  <c r="BN343" i="6"/>
  <c r="BT354" i="6"/>
  <c r="BU354" i="6" s="1"/>
  <c r="BX354" i="6"/>
  <c r="BJ404" i="6"/>
  <c r="BK404" i="6" s="1"/>
  <c r="BN404" i="6"/>
  <c r="AX71" i="6"/>
  <c r="BA71" i="6" s="1"/>
  <c r="AY71" i="6"/>
  <c r="BB71" i="6" s="1"/>
  <c r="AZ71" i="6"/>
  <c r="BC71" i="6" s="1"/>
  <c r="BX301" i="6"/>
  <c r="BT301" i="6"/>
  <c r="BU301" i="6" s="1"/>
  <c r="BT238" i="6"/>
  <c r="BU238" i="6" s="1"/>
  <c r="BX238" i="6"/>
  <c r="BJ477" i="6"/>
  <c r="BK477" i="6" s="1"/>
  <c r="BN477" i="6"/>
  <c r="BJ434" i="6"/>
  <c r="BK434" i="6" s="1"/>
  <c r="BN434" i="6"/>
  <c r="BO434" i="6" s="1"/>
  <c r="BP434" i="6" s="1"/>
  <c r="BJ304" i="6"/>
  <c r="BK304" i="6" s="1"/>
  <c r="BN304" i="6"/>
  <c r="BX478" i="6"/>
  <c r="BT478" i="6"/>
  <c r="BU478" i="6" s="1"/>
  <c r="BT83" i="6"/>
  <c r="BU83" i="6" s="1"/>
  <c r="BX83" i="6"/>
  <c r="BY83" i="6" s="1"/>
  <c r="BZ83" i="6" s="1"/>
  <c r="BN408" i="6"/>
  <c r="BJ408" i="6"/>
  <c r="BK408" i="6" s="1"/>
  <c r="BN107" i="6"/>
  <c r="BO107" i="6" s="1"/>
  <c r="BP107" i="6" s="1"/>
  <c r="BJ107" i="6"/>
  <c r="BK107" i="6" s="1"/>
  <c r="BX348" i="6"/>
  <c r="BT348" i="6"/>
  <c r="BU348" i="6" s="1"/>
  <c r="BJ427" i="6"/>
  <c r="BK427" i="6" s="1"/>
  <c r="BN427" i="6"/>
  <c r="BX138" i="6"/>
  <c r="BT138" i="6"/>
  <c r="BU138" i="6" s="1"/>
  <c r="BX392" i="6"/>
  <c r="BT392" i="6"/>
  <c r="BU392" i="6" s="1"/>
  <c r="BT168" i="6"/>
  <c r="BU168" i="6" s="1"/>
  <c r="BX168" i="6"/>
  <c r="BX544" i="6"/>
  <c r="BT544" i="6"/>
  <c r="BU544" i="6" s="1"/>
  <c r="BT351" i="6"/>
  <c r="BU351" i="6" s="1"/>
  <c r="BX351" i="6"/>
  <c r="BX386" i="6"/>
  <c r="BY386" i="6" s="1"/>
  <c r="BZ386" i="6" s="1"/>
  <c r="BT386" i="6"/>
  <c r="BU386" i="6" s="1"/>
  <c r="BT415" i="6"/>
  <c r="BU415" i="6" s="1"/>
  <c r="BX415" i="6"/>
  <c r="BT36" i="6"/>
  <c r="BU36" i="6" s="1"/>
  <c r="BX36" i="6"/>
  <c r="BN399" i="6"/>
  <c r="BJ399" i="6"/>
  <c r="BK399" i="6" s="1"/>
  <c r="BJ138" i="6"/>
  <c r="BK138" i="6" s="1"/>
  <c r="BN138" i="6"/>
  <c r="BN39" i="6"/>
  <c r="BJ39" i="6"/>
  <c r="BK39" i="6" s="1"/>
  <c r="BX447" i="6"/>
  <c r="BT447" i="6"/>
  <c r="BU447" i="6" s="1"/>
  <c r="BX562" i="6"/>
  <c r="BT562" i="6"/>
  <c r="BU562" i="6" s="1"/>
  <c r="BJ120" i="6"/>
  <c r="BK120" i="6" s="1"/>
  <c r="BN120" i="6"/>
  <c r="BT326" i="6"/>
  <c r="BU326" i="6" s="1"/>
  <c r="BX326" i="6"/>
  <c r="BY326" i="6" s="1"/>
  <c r="BZ326" i="6" s="1"/>
  <c r="BN55" i="6"/>
  <c r="BJ55" i="6"/>
  <c r="BK55" i="6" s="1"/>
  <c r="BN185" i="6"/>
  <c r="BO185" i="6" s="1"/>
  <c r="BP185" i="6" s="1"/>
  <c r="BJ185" i="6"/>
  <c r="BK185" i="6" s="1"/>
  <c r="BN160" i="6"/>
  <c r="BJ160" i="6"/>
  <c r="BK160" i="6" s="1"/>
  <c r="BX508" i="6"/>
  <c r="BT508" i="6"/>
  <c r="BU508" i="6" s="1"/>
  <c r="BX448" i="6"/>
  <c r="BT448" i="6"/>
  <c r="BU448" i="6" s="1"/>
  <c r="BT310" i="6"/>
  <c r="BU310" i="6" s="1"/>
  <c r="BX310" i="6"/>
  <c r="BJ435" i="6"/>
  <c r="BK435" i="6" s="1"/>
  <c r="BN435" i="6"/>
  <c r="BX525" i="6"/>
  <c r="BT525" i="6"/>
  <c r="BU525" i="6" s="1"/>
  <c r="BN182" i="6"/>
  <c r="BO182" i="6" s="1"/>
  <c r="BP182" i="6" s="1"/>
  <c r="BJ182" i="6"/>
  <c r="BK182" i="6" s="1"/>
  <c r="BT291" i="6"/>
  <c r="BU291" i="6" s="1"/>
  <c r="BX291" i="6"/>
  <c r="BN68" i="6"/>
  <c r="BO68" i="6" s="1"/>
  <c r="BP68" i="6" s="1"/>
  <c r="BJ68" i="6"/>
  <c r="BK68" i="6" s="1"/>
  <c r="BN391" i="6"/>
  <c r="BJ391" i="6"/>
  <c r="BK391" i="6" s="1"/>
  <c r="BN311" i="6"/>
  <c r="BO311" i="6" s="1"/>
  <c r="BP311" i="6" s="1"/>
  <c r="BJ311" i="6"/>
  <c r="BK311" i="6" s="1"/>
  <c r="BX443" i="6"/>
  <c r="BY443" i="6" s="1"/>
  <c r="BZ443" i="6" s="1"/>
  <c r="BT443" i="6"/>
  <c r="BU443" i="6" s="1"/>
  <c r="BX371" i="6"/>
  <c r="BY371" i="6" s="1"/>
  <c r="BZ371" i="6" s="1"/>
  <c r="BT371" i="6"/>
  <c r="BU371" i="6" s="1"/>
  <c r="BJ279" i="6"/>
  <c r="BK279" i="6" s="1"/>
  <c r="BN279" i="6"/>
  <c r="BX192" i="6"/>
  <c r="BT192" i="6"/>
  <c r="BU192" i="6" s="1"/>
  <c r="BN516" i="6"/>
  <c r="BJ516" i="6"/>
  <c r="BK516" i="6" s="1"/>
  <c r="BJ149" i="6"/>
  <c r="BK149" i="6" s="1"/>
  <c r="BN149" i="6"/>
  <c r="BO149" i="6" s="1"/>
  <c r="BP149" i="6" s="1"/>
  <c r="BN237" i="6"/>
  <c r="BJ237" i="6"/>
  <c r="BK237" i="6" s="1"/>
  <c r="BN565" i="6"/>
  <c r="BJ565" i="6"/>
  <c r="BK565" i="6" s="1"/>
  <c r="BT376" i="6"/>
  <c r="BU376" i="6" s="1"/>
  <c r="BX376" i="6"/>
  <c r="BX214" i="6"/>
  <c r="BT214" i="6"/>
  <c r="BU214" i="6" s="1"/>
  <c r="BX540" i="6"/>
  <c r="BT540" i="6"/>
  <c r="BU540" i="6" s="1"/>
  <c r="BX216" i="6"/>
  <c r="BT216" i="6"/>
  <c r="BU216" i="6" s="1"/>
  <c r="BN171" i="6"/>
  <c r="BJ171" i="6"/>
  <c r="BK171" i="6" s="1"/>
  <c r="BN41" i="6"/>
  <c r="BO41" i="6" s="1"/>
  <c r="BP41" i="6" s="1"/>
  <c r="BJ41" i="6"/>
  <c r="BK41" i="6" s="1"/>
  <c r="BX279" i="6"/>
  <c r="BT279" i="6"/>
  <c r="BU279" i="6" s="1"/>
  <c r="BT288" i="6"/>
  <c r="BU288" i="6" s="1"/>
  <c r="BX288" i="6"/>
  <c r="BN336" i="6"/>
  <c r="BJ336" i="6"/>
  <c r="BK336" i="6" s="1"/>
  <c r="BX177" i="6"/>
  <c r="BT177" i="6"/>
  <c r="BU177" i="6" s="1"/>
  <c r="BN563" i="6"/>
  <c r="BO563" i="6" s="1"/>
  <c r="BP563" i="6" s="1"/>
  <c r="BJ563" i="6"/>
  <c r="BK563" i="6" s="1"/>
  <c r="BJ206" i="6"/>
  <c r="BK206" i="6" s="1"/>
  <c r="BN206" i="6"/>
  <c r="BN383" i="6"/>
  <c r="BJ383" i="6"/>
  <c r="BK383" i="6" s="1"/>
  <c r="BX135" i="6"/>
  <c r="BT135" i="6"/>
  <c r="BU135" i="6" s="1"/>
  <c r="BJ396" i="6"/>
  <c r="BK396" i="6" s="1"/>
  <c r="BN396" i="6"/>
  <c r="BN448" i="6"/>
  <c r="BJ448" i="6"/>
  <c r="BK448" i="6" s="1"/>
  <c r="BN337" i="6"/>
  <c r="BJ337" i="6"/>
  <c r="BK337" i="6" s="1"/>
  <c r="BN190" i="6"/>
  <c r="BJ190" i="6"/>
  <c r="BK190" i="6" s="1"/>
  <c r="BX242" i="6"/>
  <c r="BY242" i="6" s="1"/>
  <c r="BZ242" i="6" s="1"/>
  <c r="BT242" i="6"/>
  <c r="BU242" i="6" s="1"/>
  <c r="BT110" i="6"/>
  <c r="BU110" i="6" s="1"/>
  <c r="BX110" i="6"/>
  <c r="BY110" i="6" s="1"/>
  <c r="BZ110" i="6" s="1"/>
  <c r="BJ491" i="6"/>
  <c r="BK491" i="6" s="1"/>
  <c r="BN491" i="6"/>
  <c r="BO491" i="6" s="1"/>
  <c r="BP491" i="6" s="1"/>
  <c r="BX44" i="6"/>
  <c r="BY44" i="6" s="1"/>
  <c r="BZ44" i="6" s="1"/>
  <c r="BT44" i="6"/>
  <c r="BU44" i="6" s="1"/>
  <c r="BN74" i="6"/>
  <c r="BJ74" i="6"/>
  <c r="BK74" i="6" s="1"/>
  <c r="BX208" i="6"/>
  <c r="BT208" i="6"/>
  <c r="BU208" i="6" s="1"/>
  <c r="BN193" i="6"/>
  <c r="BJ193" i="6"/>
  <c r="BK193" i="6" s="1"/>
  <c r="BN407" i="6"/>
  <c r="BJ407" i="6"/>
  <c r="BK407" i="6" s="1"/>
  <c r="BN438" i="6"/>
  <c r="BJ438" i="6"/>
  <c r="BK438" i="6" s="1"/>
  <c r="BN447" i="6"/>
  <c r="BJ447" i="6"/>
  <c r="BK447" i="6" s="1"/>
  <c r="BN212" i="6"/>
  <c r="BO212" i="6" s="1"/>
  <c r="BP212" i="6" s="1"/>
  <c r="BJ212" i="6"/>
  <c r="BK212" i="6" s="1"/>
  <c r="BN431" i="6"/>
  <c r="BJ431" i="6"/>
  <c r="BK431" i="6" s="1"/>
  <c r="BX203" i="6"/>
  <c r="BY203" i="6" s="1"/>
  <c r="BZ203" i="6" s="1"/>
  <c r="BT203" i="6"/>
  <c r="BU203" i="6" s="1"/>
  <c r="BJ169" i="6"/>
  <c r="BK169" i="6" s="1"/>
  <c r="BN169" i="6"/>
  <c r="BJ154" i="6"/>
  <c r="BK154" i="6" s="1"/>
  <c r="BN154" i="6"/>
  <c r="AZ355" i="6"/>
  <c r="BC355" i="6" s="1"/>
  <c r="AY355" i="6"/>
  <c r="BB355" i="6" s="1"/>
  <c r="AX355" i="6"/>
  <c r="BA355" i="6" s="1"/>
  <c r="AX528" i="6"/>
  <c r="BA528" i="6" s="1"/>
  <c r="AZ528" i="6"/>
  <c r="BC528" i="6" s="1"/>
  <c r="AY528" i="6"/>
  <c r="BB528" i="6" s="1"/>
  <c r="BJ312" i="6"/>
  <c r="BK312" i="6" s="1"/>
  <c r="BN312" i="6"/>
  <c r="BJ528" i="6"/>
  <c r="BK528" i="6" s="1"/>
  <c r="BN528" i="6"/>
  <c r="BX410" i="6"/>
  <c r="BT410" i="6"/>
  <c r="BU410" i="6" s="1"/>
  <c r="BX58" i="6"/>
  <c r="BT58" i="6"/>
  <c r="BU58" i="6" s="1"/>
  <c r="BX57" i="6"/>
  <c r="BT57" i="6"/>
  <c r="BU57" i="6" s="1"/>
  <c r="BN303" i="6"/>
  <c r="BJ303" i="6"/>
  <c r="BK303" i="6" s="1"/>
  <c r="BN145" i="6"/>
  <c r="BJ145" i="6"/>
  <c r="BK145" i="6" s="1"/>
  <c r="BN264" i="6"/>
  <c r="BJ264" i="6"/>
  <c r="BK264" i="6" s="1"/>
  <c r="BT539" i="6"/>
  <c r="BU539" i="6" s="1"/>
  <c r="BX539" i="6"/>
  <c r="BY539" i="6" s="1"/>
  <c r="BZ539" i="6" s="1"/>
  <c r="BX98" i="6"/>
  <c r="BY98" i="6" s="1"/>
  <c r="BZ98" i="6" s="1"/>
  <c r="BT98" i="6"/>
  <c r="BU98" i="6" s="1"/>
  <c r="BX184" i="6"/>
  <c r="BT184" i="6"/>
  <c r="BU184" i="6" s="1"/>
  <c r="BJ327" i="6"/>
  <c r="BK327" i="6" s="1"/>
  <c r="BN327" i="6"/>
  <c r="BJ67" i="6"/>
  <c r="BK67" i="6" s="1"/>
  <c r="BN67" i="6"/>
  <c r="BX232" i="6"/>
  <c r="BT232" i="6"/>
  <c r="BU232" i="6" s="1"/>
  <c r="BJ97" i="6"/>
  <c r="BK97" i="6" s="1"/>
  <c r="BN97" i="6"/>
  <c r="BX385" i="6"/>
  <c r="BT385" i="6"/>
  <c r="BU385" i="6" s="1"/>
  <c r="BX67" i="6"/>
  <c r="BT67" i="6"/>
  <c r="BU67" i="6" s="1"/>
  <c r="BN476" i="6"/>
  <c r="BO476" i="6" s="1"/>
  <c r="BP476" i="6" s="1"/>
  <c r="BJ476" i="6"/>
  <c r="BK476" i="6" s="1"/>
  <c r="BJ278" i="6"/>
  <c r="BK278" i="6" s="1"/>
  <c r="BN278" i="6"/>
  <c r="BT246" i="6"/>
  <c r="BU246" i="6" s="1"/>
  <c r="BX246" i="6"/>
  <c r="BT555" i="6"/>
  <c r="BU555" i="6" s="1"/>
  <c r="BX555" i="6"/>
  <c r="BX86" i="6"/>
  <c r="BY86" i="6" s="1"/>
  <c r="BZ86" i="6" s="1"/>
  <c r="BT86" i="6"/>
  <c r="BU86" i="6" s="1"/>
  <c r="BN402" i="6"/>
  <c r="BJ402" i="6"/>
  <c r="BK402" i="6" s="1"/>
  <c r="BX119" i="6"/>
  <c r="BT119" i="6"/>
  <c r="BU119" i="6" s="1"/>
  <c r="BJ50" i="6"/>
  <c r="BK50" i="6" s="1"/>
  <c r="BN50" i="6"/>
  <c r="BO50" i="6" s="1"/>
  <c r="BP50" i="6" s="1"/>
  <c r="BN246" i="6"/>
  <c r="BJ246" i="6"/>
  <c r="BK246" i="6" s="1"/>
  <c r="BX185" i="6"/>
  <c r="BY185" i="6" s="1"/>
  <c r="BZ185" i="6" s="1"/>
  <c r="BT185" i="6"/>
  <c r="BU185" i="6" s="1"/>
  <c r="BN31" i="6"/>
  <c r="BJ31" i="6"/>
  <c r="BK31" i="6" s="1"/>
  <c r="BN562" i="6"/>
  <c r="BJ562" i="6"/>
  <c r="BK562" i="6" s="1"/>
  <c r="BJ244" i="6"/>
  <c r="BK244" i="6" s="1"/>
  <c r="BN244" i="6"/>
  <c r="BT209" i="6"/>
  <c r="BU209" i="6" s="1"/>
  <c r="BX209" i="6"/>
  <c r="BX327" i="6"/>
  <c r="BT327" i="6"/>
  <c r="BU327" i="6" s="1"/>
  <c r="BN159" i="6"/>
  <c r="BJ159" i="6"/>
  <c r="BK159" i="6" s="1"/>
  <c r="BN471" i="6"/>
  <c r="BJ471" i="6"/>
  <c r="BK471" i="6" s="1"/>
  <c r="BX116" i="6"/>
  <c r="BY116" i="6" s="1"/>
  <c r="BZ116" i="6" s="1"/>
  <c r="BT116" i="6"/>
  <c r="BU116" i="6" s="1"/>
  <c r="BJ395" i="6"/>
  <c r="BK395" i="6" s="1"/>
  <c r="BN395" i="6"/>
  <c r="BO395" i="6" s="1"/>
  <c r="BP395" i="6" s="1"/>
  <c r="BX374" i="6"/>
  <c r="BY374" i="6" s="1"/>
  <c r="BZ374" i="6" s="1"/>
  <c r="BT374" i="6"/>
  <c r="BU374" i="6" s="1"/>
  <c r="BN189" i="6"/>
  <c r="BJ189" i="6"/>
  <c r="BK189" i="6" s="1"/>
  <c r="BT307" i="6"/>
  <c r="BU307" i="6" s="1"/>
  <c r="BX307" i="6"/>
  <c r="BX482" i="6"/>
  <c r="BT482" i="6"/>
  <c r="BU482" i="6" s="1"/>
  <c r="BX211" i="6"/>
  <c r="BT211" i="6"/>
  <c r="BU211" i="6" s="1"/>
  <c r="BX204" i="6"/>
  <c r="BT204" i="6"/>
  <c r="BU204" i="6" s="1"/>
  <c r="BN527" i="6"/>
  <c r="BO527" i="6" s="1"/>
  <c r="BP527" i="6" s="1"/>
  <c r="BJ527" i="6"/>
  <c r="BK527" i="6" s="1"/>
  <c r="BX87" i="6"/>
  <c r="BT87" i="6"/>
  <c r="BU87" i="6" s="1"/>
  <c r="BX80" i="6"/>
  <c r="BY80" i="6" s="1"/>
  <c r="BZ80" i="6" s="1"/>
  <c r="BT80" i="6"/>
  <c r="BU80" i="6" s="1"/>
  <c r="BJ411" i="6"/>
  <c r="BK411" i="6" s="1"/>
  <c r="BN411" i="6"/>
  <c r="BX251" i="6"/>
  <c r="BY251" i="6" s="1"/>
  <c r="BZ251" i="6" s="1"/>
  <c r="BT251" i="6"/>
  <c r="BU251" i="6" s="1"/>
  <c r="BN86" i="6"/>
  <c r="BJ86" i="6"/>
  <c r="BK86" i="6" s="1"/>
  <c r="BT182" i="6"/>
  <c r="BU182" i="6" s="1"/>
  <c r="BX182" i="6"/>
  <c r="BY182" i="6" s="1"/>
  <c r="BZ182" i="6" s="1"/>
  <c r="BT76" i="6"/>
  <c r="BU76" i="6" s="1"/>
  <c r="BX76" i="6"/>
  <c r="BT158" i="6"/>
  <c r="BU158" i="6" s="1"/>
  <c r="BX158" i="6"/>
  <c r="BY158" i="6" s="1"/>
  <c r="BZ158" i="6" s="1"/>
  <c r="BJ291" i="6"/>
  <c r="BK291" i="6" s="1"/>
  <c r="BN291" i="6"/>
  <c r="BX378" i="6"/>
  <c r="BT378" i="6"/>
  <c r="BU378" i="6" s="1"/>
  <c r="BX167" i="6"/>
  <c r="BY167" i="6" s="1"/>
  <c r="BZ167" i="6" s="1"/>
  <c r="BT167" i="6"/>
  <c r="BU167" i="6" s="1"/>
  <c r="BT68" i="6"/>
  <c r="BU68" i="6" s="1"/>
  <c r="BX68" i="6"/>
  <c r="BY68" i="6" s="1"/>
  <c r="BZ68" i="6" s="1"/>
  <c r="BN517" i="6"/>
  <c r="BJ517" i="6"/>
  <c r="BK517" i="6" s="1"/>
  <c r="BT133" i="6"/>
  <c r="BU133" i="6" s="1"/>
  <c r="BX133" i="6"/>
  <c r="BX95" i="6"/>
  <c r="BT95" i="6"/>
  <c r="BU95" i="6" s="1"/>
  <c r="BJ288" i="6"/>
  <c r="BK288" i="6" s="1"/>
  <c r="BN288" i="6"/>
  <c r="BX388" i="6"/>
  <c r="BT388" i="6"/>
  <c r="BU388" i="6" s="1"/>
  <c r="BX171" i="6"/>
  <c r="BT171" i="6"/>
  <c r="BU171" i="6" s="1"/>
  <c r="BT430" i="6"/>
  <c r="BU430" i="6" s="1"/>
  <c r="BX430" i="6"/>
  <c r="BX396" i="6"/>
  <c r="BT396" i="6"/>
  <c r="BU396" i="6" s="1"/>
  <c r="BX151" i="6"/>
  <c r="BT151" i="6"/>
  <c r="BU151" i="6" s="1"/>
  <c r="BN509" i="6"/>
  <c r="BO509" i="6" s="1"/>
  <c r="BP509" i="6" s="1"/>
  <c r="BJ509" i="6"/>
  <c r="BK509" i="6" s="1"/>
  <c r="BN43" i="6"/>
  <c r="BJ43" i="6"/>
  <c r="BK43" i="6" s="1"/>
  <c r="BX530" i="6"/>
  <c r="BY530" i="6" s="1"/>
  <c r="BZ530" i="6" s="1"/>
  <c r="BT530" i="6"/>
  <c r="BU530" i="6" s="1"/>
  <c r="BJ183" i="6"/>
  <c r="BK183" i="6" s="1"/>
  <c r="BN183" i="6"/>
  <c r="BN340" i="6"/>
  <c r="BJ340" i="6"/>
  <c r="BK340" i="6" s="1"/>
  <c r="BX551" i="6"/>
  <c r="BY551" i="6" s="1"/>
  <c r="BZ551" i="6" s="1"/>
  <c r="BT551" i="6"/>
  <c r="BU551" i="6" s="1"/>
  <c r="BT245" i="6"/>
  <c r="BU245" i="6" s="1"/>
  <c r="BX245" i="6"/>
  <c r="BY245" i="6" s="1"/>
  <c r="BZ245" i="6" s="1"/>
  <c r="BN333" i="6"/>
  <c r="BJ333" i="6"/>
  <c r="BK333" i="6" s="1"/>
  <c r="BJ210" i="6"/>
  <c r="BK210" i="6" s="1"/>
  <c r="BN210" i="6"/>
  <c r="BT391" i="6"/>
  <c r="BU391" i="6" s="1"/>
  <c r="BX391" i="6"/>
  <c r="BN176" i="6"/>
  <c r="BJ176" i="6"/>
  <c r="BK176" i="6" s="1"/>
  <c r="BJ157" i="6"/>
  <c r="BK157" i="6" s="1"/>
  <c r="BN157" i="6"/>
  <c r="BJ267" i="6"/>
  <c r="BK267" i="6" s="1"/>
  <c r="BN267" i="6"/>
  <c r="BJ464" i="6"/>
  <c r="BK464" i="6" s="1"/>
  <c r="BN464" i="6"/>
  <c r="BO464" i="6" s="1"/>
  <c r="BP464" i="6" s="1"/>
  <c r="BX561" i="6"/>
  <c r="BT561" i="6"/>
  <c r="BU561" i="6" s="1"/>
  <c r="BJ195" i="6"/>
  <c r="BK195" i="6" s="1"/>
  <c r="BN195" i="6"/>
  <c r="BT265" i="6"/>
  <c r="BU265" i="6" s="1"/>
  <c r="BX265" i="6"/>
  <c r="BJ153" i="6"/>
  <c r="BK153" i="6" s="1"/>
  <c r="BN153" i="6"/>
  <c r="BN207" i="6"/>
  <c r="BJ207" i="6"/>
  <c r="BK207" i="6" s="1"/>
  <c r="BX553" i="6"/>
  <c r="BT553" i="6"/>
  <c r="BU553" i="6" s="1"/>
  <c r="BX400" i="6"/>
  <c r="BT400" i="6"/>
  <c r="BU400" i="6" s="1"/>
  <c r="AZ552" i="6"/>
  <c r="BC552" i="6" s="1"/>
  <c r="AY552" i="6"/>
  <c r="BB552" i="6" s="1"/>
  <c r="AX552" i="6"/>
  <c r="BA552" i="6" s="1"/>
  <c r="AY332" i="6"/>
  <c r="BB332" i="6" s="1"/>
  <c r="AZ332" i="6"/>
  <c r="BC332" i="6" s="1"/>
  <c r="AX332" i="6"/>
  <c r="BA332" i="6" s="1"/>
  <c r="AZ539" i="6"/>
  <c r="BC539" i="6" s="1"/>
  <c r="AY539" i="6"/>
  <c r="BB539" i="6" s="1"/>
  <c r="AX539" i="6"/>
  <c r="BA539" i="6" s="1"/>
  <c r="AY173" i="6"/>
  <c r="BB173" i="6" s="1"/>
  <c r="AX173" i="6"/>
  <c r="BA173" i="6" s="1"/>
  <c r="AZ173" i="6"/>
  <c r="BC173" i="6" s="1"/>
  <c r="BJ215" i="6"/>
  <c r="BK215" i="6" s="1"/>
  <c r="BN215" i="6"/>
  <c r="BN428" i="6"/>
  <c r="BO428" i="6" s="1"/>
  <c r="BP428" i="6" s="1"/>
  <c r="BJ428" i="6"/>
  <c r="BK428" i="6" s="1"/>
  <c r="BJ109" i="6"/>
  <c r="BK109" i="6" s="1"/>
  <c r="BN109" i="6"/>
  <c r="BT299" i="6"/>
  <c r="BU299" i="6" s="1"/>
  <c r="BX299" i="6"/>
  <c r="BY299" i="6" s="1"/>
  <c r="BZ299" i="6" s="1"/>
  <c r="BT144" i="6"/>
  <c r="BU144" i="6" s="1"/>
  <c r="BX144" i="6"/>
  <c r="AY89" i="6"/>
  <c r="BB89" i="6" s="1"/>
  <c r="AX89" i="6"/>
  <c r="BA89" i="6" s="1"/>
  <c r="AZ89" i="6"/>
  <c r="BC89" i="6" s="1"/>
  <c r="BX367" i="6"/>
  <c r="BT367" i="6"/>
  <c r="BU367" i="6" s="1"/>
  <c r="BN48" i="6"/>
  <c r="BJ48" i="6"/>
  <c r="BK48" i="6" s="1"/>
  <c r="BX221" i="6"/>
  <c r="BY221" i="6" s="1"/>
  <c r="BZ221" i="6" s="1"/>
  <c r="BT221" i="6"/>
  <c r="BU221" i="6" s="1"/>
  <c r="BN272" i="6"/>
  <c r="BO272" i="6" s="1"/>
  <c r="BP272" i="6" s="1"/>
  <c r="BJ272" i="6"/>
  <c r="BK272" i="6" s="1"/>
  <c r="BJ170" i="6"/>
  <c r="BK170" i="6" s="1"/>
  <c r="BN170" i="6"/>
  <c r="BO170" i="6" s="1"/>
  <c r="BP170" i="6" s="1"/>
  <c r="BX409" i="6"/>
  <c r="BT409" i="6"/>
  <c r="BU409" i="6" s="1"/>
  <c r="BN92" i="6"/>
  <c r="BO92" i="6" s="1"/>
  <c r="BP92" i="6" s="1"/>
  <c r="BJ92" i="6"/>
  <c r="BK92" i="6" s="1"/>
  <c r="BT63" i="6"/>
  <c r="BU63" i="6" s="1"/>
  <c r="BX63" i="6"/>
  <c r="BJ388" i="6"/>
  <c r="BK388" i="6" s="1"/>
  <c r="BN388" i="6"/>
  <c r="BJ130" i="6"/>
  <c r="BK130" i="6" s="1"/>
  <c r="BN130" i="6"/>
  <c r="BX107" i="6"/>
  <c r="BY107" i="6" s="1"/>
  <c r="BZ107" i="6" s="1"/>
  <c r="BT107" i="6"/>
  <c r="BU107" i="6" s="1"/>
  <c r="BX460" i="6"/>
  <c r="BT460" i="6"/>
  <c r="BU460" i="6" s="1"/>
  <c r="BJ392" i="6"/>
  <c r="BK392" i="6" s="1"/>
  <c r="BN392" i="6"/>
  <c r="BN418" i="6"/>
  <c r="BJ418" i="6"/>
  <c r="BK418" i="6" s="1"/>
  <c r="BN564" i="6"/>
  <c r="BJ564" i="6"/>
  <c r="BK564" i="6" s="1"/>
  <c r="BJ525" i="6"/>
  <c r="BK525" i="6" s="1"/>
  <c r="BN525" i="6"/>
  <c r="BX488" i="6"/>
  <c r="BY488" i="6" s="1"/>
  <c r="BZ488" i="6" s="1"/>
  <c r="BT488" i="6"/>
  <c r="BU488" i="6" s="1"/>
  <c r="BX496" i="6"/>
  <c r="BT496" i="6"/>
  <c r="BU496" i="6" s="1"/>
  <c r="BJ518" i="6"/>
  <c r="BK518" i="6" s="1"/>
  <c r="BN518" i="6"/>
  <c r="BO518" i="6" s="1"/>
  <c r="BP518" i="6" s="1"/>
  <c r="BJ323" i="6"/>
  <c r="BK323" i="6" s="1"/>
  <c r="BN323" i="6"/>
  <c r="BX244" i="6"/>
  <c r="BT244" i="6"/>
  <c r="BU244" i="6" s="1"/>
  <c r="BN103" i="6"/>
  <c r="BJ103" i="6"/>
  <c r="BK103" i="6" s="1"/>
  <c r="BN483" i="6"/>
  <c r="BJ483" i="6"/>
  <c r="BK483" i="6" s="1"/>
  <c r="BJ403" i="6"/>
  <c r="BK403" i="6" s="1"/>
  <c r="BN403" i="6"/>
  <c r="BT360" i="6"/>
  <c r="BU360" i="6" s="1"/>
  <c r="BX360" i="6"/>
  <c r="BT377" i="6"/>
  <c r="BU377" i="6" s="1"/>
  <c r="BX377" i="6"/>
  <c r="BY377" i="6" s="1"/>
  <c r="BZ377" i="6" s="1"/>
  <c r="BX435" i="6"/>
  <c r="BT435" i="6"/>
  <c r="BU435" i="6" s="1"/>
  <c r="BN197" i="6"/>
  <c r="BO197" i="6" s="1"/>
  <c r="BP197" i="6" s="1"/>
  <c r="BJ197" i="6"/>
  <c r="BK197" i="6" s="1"/>
  <c r="BX375" i="6"/>
  <c r="BT375" i="6"/>
  <c r="BU375" i="6" s="1"/>
  <c r="BX507" i="6"/>
  <c r="BT507" i="6"/>
  <c r="BU507" i="6" s="1"/>
  <c r="BN543" i="6"/>
  <c r="BJ543" i="6"/>
  <c r="BK543" i="6" s="1"/>
  <c r="BN152" i="6"/>
  <c r="BO152" i="6" s="1"/>
  <c r="BP152" i="6" s="1"/>
  <c r="BJ152" i="6"/>
  <c r="BK152" i="6" s="1"/>
  <c r="BT334" i="6"/>
  <c r="BU334" i="6" s="1"/>
  <c r="BX334" i="6"/>
  <c r="BX81" i="6"/>
  <c r="BT81" i="6"/>
  <c r="BU81" i="6" s="1"/>
  <c r="BX527" i="6"/>
  <c r="BT527" i="6"/>
  <c r="BU527" i="6" s="1"/>
  <c r="BX347" i="6"/>
  <c r="BY347" i="6" s="1"/>
  <c r="BZ347" i="6" s="1"/>
  <c r="BT347" i="6"/>
  <c r="BU347" i="6" s="1"/>
  <c r="BJ521" i="6"/>
  <c r="BK521" i="6" s="1"/>
  <c r="BN521" i="6"/>
  <c r="BO521" i="6" s="1"/>
  <c r="BP521" i="6" s="1"/>
  <c r="AZ250" i="6"/>
  <c r="BC250" i="6" s="1"/>
  <c r="AY250" i="6"/>
  <c r="BB250" i="6" s="1"/>
  <c r="AX250" i="6"/>
  <c r="BA250" i="6" s="1"/>
  <c r="BX134" i="6"/>
  <c r="BT134" i="6"/>
  <c r="BU134" i="6" s="1"/>
  <c r="BX295" i="6"/>
  <c r="BT295" i="6"/>
  <c r="BU295" i="6" s="1"/>
  <c r="BN440" i="6"/>
  <c r="BO440" i="6" s="1"/>
  <c r="BP440" i="6" s="1"/>
  <c r="BJ440" i="6"/>
  <c r="BK440" i="6" s="1"/>
  <c r="BT369" i="6"/>
  <c r="BU369" i="6" s="1"/>
  <c r="BX369" i="6"/>
  <c r="BX294" i="6"/>
  <c r="BT294" i="6"/>
  <c r="BU294" i="6" s="1"/>
  <c r="BN283" i="6"/>
  <c r="BJ283" i="6"/>
  <c r="BK283" i="6" s="1"/>
  <c r="BN369" i="6"/>
  <c r="BJ369" i="6"/>
  <c r="BK369" i="6" s="1"/>
  <c r="BN129" i="6"/>
  <c r="BJ129" i="6"/>
  <c r="BK129" i="6" s="1"/>
  <c r="BJ335" i="6"/>
  <c r="BK335" i="6" s="1"/>
  <c r="BN335" i="6"/>
  <c r="BT175" i="6"/>
  <c r="BU175" i="6" s="1"/>
  <c r="BX175" i="6"/>
  <c r="BT71" i="6"/>
  <c r="BU71" i="6" s="1"/>
  <c r="BX71" i="6"/>
  <c r="BN446" i="6"/>
  <c r="BO446" i="6" s="1"/>
  <c r="BP446" i="6" s="1"/>
  <c r="BJ446" i="6"/>
  <c r="BK446" i="6" s="1"/>
  <c r="BN488" i="6"/>
  <c r="BO488" i="6" s="1"/>
  <c r="BP488" i="6" s="1"/>
  <c r="BJ488" i="6"/>
  <c r="BK488" i="6" s="1"/>
  <c r="BN208" i="6"/>
  <c r="BJ208" i="6"/>
  <c r="BK208" i="6" s="1"/>
  <c r="BJ498" i="6"/>
  <c r="BK498" i="6" s="1"/>
  <c r="BN498" i="6"/>
  <c r="BT40" i="6"/>
  <c r="BU40" i="6" s="1"/>
  <c r="BX40" i="6"/>
  <c r="BT329" i="6"/>
  <c r="BU329" i="6" s="1"/>
  <c r="BX329" i="6"/>
  <c r="BY329" i="6" s="1"/>
  <c r="BZ329" i="6" s="1"/>
  <c r="BX252" i="6"/>
  <c r="BT252" i="6"/>
  <c r="BU252" i="6" s="1"/>
  <c r="BX181" i="6"/>
  <c r="BT181" i="6"/>
  <c r="BU181" i="6" s="1"/>
  <c r="BN355" i="6"/>
  <c r="BJ355" i="6"/>
  <c r="BK355" i="6" s="1"/>
  <c r="BJ231" i="6"/>
  <c r="BK231" i="6" s="1"/>
  <c r="BN231" i="6"/>
  <c r="BT239" i="6"/>
  <c r="BU239" i="6" s="1"/>
  <c r="BX239" i="6"/>
  <c r="BT273" i="6"/>
  <c r="BU273" i="6" s="1"/>
  <c r="BX273" i="6"/>
  <c r="BT231" i="6"/>
  <c r="BU231" i="6" s="1"/>
  <c r="BX231" i="6"/>
  <c r="BN273" i="6"/>
  <c r="BJ273" i="6"/>
  <c r="BK273" i="6" s="1"/>
  <c r="BT197" i="6"/>
  <c r="BU197" i="6" s="1"/>
  <c r="BX197" i="6"/>
  <c r="BY197" i="6" s="1"/>
  <c r="BZ197" i="6" s="1"/>
  <c r="BX31" i="6"/>
  <c r="BT31" i="6"/>
  <c r="BU31" i="6" s="1"/>
  <c r="BX401" i="6"/>
  <c r="BY401" i="6" s="1"/>
  <c r="BZ401" i="6" s="1"/>
  <c r="BT401" i="6"/>
  <c r="BU401" i="6" s="1"/>
  <c r="BN265" i="6"/>
  <c r="BJ265" i="6"/>
  <c r="BK265" i="6" s="1"/>
  <c r="BN209" i="6"/>
  <c r="BO209" i="6" s="1"/>
  <c r="BP209" i="6" s="1"/>
  <c r="BJ209" i="6"/>
  <c r="BK209" i="6" s="1"/>
  <c r="BN530" i="6"/>
  <c r="BO530" i="6" s="1"/>
  <c r="BP530" i="6" s="1"/>
  <c r="BJ530" i="6"/>
  <c r="BK530" i="6" s="1"/>
  <c r="BJ173" i="6"/>
  <c r="BK173" i="6" s="1"/>
  <c r="BN173" i="6"/>
  <c r="BO173" i="6" s="1"/>
  <c r="BP173" i="6" s="1"/>
  <c r="BN116" i="6"/>
  <c r="BO116" i="6" s="1"/>
  <c r="BP116" i="6" s="1"/>
  <c r="BJ116" i="6"/>
  <c r="BK116" i="6" s="1"/>
  <c r="BX264" i="6"/>
  <c r="BT264" i="6"/>
  <c r="BU264" i="6" s="1"/>
  <c r="BX64" i="6"/>
  <c r="BT64" i="6"/>
  <c r="BU64" i="6" s="1"/>
  <c r="BN184" i="6"/>
  <c r="BJ184" i="6"/>
  <c r="BK184" i="6" s="1"/>
  <c r="BJ351" i="6"/>
  <c r="BK351" i="6" s="1"/>
  <c r="BN351" i="6"/>
  <c r="BX403" i="6"/>
  <c r="BT403" i="6"/>
  <c r="BU403" i="6" s="1"/>
  <c r="BN256" i="6"/>
  <c r="BJ256" i="6"/>
  <c r="BK256" i="6" s="1"/>
  <c r="BN280" i="6"/>
  <c r="BJ280" i="6"/>
  <c r="BK280" i="6" s="1"/>
  <c r="BN453" i="6"/>
  <c r="BJ453" i="6"/>
  <c r="BK453" i="6" s="1"/>
  <c r="BX344" i="6"/>
  <c r="BT344" i="6"/>
  <c r="BU344" i="6" s="1"/>
  <c r="BT393" i="6"/>
  <c r="BU393" i="6" s="1"/>
  <c r="BX393" i="6"/>
  <c r="BX484" i="6"/>
  <c r="BT484" i="6"/>
  <c r="BU484" i="6" s="1"/>
  <c r="BN137" i="6"/>
  <c r="BJ137" i="6"/>
  <c r="BK137" i="6" s="1"/>
  <c r="AX564" i="6"/>
  <c r="BA564" i="6" s="1"/>
  <c r="AZ564" i="6"/>
  <c r="BC564" i="6" s="1"/>
  <c r="AY564" i="6"/>
  <c r="BB564" i="6" s="1"/>
  <c r="BN421" i="6"/>
  <c r="BJ421" i="6"/>
  <c r="BK421" i="6" s="1"/>
  <c r="BT531" i="6"/>
  <c r="BU531" i="6" s="1"/>
  <c r="BX531" i="6"/>
  <c r="BJ450" i="6"/>
  <c r="BK450" i="6" s="1"/>
  <c r="BN450" i="6"/>
  <c r="BX217" i="6"/>
  <c r="BT217" i="6"/>
  <c r="BU217" i="6" s="1"/>
  <c r="BN57" i="6"/>
  <c r="BJ57" i="6"/>
  <c r="BK57" i="6" s="1"/>
  <c r="BX408" i="6"/>
  <c r="BT408" i="6"/>
  <c r="BU408" i="6" s="1"/>
  <c r="BN113" i="6"/>
  <c r="BJ113" i="6"/>
  <c r="BK113" i="6" s="1"/>
  <c r="BX256" i="6"/>
  <c r="BT256" i="6"/>
  <c r="BU256" i="6" s="1"/>
  <c r="BX103" i="6"/>
  <c r="BT103" i="6"/>
  <c r="BU103" i="6" s="1"/>
  <c r="BT48" i="6"/>
  <c r="BU48" i="6" s="1"/>
  <c r="BX48" i="6"/>
  <c r="BT170" i="6"/>
  <c r="BU170" i="6" s="1"/>
  <c r="BX170" i="6"/>
  <c r="BY170" i="6" s="1"/>
  <c r="BZ170" i="6" s="1"/>
  <c r="BN90" i="6"/>
  <c r="BJ90" i="6"/>
  <c r="BK90" i="6" s="1"/>
  <c r="BX222" i="6"/>
  <c r="BT222" i="6"/>
  <c r="BU222" i="6" s="1"/>
  <c r="BN294" i="6"/>
  <c r="BJ294" i="6"/>
  <c r="BK294" i="6" s="1"/>
  <c r="BJ66" i="6"/>
  <c r="BK66" i="6" s="1"/>
  <c r="BN66" i="6"/>
  <c r="BX274" i="6"/>
  <c r="BT274" i="6"/>
  <c r="BU274" i="6" s="1"/>
  <c r="BN252" i="6"/>
  <c r="BJ252" i="6"/>
  <c r="BK252" i="6" s="1"/>
  <c r="BX437" i="6"/>
  <c r="BY437" i="6" s="1"/>
  <c r="BZ437" i="6" s="1"/>
  <c r="BT437" i="6"/>
  <c r="BU437" i="6" s="1"/>
  <c r="BN177" i="6"/>
  <c r="BJ177" i="6"/>
  <c r="BK177" i="6" s="1"/>
  <c r="BT304" i="6"/>
  <c r="BU304" i="6" s="1"/>
  <c r="BX304" i="6"/>
  <c r="BX491" i="6"/>
  <c r="BY491" i="6" s="1"/>
  <c r="BZ491" i="6" s="1"/>
  <c r="BT491" i="6"/>
  <c r="BU491" i="6" s="1"/>
  <c r="BX39" i="6"/>
  <c r="BT39" i="6"/>
  <c r="BU39" i="6" s="1"/>
  <c r="BX268" i="6"/>
  <c r="BT268" i="6"/>
  <c r="BU268" i="6" s="1"/>
  <c r="BN242" i="6"/>
  <c r="BO242" i="6" s="1"/>
  <c r="BP242" i="6" s="1"/>
  <c r="BJ242" i="6"/>
  <c r="BK242" i="6" s="1"/>
  <c r="BN248" i="6"/>
  <c r="BO248" i="6" s="1"/>
  <c r="BP248" i="6" s="1"/>
  <c r="BJ248" i="6"/>
  <c r="BK248" i="6" s="1"/>
  <c r="BX183" i="6"/>
  <c r="BT183" i="6"/>
  <c r="BU183" i="6" s="1"/>
  <c r="BN398" i="6"/>
  <c r="BJ398" i="6"/>
  <c r="BK398" i="6" s="1"/>
  <c r="BX564" i="6"/>
  <c r="BT564" i="6"/>
  <c r="BU564" i="6" s="1"/>
  <c r="BJ238" i="6"/>
  <c r="BK238" i="6" s="1"/>
  <c r="BN238" i="6"/>
  <c r="BX459" i="6"/>
  <c r="BT459" i="6"/>
  <c r="BU459" i="6" s="1"/>
  <c r="BT421" i="6"/>
  <c r="BU421" i="6" s="1"/>
  <c r="BX421" i="6"/>
  <c r="BJ374" i="6"/>
  <c r="BK374" i="6" s="1"/>
  <c r="BN374" i="6"/>
  <c r="BO374" i="6" s="1"/>
  <c r="BP374" i="6" s="1"/>
  <c r="BN531" i="6"/>
  <c r="BJ531" i="6"/>
  <c r="BK531" i="6" s="1"/>
  <c r="BX47" i="6"/>
  <c r="BY47" i="6" s="1"/>
  <c r="BZ47" i="6" s="1"/>
  <c r="BT47" i="6"/>
  <c r="BU47" i="6" s="1"/>
  <c r="BT178" i="6"/>
  <c r="BU178" i="6" s="1"/>
  <c r="BX178" i="6"/>
  <c r="BX96" i="6"/>
  <c r="BT96" i="6"/>
  <c r="BU96" i="6" s="1"/>
  <c r="BN178" i="6"/>
  <c r="BJ178" i="6"/>
  <c r="BK178" i="6" s="1"/>
  <c r="BX195" i="6"/>
  <c r="BT195" i="6"/>
  <c r="BU195" i="6" s="1"/>
  <c r="BX470" i="6"/>
  <c r="BT470" i="6"/>
  <c r="BU470" i="6" s="1"/>
  <c r="BN495" i="6"/>
  <c r="BJ495" i="6"/>
  <c r="BK495" i="6" s="1"/>
  <c r="BJ236" i="6"/>
  <c r="BK236" i="6" s="1"/>
  <c r="BN236" i="6"/>
  <c r="BO236" i="6" s="1"/>
  <c r="BP236" i="6" s="1"/>
  <c r="BN545" i="6"/>
  <c r="BO545" i="6" s="1"/>
  <c r="BP545" i="6" s="1"/>
  <c r="BJ545" i="6"/>
  <c r="BK545" i="6" s="1"/>
  <c r="BJ533" i="6"/>
  <c r="BK533" i="6" s="1"/>
  <c r="BN533" i="6"/>
  <c r="BO533" i="6" s="1"/>
  <c r="BP533" i="6" s="1"/>
  <c r="AY309" i="6"/>
  <c r="BB309" i="6" s="1"/>
  <c r="AX309" i="6"/>
  <c r="BA309" i="6" s="1"/>
  <c r="AZ309" i="6"/>
  <c r="BC309" i="6" s="1"/>
  <c r="AZ280" i="6"/>
  <c r="BC280" i="6" s="1"/>
  <c r="AY280" i="6"/>
  <c r="BB280" i="6" s="1"/>
  <c r="AX280" i="6"/>
  <c r="BA280" i="6" s="1"/>
  <c r="BT335" i="6"/>
  <c r="BU335" i="6" s="1"/>
  <c r="BX335" i="6"/>
  <c r="BX424" i="6"/>
  <c r="BT424" i="6"/>
  <c r="BU424" i="6" s="1"/>
  <c r="BX106" i="6"/>
  <c r="BT106" i="6"/>
  <c r="BU106" i="6" s="1"/>
  <c r="BN119" i="6"/>
  <c r="BJ119" i="6"/>
  <c r="BK119" i="6" s="1"/>
  <c r="BN98" i="6"/>
  <c r="BO98" i="6" s="1"/>
  <c r="BP98" i="6" s="1"/>
  <c r="BJ98" i="6"/>
  <c r="BK98" i="6" s="1"/>
  <c r="BX483" i="6"/>
  <c r="BT483" i="6"/>
  <c r="BU483" i="6" s="1"/>
  <c r="BX143" i="6"/>
  <c r="BY143" i="6" s="1"/>
  <c r="BZ143" i="6" s="1"/>
  <c r="BT143" i="6"/>
  <c r="BU143" i="6" s="1"/>
  <c r="BN375" i="6"/>
  <c r="BJ375" i="6"/>
  <c r="BK375" i="6" s="1"/>
  <c r="BJ125" i="6"/>
  <c r="BK125" i="6" s="1"/>
  <c r="BN125" i="6"/>
  <c r="BO125" i="6" s="1"/>
  <c r="BP125" i="6" s="1"/>
  <c r="BN175" i="6"/>
  <c r="BJ175" i="6"/>
  <c r="BK175" i="6" s="1"/>
  <c r="BX272" i="6"/>
  <c r="BY272" i="6" s="1"/>
  <c r="BZ272" i="6" s="1"/>
  <c r="BT272" i="6"/>
  <c r="BU272" i="6" s="1"/>
  <c r="BN494" i="6"/>
  <c r="BJ494" i="6"/>
  <c r="BK494" i="6" s="1"/>
  <c r="BN546" i="6"/>
  <c r="BJ546" i="6"/>
  <c r="BK546" i="6" s="1"/>
  <c r="BX109" i="6"/>
  <c r="BT109" i="6"/>
  <c r="BU109" i="6" s="1"/>
  <c r="BJ58" i="6"/>
  <c r="BK58" i="6" s="1"/>
  <c r="BN58" i="6"/>
  <c r="BT120" i="6"/>
  <c r="BU120" i="6" s="1"/>
  <c r="BX120" i="6"/>
  <c r="BX355" i="6"/>
  <c r="BT355" i="6"/>
  <c r="BU355" i="6" s="1"/>
  <c r="BX317" i="6"/>
  <c r="BT317" i="6"/>
  <c r="BU317" i="6" s="1"/>
  <c r="BN310" i="6"/>
  <c r="BJ310" i="6"/>
  <c r="BK310" i="6" s="1"/>
  <c r="BX417" i="6"/>
  <c r="BT417" i="6"/>
  <c r="BU417" i="6" s="1"/>
  <c r="BN524" i="6"/>
  <c r="BO524" i="6" s="1"/>
  <c r="BP524" i="6" s="1"/>
  <c r="BJ524" i="6"/>
  <c r="BK524" i="6" s="1"/>
  <c r="BX466" i="6"/>
  <c r="BT466" i="6"/>
  <c r="BU466" i="6" s="1"/>
  <c r="BX312" i="6"/>
  <c r="BT312" i="6"/>
  <c r="BU312" i="6" s="1"/>
  <c r="BT173" i="6"/>
  <c r="BU173" i="6" s="1"/>
  <c r="BX173" i="6"/>
  <c r="BY173" i="6" s="1"/>
  <c r="BZ173" i="6" s="1"/>
  <c r="BT398" i="6"/>
  <c r="BU398" i="6" s="1"/>
  <c r="BX398" i="6"/>
  <c r="BY398" i="6" s="1"/>
  <c r="BZ398" i="6" s="1"/>
  <c r="BT61" i="6"/>
  <c r="BU61" i="6" s="1"/>
  <c r="BX61" i="6"/>
  <c r="BX38" i="6"/>
  <c r="BY38" i="6" s="1"/>
  <c r="BZ38" i="6" s="1"/>
  <c r="BT38" i="6"/>
  <c r="BU38" i="6" s="1"/>
  <c r="BX102" i="6"/>
  <c r="BT102" i="6"/>
  <c r="BU102" i="6" s="1"/>
  <c r="BJ146" i="6"/>
  <c r="BK146" i="6" s="1"/>
  <c r="BN146" i="6"/>
  <c r="BO146" i="6" s="1"/>
  <c r="BP146" i="6" s="1"/>
  <c r="BN40" i="6"/>
  <c r="BJ40" i="6"/>
  <c r="BK40" i="6" s="1"/>
  <c r="BT152" i="6"/>
  <c r="BU152" i="6" s="1"/>
  <c r="BX152" i="6"/>
  <c r="BY152" i="6" s="1"/>
  <c r="BZ152" i="6" s="1"/>
  <c r="BJ296" i="6"/>
  <c r="BK296" i="6" s="1"/>
  <c r="BN296" i="6"/>
  <c r="BO296" i="6" s="1"/>
  <c r="BP296" i="6" s="1"/>
  <c r="BT399" i="6"/>
  <c r="BU399" i="6" s="1"/>
  <c r="BX399" i="6"/>
  <c r="BX379" i="6"/>
  <c r="BT379" i="6"/>
  <c r="BU379" i="6" s="1"/>
  <c r="BN282" i="6"/>
  <c r="BJ282" i="6"/>
  <c r="BK282" i="6" s="1"/>
  <c r="BX420" i="6"/>
  <c r="BT420" i="6"/>
  <c r="BU420" i="6" s="1"/>
  <c r="BJ358" i="6"/>
  <c r="BK358" i="6" s="1"/>
  <c r="BN358" i="6"/>
  <c r="BN504" i="6"/>
  <c r="BJ504" i="6"/>
  <c r="BK504" i="6" s="1"/>
  <c r="AX461" i="6"/>
  <c r="BA461" i="6" s="1"/>
  <c r="AZ461" i="6"/>
  <c r="BC461" i="6" s="1"/>
  <c r="AY461" i="6"/>
  <c r="BB461" i="6" s="1"/>
  <c r="BJ270" i="6"/>
  <c r="BK270" i="6" s="1"/>
  <c r="BN270" i="6"/>
  <c r="BN100" i="6"/>
  <c r="BJ100" i="6"/>
  <c r="BK100" i="6" s="1"/>
  <c r="BT450" i="6"/>
  <c r="BU450" i="6" s="1"/>
  <c r="BX450" i="6"/>
  <c r="BT523" i="6"/>
  <c r="BU523" i="6" s="1"/>
  <c r="BX523" i="6"/>
  <c r="BN430" i="6"/>
  <c r="BJ430" i="6"/>
  <c r="BK430" i="6" s="1"/>
  <c r="BN85" i="6"/>
  <c r="BJ85" i="6"/>
  <c r="BK85" i="6" s="1"/>
  <c r="BJ194" i="6"/>
  <c r="BK194" i="6" s="1"/>
  <c r="BN194" i="6"/>
  <c r="BJ451" i="6"/>
  <c r="BK451" i="6" s="1"/>
  <c r="BN451" i="6"/>
  <c r="BT136" i="6"/>
  <c r="BU136" i="6" s="1"/>
  <c r="BX136" i="6"/>
  <c r="BN489" i="6"/>
  <c r="BJ489" i="6"/>
  <c r="BK489" i="6" s="1"/>
  <c r="BX558" i="6"/>
  <c r="BT558" i="6"/>
  <c r="BU558" i="6" s="1"/>
  <c r="BN325" i="6"/>
  <c r="BJ325" i="6"/>
  <c r="BK325" i="6" s="1"/>
  <c r="BN556" i="6"/>
  <c r="BJ556" i="6"/>
  <c r="BK556" i="6" s="1"/>
  <c r="BT338" i="6"/>
  <c r="BU338" i="6" s="1"/>
  <c r="BX338" i="6"/>
  <c r="BX384" i="6"/>
  <c r="BT384" i="6"/>
  <c r="BU384" i="6" s="1"/>
  <c r="BT45" i="6"/>
  <c r="BU45" i="6" s="1"/>
  <c r="BX45" i="6"/>
  <c r="BX30" i="6"/>
  <c r="BT30" i="6"/>
  <c r="BU30" i="6" s="1"/>
  <c r="BX465" i="6"/>
  <c r="BT465" i="6"/>
  <c r="BU465" i="6" s="1"/>
  <c r="BT324" i="6"/>
  <c r="BU324" i="6" s="1"/>
  <c r="BX324" i="6"/>
  <c r="BT357" i="6"/>
  <c r="BU357" i="6" s="1"/>
  <c r="BX357" i="6"/>
  <c r="BN201" i="6"/>
  <c r="BJ201" i="6"/>
  <c r="BK201" i="6" s="1"/>
  <c r="BX519" i="6"/>
  <c r="BT519" i="6"/>
  <c r="BU519" i="6" s="1"/>
  <c r="BT202" i="6"/>
  <c r="BU202" i="6" s="1"/>
  <c r="BX202" i="6"/>
  <c r="BT364" i="6"/>
  <c r="BU364" i="6" s="1"/>
  <c r="BX364" i="6"/>
  <c r="BX522" i="6"/>
  <c r="BT522" i="6"/>
  <c r="BU522" i="6" s="1"/>
  <c r="BX479" i="6"/>
  <c r="BY479" i="6" s="1"/>
  <c r="BZ479" i="6" s="1"/>
  <c r="BT479" i="6"/>
  <c r="BU479" i="6" s="1"/>
  <c r="BX533" i="6"/>
  <c r="BY533" i="6" s="1"/>
  <c r="BZ533" i="6" s="1"/>
  <c r="BT533" i="6"/>
  <c r="BU533" i="6" s="1"/>
  <c r="BJ519" i="6"/>
  <c r="BK519" i="6" s="1"/>
  <c r="BN519" i="6"/>
  <c r="BT186" i="6"/>
  <c r="BU186" i="6" s="1"/>
  <c r="BX186" i="6"/>
  <c r="BJ389" i="6"/>
  <c r="BK389" i="6" s="1"/>
  <c r="BN389" i="6"/>
  <c r="BO389" i="6" s="1"/>
  <c r="BP389" i="6" s="1"/>
  <c r="BJ461" i="6"/>
  <c r="BK461" i="6" s="1"/>
  <c r="BN461" i="6"/>
  <c r="BO461" i="6" s="1"/>
  <c r="BP461" i="6" s="1"/>
  <c r="BX234" i="6"/>
  <c r="BT234" i="6"/>
  <c r="BU234" i="6" s="1"/>
  <c r="BJ553" i="6"/>
  <c r="BK553" i="6" s="1"/>
  <c r="BN553" i="6"/>
  <c r="BX319" i="6"/>
  <c r="BT319" i="6"/>
  <c r="BU319" i="6" s="1"/>
  <c r="BN163" i="6"/>
  <c r="BJ163" i="6"/>
  <c r="BK163" i="6" s="1"/>
  <c r="AY114" i="6"/>
  <c r="BB114" i="6" s="1"/>
  <c r="AX114" i="6"/>
  <c r="BA114" i="6" s="1"/>
  <c r="AZ114" i="6"/>
  <c r="BC114" i="6" s="1"/>
  <c r="AZ75" i="6"/>
  <c r="BC75" i="6" s="1"/>
  <c r="AY75" i="6"/>
  <c r="BB75" i="6" s="1"/>
  <c r="AX75" i="6"/>
  <c r="BA75" i="6" s="1"/>
  <c r="AY516" i="6"/>
  <c r="BB516" i="6" s="1"/>
  <c r="AZ516" i="6"/>
  <c r="BC516" i="6" s="1"/>
  <c r="AX516" i="6"/>
  <c r="BA516" i="6" s="1"/>
  <c r="AZ165" i="6"/>
  <c r="BC165" i="6" s="1"/>
  <c r="AY165" i="6"/>
  <c r="BB165" i="6" s="1"/>
  <c r="AX165" i="6"/>
  <c r="BA165" i="6" s="1"/>
  <c r="AZ428" i="6"/>
  <c r="BC428" i="6" s="1"/>
  <c r="AY428" i="6"/>
  <c r="BB428" i="6" s="1"/>
  <c r="AX428" i="6"/>
  <c r="BA428" i="6" s="1"/>
  <c r="AZ330" i="6"/>
  <c r="BC330" i="6" s="1"/>
  <c r="AY330" i="6"/>
  <c r="BB330" i="6" s="1"/>
  <c r="AX330" i="6"/>
  <c r="BA330" i="6" s="1"/>
  <c r="AX394" i="6"/>
  <c r="BA394" i="6" s="1"/>
  <c r="AZ394" i="6"/>
  <c r="BC394" i="6" s="1"/>
  <c r="AY394" i="6"/>
  <c r="BB394" i="6" s="1"/>
  <c r="AY106" i="6"/>
  <c r="BB106" i="6" s="1"/>
  <c r="AZ106" i="6"/>
  <c r="BC106" i="6" s="1"/>
  <c r="AX106" i="6"/>
  <c r="BA106" i="6" s="1"/>
  <c r="AZ24" i="6"/>
  <c r="BC24" i="6" s="1"/>
  <c r="AY24" i="6"/>
  <c r="BB24" i="6" s="1"/>
  <c r="AX24" i="6"/>
  <c r="BA24" i="6" s="1"/>
  <c r="AX390" i="6"/>
  <c r="BA390" i="6" s="1"/>
  <c r="AZ390" i="6"/>
  <c r="BC390" i="6" s="1"/>
  <c r="AY390" i="6"/>
  <c r="BB390" i="6" s="1"/>
  <c r="AZ440" i="6"/>
  <c r="BC440" i="6" s="1"/>
  <c r="AY440" i="6"/>
  <c r="BB440" i="6" s="1"/>
  <c r="AX440" i="6"/>
  <c r="BA440" i="6" s="1"/>
  <c r="AX402" i="6"/>
  <c r="BA402" i="6" s="1"/>
  <c r="AY402" i="6"/>
  <c r="BB402" i="6" s="1"/>
  <c r="AZ402" i="6"/>
  <c r="BC402" i="6" s="1"/>
  <c r="AY459" i="6"/>
  <c r="BB459" i="6" s="1"/>
  <c r="AZ459" i="6"/>
  <c r="BC459" i="6" s="1"/>
  <c r="AX459" i="6"/>
  <c r="BA459" i="6" s="1"/>
  <c r="AZ496" i="6"/>
  <c r="BC496" i="6" s="1"/>
  <c r="AY496" i="6"/>
  <c r="BB496" i="6" s="1"/>
  <c r="AX496" i="6"/>
  <c r="BA496" i="6" s="1"/>
  <c r="AX139" i="6"/>
  <c r="BA139" i="6" s="1"/>
  <c r="AZ139" i="6"/>
  <c r="BC139" i="6" s="1"/>
  <c r="AY139" i="6"/>
  <c r="BB139" i="6" s="1"/>
  <c r="AZ384" i="6"/>
  <c r="BC384" i="6" s="1"/>
  <c r="AY384" i="6"/>
  <c r="BB384" i="6" s="1"/>
  <c r="AX384" i="6"/>
  <c r="BA384" i="6" s="1"/>
  <c r="AZ554" i="6"/>
  <c r="BC554" i="6" s="1"/>
  <c r="AY554" i="6"/>
  <c r="BB554" i="6" s="1"/>
  <c r="AX554" i="6"/>
  <c r="BA554" i="6" s="1"/>
  <c r="AY520" i="6"/>
  <c r="BB520" i="6" s="1"/>
  <c r="AZ520" i="6"/>
  <c r="BC520" i="6" s="1"/>
  <c r="AX520" i="6"/>
  <c r="BA520" i="6" s="1"/>
  <c r="AY265" i="6"/>
  <c r="BB265" i="6" s="1"/>
  <c r="AX265" i="6"/>
  <c r="BA265" i="6" s="1"/>
  <c r="AZ265" i="6"/>
  <c r="BC265" i="6" s="1"/>
  <c r="AZ391" i="6"/>
  <c r="BC391" i="6" s="1"/>
  <c r="AX391" i="6"/>
  <c r="BA391" i="6" s="1"/>
  <c r="AY391" i="6"/>
  <c r="BB391" i="6" s="1"/>
  <c r="AY254" i="6"/>
  <c r="BB254" i="6" s="1"/>
  <c r="AZ254" i="6"/>
  <c r="BC254" i="6" s="1"/>
  <c r="AX254" i="6"/>
  <c r="BA254" i="6" s="1"/>
  <c r="AZ484" i="6"/>
  <c r="BC484" i="6" s="1"/>
  <c r="AY484" i="6"/>
  <c r="BB484" i="6" s="1"/>
  <c r="AX484" i="6"/>
  <c r="BA484" i="6" s="1"/>
  <c r="AZ268" i="6"/>
  <c r="BC268" i="6" s="1"/>
  <c r="AX268" i="6"/>
  <c r="BA268" i="6" s="1"/>
  <c r="AY268" i="6"/>
  <c r="BB268" i="6" s="1"/>
  <c r="AY249" i="6"/>
  <c r="BB249" i="6" s="1"/>
  <c r="AZ249" i="6"/>
  <c r="BC249" i="6" s="1"/>
  <c r="AX249" i="6"/>
  <c r="BA249" i="6" s="1"/>
  <c r="AX177" i="6"/>
  <c r="BA177" i="6" s="1"/>
  <c r="AZ177" i="6"/>
  <c r="BC177" i="6" s="1"/>
  <c r="AY177" i="6"/>
  <c r="BB177" i="6" s="1"/>
  <c r="AX360" i="6"/>
  <c r="BA360" i="6" s="1"/>
  <c r="AZ360" i="6"/>
  <c r="BC360" i="6" s="1"/>
  <c r="AY360" i="6"/>
  <c r="BB360" i="6" s="1"/>
  <c r="AZ258" i="6"/>
  <c r="BC258" i="6" s="1"/>
  <c r="AX258" i="6"/>
  <c r="BA258" i="6" s="1"/>
  <c r="AY258" i="6"/>
  <c r="BB258" i="6" s="1"/>
  <c r="AZ538" i="6"/>
  <c r="BC538" i="6" s="1"/>
  <c r="AY538" i="6"/>
  <c r="BB538" i="6" s="1"/>
  <c r="AX538" i="6"/>
  <c r="BA538" i="6" s="1"/>
  <c r="AY388" i="6"/>
  <c r="BB388" i="6" s="1"/>
  <c r="AX388" i="6"/>
  <c r="BA388" i="6" s="1"/>
  <c r="AZ388" i="6"/>
  <c r="BC388" i="6" s="1"/>
  <c r="AZ231" i="6"/>
  <c r="BC231" i="6" s="1"/>
  <c r="AX231" i="6"/>
  <c r="BA231" i="6" s="1"/>
  <c r="AY231" i="6"/>
  <c r="BB231" i="6" s="1"/>
  <c r="AZ447" i="6"/>
  <c r="BC447" i="6" s="1"/>
  <c r="AX447" i="6"/>
  <c r="BA447" i="6" s="1"/>
  <c r="AY447" i="6"/>
  <c r="BB447" i="6" s="1"/>
  <c r="AY318" i="6"/>
  <c r="BB318" i="6" s="1"/>
  <c r="AZ318" i="6"/>
  <c r="BC318" i="6" s="1"/>
  <c r="AX318" i="6"/>
  <c r="BA318" i="6" s="1"/>
  <c r="AZ464" i="6"/>
  <c r="BC464" i="6" s="1"/>
  <c r="AX464" i="6"/>
  <c r="BA464" i="6" s="1"/>
  <c r="AY464" i="6"/>
  <c r="BB464" i="6" s="1"/>
  <c r="AZ239" i="6"/>
  <c r="BC239" i="6" s="1"/>
  <c r="AY239" i="6"/>
  <c r="BB239" i="6" s="1"/>
  <c r="AX239" i="6"/>
  <c r="BA239" i="6" s="1"/>
  <c r="AZ95" i="6"/>
  <c r="BC95" i="6" s="1"/>
  <c r="AX95" i="6"/>
  <c r="BA95" i="6" s="1"/>
  <c r="AY95" i="6"/>
  <c r="BB95" i="6" s="1"/>
  <c r="AZ366" i="6"/>
  <c r="BC366" i="6" s="1"/>
  <c r="AY366" i="6"/>
  <c r="BB366" i="6" s="1"/>
  <c r="AX366" i="6"/>
  <c r="BA366" i="6" s="1"/>
  <c r="BE366" i="6" s="1"/>
  <c r="BF366" i="6" s="1"/>
  <c r="AZ358" i="6"/>
  <c r="BC358" i="6" s="1"/>
  <c r="AY358" i="6"/>
  <c r="BB358" i="6" s="1"/>
  <c r="AX358" i="6"/>
  <c r="BA358" i="6" s="1"/>
  <c r="AY110" i="6"/>
  <c r="BB110" i="6" s="1"/>
  <c r="AZ110" i="6"/>
  <c r="BC110" i="6" s="1"/>
  <c r="AX110" i="6"/>
  <c r="BA110" i="6" s="1"/>
  <c r="AZ206" i="6"/>
  <c r="BC206" i="6" s="1"/>
  <c r="AY206" i="6"/>
  <c r="BB206" i="6" s="1"/>
  <c r="AX206" i="6"/>
  <c r="BA206" i="6" s="1"/>
  <c r="BT27" i="6"/>
  <c r="BU27" i="6" s="1"/>
  <c r="BX27" i="6"/>
  <c r="BT26" i="6"/>
  <c r="BU26" i="6" s="1"/>
  <c r="BX26" i="6"/>
  <c r="BN534" i="6"/>
  <c r="BJ534" i="6"/>
  <c r="BK534" i="6" s="1"/>
  <c r="BT557" i="6"/>
  <c r="BU557" i="6" s="1"/>
  <c r="BX557" i="6"/>
  <c r="BY557" i="6" s="1"/>
  <c r="BZ557" i="6" s="1"/>
  <c r="BN261" i="6"/>
  <c r="BJ261" i="6"/>
  <c r="BK261" i="6" s="1"/>
  <c r="BX111" i="6"/>
  <c r="BT111" i="6"/>
  <c r="BU111" i="6" s="1"/>
  <c r="BN348" i="6"/>
  <c r="BJ348" i="6"/>
  <c r="BK348" i="6" s="1"/>
  <c r="BJ289" i="6"/>
  <c r="BK289" i="6" s="1"/>
  <c r="BN289" i="6"/>
  <c r="BJ568" i="6"/>
  <c r="BK568" i="6" s="1"/>
  <c r="BN568" i="6"/>
  <c r="BJ384" i="6"/>
  <c r="BK384" i="6" s="1"/>
  <c r="BN384" i="6"/>
  <c r="BJ500" i="6"/>
  <c r="BK500" i="6" s="1"/>
  <c r="BN500" i="6"/>
  <c r="BN566" i="6"/>
  <c r="BO566" i="6" s="1"/>
  <c r="BP566" i="6" s="1"/>
  <c r="BJ566" i="6"/>
  <c r="BK566" i="6" s="1"/>
  <c r="BX236" i="6"/>
  <c r="BY236" i="6" s="1"/>
  <c r="BZ236" i="6" s="1"/>
  <c r="BT236" i="6"/>
  <c r="BU236" i="6" s="1"/>
  <c r="BN131" i="6"/>
  <c r="BO131" i="6" s="1"/>
  <c r="BP131" i="6" s="1"/>
  <c r="BJ131" i="6"/>
  <c r="BK131" i="6" s="1"/>
  <c r="BN363" i="6"/>
  <c r="BJ363" i="6"/>
  <c r="BK363" i="6" s="1"/>
  <c r="BX224" i="6"/>
  <c r="BY224" i="6" s="1"/>
  <c r="BZ224" i="6" s="1"/>
  <c r="BT224" i="6"/>
  <c r="BU224" i="6" s="1"/>
  <c r="BN429" i="6"/>
  <c r="BJ429" i="6"/>
  <c r="BK429" i="6" s="1"/>
  <c r="BX77" i="6"/>
  <c r="BY77" i="6" s="1"/>
  <c r="BZ77" i="6" s="1"/>
  <c r="BT77" i="6"/>
  <c r="BU77" i="6" s="1"/>
  <c r="BX115" i="6"/>
  <c r="BT115" i="6"/>
  <c r="BU115" i="6" s="1"/>
  <c r="BN426" i="6"/>
  <c r="BJ426" i="6"/>
  <c r="BK426" i="6" s="1"/>
  <c r="BN548" i="6"/>
  <c r="BO548" i="6" s="1"/>
  <c r="BP548" i="6" s="1"/>
  <c r="BJ548" i="6"/>
  <c r="BK548" i="6" s="1"/>
  <c r="BN356" i="6"/>
  <c r="BJ356" i="6"/>
  <c r="BK356" i="6" s="1"/>
  <c r="BJ123" i="6"/>
  <c r="BK123" i="6" s="1"/>
  <c r="BN123" i="6"/>
  <c r="BN77" i="6"/>
  <c r="BO77" i="6" s="1"/>
  <c r="BP77" i="6" s="1"/>
  <c r="BJ77" i="6"/>
  <c r="BK77" i="6" s="1"/>
  <c r="BJ243" i="6"/>
  <c r="BK243" i="6" s="1"/>
  <c r="BN243" i="6"/>
  <c r="BN393" i="6"/>
  <c r="BJ393" i="6"/>
  <c r="BK393" i="6" s="1"/>
  <c r="BT201" i="6"/>
  <c r="BU201" i="6" s="1"/>
  <c r="BX201" i="6"/>
  <c r="BN147" i="6"/>
  <c r="BJ147" i="6"/>
  <c r="BK147" i="6" s="1"/>
  <c r="BX504" i="6"/>
  <c r="BT504" i="6"/>
  <c r="BU504" i="6" s="1"/>
  <c r="BJ250" i="6"/>
  <c r="BK250" i="6" s="1"/>
  <c r="BN250" i="6"/>
  <c r="BT227" i="6"/>
  <c r="BU227" i="6" s="1"/>
  <c r="BX227" i="6"/>
  <c r="BY227" i="6" s="1"/>
  <c r="BZ227" i="6" s="1"/>
  <c r="BX332" i="6"/>
  <c r="BY332" i="6" s="1"/>
  <c r="BZ332" i="6" s="1"/>
  <c r="BT332" i="6"/>
  <c r="BU332" i="6" s="1"/>
  <c r="BX454" i="6"/>
  <c r="BT454" i="6"/>
  <c r="BU454" i="6" s="1"/>
  <c r="BX121" i="6"/>
  <c r="BT121" i="6"/>
  <c r="BU121" i="6" s="1"/>
  <c r="BT368" i="6"/>
  <c r="BU368" i="6" s="1"/>
  <c r="BX368" i="6"/>
  <c r="BY368" i="6" s="1"/>
  <c r="BZ368" i="6" s="1"/>
  <c r="BX169" i="6"/>
  <c r="BT169" i="6"/>
  <c r="BU169" i="6" s="1"/>
  <c r="BN529" i="6"/>
  <c r="BJ529" i="6"/>
  <c r="BK529" i="6" s="1"/>
  <c r="BX156" i="6"/>
  <c r="BT156" i="6"/>
  <c r="BU156" i="6" s="1"/>
  <c r="AY160" i="6"/>
  <c r="BB160" i="6" s="1"/>
  <c r="AX160" i="6"/>
  <c r="BA160" i="6" s="1"/>
  <c r="AZ160" i="6"/>
  <c r="BC160" i="6" s="1"/>
  <c r="AY420" i="6"/>
  <c r="BB420" i="6" s="1"/>
  <c r="AX420" i="6"/>
  <c r="BA420" i="6" s="1"/>
  <c r="AZ420" i="6"/>
  <c r="BC420" i="6" s="1"/>
  <c r="AZ482" i="6"/>
  <c r="BC482" i="6" s="1"/>
  <c r="AX482" i="6"/>
  <c r="BA482" i="6" s="1"/>
  <c r="AY482" i="6"/>
  <c r="BB482" i="6" s="1"/>
  <c r="AZ557" i="6"/>
  <c r="BC557" i="6" s="1"/>
  <c r="AX557" i="6"/>
  <c r="BA557" i="6" s="1"/>
  <c r="AY557" i="6"/>
  <c r="BB557" i="6" s="1"/>
  <c r="AZ317" i="6"/>
  <c r="BC317" i="6" s="1"/>
  <c r="AY317" i="6"/>
  <c r="BB317" i="6" s="1"/>
  <c r="AX317" i="6"/>
  <c r="BA317" i="6" s="1"/>
  <c r="AZ94" i="6"/>
  <c r="BC94" i="6" s="1"/>
  <c r="AY94" i="6"/>
  <c r="BB94" i="6" s="1"/>
  <c r="AX94" i="6"/>
  <c r="BA94" i="6" s="1"/>
  <c r="AZ215" i="6"/>
  <c r="BC215" i="6" s="1"/>
  <c r="AY215" i="6"/>
  <c r="BB215" i="6" s="1"/>
  <c r="AX215" i="6"/>
  <c r="BA215" i="6" s="1"/>
  <c r="AZ562" i="6"/>
  <c r="BC562" i="6" s="1"/>
  <c r="AY562" i="6"/>
  <c r="BB562" i="6" s="1"/>
  <c r="AX562" i="6"/>
  <c r="BA562" i="6" s="1"/>
  <c r="AX370" i="6"/>
  <c r="BA370" i="6" s="1"/>
  <c r="AY370" i="6"/>
  <c r="BB370" i="6" s="1"/>
  <c r="AZ370" i="6"/>
  <c r="BC370" i="6" s="1"/>
  <c r="AZ81" i="6"/>
  <c r="BC81" i="6" s="1"/>
  <c r="AY81" i="6"/>
  <c r="BB81" i="6" s="1"/>
  <c r="AX81" i="6"/>
  <c r="BA81" i="6" s="1"/>
  <c r="AZ383" i="6"/>
  <c r="BC383" i="6" s="1"/>
  <c r="AY383" i="6"/>
  <c r="BB383" i="6" s="1"/>
  <c r="AX383" i="6"/>
  <c r="BA383" i="6" s="1"/>
  <c r="AZ438" i="6"/>
  <c r="BC438" i="6" s="1"/>
  <c r="AY438" i="6"/>
  <c r="BB438" i="6" s="1"/>
  <c r="AX438" i="6"/>
  <c r="BA438" i="6" s="1"/>
  <c r="AX299" i="6"/>
  <c r="BA299" i="6" s="1"/>
  <c r="AZ299" i="6"/>
  <c r="BC299" i="6" s="1"/>
  <c r="AY299" i="6"/>
  <c r="BB299" i="6" s="1"/>
  <c r="AZ55" i="6"/>
  <c r="BC55" i="6" s="1"/>
  <c r="AY55" i="6"/>
  <c r="BB55" i="6" s="1"/>
  <c r="AX55" i="6"/>
  <c r="BA55" i="6" s="1"/>
  <c r="AZ338" i="6"/>
  <c r="BC338" i="6" s="1"/>
  <c r="AY338" i="6"/>
  <c r="BB338" i="6" s="1"/>
  <c r="AX338" i="6"/>
  <c r="BA338" i="6" s="1"/>
  <c r="AY204" i="6"/>
  <c r="BB204" i="6" s="1"/>
  <c r="AX204" i="6"/>
  <c r="BA204" i="6" s="1"/>
  <c r="AZ204" i="6"/>
  <c r="BC204" i="6" s="1"/>
  <c r="AX234" i="6"/>
  <c r="BA234" i="6" s="1"/>
  <c r="AZ234" i="6"/>
  <c r="BC234" i="6" s="1"/>
  <c r="AY234" i="6"/>
  <c r="BB234" i="6" s="1"/>
  <c r="AZ493" i="6"/>
  <c r="BC493" i="6" s="1"/>
  <c r="AY493" i="6"/>
  <c r="BB493" i="6" s="1"/>
  <c r="AX493" i="6"/>
  <c r="BA493" i="6" s="1"/>
  <c r="AX553" i="6"/>
  <c r="BA553" i="6" s="1"/>
  <c r="AZ553" i="6"/>
  <c r="BC553" i="6" s="1"/>
  <c r="AY553" i="6"/>
  <c r="BB553" i="6" s="1"/>
  <c r="AZ315" i="6"/>
  <c r="BC315" i="6" s="1"/>
  <c r="AY315" i="6"/>
  <c r="BB315" i="6" s="1"/>
  <c r="AX315" i="6"/>
  <c r="BA315" i="6" s="1"/>
  <c r="AZ320" i="6"/>
  <c r="BC320" i="6" s="1"/>
  <c r="AY320" i="6"/>
  <c r="BB320" i="6" s="1"/>
  <c r="AX320" i="6"/>
  <c r="BA320" i="6" s="1"/>
  <c r="AX422" i="6"/>
  <c r="BA422" i="6" s="1"/>
  <c r="AZ422" i="6"/>
  <c r="BC422" i="6" s="1"/>
  <c r="AY422" i="6"/>
  <c r="BB422" i="6" s="1"/>
  <c r="AZ453" i="6"/>
  <c r="BC453" i="6" s="1"/>
  <c r="AY453" i="6"/>
  <c r="BB453" i="6" s="1"/>
  <c r="AX453" i="6"/>
  <c r="BA453" i="6" s="1"/>
  <c r="AZ174" i="6"/>
  <c r="BC174" i="6" s="1"/>
  <c r="AY174" i="6"/>
  <c r="BB174" i="6" s="1"/>
  <c r="AX174" i="6"/>
  <c r="BA174" i="6" s="1"/>
  <c r="AX489" i="6"/>
  <c r="BA489" i="6" s="1"/>
  <c r="AY489" i="6"/>
  <c r="BB489" i="6" s="1"/>
  <c r="AZ489" i="6"/>
  <c r="BC489" i="6" s="1"/>
  <c r="AZ104" i="6"/>
  <c r="BC104" i="6" s="1"/>
  <c r="AY104" i="6"/>
  <c r="BB104" i="6" s="1"/>
  <c r="AX104" i="6"/>
  <c r="BA104" i="6" s="1"/>
  <c r="AZ475" i="6"/>
  <c r="BC475" i="6" s="1"/>
  <c r="AY475" i="6"/>
  <c r="BB475" i="6" s="1"/>
  <c r="AX475" i="6"/>
  <c r="BA475" i="6" s="1"/>
  <c r="AZ377" i="6"/>
  <c r="BC377" i="6" s="1"/>
  <c r="AY377" i="6"/>
  <c r="BB377" i="6" s="1"/>
  <c r="AX377" i="6"/>
  <c r="BA377" i="6" s="1"/>
  <c r="AY60" i="6"/>
  <c r="BB60" i="6" s="1"/>
  <c r="AZ60" i="6"/>
  <c r="BC60" i="6" s="1"/>
  <c r="AX60" i="6"/>
  <c r="BA60" i="6" s="1"/>
  <c r="AY129" i="6"/>
  <c r="BB129" i="6" s="1"/>
  <c r="AZ129" i="6"/>
  <c r="BC129" i="6" s="1"/>
  <c r="AX129" i="6"/>
  <c r="BA129" i="6" s="1"/>
  <c r="AX514" i="6"/>
  <c r="BA514" i="6" s="1"/>
  <c r="AY514" i="6"/>
  <c r="BB514" i="6" s="1"/>
  <c r="AZ514" i="6"/>
  <c r="BC514" i="6" s="1"/>
  <c r="AZ387" i="6"/>
  <c r="BC387" i="6" s="1"/>
  <c r="AY387" i="6"/>
  <c r="BB387" i="6" s="1"/>
  <c r="AX387" i="6"/>
  <c r="BA387" i="6" s="1"/>
  <c r="AZ568" i="6"/>
  <c r="BC568" i="6" s="1"/>
  <c r="AY568" i="6"/>
  <c r="BB568" i="6" s="1"/>
  <c r="AX568" i="6"/>
  <c r="BA568" i="6" s="1"/>
  <c r="AZ270" i="6"/>
  <c r="BC270" i="6" s="1"/>
  <c r="AY270" i="6"/>
  <c r="BB270" i="6" s="1"/>
  <c r="AX270" i="6"/>
  <c r="BA270" i="6" s="1"/>
  <c r="AY337" i="6"/>
  <c r="BB337" i="6" s="1"/>
  <c r="AZ337" i="6"/>
  <c r="BC337" i="6" s="1"/>
  <c r="AX337" i="6"/>
  <c r="BA337" i="6" s="1"/>
  <c r="BT550" i="6"/>
  <c r="BU550" i="6" s="1"/>
  <c r="BX550" i="6"/>
  <c r="BX366" i="6"/>
  <c r="BT366" i="6"/>
  <c r="BU366" i="6" s="1"/>
  <c r="BX537" i="6"/>
  <c r="BT537" i="6"/>
  <c r="BU537" i="6" s="1"/>
  <c r="BX363" i="6"/>
  <c r="BT363" i="6"/>
  <c r="BU363" i="6" s="1"/>
  <c r="BJ35" i="6"/>
  <c r="BK35" i="6" s="1"/>
  <c r="BN35" i="6"/>
  <c r="BN526" i="6"/>
  <c r="BJ526" i="6"/>
  <c r="BK526" i="6" s="1"/>
  <c r="BX394" i="6"/>
  <c r="BT394" i="6"/>
  <c r="BU394" i="6" s="1"/>
  <c r="BT223" i="6"/>
  <c r="BU223" i="6" s="1"/>
  <c r="BX223" i="6"/>
  <c r="BN132" i="6"/>
  <c r="BJ132" i="6"/>
  <c r="BK132" i="6" s="1"/>
  <c r="BJ330" i="6"/>
  <c r="BK330" i="6" s="1"/>
  <c r="BN330" i="6"/>
  <c r="BX277" i="6"/>
  <c r="BT277" i="6"/>
  <c r="BU277" i="6" s="1"/>
  <c r="BJ108" i="6"/>
  <c r="BK108" i="6" s="1"/>
  <c r="BN108" i="6"/>
  <c r="BN364" i="6"/>
  <c r="BJ364" i="6"/>
  <c r="BK364" i="6" s="1"/>
  <c r="BX306" i="6"/>
  <c r="BT306" i="6"/>
  <c r="BU306" i="6" s="1"/>
  <c r="BN541" i="6"/>
  <c r="BJ541" i="6"/>
  <c r="BK541" i="6" s="1"/>
  <c r="BJ324" i="6"/>
  <c r="BK324" i="6" s="1"/>
  <c r="BN324" i="6"/>
  <c r="BN413" i="6"/>
  <c r="BO413" i="6" s="1"/>
  <c r="BP413" i="6" s="1"/>
  <c r="BJ413" i="6"/>
  <c r="BK413" i="6" s="1"/>
  <c r="BJ254" i="6"/>
  <c r="BK254" i="6" s="1"/>
  <c r="BN254" i="6"/>
  <c r="BO254" i="6" s="1"/>
  <c r="BP254" i="6" s="1"/>
  <c r="BJ284" i="6"/>
  <c r="BK284" i="6" s="1"/>
  <c r="BN284" i="6"/>
  <c r="BO284" i="6" s="1"/>
  <c r="BP284" i="6" s="1"/>
  <c r="BN510" i="6"/>
  <c r="BJ510" i="6"/>
  <c r="BK510" i="6" s="1"/>
  <c r="BJ247" i="6"/>
  <c r="BK247" i="6" s="1"/>
  <c r="BN247" i="6"/>
  <c r="BT422" i="6"/>
  <c r="BU422" i="6" s="1"/>
  <c r="BX422" i="6"/>
  <c r="BY422" i="6" s="1"/>
  <c r="BZ422" i="6" s="1"/>
  <c r="BX155" i="6"/>
  <c r="BT155" i="6"/>
  <c r="BU155" i="6" s="1"/>
  <c r="BN84" i="6"/>
  <c r="BJ84" i="6"/>
  <c r="BK84" i="6" s="1"/>
  <c r="BX172" i="6"/>
  <c r="BT172" i="6"/>
  <c r="BU172" i="6" s="1"/>
  <c r="BN316" i="6"/>
  <c r="BJ316" i="6"/>
  <c r="BK316" i="6" s="1"/>
  <c r="BN319" i="6"/>
  <c r="BJ319" i="6"/>
  <c r="BK319" i="6" s="1"/>
  <c r="BJ493" i="6"/>
  <c r="BK493" i="6" s="1"/>
  <c r="BN493" i="6"/>
  <c r="AX41" i="6"/>
  <c r="BA41" i="6" s="1"/>
  <c r="AY41" i="6"/>
  <c r="BB41" i="6" s="1"/>
  <c r="BE41" i="6" s="1"/>
  <c r="BF41" i="6" s="1"/>
  <c r="AZ41" i="6"/>
  <c r="BC41" i="6" s="1"/>
  <c r="AZ529" i="6"/>
  <c r="BC529" i="6" s="1"/>
  <c r="AY529" i="6"/>
  <c r="BB529" i="6" s="1"/>
  <c r="AX529" i="6"/>
  <c r="BA529" i="6" s="1"/>
  <c r="AZ158" i="6"/>
  <c r="BC158" i="6" s="1"/>
  <c r="AY158" i="6"/>
  <c r="BB158" i="6" s="1"/>
  <c r="AX158" i="6"/>
  <c r="BA158" i="6" s="1"/>
  <c r="AZ68" i="6"/>
  <c r="BC68" i="6" s="1"/>
  <c r="AY68" i="6"/>
  <c r="BB68" i="6" s="1"/>
  <c r="AX68" i="6"/>
  <c r="BA68" i="6" s="1"/>
  <c r="AY229" i="6"/>
  <c r="BB229" i="6" s="1"/>
  <c r="AX229" i="6"/>
  <c r="BA229" i="6" s="1"/>
  <c r="AZ229" i="6"/>
  <c r="BC229" i="6" s="1"/>
  <c r="AY450" i="6"/>
  <c r="BB450" i="6" s="1"/>
  <c r="AX450" i="6"/>
  <c r="BA450" i="6" s="1"/>
  <c r="AZ450" i="6"/>
  <c r="BC450" i="6" s="1"/>
  <c r="AX121" i="6"/>
  <c r="BA121" i="6" s="1"/>
  <c r="AZ121" i="6"/>
  <c r="BC121" i="6" s="1"/>
  <c r="AY121" i="6"/>
  <c r="BB121" i="6" s="1"/>
  <c r="AZ70" i="6"/>
  <c r="BC70" i="6" s="1"/>
  <c r="AY70" i="6"/>
  <c r="BB70" i="6" s="1"/>
  <c r="AX70" i="6"/>
  <c r="BA70" i="6" s="1"/>
  <c r="AY128" i="6"/>
  <c r="BB128" i="6" s="1"/>
  <c r="AZ128" i="6"/>
  <c r="BC128" i="6" s="1"/>
  <c r="AX128" i="6"/>
  <c r="BA128" i="6" s="1"/>
  <c r="AZ289" i="6"/>
  <c r="BC289" i="6" s="1"/>
  <c r="AY289" i="6"/>
  <c r="BB289" i="6" s="1"/>
  <c r="AX289" i="6"/>
  <c r="BA289" i="6" s="1"/>
  <c r="AZ53" i="6"/>
  <c r="BC53" i="6" s="1"/>
  <c r="AY53" i="6"/>
  <c r="BB53" i="6" s="1"/>
  <c r="AX53" i="6"/>
  <c r="BA53" i="6" s="1"/>
  <c r="AZ515" i="6"/>
  <c r="BC515" i="6" s="1"/>
  <c r="AY515" i="6"/>
  <c r="BB515" i="6" s="1"/>
  <c r="AX515" i="6"/>
  <c r="BA515" i="6" s="1"/>
  <c r="AZ192" i="6"/>
  <c r="BC192" i="6" s="1"/>
  <c r="AY192" i="6"/>
  <c r="BB192" i="6" s="1"/>
  <c r="AX192" i="6"/>
  <c r="BA192" i="6" s="1"/>
  <c r="AZ196" i="6"/>
  <c r="BC196" i="6" s="1"/>
  <c r="AY196" i="6"/>
  <c r="BB196" i="6" s="1"/>
  <c r="AX196" i="6"/>
  <c r="BA196" i="6" s="1"/>
  <c r="AZ198" i="6"/>
  <c r="BC198" i="6" s="1"/>
  <c r="AY198" i="6"/>
  <c r="BB198" i="6" s="1"/>
  <c r="AX198" i="6"/>
  <c r="BA198" i="6" s="1"/>
  <c r="AX449" i="6"/>
  <c r="BA449" i="6" s="1"/>
  <c r="AZ449" i="6"/>
  <c r="BC449" i="6" s="1"/>
  <c r="AY449" i="6"/>
  <c r="BB449" i="6" s="1"/>
  <c r="AY264" i="6"/>
  <c r="BB264" i="6" s="1"/>
  <c r="AX264" i="6"/>
  <c r="BA264" i="6" s="1"/>
  <c r="AZ264" i="6"/>
  <c r="BC264" i="6" s="1"/>
  <c r="AZ62" i="6"/>
  <c r="BC62" i="6" s="1"/>
  <c r="AX62" i="6"/>
  <c r="BA62" i="6" s="1"/>
  <c r="AY62" i="6"/>
  <c r="BB62" i="6" s="1"/>
  <c r="AZ531" i="6"/>
  <c r="BC531" i="6" s="1"/>
  <c r="AY531" i="6"/>
  <c r="BB531" i="6" s="1"/>
  <c r="AX531" i="6"/>
  <c r="BA531" i="6" s="1"/>
  <c r="AX109" i="6"/>
  <c r="BA109" i="6" s="1"/>
  <c r="AZ109" i="6"/>
  <c r="BC109" i="6" s="1"/>
  <c r="AY109" i="6"/>
  <c r="BB109" i="6" s="1"/>
  <c r="AZ426" i="6"/>
  <c r="BC426" i="6" s="1"/>
  <c r="AY426" i="6"/>
  <c r="BB426" i="6" s="1"/>
  <c r="AX426" i="6"/>
  <c r="BA426" i="6" s="1"/>
  <c r="AZ228" i="6"/>
  <c r="BC228" i="6" s="1"/>
  <c r="AY228" i="6"/>
  <c r="BB228" i="6" s="1"/>
  <c r="AX228" i="6"/>
  <c r="BA228" i="6" s="1"/>
  <c r="AZ389" i="6"/>
  <c r="BC389" i="6" s="1"/>
  <c r="AY389" i="6"/>
  <c r="BB389" i="6" s="1"/>
  <c r="AX389" i="6"/>
  <c r="BA389" i="6" s="1"/>
  <c r="AZ144" i="6"/>
  <c r="BC144" i="6" s="1"/>
  <c r="AY144" i="6"/>
  <c r="BB144" i="6" s="1"/>
  <c r="AX144" i="6"/>
  <c r="BA144" i="6" s="1"/>
  <c r="AY308" i="6"/>
  <c r="BB308" i="6" s="1"/>
  <c r="AX308" i="6"/>
  <c r="BA308" i="6" s="1"/>
  <c r="AZ308" i="6"/>
  <c r="BC308" i="6" s="1"/>
  <c r="AY437" i="6"/>
  <c r="BB437" i="6" s="1"/>
  <c r="AX437" i="6"/>
  <c r="BA437" i="6" s="1"/>
  <c r="AZ437" i="6"/>
  <c r="BC437" i="6" s="1"/>
  <c r="AZ566" i="6"/>
  <c r="BC566" i="6" s="1"/>
  <c r="AY566" i="6"/>
  <c r="BB566" i="6" s="1"/>
  <c r="AX566" i="6"/>
  <c r="BA566" i="6" s="1"/>
  <c r="AZ42" i="6"/>
  <c r="BC42" i="6" s="1"/>
  <c r="AY42" i="6"/>
  <c r="BB42" i="6" s="1"/>
  <c r="AX42" i="6"/>
  <c r="BA42" i="6" s="1"/>
  <c r="AX416" i="6"/>
  <c r="BA416" i="6" s="1"/>
  <c r="AZ416" i="6"/>
  <c r="BC416" i="6" s="1"/>
  <c r="AY416" i="6"/>
  <c r="BB416" i="6" s="1"/>
  <c r="AZ74" i="6"/>
  <c r="BC74" i="6" s="1"/>
  <c r="AY74" i="6"/>
  <c r="BB74" i="6" s="1"/>
  <c r="AX74" i="6"/>
  <c r="BA74" i="6" s="1"/>
  <c r="AY399" i="6"/>
  <c r="BB399" i="6" s="1"/>
  <c r="AZ399" i="6"/>
  <c r="BC399" i="6" s="1"/>
  <c r="AX399" i="6"/>
  <c r="BA399" i="6" s="1"/>
  <c r="AX40" i="6"/>
  <c r="BA40" i="6" s="1"/>
  <c r="AZ40" i="6"/>
  <c r="BC40" i="6" s="1"/>
  <c r="AY40" i="6"/>
  <c r="BB40" i="6" s="1"/>
  <c r="AX73" i="6"/>
  <c r="BA73" i="6" s="1"/>
  <c r="AY73" i="6"/>
  <c r="BB73" i="6" s="1"/>
  <c r="AZ73" i="6"/>
  <c r="BC73" i="6" s="1"/>
  <c r="AX155" i="6"/>
  <c r="BA155" i="6" s="1"/>
  <c r="AY155" i="6"/>
  <c r="BB155" i="6" s="1"/>
  <c r="AZ155" i="6"/>
  <c r="BC155" i="6" s="1"/>
  <c r="BN260" i="6"/>
  <c r="BO260" i="6" s="1"/>
  <c r="BP260" i="6" s="1"/>
  <c r="BJ260" i="6"/>
  <c r="BK260" i="6" s="1"/>
  <c r="BN30" i="6"/>
  <c r="BJ30" i="6"/>
  <c r="BK30" i="6" s="1"/>
  <c r="BX559" i="6"/>
  <c r="BT559" i="6"/>
  <c r="BU559" i="6" s="1"/>
  <c r="BN277" i="6"/>
  <c r="BJ277" i="6"/>
  <c r="BK277" i="6" s="1"/>
  <c r="BX132" i="6"/>
  <c r="BT132" i="6"/>
  <c r="BU132" i="6" s="1"/>
  <c r="BX490" i="6"/>
  <c r="BT490" i="6"/>
  <c r="BU490" i="6" s="1"/>
  <c r="BJ262" i="6"/>
  <c r="BK262" i="6" s="1"/>
  <c r="BN262" i="6"/>
  <c r="BX554" i="6"/>
  <c r="BY554" i="6" s="1"/>
  <c r="BZ554" i="6" s="1"/>
  <c r="BT554" i="6"/>
  <c r="BU554" i="6" s="1"/>
  <c r="BN414" i="6"/>
  <c r="BJ414" i="6"/>
  <c r="BK414" i="6" s="1"/>
  <c r="BN253" i="6"/>
  <c r="BJ253" i="6"/>
  <c r="BK253" i="6" s="1"/>
  <c r="BX566" i="6"/>
  <c r="BY566" i="6" s="1"/>
  <c r="BZ566" i="6" s="1"/>
  <c r="BT566" i="6"/>
  <c r="BU566" i="6" s="1"/>
  <c r="BT99" i="6"/>
  <c r="BU99" i="6" s="1"/>
  <c r="BX99" i="6"/>
  <c r="BX212" i="6"/>
  <c r="BY212" i="6" s="1"/>
  <c r="BZ212" i="6" s="1"/>
  <c r="BT212" i="6"/>
  <c r="BU212" i="6" s="1"/>
  <c r="BX516" i="6"/>
  <c r="BT516" i="6"/>
  <c r="BU516" i="6" s="1"/>
  <c r="BX126" i="6"/>
  <c r="BT126" i="6"/>
  <c r="BU126" i="6" s="1"/>
  <c r="BN567" i="6"/>
  <c r="BJ567" i="6"/>
  <c r="BK567" i="6" s="1"/>
  <c r="BN290" i="6"/>
  <c r="BO290" i="6" s="1"/>
  <c r="BP290" i="6" s="1"/>
  <c r="BJ290" i="6"/>
  <c r="BK290" i="6" s="1"/>
  <c r="BX235" i="6"/>
  <c r="BT235" i="6"/>
  <c r="BU235" i="6" s="1"/>
  <c r="BX73" i="6"/>
  <c r="BT73" i="6"/>
  <c r="BU73" i="6" s="1"/>
  <c r="BX314" i="6"/>
  <c r="BY314" i="6" s="1"/>
  <c r="BZ314" i="6" s="1"/>
  <c r="BT314" i="6"/>
  <c r="BU314" i="6" s="1"/>
  <c r="BN73" i="6"/>
  <c r="BJ73" i="6"/>
  <c r="BK73" i="6" s="1"/>
  <c r="BN140" i="6"/>
  <c r="BJ140" i="6"/>
  <c r="BK140" i="6" s="1"/>
  <c r="BT532" i="6"/>
  <c r="BU532" i="6" s="1"/>
  <c r="BX532" i="6"/>
  <c r="BN368" i="6"/>
  <c r="BO368" i="6" s="1"/>
  <c r="BP368" i="6" s="1"/>
  <c r="BJ368" i="6"/>
  <c r="BK368" i="6" s="1"/>
  <c r="BX140" i="6"/>
  <c r="BY140" i="6" s="1"/>
  <c r="BZ140" i="6" s="1"/>
  <c r="BT140" i="6"/>
  <c r="BU140" i="6" s="1"/>
  <c r="BX529" i="6"/>
  <c r="BT529" i="6"/>
  <c r="BU529" i="6" s="1"/>
  <c r="BX538" i="6"/>
  <c r="BT538" i="6"/>
  <c r="BU538" i="6" s="1"/>
  <c r="BT390" i="6"/>
  <c r="BU390" i="6" s="1"/>
  <c r="BX390" i="6"/>
  <c r="BN463" i="6"/>
  <c r="BJ463" i="6"/>
  <c r="BK463" i="6" s="1"/>
  <c r="BN481" i="6"/>
  <c r="BJ481" i="6"/>
  <c r="BK481" i="6" s="1"/>
  <c r="BT419" i="6"/>
  <c r="BU419" i="6" s="1"/>
  <c r="BX419" i="6"/>
  <c r="BY419" i="6" s="1"/>
  <c r="BZ419" i="6" s="1"/>
  <c r="BX503" i="6"/>
  <c r="BY503" i="6" s="1"/>
  <c r="BZ503" i="6" s="1"/>
  <c r="BT503" i="6"/>
  <c r="BU503" i="6" s="1"/>
  <c r="BN344" i="6"/>
  <c r="BO344" i="6" s="1"/>
  <c r="BP344" i="6" s="1"/>
  <c r="BJ344" i="6"/>
  <c r="BK344" i="6" s="1"/>
  <c r="BX358" i="6"/>
  <c r="BT358" i="6"/>
  <c r="BU358" i="6" s="1"/>
  <c r="AZ285" i="6"/>
  <c r="BC285" i="6" s="1"/>
  <c r="AX285" i="6"/>
  <c r="BA285" i="6" s="1"/>
  <c r="AY285" i="6"/>
  <c r="BB285" i="6" s="1"/>
  <c r="AX491" i="6"/>
  <c r="BA491" i="6" s="1"/>
  <c r="AZ491" i="6"/>
  <c r="BC491" i="6" s="1"/>
  <c r="AY491" i="6"/>
  <c r="BB491" i="6" s="1"/>
  <c r="AZ252" i="6"/>
  <c r="BC252" i="6" s="1"/>
  <c r="AY252" i="6"/>
  <c r="BB252" i="6" s="1"/>
  <c r="AX252" i="6"/>
  <c r="BA252" i="6" s="1"/>
  <c r="AZ473" i="6"/>
  <c r="BC473" i="6" s="1"/>
  <c r="AY473" i="6"/>
  <c r="BB473" i="6" s="1"/>
  <c r="AX473" i="6"/>
  <c r="BA473" i="6" s="1"/>
  <c r="AX66" i="6"/>
  <c r="BA66" i="6" s="1"/>
  <c r="AZ66" i="6"/>
  <c r="BC66" i="6" s="1"/>
  <c r="AY66" i="6"/>
  <c r="BB66" i="6" s="1"/>
  <c r="AZ84" i="6"/>
  <c r="BC84" i="6" s="1"/>
  <c r="AX84" i="6"/>
  <c r="BA84" i="6" s="1"/>
  <c r="AY84" i="6"/>
  <c r="BB84" i="6" s="1"/>
  <c r="AZ292" i="6"/>
  <c r="BC292" i="6" s="1"/>
  <c r="AX292" i="6"/>
  <c r="BA292" i="6" s="1"/>
  <c r="AY292" i="6"/>
  <c r="BB292" i="6" s="1"/>
  <c r="AY202" i="6"/>
  <c r="BB202" i="6" s="1"/>
  <c r="AZ202" i="6"/>
  <c r="BC202" i="6" s="1"/>
  <c r="AX202" i="6"/>
  <c r="BA202" i="6" s="1"/>
  <c r="AX395" i="6"/>
  <c r="BA395" i="6" s="1"/>
  <c r="AZ395" i="6"/>
  <c r="BC395" i="6" s="1"/>
  <c r="AY395" i="6"/>
  <c r="BB395" i="6" s="1"/>
  <c r="AY159" i="6"/>
  <c r="BB159" i="6" s="1"/>
  <c r="AZ159" i="6"/>
  <c r="BC159" i="6" s="1"/>
  <c r="AX159" i="6"/>
  <c r="BA159" i="6" s="1"/>
  <c r="AZ311" i="6"/>
  <c r="BC311" i="6" s="1"/>
  <c r="AY311" i="6"/>
  <c r="BB311" i="6" s="1"/>
  <c r="AX311" i="6"/>
  <c r="BA311" i="6" s="1"/>
  <c r="AZ406" i="6"/>
  <c r="BC406" i="6" s="1"/>
  <c r="AY406" i="6"/>
  <c r="BB406" i="6" s="1"/>
  <c r="AX406" i="6"/>
  <c r="BA406" i="6" s="1"/>
  <c r="AX497" i="6"/>
  <c r="BA497" i="6" s="1"/>
  <c r="AY497" i="6"/>
  <c r="BB497" i="6" s="1"/>
  <c r="AZ497" i="6"/>
  <c r="BC497" i="6" s="1"/>
  <c r="AZ477" i="6"/>
  <c r="BC477" i="6" s="1"/>
  <c r="AY477" i="6"/>
  <c r="BB477" i="6" s="1"/>
  <c r="AX477" i="6"/>
  <c r="BA477" i="6" s="1"/>
  <c r="AZ152" i="6"/>
  <c r="BC152" i="6" s="1"/>
  <c r="AY152" i="6"/>
  <c r="BB152" i="6" s="1"/>
  <c r="AX152" i="6"/>
  <c r="BA152" i="6" s="1"/>
  <c r="AZ199" i="6"/>
  <c r="BC199" i="6" s="1"/>
  <c r="AY199" i="6"/>
  <c r="BB199" i="6" s="1"/>
  <c r="AX199" i="6"/>
  <c r="BA199" i="6" s="1"/>
  <c r="AY97" i="6"/>
  <c r="BB97" i="6" s="1"/>
  <c r="AX97" i="6"/>
  <c r="BA97" i="6" s="1"/>
  <c r="AZ97" i="6"/>
  <c r="BC97" i="6" s="1"/>
  <c r="AX502" i="6"/>
  <c r="BA502" i="6" s="1"/>
  <c r="AZ502" i="6"/>
  <c r="BC502" i="6" s="1"/>
  <c r="AY502" i="6"/>
  <c r="BB502" i="6" s="1"/>
  <c r="AZ359" i="6"/>
  <c r="BC359" i="6" s="1"/>
  <c r="AX359" i="6"/>
  <c r="BA359" i="6" s="1"/>
  <c r="AY359" i="6"/>
  <c r="BB359" i="6" s="1"/>
  <c r="AZ409" i="6"/>
  <c r="BC409" i="6" s="1"/>
  <c r="AY409" i="6"/>
  <c r="BB409" i="6" s="1"/>
  <c r="AX409" i="6"/>
  <c r="BA409" i="6" s="1"/>
  <c r="AX345" i="6"/>
  <c r="BA345" i="6" s="1"/>
  <c r="AY345" i="6"/>
  <c r="BB345" i="6" s="1"/>
  <c r="AZ345" i="6"/>
  <c r="BC345" i="6" s="1"/>
  <c r="AY300" i="6"/>
  <c r="BB300" i="6" s="1"/>
  <c r="AZ300" i="6"/>
  <c r="BC300" i="6" s="1"/>
  <c r="AX300" i="6"/>
  <c r="BA300" i="6" s="1"/>
  <c r="AX356" i="6"/>
  <c r="BA356" i="6" s="1"/>
  <c r="AZ356" i="6"/>
  <c r="BC356" i="6" s="1"/>
  <c r="AY356" i="6"/>
  <c r="BB356" i="6" s="1"/>
  <c r="AZ35" i="6"/>
  <c r="BC35" i="6" s="1"/>
  <c r="AY35" i="6"/>
  <c r="BB35" i="6" s="1"/>
  <c r="AX35" i="6"/>
  <c r="BA35" i="6" s="1"/>
  <c r="AX243" i="6"/>
  <c r="BA243" i="6" s="1"/>
  <c r="AZ243" i="6"/>
  <c r="BC243" i="6" s="1"/>
  <c r="AY243" i="6"/>
  <c r="BB243" i="6" s="1"/>
  <c r="AX417" i="6"/>
  <c r="BA417" i="6" s="1"/>
  <c r="AY417" i="6"/>
  <c r="BB417" i="6" s="1"/>
  <c r="AZ417" i="6"/>
  <c r="BC417" i="6" s="1"/>
  <c r="AX255" i="6"/>
  <c r="BA255" i="6" s="1"/>
  <c r="AZ255" i="6"/>
  <c r="BC255" i="6" s="1"/>
  <c r="AY255" i="6"/>
  <c r="BB255" i="6" s="1"/>
  <c r="AY351" i="6"/>
  <c r="BB351" i="6" s="1"/>
  <c r="AX351" i="6"/>
  <c r="BA351" i="6" s="1"/>
  <c r="AZ351" i="6"/>
  <c r="BC351" i="6" s="1"/>
  <c r="AZ316" i="6"/>
  <c r="BC316" i="6" s="1"/>
  <c r="AY316" i="6"/>
  <c r="BB316" i="6" s="1"/>
  <c r="AX316" i="6"/>
  <c r="BA316" i="6" s="1"/>
  <c r="AY108" i="6"/>
  <c r="BB108" i="6" s="1"/>
  <c r="AZ108" i="6"/>
  <c r="BC108" i="6" s="1"/>
  <c r="AX108" i="6"/>
  <c r="BA108" i="6" s="1"/>
  <c r="AZ397" i="6"/>
  <c r="BC397" i="6" s="1"/>
  <c r="AY397" i="6"/>
  <c r="BB397" i="6" s="1"/>
  <c r="AX397" i="6"/>
  <c r="BA397" i="6" s="1"/>
  <c r="AZ367" i="6"/>
  <c r="BC367" i="6" s="1"/>
  <c r="AY367" i="6"/>
  <c r="BB367" i="6" s="1"/>
  <c r="AX367" i="6"/>
  <c r="BA367" i="6" s="1"/>
  <c r="AY54" i="6"/>
  <c r="BB54" i="6" s="1"/>
  <c r="AZ54" i="6"/>
  <c r="BC54" i="6" s="1"/>
  <c r="AX54" i="6"/>
  <c r="BA54" i="6" s="1"/>
  <c r="AX486" i="6"/>
  <c r="BA486" i="6" s="1"/>
  <c r="AY486" i="6"/>
  <c r="BB486" i="6" s="1"/>
  <c r="AZ486" i="6"/>
  <c r="BC486" i="6" s="1"/>
  <c r="AZ404" i="6"/>
  <c r="BC404" i="6" s="1"/>
  <c r="AY404" i="6"/>
  <c r="BB404" i="6" s="1"/>
  <c r="AX404" i="6"/>
  <c r="BA404" i="6" s="1"/>
  <c r="AZ225" i="6"/>
  <c r="BC225" i="6" s="1"/>
  <c r="AY225" i="6"/>
  <c r="BB225" i="6" s="1"/>
  <c r="AX225" i="6"/>
  <c r="BA225" i="6" s="1"/>
  <c r="AZ357" i="6"/>
  <c r="BC357" i="6" s="1"/>
  <c r="AX357" i="6"/>
  <c r="BA357" i="6" s="1"/>
  <c r="AY357" i="6"/>
  <c r="BB357" i="6" s="1"/>
  <c r="AZ333" i="6"/>
  <c r="BC333" i="6" s="1"/>
  <c r="AY333" i="6"/>
  <c r="BB333" i="6" s="1"/>
  <c r="AX333" i="6"/>
  <c r="BA333" i="6" s="1"/>
  <c r="AZ418" i="6"/>
  <c r="BC418" i="6" s="1"/>
  <c r="AY418" i="6"/>
  <c r="BB418" i="6" s="1"/>
  <c r="AX418" i="6"/>
  <c r="BA418" i="6" s="1"/>
  <c r="AZ134" i="6"/>
  <c r="BC134" i="6" s="1"/>
  <c r="AY134" i="6"/>
  <c r="BB134" i="6" s="1"/>
  <c r="AX134" i="6"/>
  <c r="BA134" i="6" s="1"/>
  <c r="AZ208" i="6"/>
  <c r="BC208" i="6" s="1"/>
  <c r="AY208" i="6"/>
  <c r="BB208" i="6" s="1"/>
  <c r="AX208" i="6"/>
  <c r="BA208" i="6" s="1"/>
  <c r="AZ521" i="6"/>
  <c r="BC521" i="6" s="1"/>
  <c r="AY521" i="6"/>
  <c r="BB521" i="6" s="1"/>
  <c r="AX521" i="6"/>
  <c r="BA521" i="6" s="1"/>
  <c r="AZ525" i="6"/>
  <c r="BC525" i="6" s="1"/>
  <c r="AY525" i="6"/>
  <c r="BB525" i="6" s="1"/>
  <c r="AX525" i="6"/>
  <c r="BA525" i="6" s="1"/>
  <c r="BN561" i="6"/>
  <c r="BJ561" i="6"/>
  <c r="BK561" i="6" s="1"/>
  <c r="BT89" i="6"/>
  <c r="BU89" i="6" s="1"/>
  <c r="BX89" i="6"/>
  <c r="BX66" i="6"/>
  <c r="BT66" i="6"/>
  <c r="BU66" i="6" s="1"/>
  <c r="BX97" i="6"/>
  <c r="BT97" i="6"/>
  <c r="BU97" i="6" s="1"/>
  <c r="BX402" i="6"/>
  <c r="BT402" i="6"/>
  <c r="BU402" i="6" s="1"/>
  <c r="BT407" i="6"/>
  <c r="BU407" i="6" s="1"/>
  <c r="BX407" i="6"/>
  <c r="BY407" i="6" s="1"/>
  <c r="BZ407" i="6" s="1"/>
  <c r="BX193" i="6"/>
  <c r="BT193" i="6"/>
  <c r="BU193" i="6" s="1"/>
  <c r="BT328" i="6"/>
  <c r="BU328" i="6" s="1"/>
  <c r="BX328" i="6"/>
  <c r="BN136" i="6"/>
  <c r="BJ136" i="6"/>
  <c r="BK136" i="6" s="1"/>
  <c r="BT381" i="6"/>
  <c r="BU381" i="6" s="1"/>
  <c r="BX381" i="6"/>
  <c r="BN457" i="6"/>
  <c r="BJ457" i="6"/>
  <c r="BK457" i="6" s="1"/>
  <c r="BJ81" i="6"/>
  <c r="BK81" i="6" s="1"/>
  <c r="BN81" i="6"/>
  <c r="BJ458" i="6"/>
  <c r="BK458" i="6" s="1"/>
  <c r="BN458" i="6"/>
  <c r="BO458" i="6" s="1"/>
  <c r="BP458" i="6" s="1"/>
  <c r="BX35" i="6"/>
  <c r="BY35" i="6" s="1"/>
  <c r="BZ35" i="6" s="1"/>
  <c r="BT35" i="6"/>
  <c r="BU35" i="6" s="1"/>
  <c r="BT461" i="6"/>
  <c r="BU461" i="6" s="1"/>
  <c r="BX461" i="6"/>
  <c r="BY461" i="6" s="1"/>
  <c r="BZ461" i="6" s="1"/>
  <c r="BX166" i="6"/>
  <c r="BT166" i="6"/>
  <c r="BU166" i="6" s="1"/>
  <c r="BX255" i="6"/>
  <c r="BT255" i="6"/>
  <c r="BU255" i="6" s="1"/>
  <c r="BJ423" i="6"/>
  <c r="BK423" i="6" s="1"/>
  <c r="BN423" i="6"/>
  <c r="BN322" i="6"/>
  <c r="BJ322" i="6"/>
  <c r="BK322" i="6" s="1"/>
  <c r="BN422" i="6"/>
  <c r="BJ422" i="6"/>
  <c r="BK422" i="6" s="1"/>
  <c r="BT65" i="6"/>
  <c r="BU65" i="6" s="1"/>
  <c r="BX65" i="6"/>
  <c r="BY65" i="6" s="1"/>
  <c r="BZ65" i="6" s="1"/>
  <c r="BN425" i="6"/>
  <c r="BO425" i="6" s="1"/>
  <c r="BP425" i="6" s="1"/>
  <c r="BJ425" i="6"/>
  <c r="BK425" i="6" s="1"/>
  <c r="BN269" i="6"/>
  <c r="BJ269" i="6"/>
  <c r="BK269" i="6" s="1"/>
  <c r="BX196" i="6"/>
  <c r="BT196" i="6"/>
  <c r="BU196" i="6" s="1"/>
  <c r="BJ487" i="6"/>
  <c r="BK487" i="6" s="1"/>
  <c r="BN487" i="6"/>
  <c r="BJ235" i="6"/>
  <c r="BK235" i="6" s="1"/>
  <c r="BN235" i="6"/>
  <c r="BX154" i="6"/>
  <c r="BT154" i="6"/>
  <c r="BU154" i="6" s="1"/>
  <c r="BT79" i="6"/>
  <c r="BU79" i="6" s="1"/>
  <c r="BX79" i="6"/>
  <c r="BJ217" i="6"/>
  <c r="BK217" i="6" s="1"/>
  <c r="BN217" i="6"/>
  <c r="BT322" i="6"/>
  <c r="BU322" i="6" s="1"/>
  <c r="BX322" i="6"/>
  <c r="BN204" i="6"/>
  <c r="BJ204" i="6"/>
  <c r="BK204" i="6" s="1"/>
  <c r="BN127" i="6"/>
  <c r="BJ127" i="6"/>
  <c r="BK127" i="6" s="1"/>
  <c r="BX290" i="6"/>
  <c r="BY290" i="6" s="1"/>
  <c r="BZ290" i="6" s="1"/>
  <c r="BT290" i="6"/>
  <c r="BU290" i="6" s="1"/>
  <c r="BN306" i="6"/>
  <c r="BJ306" i="6"/>
  <c r="BK306" i="6" s="1"/>
  <c r="BT25" i="6"/>
  <c r="BU25" i="6" s="1"/>
  <c r="BX25" i="6"/>
  <c r="BN302" i="6"/>
  <c r="BO302" i="6" s="1"/>
  <c r="BP302" i="6" s="1"/>
  <c r="BJ302" i="6"/>
  <c r="BK302" i="6" s="1"/>
  <c r="BN444" i="6"/>
  <c r="BJ444" i="6"/>
  <c r="BK444" i="6" s="1"/>
  <c r="BT284" i="6"/>
  <c r="BU284" i="6" s="1"/>
  <c r="BX284" i="6"/>
  <c r="BY284" i="6" s="1"/>
  <c r="BZ284" i="6" s="1"/>
  <c r="BN148" i="6"/>
  <c r="BJ148" i="6"/>
  <c r="BK148" i="6" s="1"/>
  <c r="BX541" i="6"/>
  <c r="BT541" i="6"/>
  <c r="BU541" i="6" s="1"/>
  <c r="BJ522" i="6"/>
  <c r="BK522" i="6" s="1"/>
  <c r="BN522" i="6"/>
  <c r="BN314" i="6"/>
  <c r="BO314" i="6" s="1"/>
  <c r="BP314" i="6" s="1"/>
  <c r="BJ314" i="6"/>
  <c r="BK314" i="6" s="1"/>
  <c r="BN558" i="6"/>
  <c r="BJ558" i="6"/>
  <c r="BK558" i="6" s="1"/>
  <c r="BN241" i="6"/>
  <c r="BJ241" i="6"/>
  <c r="BK241" i="6" s="1"/>
  <c r="BN485" i="6"/>
  <c r="BJ485" i="6"/>
  <c r="BK485" i="6" s="1"/>
  <c r="AY72" i="6"/>
  <c r="BB72" i="6" s="1"/>
  <c r="AZ72" i="6"/>
  <c r="BC72" i="6" s="1"/>
  <c r="AX72" i="6"/>
  <c r="BA72" i="6" s="1"/>
  <c r="AY187" i="6"/>
  <c r="BB187" i="6" s="1"/>
  <c r="AZ187" i="6"/>
  <c r="BC187" i="6" s="1"/>
  <c r="AX187" i="6"/>
  <c r="BA187" i="6" s="1"/>
  <c r="AX36" i="6"/>
  <c r="BA36" i="6" s="1"/>
  <c r="AY36" i="6"/>
  <c r="BB36" i="6" s="1"/>
  <c r="AZ36" i="6"/>
  <c r="BC36" i="6" s="1"/>
  <c r="AZ182" i="6"/>
  <c r="BC182" i="6" s="1"/>
  <c r="AY182" i="6"/>
  <c r="BB182" i="6" s="1"/>
  <c r="AX182" i="6"/>
  <c r="BA182" i="6" s="1"/>
  <c r="AZ560" i="6"/>
  <c r="BC560" i="6" s="1"/>
  <c r="AY560" i="6"/>
  <c r="BB560" i="6" s="1"/>
  <c r="AX560" i="6"/>
  <c r="BA560" i="6" s="1"/>
  <c r="AY169" i="6"/>
  <c r="BB169" i="6" s="1"/>
  <c r="AZ169" i="6"/>
  <c r="BC169" i="6" s="1"/>
  <c r="AX169" i="6"/>
  <c r="BA169" i="6" s="1"/>
  <c r="BE169" i="6" s="1"/>
  <c r="BF169" i="6" s="1"/>
  <c r="AZ396" i="6"/>
  <c r="BC396" i="6" s="1"/>
  <c r="AY396" i="6"/>
  <c r="BB396" i="6" s="1"/>
  <c r="AX396" i="6"/>
  <c r="BA396" i="6" s="1"/>
  <c r="AZ153" i="6"/>
  <c r="BC153" i="6" s="1"/>
  <c r="AX153" i="6"/>
  <c r="BA153" i="6" s="1"/>
  <c r="AY153" i="6"/>
  <c r="BB153" i="6" s="1"/>
  <c r="AX441" i="6"/>
  <c r="BA441" i="6" s="1"/>
  <c r="AZ441" i="6"/>
  <c r="BC441" i="6" s="1"/>
  <c r="AY441" i="6"/>
  <c r="BB441" i="6" s="1"/>
  <c r="AX454" i="6"/>
  <c r="BA454" i="6" s="1"/>
  <c r="AZ454" i="6"/>
  <c r="BC454" i="6" s="1"/>
  <c r="AY454" i="6"/>
  <c r="BB454" i="6" s="1"/>
  <c r="AZ500" i="6"/>
  <c r="BC500" i="6" s="1"/>
  <c r="AY500" i="6"/>
  <c r="BB500" i="6" s="1"/>
  <c r="AX500" i="6"/>
  <c r="BA500" i="6" s="1"/>
  <c r="AZ327" i="6"/>
  <c r="BC327" i="6" s="1"/>
  <c r="AY327" i="6"/>
  <c r="BB327" i="6" s="1"/>
  <c r="AX327" i="6"/>
  <c r="BA327" i="6" s="1"/>
  <c r="AX30" i="6"/>
  <c r="BA30" i="6" s="1"/>
  <c r="AY30" i="6"/>
  <c r="BB30" i="6" s="1"/>
  <c r="AZ30" i="6"/>
  <c r="BC30" i="6" s="1"/>
  <c r="AZ276" i="6"/>
  <c r="BC276" i="6" s="1"/>
  <c r="AY276" i="6"/>
  <c r="BB276" i="6" s="1"/>
  <c r="AX276" i="6"/>
  <c r="BA276" i="6" s="1"/>
  <c r="AX107" i="6"/>
  <c r="BA107" i="6" s="1"/>
  <c r="AY107" i="6"/>
  <c r="BB107" i="6" s="1"/>
  <c r="AZ107" i="6"/>
  <c r="BC107" i="6" s="1"/>
  <c r="AZ275" i="6"/>
  <c r="BC275" i="6" s="1"/>
  <c r="AY275" i="6"/>
  <c r="BB275" i="6" s="1"/>
  <c r="AX275" i="6"/>
  <c r="BA275" i="6" s="1"/>
  <c r="AX483" i="6"/>
  <c r="BA483" i="6" s="1"/>
  <c r="AZ483" i="6"/>
  <c r="BC483" i="6" s="1"/>
  <c r="AY483" i="6"/>
  <c r="BB483" i="6" s="1"/>
  <c r="AX140" i="6"/>
  <c r="BA140" i="6" s="1"/>
  <c r="AZ140" i="6"/>
  <c r="BC140" i="6" s="1"/>
  <c r="AY140" i="6"/>
  <c r="BB140" i="6" s="1"/>
  <c r="AZ98" i="6"/>
  <c r="BC98" i="6" s="1"/>
  <c r="AX98" i="6"/>
  <c r="BA98" i="6" s="1"/>
  <c r="AY98" i="6"/>
  <c r="BB98" i="6" s="1"/>
  <c r="AY248" i="6"/>
  <c r="BB248" i="6" s="1"/>
  <c r="AZ248" i="6"/>
  <c r="BC248" i="6" s="1"/>
  <c r="AX248" i="6"/>
  <c r="BA248" i="6" s="1"/>
  <c r="AX115" i="6"/>
  <c r="BA115" i="6" s="1"/>
  <c r="AY115" i="6"/>
  <c r="BB115" i="6" s="1"/>
  <c r="AZ115" i="6"/>
  <c r="BC115" i="6" s="1"/>
  <c r="AZ78" i="6"/>
  <c r="BC78" i="6" s="1"/>
  <c r="AY78" i="6"/>
  <c r="BB78" i="6" s="1"/>
  <c r="AX78" i="6"/>
  <c r="BA78" i="6" s="1"/>
  <c r="BE78" i="6" s="1"/>
  <c r="BF78" i="6" s="1"/>
  <c r="AZ246" i="6"/>
  <c r="BC246" i="6" s="1"/>
  <c r="AY246" i="6"/>
  <c r="BB246" i="6" s="1"/>
  <c r="AX246" i="6"/>
  <c r="BA246" i="6" s="1"/>
  <c r="BE246" i="6" s="1"/>
  <c r="BF246" i="6" s="1"/>
  <c r="AZ172" i="6"/>
  <c r="BC172" i="6" s="1"/>
  <c r="AX172" i="6"/>
  <c r="BA172" i="6" s="1"/>
  <c r="AY172" i="6"/>
  <c r="BB172" i="6" s="1"/>
  <c r="AY480" i="6"/>
  <c r="BB480" i="6" s="1"/>
  <c r="AX480" i="6"/>
  <c r="BA480" i="6" s="1"/>
  <c r="AZ480" i="6"/>
  <c r="BC480" i="6" s="1"/>
  <c r="AZ365" i="6"/>
  <c r="BC365" i="6" s="1"/>
  <c r="AY365" i="6"/>
  <c r="BB365" i="6" s="1"/>
  <c r="AX365" i="6"/>
  <c r="BA365" i="6" s="1"/>
  <c r="AX481" i="6"/>
  <c r="BA481" i="6" s="1"/>
  <c r="AZ481" i="6"/>
  <c r="BC481" i="6" s="1"/>
  <c r="AY481" i="6"/>
  <c r="BB481" i="6" s="1"/>
  <c r="AX403" i="6"/>
  <c r="BA403" i="6" s="1"/>
  <c r="BE403" i="6" s="1"/>
  <c r="BF403" i="6" s="1"/>
  <c r="AZ403" i="6"/>
  <c r="BC403" i="6" s="1"/>
  <c r="AY403" i="6"/>
  <c r="BB403" i="6" s="1"/>
  <c r="AY137" i="6"/>
  <c r="BB137" i="6" s="1"/>
  <c r="AZ137" i="6"/>
  <c r="BC137" i="6" s="1"/>
  <c r="AX137" i="6"/>
  <c r="BA137" i="6" s="1"/>
  <c r="AX244" i="6"/>
  <c r="BA244" i="6" s="1"/>
  <c r="AY244" i="6"/>
  <c r="BB244" i="6" s="1"/>
  <c r="AZ244" i="6"/>
  <c r="BC244" i="6" s="1"/>
  <c r="AZ216" i="6"/>
  <c r="BC216" i="6" s="1"/>
  <c r="AX216" i="6"/>
  <c r="BA216" i="6" s="1"/>
  <c r="AY216" i="6"/>
  <c r="BB216" i="6" s="1"/>
  <c r="AZ133" i="6"/>
  <c r="BC133" i="6" s="1"/>
  <c r="AY133" i="6"/>
  <c r="BB133" i="6" s="1"/>
  <c r="AX133" i="6"/>
  <c r="BA133" i="6" s="1"/>
  <c r="AX349" i="6"/>
  <c r="BA349" i="6" s="1"/>
  <c r="AZ349" i="6"/>
  <c r="BC349" i="6" s="1"/>
  <c r="AY349" i="6"/>
  <c r="BB349" i="6" s="1"/>
  <c r="BX271" i="6"/>
  <c r="BT271" i="6"/>
  <c r="BU271" i="6" s="1"/>
  <c r="BT481" i="6"/>
  <c r="BU481" i="6" s="1"/>
  <c r="BX481" i="6"/>
  <c r="BN328" i="6"/>
  <c r="BJ328" i="6"/>
  <c r="BK328" i="6" s="1"/>
  <c r="BT457" i="6"/>
  <c r="BU457" i="6" s="1"/>
  <c r="BX457" i="6"/>
  <c r="BT325" i="6"/>
  <c r="BU325" i="6" s="1"/>
  <c r="BX325" i="6"/>
  <c r="BN554" i="6"/>
  <c r="BJ554" i="6"/>
  <c r="BK554" i="6" s="1"/>
  <c r="BJ122" i="6"/>
  <c r="BK122" i="6" s="1"/>
  <c r="BN122" i="6"/>
  <c r="BO122" i="6" s="1"/>
  <c r="BP122" i="6" s="1"/>
  <c r="BJ203" i="6"/>
  <c r="BK203" i="6" s="1"/>
  <c r="BN203" i="6"/>
  <c r="BX93" i="6"/>
  <c r="BT93" i="6"/>
  <c r="BU93" i="6" s="1"/>
  <c r="BX506" i="6"/>
  <c r="BY506" i="6" s="1"/>
  <c r="BZ506" i="6" s="1"/>
  <c r="BT506" i="6"/>
  <c r="BU506" i="6" s="1"/>
  <c r="BX404" i="6"/>
  <c r="BY404" i="6" s="1"/>
  <c r="BZ404" i="6" s="1"/>
  <c r="BT404" i="6"/>
  <c r="BU404" i="6" s="1"/>
  <c r="BJ362" i="6"/>
  <c r="BK362" i="6" s="1"/>
  <c r="BN362" i="6"/>
  <c r="BO362" i="6" s="1"/>
  <c r="BP362" i="6" s="1"/>
  <c r="BX362" i="6"/>
  <c r="BY362" i="6" s="1"/>
  <c r="BZ362" i="6" s="1"/>
  <c r="BT362" i="6"/>
  <c r="BU362" i="6" s="1"/>
  <c r="BN29" i="6"/>
  <c r="BO29" i="6" s="1"/>
  <c r="BP29" i="6" s="1"/>
  <c r="BJ29" i="6"/>
  <c r="BK29" i="6" s="1"/>
  <c r="BJ249" i="6"/>
  <c r="BK249" i="6" s="1"/>
  <c r="BN249" i="6"/>
  <c r="BX108" i="6"/>
  <c r="BT108" i="6"/>
  <c r="BU108" i="6" s="1"/>
  <c r="BX406" i="6"/>
  <c r="BT406" i="6"/>
  <c r="BU406" i="6" s="1"/>
  <c r="BT62" i="6"/>
  <c r="BU62" i="6" s="1"/>
  <c r="BX62" i="6"/>
  <c r="BY62" i="6" s="1"/>
  <c r="BZ62" i="6" s="1"/>
  <c r="BJ490" i="6"/>
  <c r="BK490" i="6" s="1"/>
  <c r="BN490" i="6"/>
  <c r="BN78" i="6"/>
  <c r="BJ78" i="6"/>
  <c r="BK78" i="6" s="1"/>
  <c r="BX188" i="6"/>
  <c r="BY188" i="6" s="1"/>
  <c r="BZ188" i="6" s="1"/>
  <c r="BT188" i="6"/>
  <c r="BU188" i="6" s="1"/>
  <c r="BN65" i="6"/>
  <c r="BO65" i="6" s="1"/>
  <c r="BP65" i="6" s="1"/>
  <c r="BJ65" i="6"/>
  <c r="BK65" i="6" s="1"/>
  <c r="BJ72" i="6"/>
  <c r="BK72" i="6" s="1"/>
  <c r="BN72" i="6"/>
  <c r="BN179" i="6"/>
  <c r="BO179" i="6" s="1"/>
  <c r="BP179" i="6" s="1"/>
  <c r="BJ179" i="6"/>
  <c r="BK179" i="6" s="1"/>
  <c r="BT345" i="6"/>
  <c r="BU345" i="6" s="1"/>
  <c r="BX345" i="6"/>
  <c r="BX359" i="6"/>
  <c r="BY359" i="6" s="1"/>
  <c r="BZ359" i="6" s="1"/>
  <c r="BT359" i="6"/>
  <c r="BU359" i="6" s="1"/>
  <c r="BN286" i="6"/>
  <c r="BJ286" i="6"/>
  <c r="BK286" i="6" s="1"/>
  <c r="BN188" i="6"/>
  <c r="BO188" i="6" s="1"/>
  <c r="BP188" i="6" s="1"/>
  <c r="BJ188" i="6"/>
  <c r="BK188" i="6" s="1"/>
  <c r="BN394" i="6"/>
  <c r="BJ394" i="6"/>
  <c r="BK394" i="6" s="1"/>
  <c r="BT128" i="6"/>
  <c r="BU128" i="6" s="1"/>
  <c r="BX128" i="6"/>
  <c r="BY128" i="6" s="1"/>
  <c r="BZ128" i="6" s="1"/>
  <c r="BJ191" i="6"/>
  <c r="BK191" i="6" s="1"/>
  <c r="BN191" i="6"/>
  <c r="BO191" i="6" s="1"/>
  <c r="BP191" i="6" s="1"/>
  <c r="AY469" i="6"/>
  <c r="BB469" i="6" s="1"/>
  <c r="AX469" i="6"/>
  <c r="BA469" i="6" s="1"/>
  <c r="AZ469" i="6"/>
  <c r="BC469" i="6" s="1"/>
  <c r="AY118" i="6"/>
  <c r="BB118" i="6" s="1"/>
  <c r="AX118" i="6"/>
  <c r="BA118" i="6" s="1"/>
  <c r="AZ118" i="6"/>
  <c r="BC118" i="6" s="1"/>
  <c r="AZ197" i="6"/>
  <c r="BC197" i="6" s="1"/>
  <c r="AX197" i="6"/>
  <c r="BA197" i="6" s="1"/>
  <c r="AY197" i="6"/>
  <c r="BB197" i="6" s="1"/>
  <c r="AZ334" i="6"/>
  <c r="BC334" i="6" s="1"/>
  <c r="AX334" i="6"/>
  <c r="BA334" i="6" s="1"/>
  <c r="AY334" i="6"/>
  <c r="BB334" i="6" s="1"/>
  <c r="AZ103" i="6"/>
  <c r="BC103" i="6" s="1"/>
  <c r="AX103" i="6"/>
  <c r="BA103" i="6" s="1"/>
  <c r="AY103" i="6"/>
  <c r="BB103" i="6" s="1"/>
  <c r="AY348" i="6"/>
  <c r="BB348" i="6" s="1"/>
  <c r="AZ348" i="6"/>
  <c r="BC348" i="6" s="1"/>
  <c r="AX348" i="6"/>
  <c r="BA348" i="6" s="1"/>
  <c r="AZ319" i="6"/>
  <c r="BC319" i="6" s="1"/>
  <c r="AY319" i="6"/>
  <c r="BB319" i="6" s="1"/>
  <c r="AX319" i="6"/>
  <c r="BA319" i="6" s="1"/>
  <c r="AZ536" i="6"/>
  <c r="BC536" i="6" s="1"/>
  <c r="AY536" i="6"/>
  <c r="BB536" i="6" s="1"/>
  <c r="AX536" i="6"/>
  <c r="BA536" i="6" s="1"/>
  <c r="AZ392" i="6"/>
  <c r="BC392" i="6" s="1"/>
  <c r="AY392" i="6"/>
  <c r="BB392" i="6" s="1"/>
  <c r="AX392" i="6"/>
  <c r="BA392" i="6" s="1"/>
  <c r="AX371" i="6"/>
  <c r="BA371" i="6" s="1"/>
  <c r="AZ371" i="6"/>
  <c r="BC371" i="6" s="1"/>
  <c r="AY371" i="6"/>
  <c r="BB371" i="6" s="1"/>
  <c r="AX67" i="6"/>
  <c r="BA67" i="6" s="1"/>
  <c r="AY67" i="6"/>
  <c r="BB67" i="6" s="1"/>
  <c r="AZ67" i="6"/>
  <c r="BC67" i="6" s="1"/>
  <c r="AY372" i="6"/>
  <c r="BB372" i="6" s="1"/>
  <c r="AZ372" i="6"/>
  <c r="BC372" i="6" s="1"/>
  <c r="AX372" i="6"/>
  <c r="BA372" i="6" s="1"/>
  <c r="BE372" i="6" s="1"/>
  <c r="BF372" i="6" s="1"/>
  <c r="AY267" i="6"/>
  <c r="BB267" i="6" s="1"/>
  <c r="AX267" i="6"/>
  <c r="BA267" i="6" s="1"/>
  <c r="AZ267" i="6"/>
  <c r="BC267" i="6" s="1"/>
  <c r="AZ325" i="6"/>
  <c r="BC325" i="6" s="1"/>
  <c r="AY325" i="6"/>
  <c r="BB325" i="6" s="1"/>
  <c r="AX325" i="6"/>
  <c r="BA325" i="6" s="1"/>
  <c r="AZ214" i="6"/>
  <c r="BC214" i="6" s="1"/>
  <c r="AY214" i="6"/>
  <c r="BB214" i="6" s="1"/>
  <c r="AX214" i="6"/>
  <c r="BA214" i="6" s="1"/>
  <c r="AZ26" i="6"/>
  <c r="BC26" i="6" s="1"/>
  <c r="AX26" i="6"/>
  <c r="BA26" i="6" s="1"/>
  <c r="AY26" i="6"/>
  <c r="BB26" i="6" s="1"/>
  <c r="AZ468" i="6"/>
  <c r="BC468" i="6" s="1"/>
  <c r="AY468" i="6"/>
  <c r="BB468" i="6" s="1"/>
  <c r="AX468" i="6"/>
  <c r="BA468" i="6" s="1"/>
  <c r="AZ381" i="6"/>
  <c r="BC381" i="6" s="1"/>
  <c r="AY381" i="6"/>
  <c r="BB381" i="6" s="1"/>
  <c r="AX381" i="6"/>
  <c r="BA381" i="6" s="1"/>
  <c r="AZ273" i="6"/>
  <c r="BC273" i="6" s="1"/>
  <c r="AY273" i="6"/>
  <c r="BB273" i="6" s="1"/>
  <c r="AX273" i="6"/>
  <c r="BA273" i="6" s="1"/>
  <c r="AZ124" i="6"/>
  <c r="BC124" i="6" s="1"/>
  <c r="AX124" i="6"/>
  <c r="BA124" i="6" s="1"/>
  <c r="AY124" i="6"/>
  <c r="BB124" i="6" s="1"/>
  <c r="AZ363" i="6"/>
  <c r="BC363" i="6" s="1"/>
  <c r="AY363" i="6"/>
  <c r="BB363" i="6" s="1"/>
  <c r="AX363" i="6"/>
  <c r="BA363" i="6" s="1"/>
  <c r="AZ223" i="6"/>
  <c r="BC223" i="6" s="1"/>
  <c r="AY223" i="6"/>
  <c r="BB223" i="6" s="1"/>
  <c r="AX223" i="6"/>
  <c r="BA223" i="6" s="1"/>
  <c r="AZ547" i="6"/>
  <c r="BC547" i="6" s="1"/>
  <c r="AY547" i="6"/>
  <c r="BB547" i="6" s="1"/>
  <c r="AX547" i="6"/>
  <c r="BA547" i="6" s="1"/>
  <c r="AZ533" i="6"/>
  <c r="BC533" i="6" s="1"/>
  <c r="AY533" i="6"/>
  <c r="BB533" i="6" s="1"/>
  <c r="AX533" i="6"/>
  <c r="BA533" i="6" s="1"/>
  <c r="AZ212" i="6"/>
  <c r="BC212" i="6" s="1"/>
  <c r="AY212" i="6"/>
  <c r="BB212" i="6" s="1"/>
  <c r="AX212" i="6"/>
  <c r="BA212" i="6" s="1"/>
  <c r="AZ217" i="6"/>
  <c r="BC217" i="6" s="1"/>
  <c r="AY217" i="6"/>
  <c r="BB217" i="6" s="1"/>
  <c r="AX217" i="6"/>
  <c r="BA217" i="6" s="1"/>
  <c r="AY175" i="6"/>
  <c r="BB175" i="6" s="1"/>
  <c r="AZ175" i="6"/>
  <c r="BC175" i="6" s="1"/>
  <c r="AX175" i="6"/>
  <c r="BA175" i="6" s="1"/>
  <c r="BE175" i="6" s="1"/>
  <c r="BF175" i="6" s="1"/>
  <c r="AZ336" i="6"/>
  <c r="BC336" i="6" s="1"/>
  <c r="AY336" i="6"/>
  <c r="BB336" i="6" s="1"/>
  <c r="AX336" i="6"/>
  <c r="BA336" i="6" s="1"/>
  <c r="BE336" i="6" s="1"/>
  <c r="BF336" i="6" s="1"/>
  <c r="AZ34" i="6"/>
  <c r="BC34" i="6" s="1"/>
  <c r="AY34" i="6"/>
  <c r="BB34" i="6" s="1"/>
  <c r="AX34" i="6"/>
  <c r="BA34" i="6" s="1"/>
  <c r="AZ65" i="6"/>
  <c r="BC65" i="6" s="1"/>
  <c r="AY65" i="6"/>
  <c r="BB65" i="6" s="1"/>
  <c r="AX65" i="6"/>
  <c r="BA65" i="6" s="1"/>
  <c r="AZ442" i="6"/>
  <c r="BC442" i="6" s="1"/>
  <c r="AY442" i="6"/>
  <c r="BB442" i="6" s="1"/>
  <c r="AX442" i="6"/>
  <c r="BA442" i="6" s="1"/>
  <c r="BT423" i="6"/>
  <c r="BU423" i="6" s="1"/>
  <c r="BX423" i="6"/>
  <c r="BJ51" i="6"/>
  <c r="BK51" i="6" s="1"/>
  <c r="BN51" i="6"/>
  <c r="BN192" i="6"/>
  <c r="BJ192" i="6"/>
  <c r="BK192" i="6" s="1"/>
  <c r="BX568" i="6"/>
  <c r="BT568" i="6"/>
  <c r="BU568" i="6" s="1"/>
  <c r="BJ223" i="6"/>
  <c r="BK223" i="6" s="1"/>
  <c r="BN223" i="6"/>
  <c r="BN380" i="6"/>
  <c r="BO380" i="6" s="1"/>
  <c r="BP380" i="6" s="1"/>
  <c r="BJ380" i="6"/>
  <c r="BK380" i="6" s="1"/>
  <c r="BN537" i="6"/>
  <c r="BJ537" i="6"/>
  <c r="BK537" i="6" s="1"/>
  <c r="BN352" i="6"/>
  <c r="BJ352" i="6"/>
  <c r="BK352" i="6" s="1"/>
  <c r="BT257" i="6"/>
  <c r="BU257" i="6" s="1"/>
  <c r="BX257" i="6"/>
  <c r="BY257" i="6" s="1"/>
  <c r="BZ257" i="6" s="1"/>
  <c r="BX534" i="6"/>
  <c r="BT534" i="6"/>
  <c r="BU534" i="6" s="1"/>
  <c r="BN449" i="6"/>
  <c r="BO449" i="6" s="1"/>
  <c r="BP449" i="6" s="1"/>
  <c r="BJ449" i="6"/>
  <c r="BK449" i="6" s="1"/>
  <c r="BJ506" i="6"/>
  <c r="BK506" i="6" s="1"/>
  <c r="BN506" i="6"/>
  <c r="BO506" i="6" s="1"/>
  <c r="BP506" i="6" s="1"/>
  <c r="BX349" i="6"/>
  <c r="BT349" i="6"/>
  <c r="BU349" i="6" s="1"/>
  <c r="BJ469" i="6"/>
  <c r="BK469" i="6" s="1"/>
  <c r="BN469" i="6"/>
  <c r="BJ24" i="6"/>
  <c r="BK24" i="6" s="1"/>
  <c r="BN24" i="6"/>
  <c r="BJ472" i="6"/>
  <c r="BK472" i="6" s="1"/>
  <c r="BN472" i="6"/>
  <c r="BN405" i="6"/>
  <c r="BJ405" i="6"/>
  <c r="BK405" i="6" s="1"/>
  <c r="BN349" i="6"/>
  <c r="BJ349" i="6"/>
  <c r="BK349" i="6" s="1"/>
  <c r="BT233" i="6"/>
  <c r="BU233" i="6" s="1"/>
  <c r="BX233" i="6"/>
  <c r="BY233" i="6" s="1"/>
  <c r="BZ233" i="6" s="1"/>
  <c r="BJ141" i="6"/>
  <c r="BK141" i="6" s="1"/>
  <c r="BN141" i="6"/>
  <c r="BX85" i="6"/>
  <c r="BT85" i="6"/>
  <c r="BU85" i="6" s="1"/>
  <c r="BT213" i="6"/>
  <c r="BU213" i="6" s="1"/>
  <c r="BX213" i="6"/>
  <c r="BN166" i="6"/>
  <c r="BJ166" i="6"/>
  <c r="BK166" i="6" s="1"/>
  <c r="BX127" i="6"/>
  <c r="BT127" i="6"/>
  <c r="BU127" i="6" s="1"/>
  <c r="BT194" i="6"/>
  <c r="BU194" i="6" s="1"/>
  <c r="BX194" i="6"/>
  <c r="BY194" i="6" s="1"/>
  <c r="BZ194" i="6" s="1"/>
  <c r="BX552" i="6"/>
  <c r="BT552" i="6"/>
  <c r="BU552" i="6" s="1"/>
  <c r="BN126" i="6"/>
  <c r="BJ126" i="6"/>
  <c r="BK126" i="6" s="1"/>
  <c r="BN345" i="6"/>
  <c r="BJ345" i="6"/>
  <c r="BK345" i="6" s="1"/>
  <c r="BN505" i="6"/>
  <c r="BJ505" i="6"/>
  <c r="BK505" i="6" s="1"/>
  <c r="BJ499" i="6"/>
  <c r="BK499" i="6" s="1"/>
  <c r="BN499" i="6"/>
  <c r="BN88" i="6"/>
  <c r="BJ88" i="6"/>
  <c r="BK88" i="6" s="1"/>
  <c r="BX474" i="6"/>
  <c r="BT474" i="6"/>
  <c r="BU474" i="6" s="1"/>
  <c r="BX425" i="6"/>
  <c r="BY425" i="6" s="1"/>
  <c r="BZ425" i="6" s="1"/>
  <c r="BT425" i="6"/>
  <c r="BU425" i="6" s="1"/>
  <c r="BT431" i="6"/>
  <c r="BU431" i="6" s="1"/>
  <c r="BX431" i="6"/>
  <c r="BT520" i="6"/>
  <c r="BU520" i="6" s="1"/>
  <c r="BX520" i="6"/>
  <c r="AY232" i="6"/>
  <c r="BB232" i="6" s="1"/>
  <c r="AX232" i="6"/>
  <c r="BA232" i="6" s="1"/>
  <c r="AZ232" i="6"/>
  <c r="BC232" i="6" s="1"/>
  <c r="AZ523" i="6"/>
  <c r="BC523" i="6" s="1"/>
  <c r="AY523" i="6"/>
  <c r="BB523" i="6" s="1"/>
  <c r="AX523" i="6"/>
  <c r="BA523" i="6" s="1"/>
  <c r="AX226" i="6"/>
  <c r="BA226" i="6" s="1"/>
  <c r="AY226" i="6"/>
  <c r="BB226" i="6" s="1"/>
  <c r="AZ226" i="6"/>
  <c r="BC226" i="6" s="1"/>
  <c r="AZ298" i="6"/>
  <c r="BC298" i="6" s="1"/>
  <c r="AY298" i="6"/>
  <c r="BB298" i="6" s="1"/>
  <c r="AX298" i="6"/>
  <c r="BA298" i="6" s="1"/>
  <c r="AZ262" i="6"/>
  <c r="BC262" i="6" s="1"/>
  <c r="AY262" i="6"/>
  <c r="BB262" i="6" s="1"/>
  <c r="AX262" i="6"/>
  <c r="BA262" i="6" s="1"/>
  <c r="AX209" i="6"/>
  <c r="BA209" i="6" s="1"/>
  <c r="AY209" i="6"/>
  <c r="BB209" i="6" s="1"/>
  <c r="AZ209" i="6"/>
  <c r="BC209" i="6" s="1"/>
  <c r="AZ59" i="6"/>
  <c r="BC59" i="6" s="1"/>
  <c r="AY59" i="6"/>
  <c r="BB59" i="6" s="1"/>
  <c r="AX59" i="6"/>
  <c r="BA59" i="6" s="1"/>
  <c r="AX386" i="6"/>
  <c r="BA386" i="6" s="1"/>
  <c r="AZ386" i="6"/>
  <c r="BC386" i="6" s="1"/>
  <c r="AY386" i="6"/>
  <c r="BB386" i="6" s="1"/>
  <c r="AX64" i="6"/>
  <c r="BA64" i="6" s="1"/>
  <c r="AY64" i="6"/>
  <c r="BB64" i="6" s="1"/>
  <c r="AZ64" i="6"/>
  <c r="BC64" i="6" s="1"/>
  <c r="AZ141" i="6"/>
  <c r="BC141" i="6" s="1"/>
  <c r="AY141" i="6"/>
  <c r="BB141" i="6" s="1"/>
  <c r="AX141" i="6"/>
  <c r="BA141" i="6" s="1"/>
  <c r="BE141" i="6" s="1"/>
  <c r="BF141" i="6" s="1"/>
  <c r="AZ545" i="6"/>
  <c r="BC545" i="6" s="1"/>
  <c r="AY545" i="6"/>
  <c r="BB545" i="6" s="1"/>
  <c r="AX545" i="6"/>
  <c r="BA545" i="6" s="1"/>
  <c r="BE545" i="6" s="1"/>
  <c r="BF545" i="6" s="1"/>
  <c r="AZ563" i="6"/>
  <c r="BC563" i="6" s="1"/>
  <c r="AY563" i="6"/>
  <c r="BB563" i="6" s="1"/>
  <c r="AX563" i="6"/>
  <c r="BA563" i="6" s="1"/>
  <c r="AY495" i="6"/>
  <c r="BB495" i="6" s="1"/>
  <c r="AZ495" i="6"/>
  <c r="BC495" i="6" s="1"/>
  <c r="AX495" i="6"/>
  <c r="BA495" i="6" s="1"/>
  <c r="AZ352" i="6"/>
  <c r="BC352" i="6" s="1"/>
  <c r="AY352" i="6"/>
  <c r="BB352" i="6" s="1"/>
  <c r="AX352" i="6"/>
  <c r="BA352" i="6" s="1"/>
  <c r="AZ476" i="6"/>
  <c r="BC476" i="6" s="1"/>
  <c r="AY476" i="6"/>
  <c r="BB476" i="6" s="1"/>
  <c r="AX476" i="6"/>
  <c r="BA476" i="6" s="1"/>
  <c r="AX506" i="6"/>
  <c r="BA506" i="6" s="1"/>
  <c r="BE506" i="6" s="1"/>
  <c r="BF506" i="6" s="1"/>
  <c r="AY506" i="6"/>
  <c r="BB506" i="6" s="1"/>
  <c r="AZ506" i="6"/>
  <c r="BC506" i="6" s="1"/>
  <c r="AZ102" i="6"/>
  <c r="BC102" i="6" s="1"/>
  <c r="AY102" i="6"/>
  <c r="BB102" i="6" s="1"/>
  <c r="AX102" i="6"/>
  <c r="BA102" i="6" s="1"/>
  <c r="AZ56" i="6"/>
  <c r="BC56" i="6" s="1"/>
  <c r="AY56" i="6"/>
  <c r="BB56" i="6" s="1"/>
  <c r="AX56" i="6"/>
  <c r="BA56" i="6" s="1"/>
  <c r="AZ304" i="6"/>
  <c r="BC304" i="6" s="1"/>
  <c r="AY304" i="6"/>
  <c r="BB304" i="6" s="1"/>
  <c r="AX304" i="6"/>
  <c r="BA304" i="6" s="1"/>
  <c r="AZ540" i="6"/>
  <c r="BC540" i="6" s="1"/>
  <c r="AY540" i="6"/>
  <c r="BB540" i="6" s="1"/>
  <c r="AX540" i="6"/>
  <c r="BA540" i="6" s="1"/>
  <c r="AZ439" i="6"/>
  <c r="BC439" i="6" s="1"/>
  <c r="AY439" i="6"/>
  <c r="BB439" i="6" s="1"/>
  <c r="AX439" i="6"/>
  <c r="BA439" i="6" s="1"/>
  <c r="AZ479" i="6"/>
  <c r="BC479" i="6" s="1"/>
  <c r="AY479" i="6"/>
  <c r="BB479" i="6" s="1"/>
  <c r="AX479" i="6"/>
  <c r="BA479" i="6" s="1"/>
  <c r="AZ203" i="6"/>
  <c r="BC203" i="6" s="1"/>
  <c r="AY203" i="6"/>
  <c r="BB203" i="6" s="1"/>
  <c r="AX203" i="6"/>
  <c r="BA203" i="6" s="1"/>
  <c r="AZ278" i="6"/>
  <c r="BC278" i="6" s="1"/>
  <c r="AY278" i="6"/>
  <c r="BB278" i="6" s="1"/>
  <c r="AX278" i="6"/>
  <c r="BA278" i="6" s="1"/>
  <c r="AY307" i="6"/>
  <c r="BB307" i="6" s="1"/>
  <c r="AX307" i="6"/>
  <c r="BA307" i="6" s="1"/>
  <c r="AZ307" i="6"/>
  <c r="BC307" i="6" s="1"/>
  <c r="AZ346" i="6"/>
  <c r="BC346" i="6" s="1"/>
  <c r="AY346" i="6"/>
  <c r="BB346" i="6" s="1"/>
  <c r="AX346" i="6"/>
  <c r="BA346" i="6" s="1"/>
  <c r="BE346" i="6" s="1"/>
  <c r="BF346" i="6" s="1"/>
  <c r="AZ373" i="6"/>
  <c r="BC373" i="6" s="1"/>
  <c r="AY373" i="6"/>
  <c r="BB373" i="6" s="1"/>
  <c r="AX373" i="6"/>
  <c r="BA373" i="6" s="1"/>
  <c r="BE373" i="6" s="1"/>
  <c r="BF373" i="6" s="1"/>
  <c r="AZ405" i="6"/>
  <c r="BC405" i="6" s="1"/>
  <c r="AX405" i="6"/>
  <c r="BA405" i="6" s="1"/>
  <c r="AY405" i="6"/>
  <c r="BB405" i="6" s="1"/>
  <c r="AY184" i="6"/>
  <c r="BB184" i="6" s="1"/>
  <c r="AX184" i="6"/>
  <c r="BA184" i="6" s="1"/>
  <c r="AZ184" i="6"/>
  <c r="BC184" i="6" s="1"/>
  <c r="AX433" i="6"/>
  <c r="BA433" i="6" s="1"/>
  <c r="AZ433" i="6"/>
  <c r="BC433" i="6" s="1"/>
  <c r="AY433" i="6"/>
  <c r="BB433" i="6" s="1"/>
  <c r="AZ427" i="6"/>
  <c r="BC427" i="6" s="1"/>
  <c r="AY427" i="6"/>
  <c r="BB427" i="6" s="1"/>
  <c r="AX427" i="6"/>
  <c r="BA427" i="6" s="1"/>
  <c r="AZ136" i="6"/>
  <c r="BC136" i="6" s="1"/>
  <c r="AY136" i="6"/>
  <c r="BB136" i="6" s="1"/>
  <c r="AX136" i="6"/>
  <c r="BA136" i="6" s="1"/>
  <c r="AZ283" i="6"/>
  <c r="BC283" i="6" s="1"/>
  <c r="AX283" i="6"/>
  <c r="BA283" i="6" s="1"/>
  <c r="AY283" i="6"/>
  <c r="BB283" i="6" s="1"/>
  <c r="BN547" i="6"/>
  <c r="BJ547" i="6"/>
  <c r="BK547" i="6" s="1"/>
  <c r="BJ321" i="6"/>
  <c r="BK321" i="6" s="1"/>
  <c r="BN321" i="6"/>
  <c r="BN542" i="6"/>
  <c r="BO542" i="6" s="1"/>
  <c r="BP542" i="6" s="1"/>
  <c r="BJ542" i="6"/>
  <c r="BK542" i="6" s="1"/>
  <c r="BX293" i="6"/>
  <c r="BY293" i="6" s="1"/>
  <c r="BZ293" i="6" s="1"/>
  <c r="BT293" i="6"/>
  <c r="BU293" i="6" s="1"/>
  <c r="BT69" i="6"/>
  <c r="BU69" i="6" s="1"/>
  <c r="BX69" i="6"/>
  <c r="BN79" i="6"/>
  <c r="BJ79" i="6"/>
  <c r="BK79" i="6" s="1"/>
  <c r="BN480" i="6"/>
  <c r="BJ480" i="6"/>
  <c r="BK480" i="6" s="1"/>
  <c r="BT556" i="6"/>
  <c r="BU556" i="6" s="1"/>
  <c r="BX556" i="6"/>
  <c r="BT353" i="6"/>
  <c r="BU353" i="6" s="1"/>
  <c r="BX353" i="6"/>
  <c r="BY353" i="6" s="1"/>
  <c r="BZ353" i="6" s="1"/>
  <c r="BN164" i="6"/>
  <c r="BO164" i="6" s="1"/>
  <c r="BP164" i="6" s="1"/>
  <c r="BJ164" i="6"/>
  <c r="BK164" i="6" s="1"/>
  <c r="BT37" i="6"/>
  <c r="BU37" i="6" s="1"/>
  <c r="BX37" i="6"/>
  <c r="BN37" i="6"/>
  <c r="BJ37" i="6"/>
  <c r="BK37" i="6" s="1"/>
  <c r="BT305" i="6"/>
  <c r="BU305" i="6" s="1"/>
  <c r="BX305" i="6"/>
  <c r="BY305" i="6" s="1"/>
  <c r="BZ305" i="6" s="1"/>
  <c r="BT445" i="6"/>
  <c r="BU445" i="6" s="1"/>
  <c r="BX445" i="6"/>
  <c r="BN359" i="6"/>
  <c r="BO359" i="6" s="1"/>
  <c r="BP359" i="6" s="1"/>
  <c r="BJ359" i="6"/>
  <c r="BK359" i="6" s="1"/>
  <c r="BN436" i="6"/>
  <c r="BJ436" i="6"/>
  <c r="BK436" i="6" s="1"/>
  <c r="BJ313" i="6"/>
  <c r="BK313" i="6" s="1"/>
  <c r="BN313" i="6"/>
  <c r="BN218" i="6"/>
  <c r="BO218" i="6" s="1"/>
  <c r="BP218" i="6" s="1"/>
  <c r="BJ218" i="6"/>
  <c r="BK218" i="6" s="1"/>
  <c r="BT387" i="6"/>
  <c r="BU387" i="6" s="1"/>
  <c r="BX387" i="6"/>
  <c r="BX191" i="6"/>
  <c r="BY191" i="6" s="1"/>
  <c r="BZ191" i="6" s="1"/>
  <c r="BT191" i="6"/>
  <c r="BU191" i="6" s="1"/>
  <c r="BN549" i="6"/>
  <c r="BJ549" i="6"/>
  <c r="BK549" i="6" s="1"/>
  <c r="BT549" i="6"/>
  <c r="BU549" i="6" s="1"/>
  <c r="BX549" i="6"/>
  <c r="BJ263" i="6"/>
  <c r="BK263" i="6" s="1"/>
  <c r="BN263" i="6"/>
  <c r="BO263" i="6" s="1"/>
  <c r="BP263" i="6" s="1"/>
  <c r="BT510" i="6"/>
  <c r="BU510" i="6" s="1"/>
  <c r="BX510" i="6"/>
  <c r="BT365" i="6"/>
  <c r="BU365" i="6" s="1"/>
  <c r="BX365" i="6"/>
  <c r="BY365" i="6" s="1"/>
  <c r="BZ365" i="6" s="1"/>
  <c r="BX263" i="6"/>
  <c r="BY263" i="6" s="1"/>
  <c r="BZ263" i="6" s="1"/>
  <c r="BT263" i="6"/>
  <c r="BU263" i="6" s="1"/>
  <c r="BT72" i="6"/>
  <c r="BU72" i="6" s="1"/>
  <c r="BX72" i="6"/>
  <c r="BN332" i="6"/>
  <c r="BO332" i="6" s="1"/>
  <c r="BP332" i="6" s="1"/>
  <c r="BJ332" i="6"/>
  <c r="BK332" i="6" s="1"/>
  <c r="BX131" i="6"/>
  <c r="BY131" i="6" s="1"/>
  <c r="BZ131" i="6" s="1"/>
  <c r="BT131" i="6"/>
  <c r="BU131" i="6" s="1"/>
  <c r="BN52" i="6"/>
  <c r="BJ52" i="6"/>
  <c r="BK52" i="6" s="1"/>
  <c r="AZ414" i="6"/>
  <c r="BC414" i="6" s="1"/>
  <c r="AY414" i="6"/>
  <c r="BB414" i="6" s="1"/>
  <c r="AX414" i="6"/>
  <c r="BA414" i="6" s="1"/>
  <c r="AZ48" i="6"/>
  <c r="BC48" i="6" s="1"/>
  <c r="AY48" i="6"/>
  <c r="BB48" i="6" s="1"/>
  <c r="AX48" i="6"/>
  <c r="BA48" i="6" s="1"/>
  <c r="AZ522" i="6"/>
  <c r="BC522" i="6" s="1"/>
  <c r="AX522" i="6"/>
  <c r="BA522" i="6" s="1"/>
  <c r="AY522" i="6"/>
  <c r="BB522" i="6" s="1"/>
  <c r="AZ488" i="6"/>
  <c r="BC488" i="6" s="1"/>
  <c r="AY488" i="6"/>
  <c r="BB488" i="6" s="1"/>
  <c r="AX488" i="6"/>
  <c r="BA488" i="6" s="1"/>
  <c r="AZ451" i="6"/>
  <c r="BC451" i="6" s="1"/>
  <c r="AY451" i="6"/>
  <c r="BB451" i="6" s="1"/>
  <c r="AX451" i="6"/>
  <c r="BA451" i="6" s="1"/>
  <c r="BE451" i="6" s="1"/>
  <c r="BF451" i="6" s="1"/>
  <c r="AZ382" i="6"/>
  <c r="BC382" i="6" s="1"/>
  <c r="AY382" i="6"/>
  <c r="BB382" i="6" s="1"/>
  <c r="AX382" i="6"/>
  <c r="BA382" i="6" s="1"/>
  <c r="AZ492" i="6"/>
  <c r="BC492" i="6" s="1"/>
  <c r="AY492" i="6"/>
  <c r="BB492" i="6" s="1"/>
  <c r="AX492" i="6"/>
  <c r="BA492" i="6" s="1"/>
  <c r="AX213" i="6"/>
  <c r="BA213" i="6" s="1"/>
  <c r="AZ213" i="6"/>
  <c r="BC213" i="6" s="1"/>
  <c r="AY213" i="6"/>
  <c r="BB213" i="6" s="1"/>
  <c r="AZ52" i="6"/>
  <c r="BC52" i="6" s="1"/>
  <c r="AX52" i="6"/>
  <c r="BA52" i="6" s="1"/>
  <c r="AY52" i="6"/>
  <c r="BB52" i="6" s="1"/>
  <c r="AZ33" i="6"/>
  <c r="BC33" i="6" s="1"/>
  <c r="AY33" i="6"/>
  <c r="BB33" i="6" s="1"/>
  <c r="AX33" i="6"/>
  <c r="BA33" i="6" s="1"/>
  <c r="AY286" i="6"/>
  <c r="BB286" i="6" s="1"/>
  <c r="AX286" i="6"/>
  <c r="BA286" i="6" s="1"/>
  <c r="AZ286" i="6"/>
  <c r="BC286" i="6" s="1"/>
  <c r="AZ510" i="6"/>
  <c r="BC510" i="6" s="1"/>
  <c r="AY510" i="6"/>
  <c r="BB510" i="6" s="1"/>
  <c r="AX510" i="6"/>
  <c r="BA510" i="6" s="1"/>
  <c r="AZ509" i="6"/>
  <c r="BC509" i="6" s="1"/>
  <c r="AX509" i="6"/>
  <c r="BA509" i="6" s="1"/>
  <c r="AY509" i="6"/>
  <c r="BB509" i="6" s="1"/>
  <c r="AY143" i="6"/>
  <c r="BB143" i="6" s="1"/>
  <c r="AZ143" i="6"/>
  <c r="BC143" i="6" s="1"/>
  <c r="AX143" i="6"/>
  <c r="BA143" i="6" s="1"/>
  <c r="AX385" i="6"/>
  <c r="BA385" i="6" s="1"/>
  <c r="AZ385" i="6"/>
  <c r="BC385" i="6" s="1"/>
  <c r="AY385" i="6"/>
  <c r="BB385" i="6" s="1"/>
  <c r="AZ303" i="6"/>
  <c r="BC303" i="6" s="1"/>
  <c r="AY303" i="6"/>
  <c r="BB303" i="6" s="1"/>
  <c r="AX303" i="6"/>
  <c r="BA303" i="6" s="1"/>
  <c r="AZ326" i="6"/>
  <c r="BC326" i="6" s="1"/>
  <c r="AX326" i="6"/>
  <c r="BA326" i="6" s="1"/>
  <c r="AY326" i="6"/>
  <c r="BB326" i="6" s="1"/>
  <c r="AZ284" i="6"/>
  <c r="BC284" i="6" s="1"/>
  <c r="AY284" i="6"/>
  <c r="BB284" i="6" s="1"/>
  <c r="AX284" i="6"/>
  <c r="BA284" i="6" s="1"/>
  <c r="AZ474" i="6"/>
  <c r="BC474" i="6" s="1"/>
  <c r="AX474" i="6"/>
  <c r="BA474" i="6" s="1"/>
  <c r="AY474" i="6"/>
  <c r="BB474" i="6" s="1"/>
  <c r="AZ532" i="6"/>
  <c r="BC532" i="6" s="1"/>
  <c r="AY532" i="6"/>
  <c r="BB532" i="6" s="1"/>
  <c r="AX532" i="6"/>
  <c r="BA532" i="6" s="1"/>
  <c r="AX281" i="6"/>
  <c r="BA281" i="6" s="1"/>
  <c r="AZ281" i="6"/>
  <c r="BC281" i="6" s="1"/>
  <c r="AY281" i="6"/>
  <c r="BB281" i="6" s="1"/>
  <c r="AX218" i="6"/>
  <c r="BA218" i="6" s="1"/>
  <c r="AY218" i="6"/>
  <c r="BB218" i="6" s="1"/>
  <c r="AZ218" i="6"/>
  <c r="BC218" i="6" s="1"/>
  <c r="AZ221" i="6"/>
  <c r="BC221" i="6" s="1"/>
  <c r="AY221" i="6"/>
  <c r="BB221" i="6" s="1"/>
  <c r="AX221" i="6"/>
  <c r="BA221" i="6" s="1"/>
  <c r="AZ412" i="6"/>
  <c r="BC412" i="6" s="1"/>
  <c r="AY412" i="6"/>
  <c r="BB412" i="6" s="1"/>
  <c r="AX412" i="6"/>
  <c r="BA412" i="6" s="1"/>
  <c r="AY63" i="6"/>
  <c r="BB63" i="6" s="1"/>
  <c r="AX63" i="6"/>
  <c r="BA63" i="6" s="1"/>
  <c r="AZ63" i="6"/>
  <c r="BC63" i="6" s="1"/>
  <c r="AY125" i="6"/>
  <c r="BB125" i="6" s="1"/>
  <c r="AX125" i="6"/>
  <c r="BA125" i="6" s="1"/>
  <c r="AZ125" i="6"/>
  <c r="BC125" i="6" s="1"/>
  <c r="AZ342" i="6"/>
  <c r="BC342" i="6" s="1"/>
  <c r="AY342" i="6"/>
  <c r="BB342" i="6" s="1"/>
  <c r="AX342" i="6"/>
  <c r="BA342" i="6" s="1"/>
  <c r="AZ411" i="6"/>
  <c r="BC411" i="6" s="1"/>
  <c r="AY411" i="6"/>
  <c r="BB411" i="6" s="1"/>
  <c r="AX411" i="6"/>
  <c r="BA411" i="6" s="1"/>
  <c r="AZ253" i="6"/>
  <c r="BC253" i="6" s="1"/>
  <c r="AX253" i="6"/>
  <c r="BA253" i="6" s="1"/>
  <c r="AY253" i="6"/>
  <c r="BB253" i="6" s="1"/>
  <c r="AY154" i="6"/>
  <c r="BB154" i="6" s="1"/>
  <c r="AX154" i="6"/>
  <c r="BA154" i="6" s="1"/>
  <c r="AZ154" i="6"/>
  <c r="BC154" i="6" s="1"/>
  <c r="AZ122" i="6"/>
  <c r="BC122" i="6" s="1"/>
  <c r="AY122" i="6"/>
  <c r="BB122" i="6" s="1"/>
  <c r="AX122" i="6"/>
  <c r="BA122" i="6" s="1"/>
  <c r="AZ518" i="6"/>
  <c r="BC518" i="6" s="1"/>
  <c r="AX518" i="6"/>
  <c r="BA518" i="6" s="1"/>
  <c r="AY518" i="6"/>
  <c r="BB518" i="6" s="1"/>
  <c r="AZ344" i="6"/>
  <c r="BC344" i="6" s="1"/>
  <c r="AX344" i="6"/>
  <c r="BA344" i="6" s="1"/>
  <c r="AY344" i="6"/>
  <c r="BB344" i="6" s="1"/>
  <c r="AY548" i="6"/>
  <c r="BB548" i="6" s="1"/>
  <c r="AX548" i="6"/>
  <c r="BA548" i="6" s="1"/>
  <c r="AZ548" i="6"/>
  <c r="BC548" i="6" s="1"/>
  <c r="AZ148" i="6"/>
  <c r="BC148" i="6" s="1"/>
  <c r="AY148" i="6"/>
  <c r="BB148" i="6" s="1"/>
  <c r="AX148" i="6"/>
  <c r="BA148" i="6" s="1"/>
  <c r="BN492" i="6"/>
  <c r="BJ492" i="6"/>
  <c r="BK492" i="6" s="1"/>
  <c r="BX333" i="6"/>
  <c r="BT333" i="6"/>
  <c r="BU333" i="6" s="1"/>
  <c r="BX380" i="6"/>
  <c r="BT380" i="6"/>
  <c r="BU380" i="6" s="1"/>
  <c r="BJ334" i="6"/>
  <c r="BK334" i="6" s="1"/>
  <c r="BN334" i="6"/>
  <c r="BJ387" i="6"/>
  <c r="BK387" i="6" s="1"/>
  <c r="BN387" i="6"/>
  <c r="BX442" i="6"/>
  <c r="BT442" i="6"/>
  <c r="BU442" i="6" s="1"/>
  <c r="BN442" i="6"/>
  <c r="BJ442" i="6"/>
  <c r="BK442" i="6" s="1"/>
  <c r="BN32" i="6"/>
  <c r="BO32" i="6" s="1"/>
  <c r="BP32" i="6" s="1"/>
  <c r="BJ32" i="6"/>
  <c r="BK32" i="6" s="1"/>
  <c r="BX153" i="6"/>
  <c r="BT153" i="6"/>
  <c r="BU153" i="6" s="1"/>
  <c r="BN406" i="6"/>
  <c r="BJ406" i="6"/>
  <c r="BK406" i="6" s="1"/>
  <c r="BX444" i="6"/>
  <c r="BT444" i="6"/>
  <c r="BU444" i="6" s="1"/>
  <c r="BN557" i="6"/>
  <c r="BO557" i="6" s="1"/>
  <c r="BP557" i="6" s="1"/>
  <c r="BJ557" i="6"/>
  <c r="BK557" i="6" s="1"/>
  <c r="BJ45" i="6"/>
  <c r="BK45" i="6" s="1"/>
  <c r="BN45" i="6"/>
  <c r="BT485" i="6"/>
  <c r="BU485" i="6" s="1"/>
  <c r="BX485" i="6"/>
  <c r="BY485" i="6" s="1"/>
  <c r="BZ485" i="6" s="1"/>
  <c r="BN28" i="6"/>
  <c r="BJ28" i="6"/>
  <c r="BK28" i="6" s="1"/>
  <c r="BJ350" i="6"/>
  <c r="BK350" i="6" s="1"/>
  <c r="BN350" i="6"/>
  <c r="BO350" i="6" s="1"/>
  <c r="BP350" i="6" s="1"/>
  <c r="BN354" i="6"/>
  <c r="BJ354" i="6"/>
  <c r="BK354" i="6" s="1"/>
  <c r="BT205" i="6"/>
  <c r="BU205" i="6" s="1"/>
  <c r="BX205" i="6"/>
  <c r="BX469" i="6"/>
  <c r="BT469" i="6"/>
  <c r="BU469" i="6" s="1"/>
  <c r="BT414" i="6"/>
  <c r="BU414" i="6" s="1"/>
  <c r="BX414" i="6"/>
  <c r="BN150" i="6"/>
  <c r="BJ150" i="6"/>
  <c r="BK150" i="6" s="1"/>
  <c r="BX105" i="6"/>
  <c r="BT105" i="6"/>
  <c r="BU105" i="6" s="1"/>
  <c r="BX104" i="6"/>
  <c r="BT104" i="6"/>
  <c r="BU104" i="6" s="1"/>
  <c r="BX462" i="6"/>
  <c r="BT462" i="6"/>
  <c r="BU462" i="6" s="1"/>
  <c r="BN420" i="6"/>
  <c r="BJ420" i="6"/>
  <c r="BK420" i="6" s="1"/>
  <c r="BX150" i="6"/>
  <c r="BT150" i="6"/>
  <c r="BU150" i="6" s="1"/>
  <c r="BN142" i="6"/>
  <c r="BJ142" i="6"/>
  <c r="BK142" i="6" s="1"/>
  <c r="BJ205" i="6"/>
  <c r="BK205" i="6" s="1"/>
  <c r="BN205" i="6"/>
  <c r="BT254" i="6"/>
  <c r="BU254" i="6" s="1"/>
  <c r="BX254" i="6"/>
  <c r="BY254" i="6" s="1"/>
  <c r="BZ254" i="6" s="1"/>
  <c r="BJ42" i="6"/>
  <c r="BK42" i="6" s="1"/>
  <c r="BN42" i="6"/>
  <c r="BN520" i="6"/>
  <c r="BJ520" i="6"/>
  <c r="BK520" i="6" s="1"/>
  <c r="BX148" i="6"/>
  <c r="BT148" i="6"/>
  <c r="BU148" i="6" s="1"/>
  <c r="BX373" i="6"/>
  <c r="BT373" i="6"/>
  <c r="BU373" i="6" s="1"/>
  <c r="BX497" i="6"/>
  <c r="BY497" i="6" s="1"/>
  <c r="BZ497" i="6" s="1"/>
  <c r="BT497" i="6"/>
  <c r="BU497" i="6" s="1"/>
  <c r="BX247" i="6"/>
  <c r="BT247" i="6"/>
  <c r="BU247" i="6" s="1"/>
  <c r="AZ90" i="6"/>
  <c r="BC90" i="6" s="1"/>
  <c r="AX90" i="6"/>
  <c r="BA90" i="6" s="1"/>
  <c r="AY90" i="6"/>
  <c r="BB90" i="6" s="1"/>
  <c r="AZ51" i="6"/>
  <c r="BC51" i="6" s="1"/>
  <c r="AX51" i="6"/>
  <c r="BA51" i="6" s="1"/>
  <c r="AY51" i="6"/>
  <c r="BB51" i="6" s="1"/>
  <c r="AZ374" i="6"/>
  <c r="BC374" i="6" s="1"/>
  <c r="AY374" i="6"/>
  <c r="BB374" i="6" s="1"/>
  <c r="AX374" i="6"/>
  <c r="BA374" i="6" s="1"/>
  <c r="AZ507" i="6"/>
  <c r="BC507" i="6" s="1"/>
  <c r="AY507" i="6"/>
  <c r="BB507" i="6" s="1"/>
  <c r="AX507" i="6"/>
  <c r="BA507" i="6" s="1"/>
  <c r="AX238" i="6"/>
  <c r="BA238" i="6" s="1"/>
  <c r="AZ238" i="6"/>
  <c r="BC238" i="6" s="1"/>
  <c r="AY238" i="6"/>
  <c r="BB238" i="6" s="1"/>
  <c r="AY368" i="6"/>
  <c r="BB368" i="6" s="1"/>
  <c r="AX368" i="6"/>
  <c r="BA368" i="6" s="1"/>
  <c r="AZ368" i="6"/>
  <c r="BC368" i="6" s="1"/>
  <c r="AZ188" i="6"/>
  <c r="BC188" i="6" s="1"/>
  <c r="AY188" i="6"/>
  <c r="BB188" i="6" s="1"/>
  <c r="AX188" i="6"/>
  <c r="BA188" i="6" s="1"/>
  <c r="AX83" i="6"/>
  <c r="BA83" i="6" s="1"/>
  <c r="AZ83" i="6"/>
  <c r="BC83" i="6" s="1"/>
  <c r="AY83" i="6"/>
  <c r="BB83" i="6" s="1"/>
  <c r="AZ117" i="6"/>
  <c r="BC117" i="6" s="1"/>
  <c r="AY117" i="6"/>
  <c r="BB117" i="6" s="1"/>
  <c r="AX117" i="6"/>
  <c r="BA117" i="6" s="1"/>
  <c r="AZ455" i="6"/>
  <c r="BC455" i="6" s="1"/>
  <c r="AY455" i="6"/>
  <c r="BB455" i="6" s="1"/>
  <c r="AX455" i="6"/>
  <c r="BA455" i="6" s="1"/>
  <c r="AX193" i="6"/>
  <c r="BA193" i="6" s="1"/>
  <c r="AY193" i="6"/>
  <c r="BB193" i="6" s="1"/>
  <c r="AZ193" i="6"/>
  <c r="BC193" i="6" s="1"/>
  <c r="AZ512" i="6"/>
  <c r="BC512" i="6" s="1"/>
  <c r="AX512" i="6"/>
  <c r="BA512" i="6" s="1"/>
  <c r="AY512" i="6"/>
  <c r="BB512" i="6" s="1"/>
  <c r="AZ277" i="6"/>
  <c r="BC277" i="6" s="1"/>
  <c r="AY277" i="6"/>
  <c r="BB277" i="6" s="1"/>
  <c r="AX277" i="6"/>
  <c r="BA277" i="6" s="1"/>
  <c r="AZ431" i="6"/>
  <c r="BC431" i="6" s="1"/>
  <c r="AY431" i="6"/>
  <c r="BB431" i="6" s="1"/>
  <c r="AX431" i="6"/>
  <c r="BA431" i="6" s="1"/>
  <c r="AZ166" i="6"/>
  <c r="BC166" i="6" s="1"/>
  <c r="AY166" i="6"/>
  <c r="BB166" i="6" s="1"/>
  <c r="AX166" i="6"/>
  <c r="BA166" i="6" s="1"/>
  <c r="AZ378" i="6"/>
  <c r="BC378" i="6" s="1"/>
  <c r="AY378" i="6"/>
  <c r="BB378" i="6" s="1"/>
  <c r="AX378" i="6"/>
  <c r="BA378" i="6" s="1"/>
  <c r="AX79" i="6"/>
  <c r="BA79" i="6" s="1"/>
  <c r="AZ79" i="6"/>
  <c r="BC79" i="6" s="1"/>
  <c r="AY79" i="6"/>
  <c r="BB79" i="6" s="1"/>
  <c r="AY407" i="6"/>
  <c r="BB407" i="6" s="1"/>
  <c r="AZ407" i="6"/>
  <c r="BC407" i="6" s="1"/>
  <c r="AX407" i="6"/>
  <c r="BA407" i="6" s="1"/>
  <c r="AZ354" i="6"/>
  <c r="BC354" i="6" s="1"/>
  <c r="AX354" i="6"/>
  <c r="BA354" i="6" s="1"/>
  <c r="AY354" i="6"/>
  <c r="BB354" i="6" s="1"/>
  <c r="AX425" i="6"/>
  <c r="BA425" i="6" s="1"/>
  <c r="AZ425" i="6"/>
  <c r="BC425" i="6" s="1"/>
  <c r="AY425" i="6"/>
  <c r="BB425" i="6" s="1"/>
  <c r="AZ85" i="6"/>
  <c r="BC85" i="6" s="1"/>
  <c r="AX85" i="6"/>
  <c r="BA85" i="6" s="1"/>
  <c r="AY85" i="6"/>
  <c r="BB85" i="6" s="1"/>
  <c r="AX171" i="6"/>
  <c r="BA171" i="6" s="1"/>
  <c r="AZ171" i="6"/>
  <c r="BC171" i="6" s="1"/>
  <c r="AY171" i="6"/>
  <c r="BB171" i="6" s="1"/>
  <c r="AX544" i="6"/>
  <c r="BA544" i="6" s="1"/>
  <c r="AZ544" i="6"/>
  <c r="BC544" i="6" s="1"/>
  <c r="AY544" i="6"/>
  <c r="BB544" i="6" s="1"/>
  <c r="AZ550" i="6"/>
  <c r="BC550" i="6" s="1"/>
  <c r="AX550" i="6"/>
  <c r="BA550" i="6" s="1"/>
  <c r="AY550" i="6"/>
  <c r="BB550" i="6" s="1"/>
  <c r="AZ549" i="6"/>
  <c r="BC549" i="6" s="1"/>
  <c r="AX549" i="6"/>
  <c r="BA549" i="6" s="1"/>
  <c r="AY549" i="6"/>
  <c r="BB549" i="6" s="1"/>
  <c r="AZ558" i="6"/>
  <c r="BC558" i="6" s="1"/>
  <c r="AY558" i="6"/>
  <c r="BB558" i="6" s="1"/>
  <c r="AX558" i="6"/>
  <c r="BA558" i="6" s="1"/>
  <c r="AZ240" i="6"/>
  <c r="BC240" i="6" s="1"/>
  <c r="AY240" i="6"/>
  <c r="BB240" i="6" s="1"/>
  <c r="AX240" i="6"/>
  <c r="BA240" i="6" s="1"/>
  <c r="AZ290" i="6"/>
  <c r="BC290" i="6" s="1"/>
  <c r="AY290" i="6"/>
  <c r="BB290" i="6" s="1"/>
  <c r="AX290" i="6"/>
  <c r="BA290" i="6" s="1"/>
  <c r="AY149" i="6"/>
  <c r="BB149" i="6" s="1"/>
  <c r="AX149" i="6"/>
  <c r="BA149" i="6" s="1"/>
  <c r="AZ149" i="6"/>
  <c r="BC149" i="6" s="1"/>
  <c r="AZ93" i="6"/>
  <c r="BC93" i="6" s="1"/>
  <c r="AY93" i="6"/>
  <c r="BB93" i="6" s="1"/>
  <c r="AX93" i="6"/>
  <c r="BA93" i="6" s="1"/>
  <c r="AY324" i="6"/>
  <c r="BB324" i="6" s="1"/>
  <c r="AZ324" i="6"/>
  <c r="BC324" i="6" s="1"/>
  <c r="AX324" i="6"/>
  <c r="BA324" i="6" s="1"/>
  <c r="AX61" i="6"/>
  <c r="BA61" i="6" s="1"/>
  <c r="AZ61" i="6"/>
  <c r="BC61" i="6" s="1"/>
  <c r="AY61" i="6"/>
  <c r="BB61" i="6" s="1"/>
  <c r="AZ236" i="6"/>
  <c r="BC236" i="6" s="1"/>
  <c r="AY236" i="6"/>
  <c r="BB236" i="6" s="1"/>
  <c r="AX236" i="6"/>
  <c r="BA236" i="6" s="1"/>
  <c r="AZ179" i="6"/>
  <c r="BC179" i="6" s="1"/>
  <c r="AY179" i="6"/>
  <c r="BB179" i="6" s="1"/>
  <c r="AX179" i="6"/>
  <c r="BA179" i="6" s="1"/>
  <c r="BX142" i="6"/>
  <c r="BT142" i="6"/>
  <c r="BU142" i="6" s="1"/>
  <c r="BJ162" i="6"/>
  <c r="BK162" i="6" s="1"/>
  <c r="BN162" i="6"/>
  <c r="BN124" i="6"/>
  <c r="BJ124" i="6"/>
  <c r="BK124" i="6" s="1"/>
  <c r="BX426" i="6"/>
  <c r="BT426" i="6"/>
  <c r="BU426" i="6" s="1"/>
  <c r="BT472" i="6"/>
  <c r="BU472" i="6" s="1"/>
  <c r="BX472" i="6"/>
  <c r="BX352" i="6"/>
  <c r="BT352" i="6"/>
  <c r="BU352" i="6" s="1"/>
  <c r="BN233" i="6"/>
  <c r="BO233" i="6" s="1"/>
  <c r="BP233" i="6" s="1"/>
  <c r="BJ233" i="6"/>
  <c r="BK233" i="6" s="1"/>
  <c r="BX458" i="6"/>
  <c r="BY458" i="6" s="1"/>
  <c r="BZ458" i="6" s="1"/>
  <c r="BT458" i="6"/>
  <c r="BU458" i="6" s="1"/>
  <c r="BX275" i="6"/>
  <c r="BT275" i="6"/>
  <c r="BU275" i="6" s="1"/>
  <c r="BN535" i="6"/>
  <c r="BJ535" i="6"/>
  <c r="BK535" i="6" s="1"/>
  <c r="BJ227" i="6"/>
  <c r="BK227" i="6" s="1"/>
  <c r="BN227" i="6"/>
  <c r="BO227" i="6" s="1"/>
  <c r="BP227" i="6" s="1"/>
  <c r="BX413" i="6"/>
  <c r="BY413" i="6" s="1"/>
  <c r="BZ413" i="6" s="1"/>
  <c r="BT413" i="6"/>
  <c r="BU413" i="6" s="1"/>
  <c r="BN474" i="6"/>
  <c r="BJ474" i="6"/>
  <c r="BK474" i="6" s="1"/>
  <c r="BJ361" i="6"/>
  <c r="BK361" i="6" s="1"/>
  <c r="BN361" i="6"/>
  <c r="BX51" i="6"/>
  <c r="BT51" i="6"/>
  <c r="BU51" i="6" s="1"/>
  <c r="BN234" i="6"/>
  <c r="BJ234" i="6"/>
  <c r="BK234" i="6" s="1"/>
  <c r="BN25" i="6"/>
  <c r="BJ25" i="6"/>
  <c r="BK25" i="6" s="1"/>
  <c r="BJ465" i="6"/>
  <c r="BK465" i="6" s="1"/>
  <c r="BN465" i="6"/>
  <c r="BJ412" i="6"/>
  <c r="BK412" i="6" s="1"/>
  <c r="BN412" i="6"/>
  <c r="BX78" i="6"/>
  <c r="BT78" i="6"/>
  <c r="BU78" i="6" s="1"/>
  <c r="BN559" i="6"/>
  <c r="BJ559" i="6"/>
  <c r="BK559" i="6" s="1"/>
  <c r="BN196" i="6"/>
  <c r="BJ196" i="6"/>
  <c r="BK196" i="6" s="1"/>
  <c r="BX567" i="6"/>
  <c r="BT567" i="6"/>
  <c r="BU567" i="6" s="1"/>
  <c r="BX565" i="6"/>
  <c r="BT565" i="6"/>
  <c r="BU565" i="6" s="1"/>
  <c r="BN101" i="6"/>
  <c r="BO101" i="6" s="1"/>
  <c r="BP101" i="6" s="1"/>
  <c r="BJ101" i="6"/>
  <c r="BK101" i="6" s="1"/>
  <c r="BX54" i="6"/>
  <c r="BT54" i="6"/>
  <c r="BU54" i="6" s="1"/>
  <c r="BN213" i="6"/>
  <c r="BJ213" i="6"/>
  <c r="BK213" i="6" s="1"/>
  <c r="AZ471" i="6"/>
  <c r="BC471" i="6" s="1"/>
  <c r="AY471" i="6"/>
  <c r="BB471" i="6" s="1"/>
  <c r="AX471" i="6"/>
  <c r="BA471" i="6" s="1"/>
  <c r="AY194" i="6"/>
  <c r="BB194" i="6" s="1"/>
  <c r="AZ194" i="6"/>
  <c r="BC194" i="6" s="1"/>
  <c r="AX194" i="6"/>
  <c r="BA194" i="6" s="1"/>
  <c r="AZ508" i="6"/>
  <c r="BC508" i="6" s="1"/>
  <c r="AY508" i="6"/>
  <c r="BB508" i="6" s="1"/>
  <c r="AX508" i="6"/>
  <c r="BA508" i="6" s="1"/>
  <c r="AZ393" i="6"/>
  <c r="BC393" i="6" s="1"/>
  <c r="AY393" i="6"/>
  <c r="BB393" i="6" s="1"/>
  <c r="AX393" i="6"/>
  <c r="BA393" i="6" s="1"/>
  <c r="AX201" i="6"/>
  <c r="BA201" i="6" s="1"/>
  <c r="AY201" i="6"/>
  <c r="BB201" i="6" s="1"/>
  <c r="AZ201" i="6"/>
  <c r="BC201" i="6" s="1"/>
  <c r="AX329" i="6"/>
  <c r="BA329" i="6" s="1"/>
  <c r="AZ329" i="6"/>
  <c r="BC329" i="6" s="1"/>
  <c r="AY329" i="6"/>
  <c r="BB329" i="6" s="1"/>
  <c r="AX527" i="6"/>
  <c r="BA527" i="6" s="1"/>
  <c r="AZ527" i="6"/>
  <c r="BC527" i="6" s="1"/>
  <c r="AY527" i="6"/>
  <c r="BB527" i="6" s="1"/>
  <c r="AY29" i="6"/>
  <c r="BB29" i="6" s="1"/>
  <c r="AZ29" i="6"/>
  <c r="BC29" i="6" s="1"/>
  <c r="AX29" i="6"/>
  <c r="BA29" i="6" s="1"/>
  <c r="AY559" i="6"/>
  <c r="BB559" i="6" s="1"/>
  <c r="AX559" i="6"/>
  <c r="BA559" i="6" s="1"/>
  <c r="AZ559" i="6"/>
  <c r="BC559" i="6" s="1"/>
  <c r="AZ513" i="6"/>
  <c r="BC513" i="6" s="1"/>
  <c r="AY513" i="6"/>
  <c r="BB513" i="6" s="1"/>
  <c r="AX513" i="6"/>
  <c r="BA513" i="6" s="1"/>
  <c r="AY130" i="6"/>
  <c r="BB130" i="6" s="1"/>
  <c r="AX130" i="6"/>
  <c r="BA130" i="6" s="1"/>
  <c r="AZ130" i="6"/>
  <c r="BC130" i="6" s="1"/>
  <c r="AZ353" i="6"/>
  <c r="BC353" i="6" s="1"/>
  <c r="AY353" i="6"/>
  <c r="BB353" i="6" s="1"/>
  <c r="AX353" i="6"/>
  <c r="BA353" i="6" s="1"/>
  <c r="BE353" i="6" s="1"/>
  <c r="BF353" i="6" s="1"/>
  <c r="AZ164" i="6"/>
  <c r="BC164" i="6" s="1"/>
  <c r="AX164" i="6"/>
  <c r="BA164" i="6" s="1"/>
  <c r="AY164" i="6"/>
  <c r="BB164" i="6" s="1"/>
  <c r="AZ99" i="6"/>
  <c r="BC99" i="6" s="1"/>
  <c r="AY99" i="6"/>
  <c r="BB99" i="6" s="1"/>
  <c r="AX99" i="6"/>
  <c r="BA99" i="6" s="1"/>
  <c r="AZ241" i="6"/>
  <c r="BC241" i="6" s="1"/>
  <c r="AY241" i="6"/>
  <c r="BB241" i="6" s="1"/>
  <c r="AX241" i="6"/>
  <c r="BA241" i="6" s="1"/>
  <c r="AZ331" i="6"/>
  <c r="BC331" i="6" s="1"/>
  <c r="AY331" i="6"/>
  <c r="BB331" i="6" s="1"/>
  <c r="AX331" i="6"/>
  <c r="BA331" i="6" s="1"/>
  <c r="AY310" i="6"/>
  <c r="BB310" i="6" s="1"/>
  <c r="AZ310" i="6"/>
  <c r="BC310" i="6" s="1"/>
  <c r="AX310" i="6"/>
  <c r="BA310" i="6" s="1"/>
  <c r="AZ263" i="6"/>
  <c r="BC263" i="6" s="1"/>
  <c r="AX263" i="6"/>
  <c r="BA263" i="6" s="1"/>
  <c r="AY263" i="6"/>
  <c r="BB263" i="6" s="1"/>
  <c r="AZ306" i="6"/>
  <c r="BC306" i="6" s="1"/>
  <c r="AY306" i="6"/>
  <c r="BB306" i="6" s="1"/>
  <c r="AX306" i="6"/>
  <c r="BA306" i="6" s="1"/>
  <c r="AZ339" i="6"/>
  <c r="BC339" i="6" s="1"/>
  <c r="AY339" i="6"/>
  <c r="BB339" i="6" s="1"/>
  <c r="AX339" i="6"/>
  <c r="BA339" i="6" s="1"/>
  <c r="AX49" i="6"/>
  <c r="BA49" i="6" s="1"/>
  <c r="AZ49" i="6"/>
  <c r="BC49" i="6" s="1"/>
  <c r="AY49" i="6"/>
  <c r="BB49" i="6" s="1"/>
  <c r="AZ423" i="6"/>
  <c r="BC423" i="6" s="1"/>
  <c r="AY423" i="6"/>
  <c r="BB423" i="6" s="1"/>
  <c r="AX423" i="6"/>
  <c r="BA423" i="6" s="1"/>
  <c r="AZ524" i="6"/>
  <c r="BC524" i="6" s="1"/>
  <c r="AY524" i="6"/>
  <c r="BB524" i="6" s="1"/>
  <c r="AX524" i="6"/>
  <c r="BA524" i="6" s="1"/>
  <c r="AZ314" i="6"/>
  <c r="BC314" i="6" s="1"/>
  <c r="AY314" i="6"/>
  <c r="BB314" i="6" s="1"/>
  <c r="AX314" i="6"/>
  <c r="BA314" i="6" s="1"/>
  <c r="AZ457" i="6"/>
  <c r="BC457" i="6" s="1"/>
  <c r="AX457" i="6"/>
  <c r="BA457" i="6" s="1"/>
  <c r="AY457" i="6"/>
  <c r="BB457" i="6" s="1"/>
  <c r="AZ435" i="6"/>
  <c r="BC435" i="6" s="1"/>
  <c r="AY435" i="6"/>
  <c r="BB435" i="6" s="1"/>
  <c r="AX435" i="6"/>
  <c r="BA435" i="6" s="1"/>
  <c r="AX222" i="6"/>
  <c r="BA222" i="6" s="1"/>
  <c r="AZ222" i="6"/>
  <c r="BC222" i="6" s="1"/>
  <c r="AY222" i="6"/>
  <c r="BB222" i="6" s="1"/>
  <c r="AZ341" i="6"/>
  <c r="BC341" i="6" s="1"/>
  <c r="AX341" i="6"/>
  <c r="BA341" i="6" s="1"/>
  <c r="AY341" i="6"/>
  <c r="BB341" i="6" s="1"/>
  <c r="AY452" i="6"/>
  <c r="BB452" i="6" s="1"/>
  <c r="AX452" i="6"/>
  <c r="BA452" i="6" s="1"/>
  <c r="AZ452" i="6"/>
  <c r="BC452" i="6" s="1"/>
  <c r="AY126" i="6"/>
  <c r="BB126" i="6" s="1"/>
  <c r="AX126" i="6"/>
  <c r="BA126" i="6" s="1"/>
  <c r="AZ126" i="6"/>
  <c r="BC126" i="6" s="1"/>
  <c r="AZ227" i="6"/>
  <c r="BC227" i="6" s="1"/>
  <c r="AY227" i="6"/>
  <c r="BB227" i="6" s="1"/>
  <c r="AX227" i="6"/>
  <c r="BA227" i="6" s="1"/>
  <c r="AZ132" i="6"/>
  <c r="BC132" i="6" s="1"/>
  <c r="AY132" i="6"/>
  <c r="BB132" i="6" s="1"/>
  <c r="AX132" i="6"/>
  <c r="BA132" i="6" s="1"/>
  <c r="AZ296" i="6"/>
  <c r="BC296" i="6" s="1"/>
  <c r="AY296" i="6"/>
  <c r="BB296" i="6" s="1"/>
  <c r="AX296" i="6"/>
  <c r="BA296" i="6" s="1"/>
  <c r="BT498" i="6"/>
  <c r="BU498" i="6" s="1"/>
  <c r="BX498" i="6"/>
  <c r="BX276" i="6"/>
  <c r="BT276" i="6"/>
  <c r="BU276" i="6" s="1"/>
  <c r="BJ144" i="6"/>
  <c r="BK144" i="6" s="1"/>
  <c r="BN144" i="6"/>
  <c r="BN276" i="6"/>
  <c r="BJ276" i="6"/>
  <c r="BK276" i="6" s="1"/>
  <c r="BJ232" i="6"/>
  <c r="BK232" i="6" s="1"/>
  <c r="BN232" i="6"/>
  <c r="BN511" i="6"/>
  <c r="BJ511" i="6"/>
  <c r="BK511" i="6" s="1"/>
  <c r="BX372" i="6"/>
  <c r="BT372" i="6"/>
  <c r="BU372" i="6" s="1"/>
  <c r="BX260" i="6"/>
  <c r="BT260" i="6"/>
  <c r="BU260" i="6" s="1"/>
  <c r="BN455" i="6"/>
  <c r="BO455" i="6" s="1"/>
  <c r="BP455" i="6" s="1"/>
  <c r="BJ455" i="6"/>
  <c r="BK455" i="6" s="1"/>
  <c r="BX429" i="6"/>
  <c r="BT429" i="6"/>
  <c r="BU429" i="6" s="1"/>
  <c r="BX164" i="6"/>
  <c r="BY164" i="6" s="1"/>
  <c r="BZ164" i="6" s="1"/>
  <c r="BT164" i="6"/>
  <c r="BU164" i="6" s="1"/>
  <c r="BT149" i="6"/>
  <c r="BU149" i="6" s="1"/>
  <c r="BX149" i="6"/>
  <c r="BY149" i="6" s="1"/>
  <c r="BZ149" i="6" s="1"/>
  <c r="BX253" i="6"/>
  <c r="BT253" i="6"/>
  <c r="BU253" i="6" s="1"/>
  <c r="BX297" i="6"/>
  <c r="BT297" i="6"/>
  <c r="BU297" i="6" s="1"/>
  <c r="BN224" i="6"/>
  <c r="BO224" i="6" s="1"/>
  <c r="BP224" i="6" s="1"/>
  <c r="BJ224" i="6"/>
  <c r="BK224" i="6" s="1"/>
  <c r="BX449" i="6"/>
  <c r="BY449" i="6" s="1"/>
  <c r="BZ449" i="6" s="1"/>
  <c r="BT449" i="6"/>
  <c r="BU449" i="6" s="1"/>
  <c r="BT250" i="6"/>
  <c r="BU250" i="6" s="1"/>
  <c r="BX250" i="6"/>
  <c r="BX489" i="6"/>
  <c r="BT489" i="6"/>
  <c r="BU489" i="6" s="1"/>
  <c r="BN439" i="6"/>
  <c r="BJ439" i="6"/>
  <c r="BK439" i="6" s="1"/>
  <c r="BN372" i="6"/>
  <c r="BJ372" i="6"/>
  <c r="BK372" i="6" s="1"/>
  <c r="BX24" i="6"/>
  <c r="BT24" i="6"/>
  <c r="BU24" i="6" s="1"/>
  <c r="BT258" i="6"/>
  <c r="BU258" i="6" s="1"/>
  <c r="BX258" i="6"/>
  <c r="BN155" i="6"/>
  <c r="BO155" i="6" s="1"/>
  <c r="BP155" i="6" s="1"/>
  <c r="BJ155" i="6"/>
  <c r="BK155" i="6" s="1"/>
  <c r="BJ462" i="6"/>
  <c r="BK462" i="6" s="1"/>
  <c r="BN462" i="6"/>
  <c r="BX405" i="6"/>
  <c r="BT405" i="6"/>
  <c r="BU405" i="6" s="1"/>
  <c r="BT46" i="6"/>
  <c r="BU46" i="6" s="1"/>
  <c r="BX46" i="6"/>
  <c r="BJ305" i="6"/>
  <c r="BK305" i="6" s="1"/>
  <c r="BN305" i="6"/>
  <c r="BO305" i="6" s="1"/>
  <c r="BP305" i="6" s="1"/>
  <c r="BT439" i="6"/>
  <c r="BU439" i="6" s="1"/>
  <c r="BX439" i="6"/>
  <c r="BN497" i="6"/>
  <c r="BO497" i="6" s="1"/>
  <c r="BP497" i="6" s="1"/>
  <c r="BJ497" i="6"/>
  <c r="BK497" i="6" s="1"/>
  <c r="BX123" i="6"/>
  <c r="BT123" i="6"/>
  <c r="BU123" i="6" s="1"/>
  <c r="BN54" i="6"/>
  <c r="BJ54" i="6"/>
  <c r="BK54" i="6" s="1"/>
  <c r="BX218" i="6"/>
  <c r="BY218" i="6" s="1"/>
  <c r="BZ218" i="6" s="1"/>
  <c r="BT218" i="6"/>
  <c r="BU218" i="6" s="1"/>
  <c r="BN419" i="6"/>
  <c r="BJ419" i="6"/>
  <c r="BK419" i="6" s="1"/>
  <c r="BN180" i="6"/>
  <c r="BJ180" i="6"/>
  <c r="BK180" i="6" s="1"/>
  <c r="BN501" i="6"/>
  <c r="BJ501" i="6"/>
  <c r="BK501" i="6" s="1"/>
  <c r="BN93" i="6"/>
  <c r="BJ93" i="6"/>
  <c r="BK93" i="6" s="1"/>
  <c r="BX52" i="6"/>
  <c r="BT52" i="6"/>
  <c r="BU52" i="6" s="1"/>
  <c r="BN69" i="6"/>
  <c r="BJ69" i="6"/>
  <c r="BK69" i="6" s="1"/>
  <c r="BX137" i="6"/>
  <c r="BY137" i="6" s="1"/>
  <c r="BZ137" i="6" s="1"/>
  <c r="BT137" i="6"/>
  <c r="BU137" i="6" s="1"/>
  <c r="AZ168" i="6"/>
  <c r="BC168" i="6" s="1"/>
  <c r="AY168" i="6"/>
  <c r="BB168" i="6" s="1"/>
  <c r="AX168" i="6"/>
  <c r="BA168" i="6" s="1"/>
  <c r="BE168" i="6" s="1"/>
  <c r="BF168" i="6" s="1"/>
  <c r="AZ419" i="6"/>
  <c r="BC419" i="6" s="1"/>
  <c r="AY419" i="6"/>
  <c r="BB419" i="6" s="1"/>
  <c r="AX419" i="6"/>
  <c r="BA419" i="6" s="1"/>
  <c r="AZ88" i="6"/>
  <c r="BC88" i="6" s="1"/>
  <c r="AY88" i="6"/>
  <c r="BB88" i="6" s="1"/>
  <c r="AX88" i="6"/>
  <c r="BA88" i="6" s="1"/>
  <c r="AZ432" i="6"/>
  <c r="BC432" i="6" s="1"/>
  <c r="AY432" i="6"/>
  <c r="BB432" i="6" s="1"/>
  <c r="AX432" i="6"/>
  <c r="BA432" i="6" s="1"/>
  <c r="AY272" i="6"/>
  <c r="BB272" i="6" s="1"/>
  <c r="AX272" i="6"/>
  <c r="BA272" i="6" s="1"/>
  <c r="AZ272" i="6"/>
  <c r="BC272" i="6" s="1"/>
  <c r="AZ291" i="6"/>
  <c r="BC291" i="6" s="1"/>
  <c r="AX291" i="6"/>
  <c r="BA291" i="6" s="1"/>
  <c r="AY291" i="6"/>
  <c r="BB291" i="6" s="1"/>
  <c r="AX494" i="6"/>
  <c r="BA494" i="6" s="1"/>
  <c r="AZ494" i="6"/>
  <c r="BC494" i="6" s="1"/>
  <c r="AY494" i="6"/>
  <c r="BB494" i="6" s="1"/>
  <c r="AY302" i="6"/>
  <c r="BB302" i="6" s="1"/>
  <c r="AZ302" i="6"/>
  <c r="BC302" i="6" s="1"/>
  <c r="AX302" i="6"/>
  <c r="BA302" i="6" s="1"/>
  <c r="AZ233" i="6"/>
  <c r="BC233" i="6" s="1"/>
  <c r="AY233" i="6"/>
  <c r="BB233" i="6" s="1"/>
  <c r="AX233" i="6"/>
  <c r="BA233" i="6" s="1"/>
  <c r="AZ312" i="6"/>
  <c r="BC312" i="6" s="1"/>
  <c r="AY312" i="6"/>
  <c r="BB312" i="6" s="1"/>
  <c r="AX312" i="6"/>
  <c r="BA312" i="6" s="1"/>
  <c r="AY178" i="6"/>
  <c r="BB178" i="6" s="1"/>
  <c r="AZ178" i="6"/>
  <c r="BC178" i="6" s="1"/>
  <c r="AX178" i="6"/>
  <c r="BA178" i="6" s="1"/>
  <c r="AZ138" i="6"/>
  <c r="BC138" i="6" s="1"/>
  <c r="AY138" i="6"/>
  <c r="BB138" i="6" s="1"/>
  <c r="AX138" i="6"/>
  <c r="BA138" i="6" s="1"/>
  <c r="AY87" i="6"/>
  <c r="BB87" i="6" s="1"/>
  <c r="AX87" i="6"/>
  <c r="BA87" i="6" s="1"/>
  <c r="AZ87" i="6"/>
  <c r="BC87" i="6" s="1"/>
  <c r="AZ195" i="6"/>
  <c r="BC195" i="6" s="1"/>
  <c r="AY195" i="6"/>
  <c r="BB195" i="6" s="1"/>
  <c r="AX195" i="6"/>
  <c r="BA195" i="6" s="1"/>
  <c r="AZ37" i="6"/>
  <c r="BC37" i="6" s="1"/>
  <c r="AY37" i="6"/>
  <c r="BB37" i="6" s="1"/>
  <c r="AX37" i="6"/>
  <c r="BA37" i="6" s="1"/>
  <c r="AX230" i="6"/>
  <c r="BA230" i="6" s="1"/>
  <c r="AZ230" i="6"/>
  <c r="BC230" i="6" s="1"/>
  <c r="AY230" i="6"/>
  <c r="BB230" i="6" s="1"/>
  <c r="AZ321" i="6"/>
  <c r="BC321" i="6" s="1"/>
  <c r="AY321" i="6"/>
  <c r="BB321" i="6" s="1"/>
  <c r="AX321" i="6"/>
  <c r="BA321" i="6" s="1"/>
  <c r="AZ567" i="6"/>
  <c r="BC567" i="6" s="1"/>
  <c r="AY567" i="6"/>
  <c r="BB567" i="6" s="1"/>
  <c r="AX567" i="6"/>
  <c r="BA567" i="6" s="1"/>
  <c r="AZ322" i="6"/>
  <c r="BC322" i="6" s="1"/>
  <c r="AY322" i="6"/>
  <c r="BB322" i="6" s="1"/>
  <c r="AX322" i="6"/>
  <c r="BA322" i="6" s="1"/>
  <c r="AY237" i="6"/>
  <c r="BB237" i="6" s="1"/>
  <c r="AX237" i="6"/>
  <c r="BA237" i="6" s="1"/>
  <c r="AZ237" i="6"/>
  <c r="BC237" i="6" s="1"/>
  <c r="AZ448" i="6"/>
  <c r="BC448" i="6" s="1"/>
  <c r="AY448" i="6"/>
  <c r="BB448" i="6" s="1"/>
  <c r="AX448" i="6"/>
  <c r="BA448" i="6" s="1"/>
  <c r="AZ269" i="6"/>
  <c r="BC269" i="6" s="1"/>
  <c r="AY269" i="6"/>
  <c r="BB269" i="6" s="1"/>
  <c r="AX269" i="6"/>
  <c r="BA269" i="6" s="1"/>
  <c r="AY460" i="6"/>
  <c r="BB460" i="6" s="1"/>
  <c r="AX460" i="6"/>
  <c r="BA460" i="6" s="1"/>
  <c r="AZ460" i="6"/>
  <c r="BC460" i="6" s="1"/>
  <c r="AY112" i="6"/>
  <c r="BB112" i="6" s="1"/>
  <c r="AZ112" i="6"/>
  <c r="BC112" i="6" s="1"/>
  <c r="AX112" i="6"/>
  <c r="BA112" i="6" s="1"/>
  <c r="AZ556" i="6"/>
  <c r="BC556" i="6" s="1"/>
  <c r="AY556" i="6"/>
  <c r="BB556" i="6" s="1"/>
  <c r="AX556" i="6"/>
  <c r="BA556" i="6" s="1"/>
  <c r="AZ542" i="6"/>
  <c r="BC542" i="6" s="1"/>
  <c r="AY542" i="6"/>
  <c r="BB542" i="6" s="1"/>
  <c r="AX542" i="6"/>
  <c r="BA542" i="6" s="1"/>
  <c r="AZ156" i="6"/>
  <c r="BC156" i="6" s="1"/>
  <c r="AY156" i="6"/>
  <c r="BB156" i="6" s="1"/>
  <c r="AX156" i="6"/>
  <c r="BA156" i="6" s="1"/>
  <c r="AZ415" i="6"/>
  <c r="BC415" i="6" s="1"/>
  <c r="AY415" i="6"/>
  <c r="BB415" i="6" s="1"/>
  <c r="AX415" i="6"/>
  <c r="BA415" i="6" s="1"/>
  <c r="AX505" i="6"/>
  <c r="BA505" i="6" s="1"/>
  <c r="AZ505" i="6"/>
  <c r="BC505" i="6" s="1"/>
  <c r="AY505" i="6"/>
  <c r="BB505" i="6" s="1"/>
  <c r="AZ565" i="6"/>
  <c r="BC565" i="6" s="1"/>
  <c r="AX565" i="6"/>
  <c r="BA565" i="6" s="1"/>
  <c r="AY565" i="6"/>
  <c r="BB565" i="6" s="1"/>
  <c r="AY287" i="6"/>
  <c r="BB287" i="6" s="1"/>
  <c r="AZ287" i="6"/>
  <c r="BC287" i="6" s="1"/>
  <c r="AX287" i="6"/>
  <c r="BA287" i="6" s="1"/>
  <c r="AY25" i="6"/>
  <c r="BB25" i="6" s="1"/>
  <c r="AX25" i="6"/>
  <c r="BA25" i="6" s="1"/>
  <c r="AZ25" i="6"/>
  <c r="BC25" i="6" s="1"/>
  <c r="BJ228" i="6"/>
  <c r="BK228" i="6" s="1"/>
  <c r="BN228" i="6"/>
  <c r="BX91" i="6"/>
  <c r="BT91" i="6"/>
  <c r="BU91" i="6" s="1"/>
  <c r="BX542" i="6"/>
  <c r="BY542" i="6" s="1"/>
  <c r="BZ542" i="6" s="1"/>
  <c r="BT542" i="6"/>
  <c r="BU542" i="6" s="1"/>
  <c r="BX162" i="6"/>
  <c r="BT162" i="6"/>
  <c r="BU162" i="6" s="1"/>
  <c r="BJ503" i="6"/>
  <c r="BK503" i="6" s="1"/>
  <c r="BN503" i="6"/>
  <c r="BO503" i="6" s="1"/>
  <c r="BP503" i="6" s="1"/>
  <c r="BN445" i="6"/>
  <c r="BJ445" i="6"/>
  <c r="BK445" i="6" s="1"/>
  <c r="BX124" i="6"/>
  <c r="BT124" i="6"/>
  <c r="BU124" i="6" s="1"/>
  <c r="BN390" i="6"/>
  <c r="BJ390" i="6"/>
  <c r="BK390" i="6" s="1"/>
  <c r="BT493" i="6"/>
  <c r="BU493" i="6" s="1"/>
  <c r="BX493" i="6"/>
  <c r="BJ538" i="6"/>
  <c r="BK538" i="6" s="1"/>
  <c r="BN538" i="6"/>
  <c r="BT84" i="6"/>
  <c r="BU84" i="6" s="1"/>
  <c r="BX84" i="6"/>
  <c r="BT501" i="6"/>
  <c r="BU501" i="6" s="1"/>
  <c r="BX501" i="6"/>
  <c r="BJ357" i="6"/>
  <c r="BK357" i="6" s="1"/>
  <c r="BN357" i="6"/>
  <c r="BN468" i="6"/>
  <c r="BJ468" i="6"/>
  <c r="BK468" i="6" s="1"/>
  <c r="BJ104" i="6"/>
  <c r="BK104" i="6" s="1"/>
  <c r="BN104" i="6"/>
  <c r="BO104" i="6" s="1"/>
  <c r="BP104" i="6" s="1"/>
  <c r="BJ275" i="6"/>
  <c r="BK275" i="6" s="1"/>
  <c r="BN275" i="6"/>
  <c r="BO275" i="6" s="1"/>
  <c r="BP275" i="6" s="1"/>
  <c r="BJ121" i="6"/>
  <c r="BK121" i="6" s="1"/>
  <c r="BN121" i="6"/>
  <c r="BN33" i="6"/>
  <c r="BJ33" i="6"/>
  <c r="BK33" i="6" s="1"/>
  <c r="BT163" i="6"/>
  <c r="BU163" i="6" s="1"/>
  <c r="BX163" i="6"/>
  <c r="BX545" i="6"/>
  <c r="BY545" i="6" s="1"/>
  <c r="BZ545" i="6" s="1"/>
  <c r="BT545" i="6"/>
  <c r="BU545" i="6" s="1"/>
  <c r="BN287" i="6"/>
  <c r="BO287" i="6" s="1"/>
  <c r="BP287" i="6" s="1"/>
  <c r="BJ287" i="6"/>
  <c r="BK287" i="6" s="1"/>
  <c r="BX453" i="6"/>
  <c r="BT453" i="6"/>
  <c r="BU453" i="6" s="1"/>
  <c r="BJ347" i="6"/>
  <c r="BK347" i="6" s="1"/>
  <c r="BN347" i="6"/>
  <c r="BO347" i="6" s="1"/>
  <c r="BP347" i="6" s="1"/>
  <c r="BJ532" i="6"/>
  <c r="BK532" i="6" s="1"/>
  <c r="BN532" i="6"/>
  <c r="BJ293" i="6"/>
  <c r="BK293" i="6" s="1"/>
  <c r="BN293" i="6"/>
  <c r="BO293" i="6" s="1"/>
  <c r="BP293" i="6" s="1"/>
  <c r="BN400" i="6"/>
  <c r="BJ400" i="6"/>
  <c r="BK400" i="6" s="1"/>
  <c r="BX29" i="6"/>
  <c r="BY29" i="6" s="1"/>
  <c r="BZ29" i="6" s="1"/>
  <c r="BT29" i="6"/>
  <c r="BU29" i="6" s="1"/>
  <c r="BX436" i="6"/>
  <c r="BT436" i="6"/>
  <c r="BU436" i="6" s="1"/>
  <c r="AZ101" i="6"/>
  <c r="BC101" i="6" s="1"/>
  <c r="AY101" i="6"/>
  <c r="BB101" i="6" s="1"/>
  <c r="AX101" i="6"/>
  <c r="BA101" i="6" s="1"/>
  <c r="AZ347" i="6"/>
  <c r="BC347" i="6" s="1"/>
  <c r="AY347" i="6"/>
  <c r="BB347" i="6" s="1"/>
  <c r="AX347" i="6"/>
  <c r="BA347" i="6" s="1"/>
  <c r="AZ501" i="6"/>
  <c r="BC501" i="6" s="1"/>
  <c r="AX501" i="6"/>
  <c r="BA501" i="6" s="1"/>
  <c r="AY501" i="6"/>
  <c r="BB501" i="6" s="1"/>
  <c r="AZ293" i="6"/>
  <c r="BC293" i="6" s="1"/>
  <c r="AY293" i="6"/>
  <c r="BB293" i="6" s="1"/>
  <c r="AX293" i="6"/>
  <c r="BA293" i="6" s="1"/>
  <c r="AZ181" i="6"/>
  <c r="BC181" i="6" s="1"/>
  <c r="AY181" i="6"/>
  <c r="BB181" i="6" s="1"/>
  <c r="AX181" i="6"/>
  <c r="BA181" i="6" s="1"/>
  <c r="AZ466" i="6"/>
  <c r="BC466" i="6" s="1"/>
  <c r="AX466" i="6"/>
  <c r="BA466" i="6" s="1"/>
  <c r="AY466" i="6"/>
  <c r="BB466" i="6" s="1"/>
  <c r="AZ92" i="6"/>
  <c r="BC92" i="6" s="1"/>
  <c r="AY92" i="6"/>
  <c r="BB92" i="6" s="1"/>
  <c r="AX92" i="6"/>
  <c r="BA92" i="6" s="1"/>
  <c r="AY145" i="6"/>
  <c r="BB145" i="6" s="1"/>
  <c r="AZ145" i="6"/>
  <c r="BC145" i="6" s="1"/>
  <c r="AX145" i="6"/>
  <c r="BA145" i="6" s="1"/>
  <c r="AY313" i="6"/>
  <c r="BB313" i="6" s="1"/>
  <c r="AX313" i="6"/>
  <c r="BA313" i="6" s="1"/>
  <c r="AZ313" i="6"/>
  <c r="BC313" i="6" s="1"/>
  <c r="AY487" i="6"/>
  <c r="BB487" i="6" s="1"/>
  <c r="AZ487" i="6"/>
  <c r="BC487" i="6" s="1"/>
  <c r="AX487" i="6"/>
  <c r="BA487" i="6" s="1"/>
  <c r="AY82" i="6"/>
  <c r="BB82" i="6" s="1"/>
  <c r="AZ82" i="6"/>
  <c r="BC82" i="6" s="1"/>
  <c r="AX82" i="6"/>
  <c r="BA82" i="6" s="1"/>
  <c r="AZ456" i="6"/>
  <c r="BC456" i="6" s="1"/>
  <c r="AX456" i="6"/>
  <c r="BA456" i="6" s="1"/>
  <c r="AY456" i="6"/>
  <c r="BB456" i="6" s="1"/>
  <c r="AZ555" i="6"/>
  <c r="BC555" i="6" s="1"/>
  <c r="AY555" i="6"/>
  <c r="BB555" i="6" s="1"/>
  <c r="AX555" i="6"/>
  <c r="BA555" i="6" s="1"/>
  <c r="AZ376" i="6"/>
  <c r="BC376" i="6" s="1"/>
  <c r="AY376" i="6"/>
  <c r="BB376" i="6" s="1"/>
  <c r="AX376" i="6"/>
  <c r="BA376" i="6" s="1"/>
  <c r="AZ295" i="6"/>
  <c r="BC295" i="6" s="1"/>
  <c r="AY295" i="6"/>
  <c r="BB295" i="6" s="1"/>
  <c r="AX295" i="6"/>
  <c r="BA295" i="6" s="1"/>
  <c r="AZ111" i="6"/>
  <c r="BC111" i="6" s="1"/>
  <c r="AY111" i="6"/>
  <c r="BB111" i="6" s="1"/>
  <c r="AX111" i="6"/>
  <c r="BA111" i="6" s="1"/>
  <c r="AZ530" i="6"/>
  <c r="BC530" i="6" s="1"/>
  <c r="AX530" i="6"/>
  <c r="BA530" i="6" s="1"/>
  <c r="AY530" i="6"/>
  <c r="BB530" i="6" s="1"/>
  <c r="AZ472" i="6"/>
  <c r="BC472" i="6" s="1"/>
  <c r="AX472" i="6"/>
  <c r="BA472" i="6" s="1"/>
  <c r="AY472" i="6"/>
  <c r="BB472" i="6" s="1"/>
  <c r="AZ96" i="6"/>
  <c r="BC96" i="6" s="1"/>
  <c r="AY96" i="6"/>
  <c r="BB96" i="6" s="1"/>
  <c r="AX96" i="6"/>
  <c r="BA96" i="6" s="1"/>
  <c r="AZ43" i="6"/>
  <c r="BC43" i="6" s="1"/>
  <c r="AX43" i="6"/>
  <c r="BA43" i="6" s="1"/>
  <c r="AY43" i="6"/>
  <c r="BB43" i="6" s="1"/>
  <c r="AZ297" i="6"/>
  <c r="BC297" i="6" s="1"/>
  <c r="AY297" i="6"/>
  <c r="BB297" i="6" s="1"/>
  <c r="AX297" i="6"/>
  <c r="BA297" i="6" s="1"/>
  <c r="AZ546" i="6"/>
  <c r="BC546" i="6" s="1"/>
  <c r="AY546" i="6"/>
  <c r="BB546" i="6" s="1"/>
  <c r="AX546" i="6"/>
  <c r="BA546" i="6" s="1"/>
  <c r="AY210" i="6"/>
  <c r="BB210" i="6" s="1"/>
  <c r="AZ210" i="6"/>
  <c r="BC210" i="6" s="1"/>
  <c r="AX210" i="6"/>
  <c r="BA210" i="6" s="1"/>
  <c r="AX235" i="6"/>
  <c r="BA235" i="6" s="1"/>
  <c r="AZ235" i="6"/>
  <c r="BC235" i="6" s="1"/>
  <c r="AY235" i="6"/>
  <c r="BB235" i="6" s="1"/>
  <c r="AZ541" i="6"/>
  <c r="BC541" i="6" s="1"/>
  <c r="AX541" i="6"/>
  <c r="BA541" i="6" s="1"/>
  <c r="AY541" i="6"/>
  <c r="BB541" i="6" s="1"/>
  <c r="AZ504" i="6"/>
  <c r="BC504" i="6" s="1"/>
  <c r="AY504" i="6"/>
  <c r="BB504" i="6" s="1"/>
  <c r="AX504" i="6"/>
  <c r="BA504" i="6" s="1"/>
  <c r="AZ200" i="6"/>
  <c r="BC200" i="6" s="1"/>
  <c r="AY200" i="6"/>
  <c r="BB200" i="6" s="1"/>
  <c r="AX200" i="6"/>
  <c r="BA200" i="6" s="1"/>
  <c r="AZ180" i="6"/>
  <c r="BC180" i="6" s="1"/>
  <c r="AY180" i="6"/>
  <c r="BB180" i="6" s="1"/>
  <c r="AX180" i="6"/>
  <c r="BA180" i="6" s="1"/>
  <c r="AY294" i="6"/>
  <c r="BB294" i="6" s="1"/>
  <c r="AZ294" i="6"/>
  <c r="BC294" i="6" s="1"/>
  <c r="AX294" i="6"/>
  <c r="BA294" i="6" s="1"/>
  <c r="AY260" i="6"/>
  <c r="BB260" i="6" s="1"/>
  <c r="AX260" i="6"/>
  <c r="BA260" i="6" s="1"/>
  <c r="AZ260" i="6"/>
  <c r="BC260" i="6" s="1"/>
  <c r="AZ424" i="6"/>
  <c r="BC424" i="6" s="1"/>
  <c r="AY424" i="6"/>
  <c r="BB424" i="6" s="1"/>
  <c r="AX424" i="6"/>
  <c r="BA424" i="6" s="1"/>
  <c r="AZ261" i="6"/>
  <c r="BC261" i="6" s="1"/>
  <c r="AY261" i="6"/>
  <c r="BB261" i="6" s="1"/>
  <c r="AX261" i="6"/>
  <c r="BA261" i="6" s="1"/>
  <c r="AX519" i="6"/>
  <c r="BA519" i="6" s="1"/>
  <c r="AY519" i="6"/>
  <c r="BB519" i="6" s="1"/>
  <c r="AZ519" i="6"/>
  <c r="BC519" i="6" s="1"/>
  <c r="AX211" i="6"/>
  <c r="BA211" i="6" s="1"/>
  <c r="AZ211" i="6"/>
  <c r="BC211" i="6" s="1"/>
  <c r="AY211" i="6"/>
  <c r="BB211" i="6" s="1"/>
  <c r="AZ142" i="6"/>
  <c r="BC142" i="6" s="1"/>
  <c r="AX142" i="6"/>
  <c r="BA142" i="6" s="1"/>
  <c r="AY142" i="6"/>
  <c r="BB142" i="6" s="1"/>
  <c r="BN27" i="6"/>
  <c r="BJ27" i="6"/>
  <c r="BK27" i="6" s="1"/>
  <c r="BX219" i="6"/>
  <c r="BT219" i="6"/>
  <c r="BU219" i="6" s="1"/>
  <c r="BX492" i="6"/>
  <c r="BT492" i="6"/>
  <c r="BU492" i="6" s="1"/>
  <c r="BJ482" i="6"/>
  <c r="BK482" i="6" s="1"/>
  <c r="BN482" i="6"/>
  <c r="BO482" i="6" s="1"/>
  <c r="BP482" i="6" s="1"/>
  <c r="BN315" i="6"/>
  <c r="BJ315" i="6"/>
  <c r="BK315" i="6" s="1"/>
  <c r="BN34" i="6"/>
  <c r="BJ34" i="6"/>
  <c r="BK34" i="6" s="1"/>
  <c r="BT112" i="6"/>
  <c r="BU112" i="6" s="1"/>
  <c r="BX112" i="6"/>
  <c r="BX101" i="6"/>
  <c r="BT101" i="6"/>
  <c r="BU101" i="6" s="1"/>
  <c r="BJ211" i="6"/>
  <c r="BK211" i="6" s="1"/>
  <c r="BN211" i="6"/>
  <c r="BN56" i="6"/>
  <c r="BO56" i="6" s="1"/>
  <c r="BP56" i="6" s="1"/>
  <c r="BJ56" i="6"/>
  <c r="BK56" i="6" s="1"/>
  <c r="BT300" i="6"/>
  <c r="BU300" i="6" s="1"/>
  <c r="BX300" i="6"/>
  <c r="BT207" i="6"/>
  <c r="BU207" i="6" s="1"/>
  <c r="BX207" i="6"/>
  <c r="BX179" i="6"/>
  <c r="BY179" i="6" s="1"/>
  <c r="BZ179" i="6" s="1"/>
  <c r="BT179" i="6"/>
  <c r="BU179" i="6" s="1"/>
  <c r="BJ156" i="6"/>
  <c r="BK156" i="6" s="1"/>
  <c r="BN156" i="6"/>
  <c r="BN513" i="6"/>
  <c r="BJ513" i="6"/>
  <c r="BK513" i="6" s="1"/>
  <c r="BT455" i="6"/>
  <c r="BU455" i="6" s="1"/>
  <c r="BX455" i="6"/>
  <c r="BX298" i="6"/>
  <c r="BT298" i="6"/>
  <c r="BU298" i="6" s="1"/>
  <c r="BT330" i="6"/>
  <c r="BU330" i="6" s="1"/>
  <c r="BX330" i="6"/>
  <c r="BX32" i="6"/>
  <c r="BY32" i="6" s="1"/>
  <c r="BZ32" i="6" s="1"/>
  <c r="BT32" i="6"/>
  <c r="BU32" i="6" s="1"/>
  <c r="BN298" i="6"/>
  <c r="BJ298" i="6"/>
  <c r="BK298" i="6" s="1"/>
  <c r="BX289" i="6"/>
  <c r="BT289" i="6"/>
  <c r="BU289" i="6" s="1"/>
  <c r="BT346" i="6"/>
  <c r="BU346" i="6" s="1"/>
  <c r="BX346" i="6"/>
  <c r="BT292" i="6"/>
  <c r="BU292" i="6" s="1"/>
  <c r="BX292" i="6"/>
  <c r="BN473" i="6"/>
  <c r="BO473" i="6" s="1"/>
  <c r="BP473" i="6" s="1"/>
  <c r="BJ473" i="6"/>
  <c r="BK473" i="6" s="1"/>
  <c r="BJ114" i="6"/>
  <c r="BK114" i="6" s="1"/>
  <c r="BN114" i="6"/>
  <c r="BN484" i="6"/>
  <c r="BJ484" i="6"/>
  <c r="BK484" i="6" s="1"/>
  <c r="BX28" i="6"/>
  <c r="BT28" i="6"/>
  <c r="BU28" i="6" s="1"/>
  <c r="BN46" i="6"/>
  <c r="BJ46" i="6"/>
  <c r="BK46" i="6" s="1"/>
  <c r="BJ292" i="6"/>
  <c r="BK292" i="6" s="1"/>
  <c r="BN292" i="6"/>
  <c r="BT33" i="6"/>
  <c r="BU33" i="6" s="1"/>
  <c r="BX33" i="6"/>
  <c r="BX468" i="6"/>
  <c r="BT468" i="6"/>
  <c r="BU468" i="6" s="1"/>
  <c r="BJ552" i="6"/>
  <c r="BK552" i="6" s="1"/>
  <c r="BN552" i="6"/>
  <c r="BN91" i="6"/>
  <c r="BJ91" i="6"/>
  <c r="BK91" i="6" s="1"/>
  <c r="BX243" i="6"/>
  <c r="BT243" i="6"/>
  <c r="BU243" i="6" s="1"/>
  <c r="BT266" i="6"/>
  <c r="BU266" i="6" s="1"/>
  <c r="BX266" i="6"/>
  <c r="BY266" i="6" s="1"/>
  <c r="BZ266" i="6" s="1"/>
  <c r="BX343" i="6"/>
  <c r="BT343" i="6"/>
  <c r="BU343" i="6" s="1"/>
  <c r="BX42" i="6"/>
  <c r="BT42" i="6"/>
  <c r="BU42" i="6" s="1"/>
  <c r="BX535" i="6"/>
  <c r="BT535" i="6"/>
  <c r="BU535" i="6" s="1"/>
  <c r="AZ362" i="6"/>
  <c r="BC362" i="6" s="1"/>
  <c r="AY362" i="6"/>
  <c r="BB362" i="6" s="1"/>
  <c r="AX362" i="6"/>
  <c r="BA362" i="6" s="1"/>
  <c r="AZ537" i="6"/>
  <c r="BC537" i="6" s="1"/>
  <c r="AX537" i="6"/>
  <c r="BA537" i="6" s="1"/>
  <c r="AY537" i="6"/>
  <c r="BB537" i="6" s="1"/>
  <c r="AZ247" i="6"/>
  <c r="BC247" i="6" s="1"/>
  <c r="AY247" i="6"/>
  <c r="BB247" i="6" s="1"/>
  <c r="AX247" i="6"/>
  <c r="BA247" i="6" s="1"/>
  <c r="AZ191" i="6"/>
  <c r="BC191" i="6" s="1"/>
  <c r="AY191" i="6"/>
  <c r="BB191" i="6" s="1"/>
  <c r="AX191" i="6"/>
  <c r="BA191" i="6" s="1"/>
  <c r="AZ343" i="6"/>
  <c r="BC343" i="6" s="1"/>
  <c r="AY343" i="6"/>
  <c r="BB343" i="6" s="1"/>
  <c r="AX343" i="6"/>
  <c r="BA343" i="6" s="1"/>
  <c r="AZ119" i="6"/>
  <c r="BC119" i="6" s="1"/>
  <c r="AY119" i="6"/>
  <c r="BB119" i="6" s="1"/>
  <c r="AX119" i="6"/>
  <c r="BA119" i="6" s="1"/>
  <c r="AZ379" i="6"/>
  <c r="BC379" i="6" s="1"/>
  <c r="AY379" i="6"/>
  <c r="BB379" i="6" s="1"/>
  <c r="AX379" i="6"/>
  <c r="BA379" i="6" s="1"/>
  <c r="AZ190" i="6"/>
  <c r="BC190" i="6" s="1"/>
  <c r="AY190" i="6"/>
  <c r="BB190" i="6" s="1"/>
  <c r="AX190" i="6"/>
  <c r="BA190" i="6" s="1"/>
  <c r="AY219" i="6"/>
  <c r="BB219" i="6" s="1"/>
  <c r="AZ219" i="6"/>
  <c r="BC219" i="6" s="1"/>
  <c r="AX219" i="6"/>
  <c r="BA219" i="6" s="1"/>
  <c r="AZ259" i="6"/>
  <c r="BC259" i="6" s="1"/>
  <c r="AY259" i="6"/>
  <c r="BB259" i="6" s="1"/>
  <c r="AX259" i="6"/>
  <c r="BA259" i="6" s="1"/>
  <c r="AZ380" i="6"/>
  <c r="BC380" i="6" s="1"/>
  <c r="AX380" i="6"/>
  <c r="BA380" i="6" s="1"/>
  <c r="AY380" i="6"/>
  <c r="BB380" i="6" s="1"/>
  <c r="AZ146" i="6"/>
  <c r="BC146" i="6" s="1"/>
  <c r="AY146" i="6"/>
  <c r="BB146" i="6" s="1"/>
  <c r="AX146" i="6"/>
  <c r="BA146" i="6" s="1"/>
  <c r="AX186" i="6"/>
  <c r="BA186" i="6" s="1"/>
  <c r="AZ186" i="6"/>
  <c r="BC186" i="6" s="1"/>
  <c r="AY186" i="6"/>
  <c r="BB186" i="6" s="1"/>
  <c r="AX76" i="6"/>
  <c r="BA76" i="6" s="1"/>
  <c r="AZ76" i="6"/>
  <c r="BC76" i="6" s="1"/>
  <c r="AY76" i="6"/>
  <c r="BB76" i="6" s="1"/>
  <c r="AZ335" i="6"/>
  <c r="BC335" i="6" s="1"/>
  <c r="AY335" i="6"/>
  <c r="BB335" i="6" s="1"/>
  <c r="AX335" i="6"/>
  <c r="BA335" i="6" s="1"/>
  <c r="AZ534" i="6"/>
  <c r="BC534" i="6" s="1"/>
  <c r="AY534" i="6"/>
  <c r="BB534" i="6" s="1"/>
  <c r="AX534" i="6"/>
  <c r="BA534" i="6" s="1"/>
  <c r="AZ490" i="6"/>
  <c r="BC490" i="6" s="1"/>
  <c r="AX490" i="6"/>
  <c r="BA490" i="6" s="1"/>
  <c r="AY490" i="6"/>
  <c r="BB490" i="6" s="1"/>
  <c r="AZ478" i="6"/>
  <c r="BC478" i="6" s="1"/>
  <c r="AX478" i="6"/>
  <c r="BA478" i="6" s="1"/>
  <c r="AY478" i="6"/>
  <c r="BB478" i="6" s="1"/>
  <c r="AZ183" i="6"/>
  <c r="BC183" i="6" s="1"/>
  <c r="AY183" i="6"/>
  <c r="BB183" i="6" s="1"/>
  <c r="AX183" i="6"/>
  <c r="BA183" i="6" s="1"/>
  <c r="AZ257" i="6"/>
  <c r="BC257" i="6" s="1"/>
  <c r="AX257" i="6"/>
  <c r="BA257" i="6" s="1"/>
  <c r="AY257" i="6"/>
  <c r="BB257" i="6" s="1"/>
  <c r="AZ499" i="6"/>
  <c r="BC499" i="6" s="1"/>
  <c r="AX499" i="6"/>
  <c r="BA499" i="6" s="1"/>
  <c r="AY499" i="6"/>
  <c r="BB499" i="6" s="1"/>
  <c r="AZ434" i="6"/>
  <c r="BC434" i="6" s="1"/>
  <c r="AY434" i="6"/>
  <c r="BB434" i="6" s="1"/>
  <c r="AX434" i="6"/>
  <c r="BA434" i="6" s="1"/>
  <c r="AX38" i="6"/>
  <c r="BA38" i="6" s="1"/>
  <c r="AY38" i="6"/>
  <c r="BB38" i="6" s="1"/>
  <c r="AZ38" i="6"/>
  <c r="BC38" i="6" s="1"/>
  <c r="AZ58" i="6"/>
  <c r="BC58" i="6" s="1"/>
  <c r="AY58" i="6"/>
  <c r="BB58" i="6" s="1"/>
  <c r="AX58" i="6"/>
  <c r="BA58" i="6" s="1"/>
  <c r="AZ157" i="6"/>
  <c r="BC157" i="6" s="1"/>
  <c r="AY157" i="6"/>
  <c r="BB157" i="6" s="1"/>
  <c r="AX157" i="6"/>
  <c r="BA157" i="6" s="1"/>
  <c r="AZ207" i="6"/>
  <c r="BC207" i="6" s="1"/>
  <c r="AY207" i="6"/>
  <c r="BB207" i="6" s="1"/>
  <c r="AX207" i="6"/>
  <c r="BA207" i="6" s="1"/>
  <c r="AY50" i="6"/>
  <c r="BB50" i="6" s="1"/>
  <c r="AX50" i="6"/>
  <c r="BA50" i="6" s="1"/>
  <c r="AZ50" i="6"/>
  <c r="BC50" i="6" s="1"/>
  <c r="AX57" i="6"/>
  <c r="BA57" i="6" s="1"/>
  <c r="AY57" i="6"/>
  <c r="BB57" i="6" s="1"/>
  <c r="BE57" i="6" s="1"/>
  <c r="BF57" i="6" s="1"/>
  <c r="AZ57" i="6"/>
  <c r="BC57" i="6" s="1"/>
  <c r="AX364" i="6"/>
  <c r="BA364" i="6" s="1"/>
  <c r="AZ364" i="6"/>
  <c r="BC364" i="6" s="1"/>
  <c r="AY364" i="6"/>
  <c r="BB364" i="6" s="1"/>
  <c r="AX77" i="6"/>
  <c r="BA77" i="6" s="1"/>
  <c r="AY77" i="6"/>
  <c r="BB77" i="6" s="1"/>
  <c r="AZ77" i="6"/>
  <c r="BC77" i="6" s="1"/>
  <c r="AZ436" i="6"/>
  <c r="BC436" i="6" s="1"/>
  <c r="AY436" i="6"/>
  <c r="BB436" i="6" s="1"/>
  <c r="AX436" i="6"/>
  <c r="BA436" i="6" s="1"/>
  <c r="AZ288" i="6"/>
  <c r="BC288" i="6" s="1"/>
  <c r="AY288" i="6"/>
  <c r="BB288" i="6" s="1"/>
  <c r="AX288" i="6"/>
  <c r="BA288" i="6" s="1"/>
  <c r="AZ47" i="6"/>
  <c r="BC47" i="6" s="1"/>
  <c r="AY47" i="6"/>
  <c r="BB47" i="6" s="1"/>
  <c r="AX47" i="6"/>
  <c r="BA47" i="6" s="1"/>
  <c r="AY161" i="6"/>
  <c r="BB161" i="6" s="1"/>
  <c r="AX161" i="6"/>
  <c r="BA161" i="6" s="1"/>
  <c r="AZ161" i="6"/>
  <c r="BC161" i="6" s="1"/>
  <c r="BX228" i="6"/>
  <c r="BT228" i="6"/>
  <c r="BU228" i="6" s="1"/>
  <c r="BJ454" i="6"/>
  <c r="BK454" i="6" s="1"/>
  <c r="BN454" i="6"/>
  <c r="BX261" i="6"/>
  <c r="BT261" i="6"/>
  <c r="BU261" i="6" s="1"/>
  <c r="BT56" i="6"/>
  <c r="BU56" i="6" s="1"/>
  <c r="BX56" i="6"/>
  <c r="BY56" i="6" s="1"/>
  <c r="BZ56" i="6" s="1"/>
  <c r="BX499" i="6"/>
  <c r="BT499" i="6"/>
  <c r="BU499" i="6" s="1"/>
  <c r="BT547" i="6"/>
  <c r="BU547" i="6" s="1"/>
  <c r="BX547" i="6"/>
  <c r="BN257" i="6"/>
  <c r="BJ257" i="6"/>
  <c r="BK257" i="6" s="1"/>
  <c r="BX511" i="6"/>
  <c r="BT511" i="6"/>
  <c r="BU511" i="6" s="1"/>
  <c r="BN338" i="6"/>
  <c r="BJ338" i="6"/>
  <c r="BK338" i="6" s="1"/>
  <c r="BJ111" i="6"/>
  <c r="BK111" i="6" s="1"/>
  <c r="BN111" i="6"/>
  <c r="BJ297" i="6"/>
  <c r="BK297" i="6" s="1"/>
  <c r="BN297" i="6"/>
  <c r="BX548" i="6"/>
  <c r="BY548" i="6" s="1"/>
  <c r="BZ548" i="6" s="1"/>
  <c r="BT548" i="6"/>
  <c r="BU548" i="6" s="1"/>
  <c r="BJ186" i="6"/>
  <c r="BK186" i="6" s="1"/>
  <c r="BN186" i="6"/>
  <c r="BT361" i="6"/>
  <c r="BU361" i="6" s="1"/>
  <c r="BX361" i="6"/>
  <c r="BX427" i="6"/>
  <c r="BT427" i="6"/>
  <c r="BU427" i="6" s="1"/>
  <c r="BX147" i="6"/>
  <c r="BT147" i="6"/>
  <c r="BU147" i="6" s="1"/>
  <c r="BT141" i="6"/>
  <c r="BU141" i="6" s="1"/>
  <c r="BX141" i="6"/>
  <c r="BN128" i="6"/>
  <c r="BO128" i="6" s="1"/>
  <c r="BP128" i="6" s="1"/>
  <c r="BJ128" i="6"/>
  <c r="BK128" i="6" s="1"/>
  <c r="BT316" i="6"/>
  <c r="BU316" i="6" s="1"/>
  <c r="BX316" i="6"/>
  <c r="BX241" i="6"/>
  <c r="BT241" i="6"/>
  <c r="BU241" i="6" s="1"/>
  <c r="BX321" i="6"/>
  <c r="BT321" i="6"/>
  <c r="BU321" i="6" s="1"/>
  <c r="BX302" i="6"/>
  <c r="BY302" i="6" s="1"/>
  <c r="BZ302" i="6" s="1"/>
  <c r="BT302" i="6"/>
  <c r="BU302" i="6" s="1"/>
  <c r="BN115" i="6"/>
  <c r="BJ115" i="6"/>
  <c r="BK115" i="6" s="1"/>
  <c r="BJ373" i="6"/>
  <c r="BK373" i="6" s="1"/>
  <c r="BN373" i="6"/>
  <c r="BT473" i="6"/>
  <c r="BU473" i="6" s="1"/>
  <c r="BX473" i="6"/>
  <c r="BT287" i="6"/>
  <c r="BU287" i="6" s="1"/>
  <c r="BX287" i="6"/>
  <c r="BY287" i="6" s="1"/>
  <c r="BZ287" i="6" s="1"/>
  <c r="BX269" i="6"/>
  <c r="BY269" i="6" s="1"/>
  <c r="BZ269" i="6" s="1"/>
  <c r="BT269" i="6"/>
  <c r="BU269" i="6" s="1"/>
  <c r="BX467" i="6"/>
  <c r="BY467" i="6" s="1"/>
  <c r="BZ467" i="6" s="1"/>
  <c r="BT467" i="6"/>
  <c r="BU467" i="6" s="1"/>
  <c r="BN202" i="6"/>
  <c r="BJ202" i="6"/>
  <c r="BK202" i="6" s="1"/>
  <c r="BX513" i="6"/>
  <c r="BT513" i="6"/>
  <c r="BU513" i="6" s="1"/>
  <c r="BN258" i="6"/>
  <c r="BJ258" i="6"/>
  <c r="BK258" i="6" s="1"/>
  <c r="AZ282" i="6"/>
  <c r="BC282" i="6" s="1"/>
  <c r="AY282" i="6"/>
  <c r="BB282" i="6" s="1"/>
  <c r="AX282" i="6"/>
  <c r="BA282" i="6" s="1"/>
  <c r="AX163" i="6"/>
  <c r="BA163" i="6" s="1"/>
  <c r="AZ163" i="6"/>
  <c r="BC163" i="6" s="1"/>
  <c r="AY163" i="6"/>
  <c r="BB163" i="6" s="1"/>
  <c r="AZ162" i="6"/>
  <c r="BC162" i="6" s="1"/>
  <c r="AY162" i="6"/>
  <c r="BB162" i="6" s="1"/>
  <c r="AX162" i="6"/>
  <c r="BA162" i="6" s="1"/>
  <c r="AX147" i="6"/>
  <c r="BA147" i="6" s="1"/>
  <c r="AZ147" i="6"/>
  <c r="BC147" i="6" s="1"/>
  <c r="AY147" i="6"/>
  <c r="BB147" i="6" s="1"/>
  <c r="AZ543" i="6"/>
  <c r="BC543" i="6" s="1"/>
  <c r="AY543" i="6"/>
  <c r="BB543" i="6" s="1"/>
  <c r="AX543" i="6"/>
  <c r="BA543" i="6" s="1"/>
  <c r="BE543" i="6" s="1"/>
  <c r="BF543" i="6" s="1"/>
  <c r="AZ361" i="6"/>
  <c r="BC361" i="6" s="1"/>
  <c r="AY361" i="6"/>
  <c r="BB361" i="6" s="1"/>
  <c r="AX361" i="6"/>
  <c r="BA361" i="6" s="1"/>
  <c r="BE361" i="6" s="1"/>
  <c r="BF361" i="6" s="1"/>
  <c r="AX185" i="6"/>
  <c r="BA185" i="6" s="1"/>
  <c r="AZ185" i="6"/>
  <c r="BC185" i="6" s="1"/>
  <c r="AY185" i="6"/>
  <c r="BB185" i="6" s="1"/>
  <c r="AY46" i="6"/>
  <c r="BB46" i="6" s="1"/>
  <c r="AZ46" i="6"/>
  <c r="BC46" i="6" s="1"/>
  <c r="AX46" i="6"/>
  <c r="BA46" i="6" s="1"/>
  <c r="AZ401" i="6"/>
  <c r="BC401" i="6" s="1"/>
  <c r="AY401" i="6"/>
  <c r="BB401" i="6" s="1"/>
  <c r="AX401" i="6"/>
  <c r="BA401" i="6" s="1"/>
  <c r="AZ224" i="6"/>
  <c r="BC224" i="6" s="1"/>
  <c r="AY224" i="6"/>
  <c r="BB224" i="6" s="1"/>
  <c r="AX224" i="6"/>
  <c r="BA224" i="6" s="1"/>
  <c r="AX131" i="6"/>
  <c r="BA131" i="6" s="1"/>
  <c r="AZ131" i="6"/>
  <c r="BC131" i="6" s="1"/>
  <c r="AY131" i="6"/>
  <c r="BB131" i="6" s="1"/>
  <c r="AY44" i="6"/>
  <c r="BB44" i="6" s="1"/>
  <c r="AZ44" i="6"/>
  <c r="BC44" i="6" s="1"/>
  <c r="AX44" i="6"/>
  <c r="BA44" i="6" s="1"/>
  <c r="AZ69" i="6"/>
  <c r="BC69" i="6" s="1"/>
  <c r="AY69" i="6"/>
  <c r="BB69" i="6" s="1"/>
  <c r="AX69" i="6"/>
  <c r="BA69" i="6" s="1"/>
  <c r="AZ301" i="6"/>
  <c r="BC301" i="6" s="1"/>
  <c r="AY301" i="6"/>
  <c r="BB301" i="6" s="1"/>
  <c r="AX301" i="6"/>
  <c r="BA301" i="6" s="1"/>
  <c r="AY28" i="6"/>
  <c r="BB28" i="6" s="1"/>
  <c r="AZ28" i="6"/>
  <c r="BC28" i="6" s="1"/>
  <c r="AX28" i="6"/>
  <c r="BA28" i="6" s="1"/>
  <c r="AZ274" i="6"/>
  <c r="BC274" i="6" s="1"/>
  <c r="AX274" i="6"/>
  <c r="BA274" i="6" s="1"/>
  <c r="BE274" i="6" s="1"/>
  <c r="BF274" i="6" s="1"/>
  <c r="AY274" i="6"/>
  <c r="BB274" i="6" s="1"/>
  <c r="AY205" i="6"/>
  <c r="BB205" i="6" s="1"/>
  <c r="AX205" i="6"/>
  <c r="BA205" i="6" s="1"/>
  <c r="AZ205" i="6"/>
  <c r="BC205" i="6" s="1"/>
  <c r="AZ80" i="6"/>
  <c r="BC80" i="6" s="1"/>
  <c r="AY80" i="6"/>
  <c r="BB80" i="6" s="1"/>
  <c r="AX80" i="6"/>
  <c r="BA80" i="6" s="1"/>
  <c r="AZ526" i="6"/>
  <c r="BC526" i="6" s="1"/>
  <c r="AX526" i="6"/>
  <c r="BA526" i="6" s="1"/>
  <c r="AY526" i="6"/>
  <c r="BB526" i="6" s="1"/>
  <c r="AX408" i="6"/>
  <c r="BA408" i="6" s="1"/>
  <c r="AZ408" i="6"/>
  <c r="BC408" i="6" s="1"/>
  <c r="AY408" i="6"/>
  <c r="BB408" i="6" s="1"/>
  <c r="AX31" i="6"/>
  <c r="BA31" i="6" s="1"/>
  <c r="AZ31" i="6"/>
  <c r="BC31" i="6" s="1"/>
  <c r="AY31" i="6"/>
  <c r="BB31" i="6" s="1"/>
  <c r="AZ105" i="6"/>
  <c r="BC105" i="6" s="1"/>
  <c r="AY105" i="6"/>
  <c r="BB105" i="6" s="1"/>
  <c r="AX105" i="6"/>
  <c r="BA105" i="6" s="1"/>
  <c r="BE105" i="6" s="1"/>
  <c r="BF105" i="6" s="1"/>
  <c r="AY421" i="6"/>
  <c r="BB421" i="6" s="1"/>
  <c r="AZ421" i="6"/>
  <c r="BC421" i="6" s="1"/>
  <c r="AX421" i="6"/>
  <c r="BA421" i="6" s="1"/>
  <c r="AZ445" i="6"/>
  <c r="BC445" i="6" s="1"/>
  <c r="AY445" i="6"/>
  <c r="BB445" i="6" s="1"/>
  <c r="AX445" i="6"/>
  <c r="BA445" i="6" s="1"/>
  <c r="AZ369" i="6"/>
  <c r="BC369" i="6" s="1"/>
  <c r="AY369" i="6"/>
  <c r="BB369" i="6" s="1"/>
  <c r="AX369" i="6"/>
  <c r="BA369" i="6" s="1"/>
  <c r="AZ375" i="6"/>
  <c r="BC375" i="6" s="1"/>
  <c r="AY375" i="6"/>
  <c r="BB375" i="6" s="1"/>
  <c r="AX375" i="6"/>
  <c r="BA375" i="6" s="1"/>
  <c r="AZ465" i="6"/>
  <c r="BC465" i="6" s="1"/>
  <c r="AY465" i="6"/>
  <c r="BB465" i="6" s="1"/>
  <c r="AX465" i="6"/>
  <c r="BA465" i="6" s="1"/>
  <c r="AZ27" i="6"/>
  <c r="BC27" i="6" s="1"/>
  <c r="AY27" i="6"/>
  <c r="BB27" i="6" s="1"/>
  <c r="AX27" i="6"/>
  <c r="BA27" i="6" s="1"/>
  <c r="AY45" i="6"/>
  <c r="BB45" i="6" s="1"/>
  <c r="AX45" i="6"/>
  <c r="BA45" i="6" s="1"/>
  <c r="AZ45" i="6"/>
  <c r="BC45" i="6" s="1"/>
  <c r="AZ176" i="6"/>
  <c r="BC176" i="6" s="1"/>
  <c r="AY176" i="6"/>
  <c r="BB176" i="6" s="1"/>
  <c r="AX176" i="6"/>
  <c r="BA176" i="6" s="1"/>
  <c r="AY170" i="6"/>
  <c r="BB170" i="6" s="1"/>
  <c r="AX170" i="6"/>
  <c r="BA170" i="6" s="1"/>
  <c r="AZ170" i="6"/>
  <c r="BC170" i="6" s="1"/>
  <c r="AY120" i="6"/>
  <c r="BB120" i="6" s="1"/>
  <c r="AZ120" i="6"/>
  <c r="BC120" i="6" s="1"/>
  <c r="AX120" i="6"/>
  <c r="BA120" i="6" s="1"/>
  <c r="AY266" i="6"/>
  <c r="BB266" i="6" s="1"/>
  <c r="AX266" i="6"/>
  <c r="BA266" i="6" s="1"/>
  <c r="BE266" i="6" s="1"/>
  <c r="BF266" i="6" s="1"/>
  <c r="AZ266" i="6"/>
  <c r="BC266" i="6" s="1"/>
  <c r="AY467" i="6"/>
  <c r="BB467" i="6" s="1"/>
  <c r="AX467" i="6"/>
  <c r="BA467" i="6" s="1"/>
  <c r="AZ467" i="6"/>
  <c r="BC467" i="6" s="1"/>
  <c r="AZ443" i="6"/>
  <c r="BC443" i="6" s="1"/>
  <c r="AY443" i="6"/>
  <c r="BB443" i="6" s="1"/>
  <c r="AX443" i="6"/>
  <c r="BA443" i="6" s="1"/>
  <c r="AZ328" i="6"/>
  <c r="BC328" i="6" s="1"/>
  <c r="AX328" i="6"/>
  <c r="BA328" i="6" s="1"/>
  <c r="AY328" i="6"/>
  <c r="BB328" i="6" s="1"/>
  <c r="AX410" i="6"/>
  <c r="BA410" i="6" s="1"/>
  <c r="AZ410" i="6"/>
  <c r="BC410" i="6" s="1"/>
  <c r="AY410" i="6"/>
  <c r="BB410" i="6" s="1"/>
  <c r="AZ323" i="6"/>
  <c r="BC323" i="6" s="1"/>
  <c r="AY323" i="6"/>
  <c r="BB323" i="6" s="1"/>
  <c r="AX323" i="6"/>
  <c r="BA323" i="6" s="1"/>
  <c r="BE323" i="6" s="1"/>
  <c r="BF323" i="6" s="1"/>
  <c r="BN71" i="6"/>
  <c r="BO71" i="6" s="1"/>
  <c r="BP71" i="6" s="1"/>
  <c r="BJ71" i="6"/>
  <c r="BK71" i="6" s="1"/>
  <c r="BX382" i="6"/>
  <c r="BT382" i="6"/>
  <c r="BU382" i="6" s="1"/>
  <c r="BN401" i="6"/>
  <c r="BO401" i="6" s="1"/>
  <c r="BP401" i="6" s="1"/>
  <c r="BJ401" i="6"/>
  <c r="BK401" i="6" s="1"/>
  <c r="BX434" i="6"/>
  <c r="BY434" i="6" s="1"/>
  <c r="BZ434" i="6" s="1"/>
  <c r="BT434" i="6"/>
  <c r="BU434" i="6" s="1"/>
  <c r="BN367" i="6"/>
  <c r="BJ367" i="6"/>
  <c r="BK367" i="6" s="1"/>
  <c r="BJ133" i="6"/>
  <c r="BK133" i="6" s="1"/>
  <c r="BN133" i="6"/>
  <c r="BN47" i="6"/>
  <c r="BO47" i="6" s="1"/>
  <c r="BP47" i="6" s="1"/>
  <c r="BJ47" i="6"/>
  <c r="BK47" i="6" s="1"/>
  <c r="BN341" i="6"/>
  <c r="BO341" i="6" s="1"/>
  <c r="BP341" i="6" s="1"/>
  <c r="BJ341" i="6"/>
  <c r="BK341" i="6" s="1"/>
  <c r="BJ397" i="6"/>
  <c r="BK397" i="6" s="1"/>
  <c r="BN397" i="6"/>
  <c r="BX397" i="6"/>
  <c r="BT397" i="6"/>
  <c r="BU397" i="6" s="1"/>
  <c r="BJ342" i="6"/>
  <c r="BK342" i="6" s="1"/>
  <c r="BN342" i="6"/>
  <c r="BT157" i="6"/>
  <c r="BU157" i="6" s="1"/>
  <c r="BX157" i="6"/>
  <c r="BN295" i="6"/>
  <c r="BJ295" i="6"/>
  <c r="BK295" i="6" s="1"/>
  <c r="BN539" i="6"/>
  <c r="BO539" i="6" s="1"/>
  <c r="BP539" i="6" s="1"/>
  <c r="BJ539" i="6"/>
  <c r="BK539" i="6" s="1"/>
  <c r="BX237" i="6"/>
  <c r="BT237" i="6"/>
  <c r="BU237" i="6" s="1"/>
  <c r="BX280" i="6"/>
  <c r="BT280" i="6"/>
  <c r="BU280" i="6" s="1"/>
  <c r="BT206" i="6"/>
  <c r="BU206" i="6" s="1"/>
  <c r="BX206" i="6"/>
  <c r="BY206" i="6" s="1"/>
  <c r="BZ206" i="6" s="1"/>
  <c r="BN226" i="6"/>
  <c r="BJ226" i="6"/>
  <c r="BK226" i="6" s="1"/>
  <c r="BN143" i="6"/>
  <c r="BO143" i="6" s="1"/>
  <c r="BP143" i="6" s="1"/>
  <c r="BJ143" i="6"/>
  <c r="BK143" i="6" s="1"/>
  <c r="BX432" i="6"/>
  <c r="BT432" i="6"/>
  <c r="BU432" i="6" s="1"/>
  <c r="BN158" i="6"/>
  <c r="BO158" i="6" s="1"/>
  <c r="BP158" i="6" s="1"/>
  <c r="BJ158" i="6"/>
  <c r="BK158" i="6" s="1"/>
  <c r="BJ219" i="6"/>
  <c r="BK219" i="6" s="1"/>
  <c r="BN219" i="6"/>
  <c r="BX259" i="6"/>
  <c r="BT259" i="6"/>
  <c r="BU259" i="6" s="1"/>
  <c r="BN174" i="6"/>
  <c r="BJ174" i="6"/>
  <c r="BK174" i="6" s="1"/>
  <c r="BN409" i="6"/>
  <c r="BJ409" i="6"/>
  <c r="BK409" i="6" s="1"/>
  <c r="BN26" i="6"/>
  <c r="BO26" i="6" s="1"/>
  <c r="BP26" i="6" s="1"/>
  <c r="BJ26" i="6"/>
  <c r="BK26" i="6" s="1"/>
  <c r="BN99" i="6"/>
  <c r="BJ99" i="6"/>
  <c r="BK99" i="6" s="1"/>
  <c r="BT308" i="6"/>
  <c r="BU308" i="6" s="1"/>
  <c r="BX308" i="6"/>
  <c r="BY308" i="6" s="1"/>
  <c r="BZ308" i="6" s="1"/>
  <c r="BX500" i="6"/>
  <c r="BY500" i="6" s="1"/>
  <c r="BZ500" i="6" s="1"/>
  <c r="BT500" i="6"/>
  <c r="BU500" i="6" s="1"/>
  <c r="BX463" i="6"/>
  <c r="BT463" i="6"/>
  <c r="BU463" i="6" s="1"/>
  <c r="BX94" i="6"/>
  <c r="BT94" i="6"/>
  <c r="BU94" i="6" s="1"/>
  <c r="BN112" i="6"/>
  <c r="BJ112" i="6"/>
  <c r="BK112" i="6" s="1"/>
  <c r="BT451" i="6"/>
  <c r="BU451" i="6" s="1"/>
  <c r="BX451" i="6"/>
  <c r="BT262" i="6"/>
  <c r="BU262" i="6" s="1"/>
  <c r="BX262" i="6"/>
  <c r="BN353" i="6"/>
  <c r="BO353" i="6" s="1"/>
  <c r="BP353" i="6" s="1"/>
  <c r="BJ353" i="6"/>
  <c r="BK353" i="6" s="1"/>
  <c r="BJ381" i="6"/>
  <c r="BK381" i="6" s="1"/>
  <c r="BN381" i="6"/>
  <c r="BN550" i="6"/>
  <c r="BJ550" i="6"/>
  <c r="BK550" i="6" s="1"/>
  <c r="BJ105" i="6"/>
  <c r="BK105" i="6" s="1"/>
  <c r="BN105" i="6"/>
  <c r="BN62" i="6"/>
  <c r="BO62" i="6" s="1"/>
  <c r="BP62" i="6" s="1"/>
  <c r="BJ62" i="6"/>
  <c r="BK62" i="6" s="1"/>
  <c r="BX88" i="6"/>
  <c r="BT88" i="6"/>
  <c r="BU88" i="6" s="1"/>
  <c r="BX286" i="6"/>
  <c r="BT286" i="6"/>
  <c r="BU286" i="6" s="1"/>
  <c r="BX114" i="6"/>
  <c r="BT114" i="6"/>
  <c r="BU114" i="6" s="1"/>
  <c r="BT356" i="6"/>
  <c r="BU356" i="6" s="1"/>
  <c r="BX356" i="6"/>
  <c r="BY356" i="6" s="1"/>
  <c r="BZ356" i="6" s="1"/>
  <c r="BX180" i="6"/>
  <c r="BT180" i="6"/>
  <c r="BU180" i="6" s="1"/>
  <c r="BX452" i="6"/>
  <c r="BY452" i="6" s="1"/>
  <c r="BZ452" i="6" s="1"/>
  <c r="BT452" i="6"/>
  <c r="BU452" i="6" s="1"/>
  <c r="BX313" i="6"/>
  <c r="BT313" i="6"/>
  <c r="BU313" i="6" s="1"/>
  <c r="BN172" i="6"/>
  <c r="BJ172" i="6"/>
  <c r="BK172" i="6" s="1"/>
  <c r="BJ365" i="6"/>
  <c r="BK365" i="6" s="1"/>
  <c r="BN365" i="6"/>
  <c r="BJ285" i="6"/>
  <c r="BK285" i="6" s="1"/>
  <c r="BN285" i="6"/>
  <c r="BN452" i="6"/>
  <c r="BO452" i="6" s="1"/>
  <c r="BP452" i="6" s="1"/>
  <c r="BJ452" i="6"/>
  <c r="BK452" i="6" s="1"/>
  <c r="BT515" i="6"/>
  <c r="BU515" i="6" s="1"/>
  <c r="BX515" i="6"/>
  <c r="BY515" i="6" s="1"/>
  <c r="BZ515" i="6" s="1"/>
  <c r="BN266" i="6"/>
  <c r="BO266" i="6" s="1"/>
  <c r="BP266" i="6" s="1"/>
  <c r="BJ266" i="6"/>
  <c r="BK266" i="6" s="1"/>
  <c r="BX350" i="6"/>
  <c r="BY350" i="6" s="1"/>
  <c r="BZ350" i="6" s="1"/>
  <c r="BT350" i="6"/>
  <c r="BU350" i="6" s="1"/>
  <c r="BT230" i="6"/>
  <c r="BU230" i="6" s="1"/>
  <c r="BX230" i="6"/>
  <c r="BY230" i="6" s="1"/>
  <c r="BZ230" i="6" s="1"/>
  <c r="BX389" i="6"/>
  <c r="BY389" i="6" s="1"/>
  <c r="BZ389" i="6" s="1"/>
  <c r="BT389" i="6"/>
  <c r="BU389" i="6" s="1"/>
  <c r="BN308" i="6"/>
  <c r="BO308" i="6" s="1"/>
  <c r="BP308" i="6" s="1"/>
  <c r="BJ308" i="6"/>
  <c r="BK308" i="6" s="1"/>
  <c r="BX285" i="6"/>
  <c r="BT285" i="6"/>
  <c r="BU285" i="6" s="1"/>
  <c r="AX462" i="6"/>
  <c r="BA462" i="6" s="1"/>
  <c r="AY462" i="6"/>
  <c r="BB462" i="6" s="1"/>
  <c r="AZ462" i="6"/>
  <c r="BC462" i="6" s="1"/>
  <c r="AX535" i="6"/>
  <c r="BA535" i="6" s="1"/>
  <c r="AZ535" i="6"/>
  <c r="BC535" i="6" s="1"/>
  <c r="AY535" i="6"/>
  <c r="BB535" i="6" s="1"/>
  <c r="AZ446" i="6"/>
  <c r="BC446" i="6" s="1"/>
  <c r="AY446" i="6"/>
  <c r="BB446" i="6" s="1"/>
  <c r="AX446" i="6"/>
  <c r="BA446" i="6" s="1"/>
  <c r="AX123" i="6"/>
  <c r="BA123" i="6" s="1"/>
  <c r="AZ123" i="6"/>
  <c r="BC123" i="6" s="1"/>
  <c r="AY123" i="6"/>
  <c r="BB123" i="6" s="1"/>
  <c r="AX100" i="6"/>
  <c r="BA100" i="6" s="1"/>
  <c r="AY100" i="6"/>
  <c r="BB100" i="6" s="1"/>
  <c r="AZ100" i="6"/>
  <c r="BC100" i="6" s="1"/>
  <c r="AZ305" i="6"/>
  <c r="BC305" i="6" s="1"/>
  <c r="AY305" i="6"/>
  <c r="BB305" i="6" s="1"/>
  <c r="AX305" i="6"/>
  <c r="BA305" i="6" s="1"/>
  <c r="BE305" i="6" s="1"/>
  <c r="BF305" i="6" s="1"/>
  <c r="AZ113" i="6"/>
  <c r="BC113" i="6" s="1"/>
  <c r="AX113" i="6"/>
  <c r="BA113" i="6" s="1"/>
  <c r="AY113" i="6"/>
  <c r="BB113" i="6" s="1"/>
  <c r="AY429" i="6"/>
  <c r="BB429" i="6" s="1"/>
  <c r="AX429" i="6"/>
  <c r="BA429" i="6" s="1"/>
  <c r="AZ429" i="6"/>
  <c r="BC429" i="6" s="1"/>
  <c r="AZ400" i="6"/>
  <c r="BC400" i="6" s="1"/>
  <c r="AY400" i="6"/>
  <c r="BB400" i="6" s="1"/>
  <c r="AX400" i="6"/>
  <c r="BA400" i="6" s="1"/>
  <c r="BE400" i="6" s="1"/>
  <c r="BF400" i="6" s="1"/>
  <c r="AZ271" i="6"/>
  <c r="BC271" i="6" s="1"/>
  <c r="AX271" i="6"/>
  <c r="BA271" i="6" s="1"/>
  <c r="AY271" i="6"/>
  <c r="BB271" i="6" s="1"/>
  <c r="AZ32" i="6"/>
  <c r="BC32" i="6" s="1"/>
  <c r="AY32" i="6"/>
  <c r="BB32" i="6" s="1"/>
  <c r="AX32" i="6"/>
  <c r="BA32" i="6" s="1"/>
  <c r="AZ413" i="6"/>
  <c r="BC413" i="6" s="1"/>
  <c r="AX413" i="6"/>
  <c r="BA413" i="6" s="1"/>
  <c r="AY413" i="6"/>
  <c r="BB413" i="6" s="1"/>
  <c r="AZ444" i="6"/>
  <c r="BC444" i="6" s="1"/>
  <c r="AY444" i="6"/>
  <c r="BB444" i="6" s="1"/>
  <c r="AX444" i="6"/>
  <c r="BA444" i="6" s="1"/>
  <c r="AZ430" i="6"/>
  <c r="BC430" i="6" s="1"/>
  <c r="AY430" i="6"/>
  <c r="BB430" i="6" s="1"/>
  <c r="AX430" i="6"/>
  <c r="BA430" i="6" s="1"/>
  <c r="AZ245" i="6"/>
  <c r="BC245" i="6" s="1"/>
  <c r="AY245" i="6"/>
  <c r="BB245" i="6" s="1"/>
  <c r="AX245" i="6"/>
  <c r="BA245" i="6" s="1"/>
  <c r="AZ116" i="6"/>
  <c r="BC116" i="6" s="1"/>
  <c r="AY116" i="6"/>
  <c r="BB116" i="6" s="1"/>
  <c r="AX116" i="6"/>
  <c r="BA116" i="6" s="1"/>
  <c r="AZ251" i="6"/>
  <c r="BC251" i="6" s="1"/>
  <c r="AY251" i="6"/>
  <c r="BB251" i="6" s="1"/>
  <c r="AX251" i="6"/>
  <c r="BA251" i="6" s="1"/>
  <c r="AY167" i="6"/>
  <c r="BB167" i="6" s="1"/>
  <c r="AZ167" i="6"/>
  <c r="BC167" i="6" s="1"/>
  <c r="AX167" i="6"/>
  <c r="BA167" i="6" s="1"/>
  <c r="AY127" i="6"/>
  <c r="BB127" i="6" s="1"/>
  <c r="AZ127" i="6"/>
  <c r="BC127" i="6" s="1"/>
  <c r="AX127" i="6"/>
  <c r="BA127" i="6" s="1"/>
  <c r="AX511" i="6"/>
  <c r="BA511" i="6" s="1"/>
  <c r="AZ511" i="6"/>
  <c r="BC511" i="6" s="1"/>
  <c r="AY511" i="6"/>
  <c r="BB511" i="6" s="1"/>
  <c r="AZ86" i="6"/>
  <c r="BC86" i="6" s="1"/>
  <c r="AY86" i="6"/>
  <c r="BB86" i="6" s="1"/>
  <c r="AX86" i="6"/>
  <c r="BA86" i="6" s="1"/>
  <c r="AY135" i="6"/>
  <c r="BB135" i="6" s="1"/>
  <c r="AZ135" i="6"/>
  <c r="BC135" i="6" s="1"/>
  <c r="AX135" i="6"/>
  <c r="BA135" i="6" s="1"/>
  <c r="BE135" i="6" s="1"/>
  <c r="BF135" i="6" s="1"/>
  <c r="AZ150" i="6"/>
  <c r="BC150" i="6" s="1"/>
  <c r="AY150" i="6"/>
  <c r="BB150" i="6" s="1"/>
  <c r="AX150" i="6"/>
  <c r="BA150" i="6" s="1"/>
  <c r="AZ279" i="6"/>
  <c r="BC279" i="6" s="1"/>
  <c r="AY279" i="6"/>
  <c r="BB279" i="6" s="1"/>
  <c r="AX279" i="6"/>
  <c r="BA279" i="6" s="1"/>
  <c r="AX551" i="6"/>
  <c r="BA551" i="6" s="1"/>
  <c r="AY551" i="6"/>
  <c r="BB551" i="6" s="1"/>
  <c r="AZ551" i="6"/>
  <c r="BC551" i="6" s="1"/>
  <c r="AY39" i="6"/>
  <c r="BB39" i="6" s="1"/>
  <c r="AX39" i="6"/>
  <c r="BA39" i="6" s="1"/>
  <c r="AZ39" i="6"/>
  <c r="BC39" i="6" s="1"/>
  <c r="AZ398" i="6"/>
  <c r="BC398" i="6" s="1"/>
  <c r="AY398" i="6"/>
  <c r="BB398" i="6" s="1"/>
  <c r="AX398" i="6"/>
  <c r="BA398" i="6" s="1"/>
  <c r="AZ220" i="6"/>
  <c r="BC220" i="6" s="1"/>
  <c r="AY220" i="6"/>
  <c r="BB220" i="6" s="1"/>
  <c r="AX220" i="6"/>
  <c r="BA220" i="6" s="1"/>
  <c r="AX242" i="6"/>
  <c r="BA242" i="6" s="1"/>
  <c r="AZ242" i="6"/>
  <c r="BC242" i="6" s="1"/>
  <c r="AY242" i="6"/>
  <c r="BB242" i="6" s="1"/>
  <c r="AZ189" i="6"/>
  <c r="BC189" i="6" s="1"/>
  <c r="AY189" i="6"/>
  <c r="BB189" i="6" s="1"/>
  <c r="AX189" i="6"/>
  <c r="BA189" i="6" s="1"/>
  <c r="AX498" i="6"/>
  <c r="BA498" i="6" s="1"/>
  <c r="AZ498" i="6"/>
  <c r="BC498" i="6" s="1"/>
  <c r="AY498" i="6"/>
  <c r="BB498" i="6" s="1"/>
  <c r="AZ561" i="6"/>
  <c r="BC561" i="6" s="1"/>
  <c r="AY561" i="6"/>
  <c r="BB561" i="6" s="1"/>
  <c r="AX561" i="6"/>
  <c r="BA561" i="6" s="1"/>
  <c r="AY517" i="6"/>
  <c r="BB517" i="6" s="1"/>
  <c r="AX517" i="6"/>
  <c r="BA517" i="6" s="1"/>
  <c r="AZ517" i="6"/>
  <c r="BC517" i="6" s="1"/>
  <c r="AZ256" i="6"/>
  <c r="BC256" i="6" s="1"/>
  <c r="AY256" i="6"/>
  <c r="BB256" i="6" s="1"/>
  <c r="AX256" i="6"/>
  <c r="BA256" i="6" s="1"/>
  <c r="AX503" i="6"/>
  <c r="BA503" i="6" s="1"/>
  <c r="AZ503" i="6"/>
  <c r="BC503" i="6" s="1"/>
  <c r="AY503" i="6"/>
  <c r="BB503" i="6" s="1"/>
  <c r="AY340" i="6"/>
  <c r="BB340" i="6" s="1"/>
  <c r="AZ340" i="6"/>
  <c r="BC340" i="6" s="1"/>
  <c r="AX340" i="6"/>
  <c r="BA340" i="6" s="1"/>
  <c r="AZ350" i="6"/>
  <c r="BC350" i="6" s="1"/>
  <c r="AY350" i="6"/>
  <c r="BB350" i="6" s="1"/>
  <c r="AX350" i="6"/>
  <c r="BA350" i="6" s="1"/>
  <c r="AY463" i="6"/>
  <c r="BB463" i="6" s="1"/>
  <c r="AX463" i="6"/>
  <c r="BA463" i="6" s="1"/>
  <c r="AZ463" i="6"/>
  <c r="BC463" i="6" s="1"/>
  <c r="AZ470" i="6"/>
  <c r="BC470" i="6" s="1"/>
  <c r="AY470" i="6"/>
  <c r="BB470" i="6" s="1"/>
  <c r="AX470" i="6"/>
  <c r="BA470" i="6" s="1"/>
  <c r="I55" i="6"/>
  <c r="BV23" i="6"/>
  <c r="BO23" i="6" s="1"/>
  <c r="BT23" i="6"/>
  <c r="BU23" i="6" s="1"/>
  <c r="BJ23" i="6"/>
  <c r="AY23" i="6"/>
  <c r="BB23" i="6" s="1"/>
  <c r="AX23" i="6"/>
  <c r="BA23" i="6" s="1"/>
  <c r="AZ23" i="6"/>
  <c r="BC23" i="6" s="1"/>
  <c r="L51" i="6"/>
  <c r="L52" i="6" s="1"/>
  <c r="L55" i="6"/>
  <c r="L42" i="6"/>
  <c r="L43" i="6"/>
  <c r="L41" i="6"/>
  <c r="M31" i="6"/>
  <c r="BL415" i="6" a="1"/>
  <c r="BV348" i="6" a="1"/>
  <c r="BV525" i="6" a="1"/>
  <c r="BV540" i="6" a="1"/>
  <c r="BL438" i="6" a="1"/>
  <c r="BL145" i="6" a="1"/>
  <c r="BL402" i="6" a="1"/>
  <c r="BV396" i="6" a="1"/>
  <c r="BV561" i="6" a="1"/>
  <c r="BL369" i="6" a="1"/>
  <c r="BL256" i="6" a="1"/>
  <c r="BV558" i="6" a="1"/>
  <c r="BL163" i="6" a="1"/>
  <c r="BL250" i="6" a="1"/>
  <c r="BV537" i="6" a="1"/>
  <c r="BV277" i="6" a="1"/>
  <c r="BL319" i="6" a="1"/>
  <c r="BL277" i="6" a="1"/>
  <c r="BV381" i="6" a="1"/>
  <c r="BL423" i="6" a="1"/>
  <c r="BL235" i="6" a="1"/>
  <c r="BL328" i="6" a="1"/>
  <c r="BL286" i="6" a="1"/>
  <c r="BL469" i="6" a="1"/>
  <c r="BV213" i="6" a="1"/>
  <c r="BL499" i="6" a="1"/>
  <c r="BL547" i="6" a="1"/>
  <c r="BL276" i="6" a="1"/>
  <c r="BL372" i="6" a="1"/>
  <c r="BL93" i="6" a="1"/>
  <c r="BL370" i="6" a="1"/>
  <c r="BV130" i="6" a="1"/>
  <c r="BV342" i="6" a="1"/>
  <c r="BV514" i="6" a="1"/>
  <c r="BV210" i="6" a="1"/>
  <c r="BV229" i="6" a="1"/>
  <c r="BV187" i="6" a="1"/>
  <c r="BV309" i="6" a="1"/>
  <c r="BV526" i="6" a="1"/>
  <c r="BL477" i="6" a="1"/>
  <c r="BL427" i="6" a="1"/>
  <c r="BV36" i="6" a="1"/>
  <c r="BL195" i="6" a="1"/>
  <c r="BV144" i="6" a="1"/>
  <c r="BV409" i="6" a="1"/>
  <c r="BL418" i="6" a="1"/>
  <c r="BL103" i="6" a="1"/>
  <c r="BV507" i="6" a="1"/>
  <c r="BV40" i="6" a="1"/>
  <c r="BV231" i="6" a="1"/>
  <c r="BL421" i="6" a="1"/>
  <c r="BV103" i="6" a="1"/>
  <c r="BL252" i="6" a="1"/>
  <c r="BL531" i="6" a="1"/>
  <c r="BV106" i="6" a="1"/>
  <c r="BL310" i="6" a="1"/>
  <c r="BL282" i="6" a="1"/>
  <c r="BV523" i="6" a="1"/>
  <c r="BV357" i="6" a="1"/>
  <c r="BL519" i="6" a="1"/>
  <c r="BV111" i="6" a="1"/>
  <c r="BV156" i="6" a="1"/>
  <c r="BL108" i="6" a="1"/>
  <c r="BL493" i="6" a="1"/>
  <c r="BL306" i="6" a="1"/>
  <c r="BV457" i="6" a="1"/>
  <c r="BL321" i="6" a="1"/>
  <c r="BL442" i="6" a="1"/>
  <c r="BL28" i="6" a="1"/>
  <c r="BL520" i="6" a="1"/>
  <c r="BV142" i="6" a="1"/>
  <c r="BL25" i="6" a="1"/>
  <c r="BL232" i="6" a="1"/>
  <c r="BL315" i="6" a="1"/>
  <c r="BV315" i="6" a="1"/>
  <c r="BV475" i="6" a="1"/>
  <c r="BL240" i="6" a="1"/>
  <c r="BL274" i="6" a="1"/>
  <c r="BL514" i="6" a="1"/>
  <c r="BL70" i="6" a="1"/>
  <c r="BV480" i="6" a="1"/>
  <c r="BV100" i="6" a="1"/>
  <c r="BL36" i="6" a="1"/>
  <c r="BL55" i="6" a="1"/>
  <c r="BV192" i="6" a="1"/>
  <c r="BV216" i="6" a="1"/>
  <c r="BL447" i="6" a="1"/>
  <c r="BL264" i="6" a="1"/>
  <c r="BV385" i="6" a="1"/>
  <c r="BV327" i="6" a="1"/>
  <c r="BL517" i="6" a="1"/>
  <c r="BV151" i="6" a="1"/>
  <c r="BL333" i="6" a="1"/>
  <c r="BL129" i="6" a="1"/>
  <c r="BL280" i="6" a="1"/>
  <c r="BV531" i="6" a="1"/>
  <c r="BV48" i="6" a="1"/>
  <c r="BL325" i="6" a="1"/>
  <c r="BL123" i="6" a="1"/>
  <c r="BV363" i="6" a="1"/>
  <c r="BL510" i="6" a="1"/>
  <c r="BV132" i="6" a="1"/>
  <c r="BL73" i="6" a="1"/>
  <c r="BL463" i="6" a="1"/>
  <c r="BV25" i="6" a="1"/>
  <c r="BL78" i="6" a="1"/>
  <c r="BL24" i="6" a="1"/>
  <c r="BL162" i="6" a="1"/>
  <c r="BL465" i="6" a="1"/>
  <c r="BV253" i="6" a="1"/>
  <c r="BV24" i="6" a="1"/>
  <c r="BV52" i="6" a="1"/>
  <c r="BL445" i="6" a="1"/>
  <c r="BL468" i="6" a="1"/>
  <c r="BV453" i="6" a="1"/>
  <c r="BL156" i="6" a="1"/>
  <c r="BV495" i="6" a="1"/>
  <c r="BV339" i="6" a="1"/>
  <c r="BL199" i="6" a="1"/>
  <c r="BL433" i="6" a="1"/>
  <c r="BL523" i="6" a="1"/>
  <c r="BL460" i="6" a="1"/>
  <c r="BL300" i="6" a="1"/>
  <c r="BL318" i="6" a="1"/>
  <c r="BV441" i="6" a="1"/>
  <c r="BL82" i="6" a="1"/>
  <c r="BV291" i="6" a="1"/>
  <c r="BL312" i="6" a="1"/>
  <c r="BV133" i="6" a="1"/>
  <c r="BL210" i="6" a="1"/>
  <c r="BV265" i="6" a="1"/>
  <c r="BL564" i="6" a="1"/>
  <c r="BL483" i="6" a="1"/>
  <c r="BL543" i="6" a="1"/>
  <c r="BV183" i="6" a="1"/>
  <c r="BV417" i="6" a="1"/>
  <c r="BV102" i="6" a="1"/>
  <c r="BV420" i="6" a="1"/>
  <c r="BV186" i="6" a="1"/>
  <c r="BL348" i="6" a="1"/>
  <c r="BL363" i="6" a="1"/>
  <c r="BL247" i="6" a="1"/>
  <c r="BV66" i="6" a="1"/>
  <c r="BL457" i="6" a="1"/>
  <c r="BL322" i="6" a="1"/>
  <c r="BV154" i="6" a="1"/>
  <c r="BL558" i="6" a="1"/>
  <c r="BV325" i="6" a="1"/>
  <c r="BL537" i="6" a="1"/>
  <c r="BL166" i="6" a="1"/>
  <c r="BL88" i="6" a="1"/>
  <c r="BV37" i="6" a="1"/>
  <c r="BV387" i="6" a="1"/>
  <c r="BV72" i="6" a="1"/>
  <c r="BV462" i="6" a="1"/>
  <c r="BV148" i="6" a="1"/>
  <c r="BL535" i="6" a="1"/>
  <c r="BV54" i="6" a="1"/>
  <c r="BV258" i="6" a="1"/>
  <c r="BL96" i="6" a="1"/>
  <c r="BV60" i="6" a="1"/>
  <c r="BL360" i="6" a="1"/>
  <c r="BL168" i="6" a="1"/>
  <c r="BL366" i="6" a="1"/>
  <c r="BV486" i="6" a="1"/>
  <c r="BV282" i="6" a="1"/>
  <c r="BL343" i="6" a="1"/>
  <c r="BV138" i="6" a="1"/>
  <c r="BL399" i="6" a="1"/>
  <c r="BL516" i="6" a="1"/>
  <c r="BL171" i="6" a="1"/>
  <c r="BV67" i="6" a="1"/>
  <c r="BL159" i="6" a="1"/>
  <c r="BV211" i="6" a="1"/>
  <c r="BV63" i="6" a="1"/>
  <c r="BL525" i="6" a="1"/>
  <c r="BL403" i="6" a="1"/>
  <c r="BL273" i="6" a="1"/>
  <c r="BL453" i="6" a="1"/>
  <c r="BL450" i="6" a="1"/>
  <c r="BV178" i="6" a="1"/>
  <c r="BL358" i="6" a="1"/>
  <c r="BL430" i="6" a="1"/>
  <c r="BL556" i="6" a="1"/>
  <c r="BL201" i="6" a="1"/>
  <c r="BL289" i="6" a="1"/>
  <c r="BL364" i="6" a="1"/>
  <c r="BV490" i="6" a="1"/>
  <c r="BV516" i="6" a="1"/>
  <c r="BL481" i="6" a="1"/>
  <c r="BL81" i="6" a="1"/>
  <c r="BV79" i="6" a="1"/>
  <c r="BL394" i="6" a="1"/>
  <c r="BL472" i="6" a="1"/>
  <c r="BL412" i="6" a="1"/>
  <c r="BL511" i="6" a="1"/>
  <c r="BV297" i="6" a="1"/>
  <c r="BV123" i="6" a="1"/>
  <c r="BL69" i="6" a="1"/>
  <c r="BV124" i="6" a="1"/>
  <c r="BL151" i="6" a="1"/>
  <c r="BL102" i="6" a="1"/>
  <c r="BL165" i="6" a="1"/>
  <c r="BV198" i="6" a="1"/>
  <c r="BV270" i="6" a="1"/>
  <c r="BV487" i="6" a="1"/>
  <c r="BL459" i="6" a="1"/>
  <c r="BL214" i="6" a="1"/>
  <c r="BV220" i="6" a="1"/>
  <c r="BL229" i="6" a="1"/>
  <c r="BL49" i="6" a="1"/>
  <c r="BL376" i="6" a="1"/>
  <c r="BL379" i="6" a="1"/>
  <c r="BL456" i="6" a="1"/>
  <c r="BV433" i="6" a="1"/>
  <c r="BL304" i="6" a="1"/>
  <c r="BL138" i="6" a="1"/>
  <c r="BL528" i="6" a="1"/>
  <c r="BV76" i="6" a="1"/>
  <c r="BV391" i="6" a="1"/>
  <c r="BL153" i="6" a="1"/>
  <c r="BV175" i="6" a="1"/>
  <c r="BL177" i="6" a="1"/>
  <c r="BL546" i="6" a="1"/>
  <c r="BL262" i="6" a="1"/>
  <c r="BV532" i="6" a="1"/>
  <c r="BV97" i="6" a="1"/>
  <c r="BL241" i="6" a="1"/>
  <c r="BL352" i="6" a="1"/>
  <c r="BV127" i="6" a="1"/>
  <c r="BV474" i="6" a="1"/>
  <c r="BL492" i="6" a="1"/>
  <c r="BV153" i="6" a="1"/>
  <c r="BL354" i="6" a="1"/>
  <c r="BL420" i="6" a="1"/>
  <c r="BV373" i="6" a="1"/>
  <c r="BL124" i="6" a="1"/>
  <c r="BL213" i="6" a="1"/>
  <c r="BL532" i="6" a="1"/>
  <c r="BL513" i="6" a="1"/>
  <c r="BV456" i="6" a="1"/>
  <c r="BV139" i="6" a="1"/>
  <c r="BV502" i="6" a="1"/>
  <c r="BL106" i="6" a="1"/>
  <c r="BV165" i="6" a="1"/>
  <c r="BV528" i="6" a="1"/>
  <c r="BL187" i="6" a="1"/>
  <c r="BV418" i="6" a="1"/>
  <c r="BV189" i="6" a="1"/>
  <c r="BV354" i="6" a="1"/>
  <c r="BL160" i="6" a="1"/>
  <c r="BV135" i="6" a="1"/>
  <c r="BL246" i="6" a="1"/>
  <c r="BL471" i="6" a="1"/>
  <c r="BV204" i="6" a="1"/>
  <c r="BL43" i="6" a="1"/>
  <c r="BL388" i="6" a="1"/>
  <c r="BV360" i="6" a="1"/>
  <c r="BV334" i="6" a="1"/>
  <c r="BV295" i="6" a="1"/>
  <c r="BV252" i="6" a="1"/>
  <c r="BV264" i="6" a="1"/>
  <c r="BV304" i="6" a="1"/>
  <c r="BL85" i="6" a="1"/>
  <c r="BV519" i="6" a="1"/>
  <c r="BV27" i="6" a="1"/>
  <c r="BL568" i="6" a="1"/>
  <c r="BL243" i="6" a="1"/>
  <c r="BL526" i="6" a="1"/>
  <c r="BV306" i="6" a="1"/>
  <c r="BV126" i="6" a="1"/>
  <c r="BL217" i="6" a="1"/>
  <c r="BV423" i="6" a="1"/>
  <c r="BL37" i="6" a="1"/>
  <c r="BV205" i="6" a="1"/>
  <c r="BV372" i="6" a="1"/>
  <c r="BL54" i="6" a="1"/>
  <c r="BL390" i="6" a="1"/>
  <c r="BV267" i="6" a="1"/>
  <c r="BL475" i="6" a="1"/>
  <c r="BL220" i="6" a="1"/>
  <c r="BL225" i="6" a="1"/>
  <c r="BV145" i="6" a="1"/>
  <c r="BL486" i="6" a="1"/>
  <c r="BL466" i="6" a="1"/>
  <c r="BV411" i="6" a="1"/>
  <c r="BV90" i="6" a="1"/>
  <c r="BL181" i="6" a="1"/>
  <c r="BV168" i="6" a="1"/>
  <c r="BL396" i="6" a="1"/>
  <c r="BL288" i="6" a="1"/>
  <c r="BV367" i="6" a="1"/>
  <c r="BV393" i="6" a="1"/>
  <c r="BV217" i="6" a="1"/>
  <c r="BL90" i="6" a="1"/>
  <c r="BV564" i="6" a="1"/>
  <c r="BV96" i="6" a="1"/>
  <c r="BV483" i="6" a="1"/>
  <c r="BV109" i="6" a="1"/>
  <c r="BV466" i="6" a="1"/>
  <c r="BL40" i="6" a="1"/>
  <c r="BL504" i="6" a="1"/>
  <c r="BV202" i="6" a="1"/>
  <c r="BL429" i="6" a="1"/>
  <c r="BV454" i="6" a="1"/>
  <c r="BV402" i="6" a="1"/>
  <c r="BL444" i="6" a="1"/>
  <c r="BL249" i="6" a="1"/>
  <c r="BL72" i="6" a="1"/>
  <c r="BL405" i="6" a="1"/>
  <c r="BV69" i="6" a="1"/>
  <c r="BV333" i="6" a="1"/>
  <c r="BL406" i="6" a="1"/>
  <c r="BV150" i="6" a="1"/>
  <c r="BV426" i="6" a="1"/>
  <c r="BV78" i="6" a="1"/>
  <c r="BL462" i="6" a="1"/>
  <c r="BL228" i="6" a="1"/>
  <c r="BV493" i="6" a="1"/>
  <c r="BL121" i="6" a="1"/>
  <c r="BL76" i="6" a="1"/>
  <c r="BV49" i="6" a="1"/>
  <c r="BV331" i="6" a="1"/>
  <c r="BL63" i="6" a="1"/>
  <c r="BV477" i="6" a="1"/>
  <c r="BV160" i="6" a="1"/>
  <c r="BL61" i="6" a="1"/>
  <c r="BV34" i="6" a="1"/>
  <c r="BV478" i="6" a="1"/>
  <c r="BL39" i="6" a="1"/>
  <c r="BV508" i="6" a="1"/>
  <c r="BL391" i="6" a="1"/>
  <c r="BL237" i="6" a="1"/>
  <c r="BV279" i="6" a="1"/>
  <c r="BV184" i="6" a="1"/>
  <c r="BL207" i="6" a="1"/>
  <c r="BL130" i="6" a="1"/>
  <c r="BV181" i="6" a="1"/>
  <c r="BV31" i="6" a="1"/>
  <c r="BV64" i="6" a="1"/>
  <c r="BL238" i="6" a="1"/>
  <c r="BL58" i="6" a="1"/>
  <c r="BV384" i="6" a="1"/>
  <c r="BL384" i="6" a="1"/>
  <c r="BV394" i="6" a="1"/>
  <c r="BL541" i="6" a="1"/>
  <c r="BL567" i="6" a="1"/>
  <c r="BV322" i="6" a="1"/>
  <c r="BL51" i="6" a="1"/>
  <c r="BL549" i="6" a="1"/>
  <c r="BV472" i="6" a="1"/>
  <c r="BV318" i="6" a="1"/>
  <c r="BV70" i="6" a="1"/>
  <c r="BL301" i="6" a="1"/>
  <c r="BL117" i="6" a="1"/>
  <c r="BL60" i="6" a="1"/>
  <c r="BL118" i="6" a="1"/>
  <c r="BV370" i="6" a="1"/>
  <c r="BL441" i="6" a="1"/>
  <c r="BV543" i="6" a="1"/>
  <c r="BL139" i="6" a="1"/>
  <c r="BL346" i="6" a="1"/>
  <c r="BV517" i="6" a="1"/>
  <c r="BV174" i="6" a="1"/>
  <c r="BV412" i="6" a="1"/>
  <c r="BL555" i="6" a="1"/>
  <c r="BL508" i="6" a="1"/>
  <c r="BL307" i="6" a="1"/>
  <c r="BV288" i="6" a="1"/>
  <c r="BL169" i="6" a="1"/>
  <c r="BL327" i="6" a="1"/>
  <c r="BV246" i="6" a="1"/>
  <c r="BL291" i="6" a="1"/>
  <c r="BL183" i="6" a="1"/>
  <c r="BL157" i="6" a="1"/>
  <c r="BL48" i="6" a="1"/>
  <c r="BV496" i="6" a="1"/>
  <c r="BV81" i="6" a="1"/>
  <c r="BV369" i="6" a="1"/>
  <c r="BL57" i="6" a="1"/>
  <c r="BV222" i="6" a="1"/>
  <c r="BL178" i="6" a="1"/>
  <c r="BV312" i="6" a="1"/>
  <c r="BL451" i="6" a="1"/>
  <c r="BV45" i="6" a="1"/>
  <c r="BV364" i="6" a="1"/>
  <c r="BL393" i="6" a="1"/>
  <c r="BV121" i="6" a="1"/>
  <c r="BV223" i="6" a="1"/>
  <c r="BL324" i="6" a="1"/>
  <c r="BV534" i="6" a="1"/>
  <c r="BL349" i="6" a="1"/>
  <c r="BV552" i="6" a="1"/>
  <c r="BV445" i="6" a="1"/>
  <c r="BV549" i="6" a="1"/>
  <c r="BV444" i="6" a="1"/>
  <c r="BV469" i="6" a="1"/>
  <c r="BL142" i="6" a="1"/>
  <c r="BV247" i="6" a="1"/>
  <c r="BL474" i="6" a="1"/>
  <c r="BL559" i="6" a="1"/>
  <c r="BV498" i="6" a="1"/>
  <c r="BV250" i="6" a="1"/>
  <c r="BL538" i="6" a="1"/>
  <c r="BL424" i="6" a="1"/>
  <c r="BL64" i="6" a="1"/>
  <c r="BL507" i="6" a="1"/>
  <c r="BL417" i="6" a="1"/>
  <c r="BL544" i="6" a="1"/>
  <c r="BL478" i="6" a="1"/>
  <c r="BV544" i="6" a="1"/>
  <c r="BV447" i="6" a="1"/>
  <c r="BV448" i="6" a="1"/>
  <c r="BL565" i="6" a="1"/>
  <c r="BL448" i="6" a="1"/>
  <c r="BV208" i="6" a="1"/>
  <c r="BV58" i="6" a="1"/>
  <c r="BL31" i="6" a="1"/>
  <c r="BV87" i="6" a="1"/>
  <c r="BV388" i="6" a="1"/>
  <c r="BV553" i="6" a="1"/>
  <c r="BL355" i="6" a="1"/>
  <c r="BL184" i="6" a="1"/>
  <c r="BV484" i="6" a="1"/>
  <c r="BV120" i="6" a="1"/>
  <c r="BV234" i="6" a="1"/>
  <c r="BV201" i="6" a="1"/>
  <c r="BL84" i="6" a="1"/>
  <c r="BL414" i="6" a="1"/>
  <c r="BV108" i="6" a="1"/>
  <c r="BV520" i="6" a="1"/>
  <c r="BL79" i="6" a="1"/>
  <c r="BL52" i="6" a="1"/>
  <c r="BL334" i="6" a="1"/>
  <c r="BV414" i="6" a="1"/>
  <c r="BL205" i="6" a="1"/>
  <c r="BL361" i="6" a="1"/>
  <c r="BV405" i="6" a="1"/>
  <c r="BV91" i="6" a="1"/>
  <c r="BL33" i="6" a="1"/>
  <c r="BL400" i="6" a="1"/>
  <c r="BV118" i="6" a="1"/>
  <c r="BV75" i="6" a="1"/>
  <c r="BV337" i="6" a="1"/>
  <c r="BV226" i="6" a="1"/>
  <c r="BV340" i="6" a="1"/>
  <c r="BV283" i="6" a="1"/>
  <c r="BV303" i="6" a="1"/>
  <c r="BL540" i="6" a="1"/>
  <c r="BL216" i="6" a="1"/>
  <c r="BL502" i="6" a="1"/>
  <c r="BL94" i="6" a="1"/>
  <c r="BV43" i="6" a="1"/>
  <c r="BL268" i="6" a="1"/>
  <c r="BL135" i="6" a="1"/>
  <c r="BV336" i="6" a="1"/>
  <c r="BV351" i="6" a="1"/>
  <c r="BV310" i="6" a="1"/>
  <c r="BV376" i="6" a="1"/>
  <c r="BL154" i="6" a="1"/>
  <c r="BL67" i="6" a="1"/>
  <c r="BV555" i="6" a="1"/>
  <c r="BL267" i="6" a="1"/>
  <c r="BV435" i="6" a="1"/>
  <c r="BL231" i="6" a="1"/>
  <c r="BL351" i="6" a="1"/>
  <c r="BV408" i="6" a="1"/>
  <c r="BL294" i="6" a="1"/>
  <c r="BV39" i="6" a="1"/>
  <c r="BV459" i="6" a="1"/>
  <c r="BV195" i="6" a="1"/>
  <c r="BL375" i="6" a="1"/>
  <c r="BL270" i="6" a="1"/>
  <c r="BV136" i="6" a="1"/>
  <c r="BL553" i="6" a="1"/>
  <c r="BL534" i="6" a="1"/>
  <c r="BV115" i="6" a="1"/>
  <c r="BV550" i="6" a="1"/>
  <c r="BV193" i="6" a="1"/>
  <c r="BL204" i="6" a="1"/>
  <c r="BL148" i="6" a="1"/>
  <c r="BV345" i="6" a="1"/>
  <c r="BL192" i="6" a="1"/>
  <c r="BL126" i="6" a="1"/>
  <c r="BV352" i="6" a="1"/>
  <c r="BL196" i="6" a="1"/>
  <c r="BV46" i="6" a="1"/>
  <c r="BV84" i="6" a="1"/>
  <c r="BV163" i="6" a="1"/>
  <c r="BV219" i="6" a="1"/>
  <c r="BL309" i="6" a="1"/>
  <c r="BV249" i="6" a="1"/>
  <c r="BV190" i="6" a="1"/>
  <c r="BV438" i="6" a="1"/>
  <c r="BV505" i="6" a="1"/>
  <c r="BL408" i="6" a="1"/>
  <c r="BV562" i="6" a="1"/>
  <c r="BL336" i="6" a="1"/>
  <c r="BL337" i="6" a="1"/>
  <c r="BL193" i="6" a="1"/>
  <c r="BV57" i="6" a="1"/>
  <c r="BL562" i="6" a="1"/>
  <c r="BV378" i="6" a="1"/>
  <c r="BV171" i="6" a="1"/>
  <c r="BL340" i="6" a="1"/>
  <c r="BV400" i="6" a="1"/>
  <c r="BV294" i="6" a="1"/>
  <c r="BL265" i="6" a="1"/>
  <c r="BL66" i="6" a="1"/>
  <c r="BV421" i="6" a="1"/>
  <c r="BV399" i="6" a="1"/>
  <c r="BV30" i="6" a="1"/>
  <c r="BV522" i="6" a="1"/>
  <c r="BL132" i="6" a="1"/>
  <c r="BV172" i="6" a="1"/>
  <c r="BL30" i="6" a="1"/>
  <c r="BL253" i="6" a="1"/>
  <c r="BV235" i="6" a="1"/>
  <c r="BV529" i="6" a="1"/>
  <c r="BV358" i="6" a="1"/>
  <c r="BV328" i="6" a="1"/>
  <c r="BV271" i="6" a="1"/>
  <c r="BV93" i="6" a="1"/>
  <c r="BV406" i="6" a="1"/>
  <c r="BL141" i="6" a="1"/>
  <c r="BL480" i="6" a="1"/>
  <c r="BL387" i="6" a="1"/>
  <c r="BL45" i="6" a="1"/>
  <c r="BV276" i="6" a="1"/>
  <c r="BV429" i="6" a="1"/>
  <c r="BV489" i="6" a="1"/>
  <c r="BL180" i="6" a="1"/>
  <c r="BV300" i="6" a="1"/>
  <c r="BL339" i="6" a="1"/>
  <c r="BL271" i="6" a="1"/>
  <c r="BV546" i="6" a="1"/>
  <c r="BL222" i="6" a="1"/>
  <c r="BV225" i="6" a="1"/>
  <c r="BL75" i="6" a="1"/>
  <c r="BL496" i="6" a="1"/>
  <c r="BL198" i="6" a="1"/>
  <c r="BV240" i="6" a="1"/>
  <c r="BV471" i="6" a="1"/>
  <c r="BL120" i="6" a="1"/>
  <c r="BL435" i="6" a="1"/>
  <c r="BL244" i="6" a="1"/>
  <c r="BL411" i="6" a="1"/>
  <c r="BV430" i="6" a="1"/>
  <c r="BL109" i="6" a="1"/>
  <c r="BV460" i="6" a="1"/>
  <c r="BV268" i="6" a="1"/>
  <c r="BV355" i="6" a="1"/>
  <c r="BL426" i="6" a="1"/>
  <c r="BL147" i="6" a="1"/>
  <c r="BV169" i="6" a="1"/>
  <c r="BL330" i="6" a="1"/>
  <c r="BV166" i="6" a="1"/>
  <c r="BV196" i="6" a="1"/>
  <c r="BL127" i="6" a="1"/>
  <c r="BV541" i="6" a="1"/>
  <c r="BV481" i="6" a="1"/>
  <c r="BV568" i="6" a="1"/>
  <c r="BL345" i="6" a="1"/>
  <c r="BV556" i="6" a="1"/>
  <c r="BV510" i="6" a="1"/>
  <c r="BL150" i="6" a="1"/>
  <c r="BV51" i="6" a="1"/>
  <c r="BV567" i="6" a="1"/>
  <c r="BL144" i="6" a="1"/>
  <c r="BV501" i="6" a="1"/>
  <c r="BV492" i="6" a="1"/>
  <c r="BL331" i="6" a="1"/>
  <c r="BL378" i="6" a="1"/>
  <c r="BV117" i="6" a="1"/>
  <c r="BV301" i="6" a="1"/>
  <c r="BV214" i="6" a="1"/>
  <c r="BV177" i="6" a="1"/>
  <c r="BL190" i="6" a="1"/>
  <c r="BL303" i="6" a="1"/>
  <c r="BV232" i="6" a="1"/>
  <c r="BL189" i="6" a="1"/>
  <c r="BL283" i="6" a="1"/>
  <c r="BL208" i="6" a="1"/>
  <c r="BV403" i="6" a="1"/>
  <c r="BV61" i="6" a="1"/>
  <c r="BL100" i="6" a="1"/>
  <c r="BL489" i="6" a="1"/>
  <c r="BV465" i="6" a="1"/>
  <c r="BV319" i="6" a="1"/>
  <c r="BV366" i="6" a="1"/>
  <c r="BL316" i="6" a="1"/>
  <c r="BV559" i="6" a="1"/>
  <c r="BV73" i="6" a="1"/>
  <c r="BV538" i="6" a="1"/>
  <c r="BL487" i="6" a="1"/>
  <c r="BL522" i="6" a="1"/>
  <c r="BL223" i="6" a="1"/>
  <c r="BL436" i="6" a="1"/>
  <c r="BL42" i="6" a="1"/>
  <c r="BL439" i="6" a="1"/>
  <c r="BL501" i="6" a="1"/>
  <c r="BV162" i="6" a="1"/>
  <c r="BV436" i="6" a="1"/>
  <c r="BL385" i="6" a="1"/>
  <c r="BL382" i="6" a="1"/>
  <c r="BL259" i="6" a="1"/>
  <c r="BL255" i="6" a="1"/>
  <c r="BL432" i="6" a="1"/>
  <c r="BL87" i="6" a="1"/>
  <c r="BV82" i="6" a="1"/>
  <c r="BV55" i="6" a="1"/>
  <c r="BV129" i="6" a="1"/>
  <c r="BV199" i="6" a="1"/>
  <c r="BV159" i="6" a="1"/>
  <c r="BV238" i="6" a="1"/>
  <c r="BV415" i="6" a="1"/>
  <c r="BL279" i="6" a="1"/>
  <c r="BL97" i="6" a="1"/>
  <c r="BV307" i="6" a="1"/>
  <c r="BV244" i="6" a="1"/>
  <c r="BV375" i="6" a="1"/>
  <c r="BL498" i="6" a="1"/>
  <c r="BV273" i="6" a="1"/>
  <c r="BV256" i="6" a="1"/>
  <c r="BV274" i="6" a="1"/>
  <c r="BL495" i="6" a="1"/>
  <c r="BV424" i="6" a="1"/>
  <c r="BL175" i="6" a="1"/>
  <c r="BV379" i="6" a="1"/>
  <c r="BV450" i="6" a="1"/>
  <c r="BV324" i="6" a="1"/>
  <c r="BL261" i="6" a="1"/>
  <c r="BV504" i="6" a="1"/>
  <c r="BL529" i="6" a="1"/>
  <c r="BV99" i="6" a="1"/>
  <c r="BV390" i="6" a="1"/>
  <c r="BL561" i="6" a="1"/>
  <c r="BL136" i="6" a="1"/>
  <c r="BV255" i="6" a="1"/>
  <c r="BL490" i="6" a="1"/>
  <c r="BV349" i="6" a="1"/>
  <c r="BV85" i="6" a="1"/>
  <c r="BL505" i="6" a="1"/>
  <c r="BL313" i="6" a="1"/>
  <c r="BV442" i="6" a="1"/>
  <c r="BV105" i="6" a="1"/>
  <c r="BL234" i="6" a="1"/>
  <c r="BV565" i="6" a="1"/>
  <c r="BV439" i="6" a="1"/>
  <c r="BL357" i="6" a="1"/>
  <c r="BL292" i="6" a="1"/>
  <c r="BV157" i="6" a="1"/>
  <c r="BL381" i="6" a="1"/>
  <c r="BV289" i="6" a="1"/>
  <c r="BV42" i="6" a="1"/>
  <c r="BV241" i="6" a="1"/>
  <c r="BV432" i="6" a="1"/>
  <c r="BV180" i="6" a="1"/>
  <c r="BV346" i="6" a="1"/>
  <c r="BV33" i="6" a="1"/>
  <c r="BL186" i="6" a="1"/>
  <c r="BL34" i="6" a="1"/>
  <c r="BV535" i="6" a="1"/>
  <c r="BV499" i="6" a="1"/>
  <c r="BV321" i="6" a="1"/>
  <c r="BL202" i="6" a="1"/>
  <c r="BL367" i="6" a="1"/>
  <c r="BL295" i="6" a="1"/>
  <c r="BL550" i="6" a="1"/>
  <c r="BV112" i="6" a="1"/>
  <c r="BV292" i="6" a="1"/>
  <c r="BV547" i="6" a="1"/>
  <c r="BV361" i="6" a="1"/>
  <c r="BL133" i="6" a="1"/>
  <c r="BL219" i="6" a="1"/>
  <c r="BL105" i="6" a="1"/>
  <c r="BV468" i="6" a="1"/>
  <c r="BV513" i="6" a="1"/>
  <c r="BV463" i="6" a="1"/>
  <c r="BV313" i="6" a="1"/>
  <c r="BL552" i="6" a="1"/>
  <c r="BV427" i="6" a="1"/>
  <c r="BL115" i="6" a="1"/>
  <c r="BL258" i="6" a="1"/>
  <c r="BV237" i="6" a="1"/>
  <c r="BV259" i="6" a="1"/>
  <c r="BV94" i="6" a="1"/>
  <c r="BL172" i="6" a="1"/>
  <c r="BL211" i="6" a="1"/>
  <c r="BL114" i="6" a="1"/>
  <c r="BL373" i="6" a="1"/>
  <c r="BL27" i="6" a="1"/>
  <c r="BV298" i="6" a="1"/>
  <c r="BL91" i="6" a="1"/>
  <c r="BV511" i="6" a="1"/>
  <c r="BV147" i="6" a="1"/>
  <c r="BV280" i="6" a="1"/>
  <c r="BL174" i="6" a="1"/>
  <c r="BL112" i="6" a="1"/>
  <c r="BV88" i="6" a="1"/>
  <c r="BV330" i="6" a="1"/>
  <c r="BV141" i="6" a="1"/>
  <c r="BL397" i="6" a="1"/>
  <c r="BV451" i="6" a="1"/>
  <c r="BL285" i="6" a="1"/>
  <c r="BL484" i="6" a="1"/>
  <c r="BV243" i="6" a="1"/>
  <c r="BV228" i="6" a="1"/>
  <c r="BL409" i="6" a="1"/>
  <c r="BV286" i="6" a="1"/>
  <c r="BV285" i="6" a="1"/>
  <c r="BL454" i="6" a="1"/>
  <c r="BL111" i="6" a="1"/>
  <c r="BV262" i="6" a="1"/>
  <c r="BV28" i="6" a="1"/>
  <c r="BV382" i="6" a="1"/>
  <c r="BV397" i="6" a="1"/>
  <c r="BL226" i="6" a="1"/>
  <c r="BV114" i="6" a="1"/>
  <c r="BV207" i="6" a="1"/>
  <c r="BL297" i="6" a="1"/>
  <c r="BV316" i="6" a="1"/>
  <c r="BL342" i="6" a="1"/>
  <c r="BL298" i="6" a="1"/>
  <c r="BL46" i="6" a="1"/>
  <c r="BV343" i="6" a="1"/>
  <c r="BV261" i="6" a="1"/>
  <c r="BL99" i="6" a="1"/>
  <c r="L53" i="6" a="1"/>
  <c r="BE251" i="6" l="1"/>
  <c r="BF251" i="6" s="1"/>
  <c r="BE69" i="6"/>
  <c r="BF69" i="6" s="1"/>
  <c r="BE157" i="6"/>
  <c r="BF157" i="6" s="1"/>
  <c r="BE257" i="6"/>
  <c r="BF257" i="6" s="1"/>
  <c r="BE261" i="6"/>
  <c r="BF261" i="6" s="1"/>
  <c r="BE111" i="6"/>
  <c r="BF111" i="6" s="1"/>
  <c r="BE112" i="6"/>
  <c r="BF112" i="6" s="1"/>
  <c r="BE302" i="6"/>
  <c r="BF302" i="6" s="1"/>
  <c r="BE126" i="6"/>
  <c r="BF126" i="6" s="1"/>
  <c r="BE306" i="6"/>
  <c r="BF306" i="6" s="1"/>
  <c r="BE80" i="6"/>
  <c r="BF80" i="6" s="1"/>
  <c r="BE210" i="6"/>
  <c r="BF210" i="6" s="1"/>
  <c r="BE92" i="6"/>
  <c r="BF92" i="6" s="1"/>
  <c r="BE513" i="6"/>
  <c r="BF513" i="6" s="1"/>
  <c r="BE93" i="6"/>
  <c r="BF93" i="6" s="1"/>
  <c r="BE549" i="6"/>
  <c r="BF549" i="6" s="1"/>
  <c r="BE425" i="6"/>
  <c r="BF425" i="6" s="1"/>
  <c r="BE219" i="6"/>
  <c r="BF219" i="6" s="1"/>
  <c r="BE396" i="6"/>
  <c r="BF396" i="6" s="1"/>
  <c r="BE367" i="6"/>
  <c r="BF367" i="6" s="1"/>
  <c r="BE199" i="6"/>
  <c r="BF199" i="6" s="1"/>
  <c r="BE74" i="6"/>
  <c r="BF74" i="6" s="1"/>
  <c r="BE196" i="6"/>
  <c r="BF196" i="6" s="1"/>
  <c r="CB377" i="6"/>
  <c r="CC377" i="6" s="1"/>
  <c r="BE205" i="6"/>
  <c r="BF205" i="6" s="1"/>
  <c r="BE43" i="6"/>
  <c r="BF43" i="6" s="1"/>
  <c r="BE321" i="6"/>
  <c r="BF321" i="6" s="1"/>
  <c r="BE494" i="6"/>
  <c r="BF494" i="6" s="1"/>
  <c r="BE171" i="6"/>
  <c r="BF171" i="6" s="1"/>
  <c r="BE378" i="6"/>
  <c r="BF378" i="6" s="1"/>
  <c r="BE518" i="6"/>
  <c r="BF518" i="6" s="1"/>
  <c r="BE345" i="6"/>
  <c r="BF345" i="6" s="1"/>
  <c r="CB389" i="6"/>
  <c r="CC389" i="6" s="1"/>
  <c r="BE288" i="6"/>
  <c r="BF288" i="6" s="1"/>
  <c r="BE472" i="6"/>
  <c r="BF472" i="6" s="1"/>
  <c r="BE287" i="6"/>
  <c r="BF287" i="6" s="1"/>
  <c r="BE37" i="6"/>
  <c r="BF37" i="6" s="1"/>
  <c r="BE435" i="6"/>
  <c r="BF435" i="6" s="1"/>
  <c r="BE201" i="6"/>
  <c r="BF201" i="6" s="1"/>
  <c r="BY239" i="6"/>
  <c r="BZ239" i="6" s="1"/>
  <c r="CB221" i="6"/>
  <c r="CC221" i="6" s="1"/>
  <c r="CB191" i="6"/>
  <c r="CC191" i="6" s="1"/>
  <c r="CB266" i="6"/>
  <c r="CC266" i="6" s="1"/>
  <c r="CB443" i="6"/>
  <c r="CC443" i="6" s="1"/>
  <c r="BY509" i="6"/>
  <c r="BZ509" i="6" s="1"/>
  <c r="CB347" i="6"/>
  <c r="CC347" i="6" s="1"/>
  <c r="BY59" i="6"/>
  <c r="BZ59" i="6" s="1"/>
  <c r="CB551" i="6"/>
  <c r="CC551" i="6" s="1"/>
  <c r="BY521" i="6"/>
  <c r="BZ521" i="6" s="1"/>
  <c r="CB497" i="6"/>
  <c r="CC497" i="6" s="1"/>
  <c r="BO38" i="6"/>
  <c r="BP38" i="6" s="1"/>
  <c r="BE470" i="6"/>
  <c r="BF470" i="6" s="1"/>
  <c r="BO59" i="6"/>
  <c r="BP59" i="6" s="1"/>
  <c r="BE485" i="6"/>
  <c r="BF485" i="6" s="1"/>
  <c r="BE512" i="6"/>
  <c r="BF512" i="6" s="1"/>
  <c r="BE344" i="6"/>
  <c r="BF344" i="6" s="1"/>
  <c r="BE326" i="6"/>
  <c r="BF326" i="6" s="1"/>
  <c r="BE308" i="6"/>
  <c r="BF308" i="6" s="1"/>
  <c r="BY470" i="6"/>
  <c r="BZ470" i="6" s="1"/>
  <c r="BY92" i="6"/>
  <c r="BZ92" i="6" s="1"/>
  <c r="BO500" i="6"/>
  <c r="BP500" i="6" s="1"/>
  <c r="CB446" i="6"/>
  <c r="CC446" i="6" s="1"/>
  <c r="BE376" i="6"/>
  <c r="BF376" i="6" s="1"/>
  <c r="BE269" i="6"/>
  <c r="BF269" i="6" s="1"/>
  <c r="BE291" i="6"/>
  <c r="BF291" i="6" s="1"/>
  <c r="BE296" i="6"/>
  <c r="BF296" i="6" s="1"/>
  <c r="BE310" i="6"/>
  <c r="BF310" i="6" s="1"/>
  <c r="BE471" i="6"/>
  <c r="BF471" i="6" s="1"/>
  <c r="BE33" i="6"/>
  <c r="BF33" i="6" s="1"/>
  <c r="BE427" i="6"/>
  <c r="BF427" i="6" s="1"/>
  <c r="BE476" i="6"/>
  <c r="BF476" i="6" s="1"/>
  <c r="BE500" i="6"/>
  <c r="BF500" i="6" s="1"/>
  <c r="BE225" i="6"/>
  <c r="BF225" i="6" s="1"/>
  <c r="BE409" i="6"/>
  <c r="BF409" i="6" s="1"/>
  <c r="BE473" i="6"/>
  <c r="BF473" i="6" s="1"/>
  <c r="BE529" i="6"/>
  <c r="BF529" i="6" s="1"/>
  <c r="BE60" i="6"/>
  <c r="BF60" i="6" s="1"/>
  <c r="BE299" i="6"/>
  <c r="BF299" i="6" s="1"/>
  <c r="BE249" i="6"/>
  <c r="BF249" i="6" s="1"/>
  <c r="BE106" i="6"/>
  <c r="BF106" i="6" s="1"/>
  <c r="BO278" i="6"/>
  <c r="BP278" i="6" s="1"/>
  <c r="BY155" i="6"/>
  <c r="BZ155" i="6" s="1"/>
  <c r="BO74" i="6"/>
  <c r="BP74" i="6" s="1"/>
  <c r="BE142" i="6"/>
  <c r="BF142" i="6" s="1"/>
  <c r="BE501" i="6"/>
  <c r="BF501" i="6" s="1"/>
  <c r="BY392" i="6"/>
  <c r="BZ392" i="6" s="1"/>
  <c r="BE235" i="6"/>
  <c r="BF235" i="6" s="1"/>
  <c r="BE222" i="6"/>
  <c r="BF222" i="6" s="1"/>
  <c r="BE143" i="6"/>
  <c r="BF143" i="6" s="1"/>
  <c r="BE304" i="6"/>
  <c r="BF304" i="6" s="1"/>
  <c r="BE226" i="6"/>
  <c r="BF226" i="6" s="1"/>
  <c r="BE124" i="6"/>
  <c r="BF124" i="6" s="1"/>
  <c r="BE107" i="6"/>
  <c r="BF107" i="6" s="1"/>
  <c r="BO422" i="6"/>
  <c r="BP422" i="6" s="1"/>
  <c r="BE359" i="6"/>
  <c r="BF359" i="6" s="1"/>
  <c r="BE73" i="6"/>
  <c r="BF73" i="6" s="1"/>
  <c r="BE264" i="6"/>
  <c r="BF264" i="6" s="1"/>
  <c r="BO398" i="6"/>
  <c r="BP398" i="6" s="1"/>
  <c r="CB350" i="6"/>
  <c r="CC350" i="6" s="1"/>
  <c r="BE464" i="6"/>
  <c r="BF464" i="6" s="1"/>
  <c r="BE114" i="6"/>
  <c r="BF114" i="6" s="1"/>
  <c r="BO494" i="6"/>
  <c r="BP494" i="6" s="1"/>
  <c r="BO119" i="6"/>
  <c r="BP119" i="6" s="1"/>
  <c r="BY323" i="6"/>
  <c r="BZ323" i="6" s="1"/>
  <c r="CB251" i="6"/>
  <c r="CC251" i="6" s="1"/>
  <c r="BO86" i="6"/>
  <c r="BP86" i="6" s="1"/>
  <c r="BE443" i="6"/>
  <c r="BF443" i="6" s="1"/>
  <c r="BE162" i="6"/>
  <c r="BF162" i="6" s="1"/>
  <c r="BE335" i="6"/>
  <c r="BF335" i="6" s="1"/>
  <c r="BE546" i="6"/>
  <c r="BF546" i="6" s="1"/>
  <c r="BE530" i="6"/>
  <c r="BF530" i="6" s="1"/>
  <c r="BE195" i="6"/>
  <c r="BF195" i="6" s="1"/>
  <c r="BE550" i="6"/>
  <c r="BF550" i="6" s="1"/>
  <c r="BE277" i="6"/>
  <c r="BF277" i="6" s="1"/>
  <c r="BE284" i="6"/>
  <c r="BF284" i="6" s="1"/>
  <c r="BE509" i="6"/>
  <c r="BF509" i="6" s="1"/>
  <c r="BE213" i="6"/>
  <c r="BF213" i="6" s="1"/>
  <c r="BE48" i="6"/>
  <c r="BF48" i="6" s="1"/>
  <c r="BE203" i="6"/>
  <c r="BF203" i="6" s="1"/>
  <c r="BE59" i="6"/>
  <c r="BF59" i="6" s="1"/>
  <c r="BE533" i="6"/>
  <c r="BF533" i="6" s="1"/>
  <c r="BE536" i="6"/>
  <c r="BF536" i="6" s="1"/>
  <c r="BE197" i="6"/>
  <c r="BF197" i="6" s="1"/>
  <c r="BE441" i="6"/>
  <c r="BF441" i="6" s="1"/>
  <c r="BE486" i="6"/>
  <c r="BF486" i="6" s="1"/>
  <c r="BE502" i="6"/>
  <c r="BF502" i="6" s="1"/>
  <c r="BE406" i="6"/>
  <c r="BF406" i="6" s="1"/>
  <c r="BE292" i="6"/>
  <c r="BF292" i="6" s="1"/>
  <c r="BE491" i="6"/>
  <c r="BF491" i="6" s="1"/>
  <c r="BE449" i="6"/>
  <c r="BF449" i="6" s="1"/>
  <c r="BE289" i="6"/>
  <c r="BF289" i="6" s="1"/>
  <c r="BE229" i="6"/>
  <c r="BF229" i="6" s="1"/>
  <c r="BE320" i="6"/>
  <c r="BF320" i="6" s="1"/>
  <c r="BE204" i="6"/>
  <c r="BF204" i="6" s="1"/>
  <c r="BE317" i="6"/>
  <c r="BF317" i="6" s="1"/>
  <c r="BE318" i="6"/>
  <c r="BF318" i="6" s="1"/>
  <c r="BE258" i="6"/>
  <c r="BF258" i="6" s="1"/>
  <c r="BE384" i="6"/>
  <c r="BF384" i="6" s="1"/>
  <c r="BY122" i="6"/>
  <c r="BZ122" i="6" s="1"/>
  <c r="CB32" i="6"/>
  <c r="CC32" i="6" s="1"/>
  <c r="CB473" i="6"/>
  <c r="CC473" i="6" s="1"/>
  <c r="BY335" i="6"/>
  <c r="BZ335" i="6" s="1"/>
  <c r="BO323" i="6"/>
  <c r="BP323" i="6" s="1"/>
  <c r="CB431" i="6"/>
  <c r="CC431" i="6" s="1"/>
  <c r="CB500" i="6"/>
  <c r="CC500" i="6" s="1"/>
  <c r="BY473" i="6"/>
  <c r="BZ473" i="6" s="1"/>
  <c r="BY563" i="6"/>
  <c r="BZ563" i="6" s="1"/>
  <c r="BY527" i="6"/>
  <c r="BZ527" i="6" s="1"/>
  <c r="CB176" i="6"/>
  <c r="CC176" i="6" s="1"/>
  <c r="BY431" i="6"/>
  <c r="BZ431" i="6" s="1"/>
  <c r="CB383" i="6"/>
  <c r="CC383" i="6" s="1"/>
  <c r="BY101" i="6"/>
  <c r="BZ101" i="6" s="1"/>
  <c r="BO485" i="6"/>
  <c r="BP485" i="6" s="1"/>
  <c r="BY338" i="6"/>
  <c r="BZ338" i="6" s="1"/>
  <c r="BO551" i="6"/>
  <c r="BP551" i="6" s="1"/>
  <c r="CB125" i="6"/>
  <c r="CC125" i="6" s="1"/>
  <c r="CB158" i="6"/>
  <c r="CC158" i="6" s="1"/>
  <c r="BO554" i="6"/>
  <c r="BP554" i="6" s="1"/>
  <c r="BO335" i="6"/>
  <c r="BP335" i="6" s="1"/>
  <c r="CB338" i="6"/>
  <c r="CC338" i="6" s="1"/>
  <c r="BO383" i="6"/>
  <c r="BP383" i="6" s="1"/>
  <c r="BO206" i="6"/>
  <c r="BP206" i="6" s="1"/>
  <c r="BY383" i="6"/>
  <c r="BZ383" i="6" s="1"/>
  <c r="BO200" i="6"/>
  <c r="BP200" i="6" s="1"/>
  <c r="BY89" i="6"/>
  <c r="BZ89" i="6" s="1"/>
  <c r="CB101" i="6"/>
  <c r="CC101" i="6" s="1"/>
  <c r="BY104" i="6"/>
  <c r="BZ104" i="6" s="1"/>
  <c r="BO356" i="6"/>
  <c r="BP356" i="6" s="1"/>
  <c r="BO245" i="6"/>
  <c r="BP245" i="6" s="1"/>
  <c r="CB71" i="6"/>
  <c r="CC71" i="6" s="1"/>
  <c r="CB512" i="6"/>
  <c r="CC512" i="6" s="1"/>
  <c r="BL99" i="6"/>
  <c r="BV261" i="6"/>
  <c r="BV343" i="6"/>
  <c r="BL46" i="6"/>
  <c r="BL298" i="6"/>
  <c r="BL342" i="6"/>
  <c r="BY342" i="6" s="1"/>
  <c r="BZ342" i="6" s="1"/>
  <c r="BV316" i="6"/>
  <c r="BL297" i="6"/>
  <c r="BY297" i="6" s="1"/>
  <c r="BZ297" i="6" s="1"/>
  <c r="BV207" i="6"/>
  <c r="BV114" i="6"/>
  <c r="BL226" i="6"/>
  <c r="BV397" i="6"/>
  <c r="BO397" i="6" s="1"/>
  <c r="BP397" i="6" s="1"/>
  <c r="BV382" i="6"/>
  <c r="BV28" i="6"/>
  <c r="BV262" i="6"/>
  <c r="BL111" i="6"/>
  <c r="BL454" i="6"/>
  <c r="BV285" i="6"/>
  <c r="BV286" i="6"/>
  <c r="BL409" i="6"/>
  <c r="BV228" i="6"/>
  <c r="BV243" i="6"/>
  <c r="BO243" i="6" s="1"/>
  <c r="BP243" i="6" s="1"/>
  <c r="BL484" i="6"/>
  <c r="BL285" i="6"/>
  <c r="BY285" i="6" s="1"/>
  <c r="BZ285" i="6" s="1"/>
  <c r="BV451" i="6"/>
  <c r="BL397" i="6"/>
  <c r="BV141" i="6"/>
  <c r="BV330" i="6"/>
  <c r="BO330" i="6" s="1"/>
  <c r="BP330" i="6" s="1"/>
  <c r="BV88" i="6"/>
  <c r="BL112" i="6"/>
  <c r="BL174" i="6"/>
  <c r="BV280" i="6"/>
  <c r="BV147" i="6"/>
  <c r="BV511" i="6"/>
  <c r="BL91" i="6"/>
  <c r="BV298" i="6"/>
  <c r="BL27" i="6"/>
  <c r="BL373" i="6"/>
  <c r="BY373" i="6" s="1"/>
  <c r="BZ373" i="6" s="1"/>
  <c r="BL114" i="6"/>
  <c r="BL211" i="6"/>
  <c r="BY211" i="6" s="1"/>
  <c r="BZ211" i="6" s="1"/>
  <c r="BL172" i="6"/>
  <c r="BV94" i="6"/>
  <c r="BV259" i="6"/>
  <c r="BV237" i="6"/>
  <c r="BO237" i="6" s="1"/>
  <c r="BP237" i="6" s="1"/>
  <c r="BL258" i="6"/>
  <c r="BL115" i="6"/>
  <c r="BV427" i="6"/>
  <c r="BL552" i="6"/>
  <c r="BV313" i="6"/>
  <c r="BV463" i="6"/>
  <c r="BV513" i="6"/>
  <c r="BV468" i="6"/>
  <c r="BL105" i="6"/>
  <c r="BL219" i="6"/>
  <c r="BY219" i="6" s="1"/>
  <c r="BZ219" i="6" s="1"/>
  <c r="BL133" i="6"/>
  <c r="BV361" i="6"/>
  <c r="BO361" i="6" s="1"/>
  <c r="BP361" i="6" s="1"/>
  <c r="BV547" i="6"/>
  <c r="BV292" i="6"/>
  <c r="BV112" i="6"/>
  <c r="BL550" i="6"/>
  <c r="BY550" i="6" s="1"/>
  <c r="BZ550" i="6" s="1"/>
  <c r="BL295" i="6"/>
  <c r="BL367" i="6"/>
  <c r="BL202" i="6"/>
  <c r="BV321" i="6"/>
  <c r="BV499" i="6"/>
  <c r="BV535" i="6"/>
  <c r="BL34" i="6"/>
  <c r="BL186" i="6"/>
  <c r="BV33" i="6"/>
  <c r="BV346" i="6"/>
  <c r="BO346" i="6" s="1"/>
  <c r="BP346" i="6" s="1"/>
  <c r="BV180" i="6"/>
  <c r="BV432" i="6"/>
  <c r="BO432" i="6" s="1"/>
  <c r="BP432" i="6" s="1"/>
  <c r="BV241" i="6"/>
  <c r="BV42" i="6"/>
  <c r="BV289" i="6"/>
  <c r="BL381" i="6"/>
  <c r="BY381" i="6" s="1"/>
  <c r="BZ381" i="6" s="1"/>
  <c r="BV157" i="6"/>
  <c r="BL292" i="6"/>
  <c r="BL357" i="6"/>
  <c r="BV439" i="6"/>
  <c r="CB439" i="6" s="1"/>
  <c r="CC439" i="6" s="1"/>
  <c r="BV565" i="6"/>
  <c r="BL234" i="6"/>
  <c r="BV105" i="6"/>
  <c r="BV442" i="6"/>
  <c r="BL313" i="6"/>
  <c r="BL505" i="6"/>
  <c r="BY505" i="6" s="1"/>
  <c r="BZ505" i="6" s="1"/>
  <c r="BV85" i="6"/>
  <c r="BV349" i="6"/>
  <c r="BO349" i="6" s="1"/>
  <c r="BP349" i="6" s="1"/>
  <c r="BL490" i="6"/>
  <c r="BV255" i="6"/>
  <c r="BL136" i="6"/>
  <c r="BL561" i="6"/>
  <c r="BY561" i="6" s="1"/>
  <c r="BZ561" i="6" s="1"/>
  <c r="BV390" i="6"/>
  <c r="BV99" i="6"/>
  <c r="BL529" i="6"/>
  <c r="BV504" i="6"/>
  <c r="BL261" i="6"/>
  <c r="BV324" i="6"/>
  <c r="BV450" i="6"/>
  <c r="BV379" i="6"/>
  <c r="BL175" i="6"/>
  <c r="BV424" i="6"/>
  <c r="BO424" i="6" s="1"/>
  <c r="BP424" i="6" s="1"/>
  <c r="BL495" i="6"/>
  <c r="BV274" i="6"/>
  <c r="BO274" i="6" s="1"/>
  <c r="BP274" i="6" s="1"/>
  <c r="BV256" i="6"/>
  <c r="BV273" i="6"/>
  <c r="BL498" i="6"/>
  <c r="BV375" i="6"/>
  <c r="BO375" i="6" s="1"/>
  <c r="BP375" i="6" s="1"/>
  <c r="BV244" i="6"/>
  <c r="BV307" i="6"/>
  <c r="BL97" i="6"/>
  <c r="BL279" i="6"/>
  <c r="BV415" i="6"/>
  <c r="BV238" i="6"/>
  <c r="BV159" i="6"/>
  <c r="BV199" i="6"/>
  <c r="BV129" i="6"/>
  <c r="BV55" i="6"/>
  <c r="BO55" i="6" s="1"/>
  <c r="BP55" i="6" s="1"/>
  <c r="BV82" i="6"/>
  <c r="BL87" i="6"/>
  <c r="BY87" i="6" s="1"/>
  <c r="BZ87" i="6" s="1"/>
  <c r="BL432" i="6"/>
  <c r="BL255" i="6"/>
  <c r="BL259" i="6"/>
  <c r="BL382" i="6"/>
  <c r="BY382" i="6" s="1"/>
  <c r="BZ382" i="6" s="1"/>
  <c r="BL385" i="6"/>
  <c r="BV436" i="6"/>
  <c r="BV162" i="6"/>
  <c r="BL501" i="6"/>
  <c r="BL439" i="6"/>
  <c r="BL42" i="6"/>
  <c r="BL436" i="6"/>
  <c r="BL223" i="6"/>
  <c r="BL522" i="6"/>
  <c r="BL487" i="6"/>
  <c r="BY487" i="6" s="1"/>
  <c r="BZ487" i="6" s="1"/>
  <c r="BV538" i="6"/>
  <c r="BV73" i="6"/>
  <c r="BO73" i="6" s="1"/>
  <c r="BP73" i="6" s="1"/>
  <c r="BV559" i="6"/>
  <c r="BL316" i="6"/>
  <c r="BV366" i="6"/>
  <c r="BV319" i="6"/>
  <c r="BO319" i="6" s="1"/>
  <c r="BP319" i="6" s="1"/>
  <c r="BV465" i="6"/>
  <c r="BL489" i="6"/>
  <c r="BL100" i="6"/>
  <c r="BV61" i="6"/>
  <c r="BV403" i="6"/>
  <c r="BL208" i="6"/>
  <c r="BL283" i="6"/>
  <c r="BL189" i="6"/>
  <c r="BV232" i="6"/>
  <c r="BL303" i="6"/>
  <c r="BY303" i="6" s="1"/>
  <c r="BZ303" i="6" s="1"/>
  <c r="BL190" i="6"/>
  <c r="BV177" i="6"/>
  <c r="BO177" i="6" s="1"/>
  <c r="BP177" i="6" s="1"/>
  <c r="BV214" i="6"/>
  <c r="BV301" i="6"/>
  <c r="BV117" i="6"/>
  <c r="BL378" i="6"/>
  <c r="BY378" i="6" s="1"/>
  <c r="BZ378" i="6" s="1"/>
  <c r="BL331" i="6"/>
  <c r="BV492" i="6"/>
  <c r="BV501" i="6"/>
  <c r="BL144" i="6"/>
  <c r="BV567" i="6"/>
  <c r="BV51" i="6"/>
  <c r="BL150" i="6"/>
  <c r="BV510" i="6"/>
  <c r="BV556" i="6"/>
  <c r="BL345" i="6"/>
  <c r="BY345" i="6" s="1"/>
  <c r="BZ345" i="6" s="1"/>
  <c r="BV568" i="6"/>
  <c r="BV481" i="6"/>
  <c r="BO481" i="6" s="1"/>
  <c r="BP481" i="6" s="1"/>
  <c r="BV541" i="6"/>
  <c r="BL127" i="6"/>
  <c r="BV196" i="6"/>
  <c r="BV166" i="6"/>
  <c r="BO166" i="6" s="1"/>
  <c r="BP166" i="6" s="1"/>
  <c r="BL330" i="6"/>
  <c r="BV169" i="6"/>
  <c r="BL147" i="6"/>
  <c r="BL426" i="6"/>
  <c r="BV355" i="6"/>
  <c r="BV268" i="6"/>
  <c r="BV460" i="6"/>
  <c r="BL109" i="6"/>
  <c r="BV430" i="6"/>
  <c r="BL411" i="6"/>
  <c r="BY411" i="6" s="1"/>
  <c r="BZ411" i="6" s="1"/>
  <c r="BL244" i="6"/>
  <c r="BL435" i="6"/>
  <c r="BY435" i="6" s="1"/>
  <c r="BZ435" i="6" s="1"/>
  <c r="BL120" i="6"/>
  <c r="BV471" i="6"/>
  <c r="BV240" i="6"/>
  <c r="BL198" i="6"/>
  <c r="BY198" i="6" s="1"/>
  <c r="BZ198" i="6" s="1"/>
  <c r="BL496" i="6"/>
  <c r="BL75" i="6"/>
  <c r="BV225" i="6"/>
  <c r="BL222" i="6"/>
  <c r="BV546" i="6"/>
  <c r="BL271" i="6"/>
  <c r="BL339" i="6"/>
  <c r="BV300" i="6"/>
  <c r="BL180" i="6"/>
  <c r="BV489" i="6"/>
  <c r="BO489" i="6" s="1"/>
  <c r="BP489" i="6" s="1"/>
  <c r="BV429" i="6"/>
  <c r="BV276" i="6"/>
  <c r="BO276" i="6" s="1"/>
  <c r="BP276" i="6" s="1"/>
  <c r="BL45" i="6"/>
  <c r="BL387" i="6"/>
  <c r="BL480" i="6"/>
  <c r="BL141" i="6"/>
  <c r="BY141" i="6" s="1"/>
  <c r="BZ141" i="6" s="1"/>
  <c r="BV406" i="6"/>
  <c r="BV93" i="6"/>
  <c r="BV271" i="6"/>
  <c r="BV328" i="6"/>
  <c r="BV358" i="6"/>
  <c r="BV529" i="6"/>
  <c r="BV235" i="6"/>
  <c r="BL253" i="6"/>
  <c r="BL30" i="6"/>
  <c r="BV172" i="6"/>
  <c r="CB172" i="6" s="1"/>
  <c r="CC172" i="6" s="1"/>
  <c r="BL132" i="6"/>
  <c r="BV522" i="6"/>
  <c r="CB522" i="6" s="1"/>
  <c r="CC522" i="6" s="1"/>
  <c r="BV30" i="6"/>
  <c r="BV399" i="6"/>
  <c r="BV421" i="6"/>
  <c r="BL66" i="6"/>
  <c r="BY66" i="6" s="1"/>
  <c r="BZ66" i="6" s="1"/>
  <c r="BL265" i="6"/>
  <c r="BV294" i="6"/>
  <c r="BV400" i="6"/>
  <c r="BL340" i="6"/>
  <c r="BV171" i="6"/>
  <c r="BV378" i="6"/>
  <c r="BL562" i="6"/>
  <c r="BV57" i="6"/>
  <c r="BL193" i="6"/>
  <c r="BL337" i="6"/>
  <c r="BY337" i="6" s="1"/>
  <c r="BZ337" i="6" s="1"/>
  <c r="BL336" i="6"/>
  <c r="BV562" i="6"/>
  <c r="CB562" i="6" s="1"/>
  <c r="CC562" i="6" s="1"/>
  <c r="BL408" i="6"/>
  <c r="BV505" i="6"/>
  <c r="BV438" i="6"/>
  <c r="BV190" i="6"/>
  <c r="BO190" i="6" s="1"/>
  <c r="BP190" i="6" s="1"/>
  <c r="BV249" i="6"/>
  <c r="BL309" i="6"/>
  <c r="BV219" i="6"/>
  <c r="BV163" i="6"/>
  <c r="BV84" i="6"/>
  <c r="BV46" i="6"/>
  <c r="CB46" i="6" s="1"/>
  <c r="CC46" i="6" s="1"/>
  <c r="BL196" i="6"/>
  <c r="BV352" i="6"/>
  <c r="BL126" i="6"/>
  <c r="BL192" i="6"/>
  <c r="BY192" i="6" s="1"/>
  <c r="BZ192" i="6" s="1"/>
  <c r="BV345" i="6"/>
  <c r="BL148" i="6"/>
  <c r="BY148" i="6" s="1"/>
  <c r="BZ148" i="6" s="1"/>
  <c r="BL204" i="6"/>
  <c r="BV193" i="6"/>
  <c r="CB193" i="6" s="1"/>
  <c r="CC193" i="6" s="1"/>
  <c r="BV550" i="6"/>
  <c r="BV115" i="6"/>
  <c r="CB115" i="6" s="1"/>
  <c r="CC115" i="6" s="1"/>
  <c r="BL534" i="6"/>
  <c r="BL553" i="6"/>
  <c r="BV136" i="6"/>
  <c r="CB136" i="6" s="1"/>
  <c r="CC136" i="6" s="1"/>
  <c r="BL270" i="6"/>
  <c r="BL375" i="6"/>
  <c r="BV195" i="6"/>
  <c r="BV459" i="6"/>
  <c r="BV39" i="6"/>
  <c r="BL294" i="6"/>
  <c r="BV408" i="6"/>
  <c r="BO408" i="6" s="1"/>
  <c r="BP408" i="6" s="1"/>
  <c r="BL351" i="6"/>
  <c r="BL231" i="6"/>
  <c r="BY231" i="6" s="1"/>
  <c r="BZ231" i="6" s="1"/>
  <c r="BV435" i="6"/>
  <c r="BL267" i="6"/>
  <c r="BV555" i="6"/>
  <c r="BL67" i="6"/>
  <c r="BY67" i="6" s="1"/>
  <c r="BZ67" i="6" s="1"/>
  <c r="BL154" i="6"/>
  <c r="BV376" i="6"/>
  <c r="BV310" i="6"/>
  <c r="BV351" i="6"/>
  <c r="CB351" i="6" s="1"/>
  <c r="CC351" i="6" s="1"/>
  <c r="BV336" i="6"/>
  <c r="BL135" i="6"/>
  <c r="BL268" i="6"/>
  <c r="BV43" i="6"/>
  <c r="BL94" i="6"/>
  <c r="BL502" i="6"/>
  <c r="BY502" i="6" s="1"/>
  <c r="BZ502" i="6" s="1"/>
  <c r="BL216" i="6"/>
  <c r="BL540" i="6"/>
  <c r="BY540" i="6" s="1"/>
  <c r="BZ540" i="6" s="1"/>
  <c r="BV303" i="6"/>
  <c r="BV283" i="6"/>
  <c r="CB283" i="6" s="1"/>
  <c r="CC283" i="6" s="1"/>
  <c r="BV340" i="6"/>
  <c r="BV226" i="6"/>
  <c r="CB226" i="6" s="1"/>
  <c r="CC226" i="6" s="1"/>
  <c r="BV337" i="6"/>
  <c r="BV75" i="6"/>
  <c r="CB75" i="6" s="1"/>
  <c r="CC75" i="6" s="1"/>
  <c r="BV118" i="6"/>
  <c r="BL400" i="6"/>
  <c r="BL33" i="6"/>
  <c r="BV91" i="6"/>
  <c r="CB91" i="6" s="1"/>
  <c r="CC91" i="6" s="1"/>
  <c r="BV405" i="6"/>
  <c r="BL361" i="6"/>
  <c r="BL205" i="6"/>
  <c r="BV414" i="6"/>
  <c r="BO414" i="6" s="1"/>
  <c r="BP414" i="6" s="1"/>
  <c r="BL334" i="6"/>
  <c r="BL52" i="6"/>
  <c r="BY52" i="6" s="1"/>
  <c r="BZ52" i="6" s="1"/>
  <c r="BL79" i="6"/>
  <c r="BV520" i="6"/>
  <c r="BV108" i="6"/>
  <c r="BL414" i="6"/>
  <c r="BY414" i="6" s="1"/>
  <c r="BZ414" i="6" s="1"/>
  <c r="BL84" i="6"/>
  <c r="BV201" i="6"/>
  <c r="BV234" i="6"/>
  <c r="CB234" i="6" s="1"/>
  <c r="CC234" i="6" s="1"/>
  <c r="BV120" i="6"/>
  <c r="CB120" i="6" s="1"/>
  <c r="CC120" i="6" s="1"/>
  <c r="BV484" i="6"/>
  <c r="CB484" i="6" s="1"/>
  <c r="CC484" i="6" s="1"/>
  <c r="BL184" i="6"/>
  <c r="BL355" i="6"/>
  <c r="BV553" i="6"/>
  <c r="BV388" i="6"/>
  <c r="BV87" i="6"/>
  <c r="BO87" i="6" s="1"/>
  <c r="BP87" i="6" s="1"/>
  <c r="BL31" i="6"/>
  <c r="BV58" i="6"/>
  <c r="BO58" i="6" s="1"/>
  <c r="BP58" i="6" s="1"/>
  <c r="BV208" i="6"/>
  <c r="BL448" i="6"/>
  <c r="BL565" i="6"/>
  <c r="BV448" i="6"/>
  <c r="BO448" i="6" s="1"/>
  <c r="BP448" i="6" s="1"/>
  <c r="BV447" i="6"/>
  <c r="BV544" i="6"/>
  <c r="BL478" i="6"/>
  <c r="BL544" i="6"/>
  <c r="BL417" i="6"/>
  <c r="BL507" i="6"/>
  <c r="BL64" i="6"/>
  <c r="BL424" i="6"/>
  <c r="BL538" i="6"/>
  <c r="BV250" i="6"/>
  <c r="BO250" i="6" s="1"/>
  <c r="BP250" i="6" s="1"/>
  <c r="BV498" i="6"/>
  <c r="CB498" i="6" s="1"/>
  <c r="CC498" i="6" s="1"/>
  <c r="BL559" i="6"/>
  <c r="BY559" i="6" s="1"/>
  <c r="BZ559" i="6" s="1"/>
  <c r="BL474" i="6"/>
  <c r="BV247" i="6"/>
  <c r="BL142" i="6"/>
  <c r="BV469" i="6"/>
  <c r="BV444" i="6"/>
  <c r="BV549" i="6"/>
  <c r="BV445" i="6"/>
  <c r="BV552" i="6"/>
  <c r="CB552" i="6" s="1"/>
  <c r="CC552" i="6" s="1"/>
  <c r="BL349" i="6"/>
  <c r="BV534" i="6"/>
  <c r="CB534" i="6" s="1"/>
  <c r="CC534" i="6" s="1"/>
  <c r="BL324" i="6"/>
  <c r="BV223" i="6"/>
  <c r="CB223" i="6" s="1"/>
  <c r="CC223" i="6" s="1"/>
  <c r="BV121" i="6"/>
  <c r="BL393" i="6"/>
  <c r="BY393" i="6" s="1"/>
  <c r="BZ393" i="6" s="1"/>
  <c r="BV364" i="6"/>
  <c r="BV45" i="6"/>
  <c r="CB45" i="6" s="1"/>
  <c r="CC45" i="6" s="1"/>
  <c r="BL451" i="6"/>
  <c r="BV312" i="6"/>
  <c r="BL178" i="6"/>
  <c r="BV222" i="6"/>
  <c r="CB222" i="6" s="1"/>
  <c r="CC222" i="6" s="1"/>
  <c r="BL57" i="6"/>
  <c r="BV369" i="6"/>
  <c r="BV81" i="6"/>
  <c r="BV496" i="6"/>
  <c r="CB496" i="6" s="1"/>
  <c r="CC496" i="6" s="1"/>
  <c r="BL48" i="6"/>
  <c r="BL157" i="6"/>
  <c r="BL183" i="6"/>
  <c r="BL291" i="6"/>
  <c r="BV246" i="6"/>
  <c r="BL327" i="6"/>
  <c r="BY327" i="6" s="1"/>
  <c r="BZ327" i="6" s="1"/>
  <c r="BL169" i="6"/>
  <c r="BV288" i="6"/>
  <c r="BO288" i="6" s="1"/>
  <c r="BP288" i="6" s="1"/>
  <c r="BL307" i="6"/>
  <c r="BL508" i="6"/>
  <c r="BL555" i="6"/>
  <c r="BV412" i="6"/>
  <c r="BO412" i="6" s="1"/>
  <c r="BP412" i="6" s="1"/>
  <c r="BV174" i="6"/>
  <c r="CB174" i="6" s="1"/>
  <c r="CC174" i="6" s="1"/>
  <c r="BV517" i="6"/>
  <c r="BL346" i="6"/>
  <c r="BL139" i="6"/>
  <c r="BV543" i="6"/>
  <c r="BL441" i="6"/>
  <c r="BV370" i="6"/>
  <c r="BL118" i="6"/>
  <c r="BL60" i="6"/>
  <c r="BL117" i="6"/>
  <c r="BY117" i="6" s="1"/>
  <c r="BZ117" i="6" s="1"/>
  <c r="BL301" i="6"/>
  <c r="BV70" i="6"/>
  <c r="BO70" i="6" s="1"/>
  <c r="BP70" i="6" s="1"/>
  <c r="BV318" i="6"/>
  <c r="BV472" i="6"/>
  <c r="BL549" i="6"/>
  <c r="BL51" i="6"/>
  <c r="BY51" i="6" s="1"/>
  <c r="BZ51" i="6" s="1"/>
  <c r="BV322" i="6"/>
  <c r="BL567" i="6"/>
  <c r="BL541" i="6"/>
  <c r="BV394" i="6"/>
  <c r="BL384" i="6"/>
  <c r="BV384" i="6"/>
  <c r="BL58" i="6"/>
  <c r="BL238" i="6"/>
  <c r="BV64" i="6"/>
  <c r="BV31" i="6"/>
  <c r="CB31" i="6" s="1"/>
  <c r="CC31" i="6" s="1"/>
  <c r="BV181" i="6"/>
  <c r="BL130" i="6"/>
  <c r="BY130" i="6" s="1"/>
  <c r="BZ130" i="6" s="1"/>
  <c r="BL207" i="6"/>
  <c r="BV184" i="6"/>
  <c r="CB184" i="6" s="1"/>
  <c r="CC184" i="6" s="1"/>
  <c r="BV279" i="6"/>
  <c r="CB279" i="6" s="1"/>
  <c r="CC279" i="6" s="1"/>
  <c r="BL237" i="6"/>
  <c r="BY237" i="6" s="1"/>
  <c r="BZ237" i="6" s="1"/>
  <c r="BL391" i="6"/>
  <c r="BV508" i="6"/>
  <c r="BL39" i="6"/>
  <c r="BV478" i="6"/>
  <c r="BV34" i="6"/>
  <c r="CB34" i="6" s="1"/>
  <c r="CC34" i="6" s="1"/>
  <c r="BL61" i="6"/>
  <c r="BV160" i="6"/>
  <c r="BV477" i="6"/>
  <c r="BL63" i="6"/>
  <c r="BV331" i="6"/>
  <c r="CB331" i="6" s="1"/>
  <c r="CC331" i="6" s="1"/>
  <c r="BV49" i="6"/>
  <c r="BL76" i="6"/>
  <c r="BY76" i="6" s="1"/>
  <c r="BZ76" i="6" s="1"/>
  <c r="BL121" i="6"/>
  <c r="BV493" i="6"/>
  <c r="BL228" i="6"/>
  <c r="BL462" i="6"/>
  <c r="BY462" i="6" s="1"/>
  <c r="BZ462" i="6" s="1"/>
  <c r="BV78" i="6"/>
  <c r="BV426" i="6"/>
  <c r="BV150" i="6"/>
  <c r="CB150" i="6" s="1"/>
  <c r="CC150" i="6" s="1"/>
  <c r="BL406" i="6"/>
  <c r="BV333" i="6"/>
  <c r="BV69" i="6"/>
  <c r="BL405" i="6"/>
  <c r="BL72" i="6"/>
  <c r="BL249" i="6"/>
  <c r="BL444" i="6"/>
  <c r="BY444" i="6" s="1"/>
  <c r="BZ444" i="6" s="1"/>
  <c r="BV402" i="6"/>
  <c r="BV454" i="6"/>
  <c r="CB454" i="6" s="1"/>
  <c r="CC454" i="6" s="1"/>
  <c r="BL429" i="6"/>
  <c r="BV202" i="6"/>
  <c r="CB202" i="6" s="1"/>
  <c r="CC202" i="6" s="1"/>
  <c r="BL504" i="6"/>
  <c r="BL40" i="6"/>
  <c r="BV466" i="6"/>
  <c r="BV109" i="6"/>
  <c r="CB109" i="6" s="1"/>
  <c r="CC109" i="6" s="1"/>
  <c r="BV483" i="6"/>
  <c r="BV96" i="6"/>
  <c r="BV564" i="6"/>
  <c r="BL90" i="6"/>
  <c r="BV217" i="6"/>
  <c r="BV393" i="6"/>
  <c r="BV367" i="6"/>
  <c r="CB367" i="6" s="1"/>
  <c r="CC367" i="6" s="1"/>
  <c r="BL288" i="6"/>
  <c r="BY288" i="6" s="1"/>
  <c r="BZ288" i="6" s="1"/>
  <c r="BL396" i="6"/>
  <c r="BV168" i="6"/>
  <c r="BO168" i="6" s="1"/>
  <c r="BP168" i="6" s="1"/>
  <c r="BL181" i="6"/>
  <c r="BV90" i="6"/>
  <c r="CB90" i="6" s="1"/>
  <c r="CC90" i="6" s="1"/>
  <c r="BV411" i="6"/>
  <c r="BL466" i="6"/>
  <c r="BY466" i="6" s="1"/>
  <c r="BZ466" i="6" s="1"/>
  <c r="BL486" i="6"/>
  <c r="BV145" i="6"/>
  <c r="BL225" i="6"/>
  <c r="BL220" i="6"/>
  <c r="BL475" i="6"/>
  <c r="BV267" i="6"/>
  <c r="CB267" i="6" s="1"/>
  <c r="CC267" i="6" s="1"/>
  <c r="BL390" i="6"/>
  <c r="BL54" i="6"/>
  <c r="BV372" i="6"/>
  <c r="BV205" i="6"/>
  <c r="CB205" i="6" s="1"/>
  <c r="CC205" i="6" s="1"/>
  <c r="BL37" i="6"/>
  <c r="BV423" i="6"/>
  <c r="BO423" i="6" s="1"/>
  <c r="BP423" i="6" s="1"/>
  <c r="BL217" i="6"/>
  <c r="BV126" i="6"/>
  <c r="CB126" i="6" s="1"/>
  <c r="CC126" i="6" s="1"/>
  <c r="BV306" i="6"/>
  <c r="BL526" i="6"/>
  <c r="BY526" i="6" s="1"/>
  <c r="BZ526" i="6" s="1"/>
  <c r="BL243" i="6"/>
  <c r="BL568" i="6"/>
  <c r="BV27" i="6"/>
  <c r="CB27" i="6" s="1"/>
  <c r="CC27" i="6" s="1"/>
  <c r="BV519" i="6"/>
  <c r="BL85" i="6"/>
  <c r="BV304" i="6"/>
  <c r="BV264" i="6"/>
  <c r="BV252" i="6"/>
  <c r="BV295" i="6"/>
  <c r="CB295" i="6" s="1"/>
  <c r="CC295" i="6" s="1"/>
  <c r="BV334" i="6"/>
  <c r="CB334" i="6" s="1"/>
  <c r="CC334" i="6" s="1"/>
  <c r="BV360" i="6"/>
  <c r="BL388" i="6"/>
  <c r="BY388" i="6" s="1"/>
  <c r="BZ388" i="6" s="1"/>
  <c r="BL43" i="6"/>
  <c r="BV204" i="6"/>
  <c r="CB204" i="6" s="1"/>
  <c r="CC204" i="6" s="1"/>
  <c r="BL471" i="6"/>
  <c r="BL246" i="6"/>
  <c r="BV135" i="6"/>
  <c r="CB135" i="6" s="1"/>
  <c r="CC135" i="6" s="1"/>
  <c r="BL160" i="6"/>
  <c r="BV354" i="6"/>
  <c r="BV189" i="6"/>
  <c r="CB189" i="6" s="1"/>
  <c r="CC189" i="6" s="1"/>
  <c r="BV418" i="6"/>
  <c r="BL187" i="6"/>
  <c r="BV528" i="6"/>
  <c r="BV165" i="6"/>
  <c r="BL106" i="6"/>
  <c r="BV502" i="6"/>
  <c r="CB502" i="6" s="1"/>
  <c r="CC502" i="6" s="1"/>
  <c r="BV139" i="6"/>
  <c r="BV456" i="6"/>
  <c r="BL513" i="6"/>
  <c r="BL532" i="6"/>
  <c r="BL213" i="6"/>
  <c r="BL124" i="6"/>
  <c r="BY124" i="6" s="1"/>
  <c r="BZ124" i="6" s="1"/>
  <c r="BV373" i="6"/>
  <c r="BL420" i="6"/>
  <c r="BL354" i="6"/>
  <c r="BV153" i="6"/>
  <c r="BL492" i="6"/>
  <c r="BV474" i="6"/>
  <c r="CB474" i="6" s="1"/>
  <c r="CC474" i="6" s="1"/>
  <c r="BV127" i="6"/>
  <c r="CB127" i="6" s="1"/>
  <c r="CC127" i="6" s="1"/>
  <c r="BL352" i="6"/>
  <c r="BL241" i="6"/>
  <c r="BV97" i="6"/>
  <c r="CB97" i="6" s="1"/>
  <c r="CC97" i="6" s="1"/>
  <c r="BV532" i="6"/>
  <c r="BL262" i="6"/>
  <c r="BY262" i="6" s="1"/>
  <c r="BZ262" i="6" s="1"/>
  <c r="BL546" i="6"/>
  <c r="BL177" i="6"/>
  <c r="BV175" i="6"/>
  <c r="CB175" i="6" s="1"/>
  <c r="CC175" i="6" s="1"/>
  <c r="BL153" i="6"/>
  <c r="BY153" i="6" s="1"/>
  <c r="BZ153" i="6" s="1"/>
  <c r="BV391" i="6"/>
  <c r="CB391" i="6" s="1"/>
  <c r="CC391" i="6" s="1"/>
  <c r="BV76" i="6"/>
  <c r="BL528" i="6"/>
  <c r="BL138" i="6"/>
  <c r="BL304" i="6"/>
  <c r="BV433" i="6"/>
  <c r="BL456" i="6"/>
  <c r="BL379" i="6"/>
  <c r="BL376" i="6"/>
  <c r="BL49" i="6"/>
  <c r="BY49" i="6" s="1"/>
  <c r="BZ49" i="6" s="1"/>
  <c r="BL229" i="6"/>
  <c r="BV220" i="6"/>
  <c r="BL214" i="6"/>
  <c r="BL459" i="6"/>
  <c r="BV487" i="6"/>
  <c r="BV270" i="6"/>
  <c r="CB270" i="6" s="1"/>
  <c r="CC270" i="6" s="1"/>
  <c r="BV198" i="6"/>
  <c r="BL165" i="6"/>
  <c r="BL102" i="6"/>
  <c r="BL151" i="6"/>
  <c r="BV124" i="6"/>
  <c r="BL69" i="6"/>
  <c r="BV123" i="6"/>
  <c r="BV297" i="6"/>
  <c r="BL511" i="6"/>
  <c r="BL412" i="6"/>
  <c r="BL472" i="6"/>
  <c r="BL394" i="6"/>
  <c r="BY394" i="6" s="1"/>
  <c r="BZ394" i="6" s="1"/>
  <c r="BV79" i="6"/>
  <c r="CB79" i="6" s="1"/>
  <c r="CC79" i="6" s="1"/>
  <c r="BL81" i="6"/>
  <c r="BL481" i="6"/>
  <c r="BV516" i="6"/>
  <c r="BO516" i="6" s="1"/>
  <c r="BP516" i="6" s="1"/>
  <c r="BV490" i="6"/>
  <c r="CB490" i="6" s="1"/>
  <c r="CC490" i="6" s="1"/>
  <c r="BL364" i="6"/>
  <c r="BL289" i="6"/>
  <c r="BL201" i="6"/>
  <c r="BL556" i="6"/>
  <c r="BL430" i="6"/>
  <c r="BL358" i="6"/>
  <c r="BV178" i="6"/>
  <c r="BL450" i="6"/>
  <c r="BL453" i="6"/>
  <c r="BY453" i="6" s="1"/>
  <c r="BZ453" i="6" s="1"/>
  <c r="BL273" i="6"/>
  <c r="BL403" i="6"/>
  <c r="BY403" i="6" s="1"/>
  <c r="BZ403" i="6" s="1"/>
  <c r="BL525" i="6"/>
  <c r="BV63" i="6"/>
  <c r="CB63" i="6" s="1"/>
  <c r="CC63" i="6" s="1"/>
  <c r="BV211" i="6"/>
  <c r="BL159" i="6"/>
  <c r="BY159" i="6" s="1"/>
  <c r="BZ159" i="6" s="1"/>
  <c r="BV67" i="6"/>
  <c r="BL171" i="6"/>
  <c r="BL516" i="6"/>
  <c r="BL399" i="6"/>
  <c r="BV138" i="6"/>
  <c r="BL343" i="6"/>
  <c r="BY343" i="6" s="1"/>
  <c r="BZ343" i="6" s="1"/>
  <c r="BV282" i="6"/>
  <c r="BV486" i="6"/>
  <c r="BL366" i="6"/>
  <c r="BL168" i="6"/>
  <c r="BY168" i="6" s="1"/>
  <c r="BZ168" i="6" s="1"/>
  <c r="BL360" i="6"/>
  <c r="BV60" i="6"/>
  <c r="CB60" i="6" s="1"/>
  <c r="CC60" i="6" s="1"/>
  <c r="BL96" i="6"/>
  <c r="BV258" i="6"/>
  <c r="CB258" i="6" s="1"/>
  <c r="CC258" i="6" s="1"/>
  <c r="BV54" i="6"/>
  <c r="CB54" i="6" s="1"/>
  <c r="CC54" i="6" s="1"/>
  <c r="BL535" i="6"/>
  <c r="BY535" i="6" s="1"/>
  <c r="BZ535" i="6" s="1"/>
  <c r="BV148" i="6"/>
  <c r="BV462" i="6"/>
  <c r="BV72" i="6"/>
  <c r="CB72" i="6" s="1"/>
  <c r="CC72" i="6" s="1"/>
  <c r="BV387" i="6"/>
  <c r="CB387" i="6" s="1"/>
  <c r="CC387" i="6" s="1"/>
  <c r="BV37" i="6"/>
  <c r="BL88" i="6"/>
  <c r="BY88" i="6" s="1"/>
  <c r="BZ88" i="6" s="1"/>
  <c r="BL166" i="6"/>
  <c r="BL537" i="6"/>
  <c r="BV325" i="6"/>
  <c r="BL558" i="6"/>
  <c r="BY558" i="6" s="1"/>
  <c r="BZ558" i="6" s="1"/>
  <c r="BV154" i="6"/>
  <c r="CB154" i="6" s="1"/>
  <c r="CC154" i="6" s="1"/>
  <c r="BL322" i="6"/>
  <c r="BY322" i="6" s="1"/>
  <c r="BZ322" i="6" s="1"/>
  <c r="BL457" i="6"/>
  <c r="BV66" i="6"/>
  <c r="BL247" i="6"/>
  <c r="BL363" i="6"/>
  <c r="BY363" i="6" s="1"/>
  <c r="BZ363" i="6" s="1"/>
  <c r="BL348" i="6"/>
  <c r="BV186" i="6"/>
  <c r="CB186" i="6" s="1"/>
  <c r="CC186" i="6" s="1"/>
  <c r="BV420" i="6"/>
  <c r="BV102" i="6"/>
  <c r="BV417" i="6"/>
  <c r="CB417" i="6" s="1"/>
  <c r="CC417" i="6" s="1"/>
  <c r="BV183" i="6"/>
  <c r="CB183" i="6" s="1"/>
  <c r="CC183" i="6" s="1"/>
  <c r="BL543" i="6"/>
  <c r="BL483" i="6"/>
  <c r="BL564" i="6"/>
  <c r="BV265" i="6"/>
  <c r="CB265" i="6" s="1"/>
  <c r="CC265" i="6" s="1"/>
  <c r="BL210" i="6"/>
  <c r="BV133" i="6"/>
  <c r="CB133" i="6" s="1"/>
  <c r="CC133" i="6" s="1"/>
  <c r="BL312" i="6"/>
  <c r="BV291" i="6"/>
  <c r="CB291" i="6" s="1"/>
  <c r="CC291" i="6" s="1"/>
  <c r="BL82" i="6"/>
  <c r="BV441" i="6"/>
  <c r="BO441" i="6" s="1"/>
  <c r="BP441" i="6" s="1"/>
  <c r="BL318" i="6"/>
  <c r="BL300" i="6"/>
  <c r="BL460" i="6"/>
  <c r="BL523" i="6"/>
  <c r="BL433" i="6"/>
  <c r="BL199" i="6"/>
  <c r="BV339" i="6"/>
  <c r="CB339" i="6" s="1"/>
  <c r="CC339" i="6" s="1"/>
  <c r="BV495" i="6"/>
  <c r="CB495" i="6" s="1"/>
  <c r="CC495" i="6" s="1"/>
  <c r="BL156" i="6"/>
  <c r="BV453" i="6"/>
  <c r="CB453" i="6" s="1"/>
  <c r="CC453" i="6" s="1"/>
  <c r="BL468" i="6"/>
  <c r="BL445" i="6"/>
  <c r="BY445" i="6" s="1"/>
  <c r="BZ445" i="6" s="1"/>
  <c r="BV52" i="6"/>
  <c r="BV24" i="6"/>
  <c r="BV253" i="6"/>
  <c r="CB253" i="6" s="1"/>
  <c r="CC253" i="6" s="1"/>
  <c r="BL465" i="6"/>
  <c r="BY465" i="6" s="1"/>
  <c r="BZ465" i="6" s="1"/>
  <c r="BL162" i="6"/>
  <c r="BL24" i="6"/>
  <c r="BL78" i="6"/>
  <c r="BV25" i="6"/>
  <c r="BL463" i="6"/>
  <c r="BL73" i="6"/>
  <c r="BV132" i="6"/>
  <c r="CB132" i="6" s="1"/>
  <c r="CC132" i="6" s="1"/>
  <c r="BL510" i="6"/>
  <c r="BV363" i="6"/>
  <c r="BL123" i="6"/>
  <c r="BY123" i="6" s="1"/>
  <c r="BZ123" i="6" s="1"/>
  <c r="BL325" i="6"/>
  <c r="BV48" i="6"/>
  <c r="CB48" i="6" s="1"/>
  <c r="CC48" i="6" s="1"/>
  <c r="BV531" i="6"/>
  <c r="BL280" i="6"/>
  <c r="BL129" i="6"/>
  <c r="BL333" i="6"/>
  <c r="BY333" i="6" s="1"/>
  <c r="BZ333" i="6" s="1"/>
  <c r="BV151" i="6"/>
  <c r="BL517" i="6"/>
  <c r="BV327" i="6"/>
  <c r="BV385" i="6"/>
  <c r="CB385" i="6" s="1"/>
  <c r="CC385" i="6" s="1"/>
  <c r="BL264" i="6"/>
  <c r="BL447" i="6"/>
  <c r="BV216" i="6"/>
  <c r="CB216" i="6" s="1"/>
  <c r="CC216" i="6" s="1"/>
  <c r="BV192" i="6"/>
  <c r="BL55" i="6"/>
  <c r="BL36" i="6"/>
  <c r="BV100" i="6"/>
  <c r="CB100" i="6" s="1"/>
  <c r="CC100" i="6" s="1"/>
  <c r="BV480" i="6"/>
  <c r="CB480" i="6" s="1"/>
  <c r="CC480" i="6" s="1"/>
  <c r="BL70" i="6"/>
  <c r="BL514" i="6"/>
  <c r="BL274" i="6"/>
  <c r="BL240" i="6"/>
  <c r="BY240" i="6" s="1"/>
  <c r="BZ240" i="6" s="1"/>
  <c r="BV475" i="6"/>
  <c r="CB475" i="6" s="1"/>
  <c r="CC475" i="6" s="1"/>
  <c r="BV315" i="6"/>
  <c r="BL315" i="6"/>
  <c r="BL232" i="6"/>
  <c r="BL25" i="6"/>
  <c r="BV142" i="6"/>
  <c r="CB142" i="6" s="1"/>
  <c r="CC142" i="6" s="1"/>
  <c r="BL520" i="6"/>
  <c r="BL28" i="6"/>
  <c r="BY28" i="6" s="1"/>
  <c r="BZ28" i="6" s="1"/>
  <c r="BL442" i="6"/>
  <c r="BL321" i="6"/>
  <c r="BY321" i="6" s="1"/>
  <c r="BZ321" i="6" s="1"/>
  <c r="BV457" i="6"/>
  <c r="CB457" i="6" s="1"/>
  <c r="CC457" i="6" s="1"/>
  <c r="BL306" i="6"/>
  <c r="BY306" i="6" s="1"/>
  <c r="BZ306" i="6" s="1"/>
  <c r="BL493" i="6"/>
  <c r="BL108" i="6"/>
  <c r="BV156" i="6"/>
  <c r="CB156" i="6" s="1"/>
  <c r="CC156" i="6" s="1"/>
  <c r="BV111" i="6"/>
  <c r="CB111" i="6" s="1"/>
  <c r="CC111" i="6" s="1"/>
  <c r="BL519" i="6"/>
  <c r="BV357" i="6"/>
  <c r="CB357" i="6" s="1"/>
  <c r="CC357" i="6" s="1"/>
  <c r="BV523" i="6"/>
  <c r="BL282" i="6"/>
  <c r="BL310" i="6"/>
  <c r="BV106" i="6"/>
  <c r="CB106" i="6" s="1"/>
  <c r="CC106" i="6" s="1"/>
  <c r="BL531" i="6"/>
  <c r="BL252" i="6"/>
  <c r="BV103" i="6"/>
  <c r="BL421" i="6"/>
  <c r="BY421" i="6" s="1"/>
  <c r="BZ421" i="6" s="1"/>
  <c r="BV231" i="6"/>
  <c r="BV40" i="6"/>
  <c r="BV507" i="6"/>
  <c r="CB507" i="6" s="1"/>
  <c r="CC507" i="6" s="1"/>
  <c r="BL103" i="6"/>
  <c r="BL418" i="6"/>
  <c r="BV409" i="6"/>
  <c r="CB409" i="6" s="1"/>
  <c r="CC409" i="6" s="1"/>
  <c r="BV144" i="6"/>
  <c r="CB144" i="6" s="1"/>
  <c r="CC144" i="6" s="1"/>
  <c r="BL195" i="6"/>
  <c r="BV36" i="6"/>
  <c r="BL427" i="6"/>
  <c r="BY427" i="6" s="1"/>
  <c r="BZ427" i="6" s="1"/>
  <c r="BL477" i="6"/>
  <c r="BV526" i="6"/>
  <c r="BV309" i="6"/>
  <c r="CB309" i="6" s="1"/>
  <c r="CC309" i="6" s="1"/>
  <c r="BV187" i="6"/>
  <c r="BV229" i="6"/>
  <c r="CB229" i="6" s="1"/>
  <c r="CC229" i="6" s="1"/>
  <c r="BV210" i="6"/>
  <c r="CB210" i="6" s="1"/>
  <c r="CC210" i="6" s="1"/>
  <c r="BV514" i="6"/>
  <c r="BV342" i="6"/>
  <c r="BV130" i="6"/>
  <c r="BL370" i="6"/>
  <c r="BL93" i="6"/>
  <c r="BL372" i="6"/>
  <c r="BY372" i="6" s="1"/>
  <c r="BZ372" i="6" s="1"/>
  <c r="BL276" i="6"/>
  <c r="BL547" i="6"/>
  <c r="BY547" i="6" s="1"/>
  <c r="BZ547" i="6" s="1"/>
  <c r="BL499" i="6"/>
  <c r="BY499" i="6" s="1"/>
  <c r="BZ499" i="6" s="1"/>
  <c r="BV213" i="6"/>
  <c r="CB213" i="6" s="1"/>
  <c r="CC213" i="6" s="1"/>
  <c r="BL469" i="6"/>
  <c r="BL286" i="6"/>
  <c r="BY286" i="6" s="1"/>
  <c r="BZ286" i="6" s="1"/>
  <c r="BL328" i="6"/>
  <c r="BL235" i="6"/>
  <c r="BL423" i="6"/>
  <c r="BV381" i="6"/>
  <c r="BO381" i="6" s="1"/>
  <c r="BP381" i="6" s="1"/>
  <c r="BL277" i="6"/>
  <c r="BL319" i="6"/>
  <c r="BY319" i="6" s="1"/>
  <c r="BZ319" i="6" s="1"/>
  <c r="BV277" i="6"/>
  <c r="BV537" i="6"/>
  <c r="CB537" i="6" s="1"/>
  <c r="CC537" i="6" s="1"/>
  <c r="BL250" i="6"/>
  <c r="BL163" i="6"/>
  <c r="BY163" i="6" s="1"/>
  <c r="BZ163" i="6" s="1"/>
  <c r="BV558" i="6"/>
  <c r="BL256" i="6"/>
  <c r="BY256" i="6" s="1"/>
  <c r="BZ256" i="6" s="1"/>
  <c r="BL369" i="6"/>
  <c r="BV561" i="6"/>
  <c r="BV396" i="6"/>
  <c r="CB396" i="6" s="1"/>
  <c r="CC396" i="6" s="1"/>
  <c r="BL402" i="6"/>
  <c r="BL145" i="6"/>
  <c r="BL438" i="6"/>
  <c r="BV540" i="6"/>
  <c r="BV525" i="6"/>
  <c r="CB525" i="6" s="1"/>
  <c r="CC525" i="6" s="1"/>
  <c r="BV348" i="6"/>
  <c r="BL415" i="6"/>
  <c r="BY415" i="6" s="1"/>
  <c r="BZ415" i="6" s="1"/>
  <c r="BE150" i="6"/>
  <c r="BF150" i="6" s="1"/>
  <c r="BE220" i="6"/>
  <c r="BF220" i="6" s="1"/>
  <c r="BY316" i="6"/>
  <c r="BZ316" i="6" s="1"/>
  <c r="BO297" i="6"/>
  <c r="BP297" i="6" s="1"/>
  <c r="BO99" i="6"/>
  <c r="BP99" i="6" s="1"/>
  <c r="BY261" i="6"/>
  <c r="BZ261" i="6" s="1"/>
  <c r="BO46" i="6"/>
  <c r="BP46" i="6" s="1"/>
  <c r="BO298" i="6"/>
  <c r="BP298" i="6" s="1"/>
  <c r="BY114" i="6"/>
  <c r="BZ114" i="6" s="1"/>
  <c r="BY397" i="6"/>
  <c r="BZ397" i="6" s="1"/>
  <c r="BO285" i="6"/>
  <c r="BP285" i="6" s="1"/>
  <c r="BY451" i="6"/>
  <c r="BZ451" i="6" s="1"/>
  <c r="BY330" i="6"/>
  <c r="BZ330" i="6" s="1"/>
  <c r="BE185" i="6"/>
  <c r="BF185" i="6" s="1"/>
  <c r="BY228" i="6"/>
  <c r="BZ228" i="6" s="1"/>
  <c r="BY243" i="6"/>
  <c r="BZ243" i="6" s="1"/>
  <c r="BO484" i="6"/>
  <c r="BP484" i="6" s="1"/>
  <c r="BO373" i="6"/>
  <c r="BP373" i="6" s="1"/>
  <c r="BO114" i="6"/>
  <c r="BP114" i="6" s="1"/>
  <c r="BO211" i="6"/>
  <c r="BP211" i="6" s="1"/>
  <c r="BO400" i="6"/>
  <c r="BP400" i="6" s="1"/>
  <c r="BE245" i="6"/>
  <c r="BF245" i="6" s="1"/>
  <c r="BO112" i="6"/>
  <c r="BP112" i="6" s="1"/>
  <c r="BO174" i="6"/>
  <c r="BP174" i="6" s="1"/>
  <c r="BY280" i="6"/>
  <c r="BZ280" i="6" s="1"/>
  <c r="BE465" i="6"/>
  <c r="BF465" i="6" s="1"/>
  <c r="BY147" i="6"/>
  <c r="BZ147" i="6" s="1"/>
  <c r="BY511" i="6"/>
  <c r="BZ511" i="6" s="1"/>
  <c r="BE379" i="6"/>
  <c r="BF379" i="6" s="1"/>
  <c r="BO91" i="6"/>
  <c r="BP91" i="6" s="1"/>
  <c r="BY298" i="6"/>
  <c r="BZ298" i="6" s="1"/>
  <c r="BO552" i="6"/>
  <c r="BP552" i="6" s="1"/>
  <c r="BY94" i="6"/>
  <c r="BZ94" i="6" s="1"/>
  <c r="BO258" i="6"/>
  <c r="BP258" i="6" s="1"/>
  <c r="BO105" i="6"/>
  <c r="BP105" i="6" s="1"/>
  <c r="BO219" i="6"/>
  <c r="BP219" i="6" s="1"/>
  <c r="BY361" i="6"/>
  <c r="BZ361" i="6" s="1"/>
  <c r="BY292" i="6"/>
  <c r="BZ292" i="6" s="1"/>
  <c r="BY313" i="6"/>
  <c r="BZ313" i="6" s="1"/>
  <c r="BY463" i="6"/>
  <c r="BZ463" i="6" s="1"/>
  <c r="BY513" i="6"/>
  <c r="BZ513" i="6" s="1"/>
  <c r="BY468" i="6"/>
  <c r="BZ468" i="6" s="1"/>
  <c r="BO513" i="6"/>
  <c r="BP513" i="6" s="1"/>
  <c r="BE279" i="6"/>
  <c r="BF279" i="6" s="1"/>
  <c r="BE170" i="6"/>
  <c r="BF170" i="6" s="1"/>
  <c r="BO186" i="6"/>
  <c r="BP186" i="6" s="1"/>
  <c r="BE50" i="6"/>
  <c r="BF50" i="6" s="1"/>
  <c r="BE380" i="6"/>
  <c r="BF380" i="6" s="1"/>
  <c r="BY33" i="6"/>
  <c r="BZ33" i="6" s="1"/>
  <c r="BY346" i="6"/>
  <c r="BZ346" i="6" s="1"/>
  <c r="BO156" i="6"/>
  <c r="BP156" i="6" s="1"/>
  <c r="BO550" i="6"/>
  <c r="BP550" i="6" s="1"/>
  <c r="BO295" i="6"/>
  <c r="BP295" i="6" s="1"/>
  <c r="BO367" i="6"/>
  <c r="BP367" i="6" s="1"/>
  <c r="BO202" i="6"/>
  <c r="BP202" i="6" s="1"/>
  <c r="BY157" i="6"/>
  <c r="BZ157" i="6" s="1"/>
  <c r="BO292" i="6"/>
  <c r="BP292" i="6" s="1"/>
  <c r="BE113" i="6"/>
  <c r="BF113" i="6" s="1"/>
  <c r="BY180" i="6"/>
  <c r="BZ180" i="6" s="1"/>
  <c r="BY432" i="6"/>
  <c r="BZ432" i="6" s="1"/>
  <c r="BY241" i="6"/>
  <c r="BZ241" i="6" s="1"/>
  <c r="BE436" i="6"/>
  <c r="BF436" i="6" s="1"/>
  <c r="BY42" i="6"/>
  <c r="BZ42" i="6" s="1"/>
  <c r="BY289" i="6"/>
  <c r="BZ289" i="6" s="1"/>
  <c r="BY207" i="6"/>
  <c r="BZ207" i="6" s="1"/>
  <c r="BO93" i="6"/>
  <c r="BP93" i="6" s="1"/>
  <c r="BO372" i="6"/>
  <c r="BP372" i="6" s="1"/>
  <c r="BO42" i="6"/>
  <c r="BP42" i="6" s="1"/>
  <c r="BE221" i="6"/>
  <c r="BF221" i="6" s="1"/>
  <c r="BE492" i="6"/>
  <c r="BF492" i="6" s="1"/>
  <c r="BO547" i="6"/>
  <c r="BP547" i="6" s="1"/>
  <c r="BE563" i="6"/>
  <c r="BF563" i="6" s="1"/>
  <c r="BO223" i="6"/>
  <c r="BP223" i="6" s="1"/>
  <c r="BE34" i="6"/>
  <c r="BF34" i="6" s="1"/>
  <c r="BO286" i="6"/>
  <c r="BP286" i="6" s="1"/>
  <c r="BO328" i="6"/>
  <c r="BP328" i="6" s="1"/>
  <c r="BE172" i="6"/>
  <c r="BF172" i="6" s="1"/>
  <c r="BO487" i="6"/>
  <c r="BP487" i="6" s="1"/>
  <c r="BO277" i="6"/>
  <c r="BP277" i="6" s="1"/>
  <c r="BY277" i="6"/>
  <c r="BZ277" i="6" s="1"/>
  <c r="BY537" i="6"/>
  <c r="BZ537" i="6" s="1"/>
  <c r="BO163" i="6"/>
  <c r="BP163" i="6" s="1"/>
  <c r="BY61" i="6"/>
  <c r="BZ61" i="6" s="1"/>
  <c r="BO256" i="6"/>
  <c r="BP256" i="6" s="1"/>
  <c r="BE552" i="6"/>
  <c r="BF552" i="6" s="1"/>
  <c r="BY396" i="6"/>
  <c r="BZ396" i="6" s="1"/>
  <c r="BO402" i="6"/>
  <c r="BP402" i="6" s="1"/>
  <c r="BO145" i="6"/>
  <c r="BP145" i="6" s="1"/>
  <c r="BE355" i="6"/>
  <c r="BF355" i="6" s="1"/>
  <c r="BO438" i="6"/>
  <c r="BP438" i="6" s="1"/>
  <c r="BY525" i="6"/>
  <c r="BZ525" i="6" s="1"/>
  <c r="BY348" i="6"/>
  <c r="BZ348" i="6" s="1"/>
  <c r="BO378" i="6"/>
  <c r="BP378" i="6" s="1"/>
  <c r="CB245" i="6"/>
  <c r="CC245" i="6" s="1"/>
  <c r="CB206" i="6"/>
  <c r="CC206" i="6" s="1"/>
  <c r="CB323" i="6"/>
  <c r="CC323" i="6" s="1"/>
  <c r="CB554" i="6"/>
  <c r="CC554" i="6" s="1"/>
  <c r="CB239" i="6"/>
  <c r="CC239" i="6" s="1"/>
  <c r="CB407" i="6"/>
  <c r="CC407" i="6" s="1"/>
  <c r="BY501" i="6"/>
  <c r="BZ501" i="6" s="1"/>
  <c r="BY565" i="6"/>
  <c r="BZ565" i="6" s="1"/>
  <c r="BO234" i="6"/>
  <c r="BP234" i="6" s="1"/>
  <c r="BE188" i="6"/>
  <c r="BF188" i="6" s="1"/>
  <c r="BE51" i="6"/>
  <c r="BF51" i="6" s="1"/>
  <c r="BY105" i="6"/>
  <c r="BZ105" i="6" s="1"/>
  <c r="BY442" i="6"/>
  <c r="BZ442" i="6" s="1"/>
  <c r="BY510" i="6"/>
  <c r="BZ510" i="6" s="1"/>
  <c r="BY556" i="6"/>
  <c r="BZ556" i="6" s="1"/>
  <c r="BO505" i="6"/>
  <c r="BP505" i="6" s="1"/>
  <c r="BY85" i="6"/>
  <c r="BZ85" i="6" s="1"/>
  <c r="BY349" i="6"/>
  <c r="BZ349" i="6" s="1"/>
  <c r="BY481" i="6"/>
  <c r="BZ481" i="6" s="1"/>
  <c r="BY255" i="6"/>
  <c r="BZ255" i="6" s="1"/>
  <c r="BO136" i="6"/>
  <c r="BP136" i="6" s="1"/>
  <c r="BO529" i="6"/>
  <c r="BP529" i="6" s="1"/>
  <c r="BY504" i="6"/>
  <c r="BZ504" i="6" s="1"/>
  <c r="BO261" i="6"/>
  <c r="BP261" i="6" s="1"/>
  <c r="BY379" i="6"/>
  <c r="BZ379" i="6" s="1"/>
  <c r="BO175" i="6"/>
  <c r="BP175" i="6" s="1"/>
  <c r="BY424" i="6"/>
  <c r="BZ424" i="6" s="1"/>
  <c r="BO495" i="6"/>
  <c r="BP495" i="6" s="1"/>
  <c r="BY274" i="6"/>
  <c r="BZ274" i="6" s="1"/>
  <c r="BY375" i="6"/>
  <c r="BZ375" i="6" s="1"/>
  <c r="BY244" i="6"/>
  <c r="BZ244" i="6" s="1"/>
  <c r="BO109" i="6"/>
  <c r="BP109" i="6" s="1"/>
  <c r="BY430" i="6"/>
  <c r="BZ430" i="6" s="1"/>
  <c r="BO411" i="6"/>
  <c r="BP411" i="6" s="1"/>
  <c r="BO244" i="6"/>
  <c r="BP244" i="6" s="1"/>
  <c r="BO435" i="6"/>
  <c r="BP435" i="6" s="1"/>
  <c r="BO120" i="6"/>
  <c r="BP120" i="6" s="1"/>
  <c r="BY199" i="6"/>
  <c r="BZ199" i="6" s="1"/>
  <c r="BY129" i="6"/>
  <c r="BZ129" i="6" s="1"/>
  <c r="BY55" i="6"/>
  <c r="BZ55" i="6" s="1"/>
  <c r="BY82" i="6"/>
  <c r="BZ82" i="6" s="1"/>
  <c r="BO271" i="6"/>
  <c r="BP271" i="6" s="1"/>
  <c r="BO339" i="6"/>
  <c r="BP339" i="6" s="1"/>
  <c r="BO385" i="6"/>
  <c r="BP385" i="6" s="1"/>
  <c r="CB233" i="6"/>
  <c r="CC233" i="6" s="1"/>
  <c r="CB80" i="6"/>
  <c r="CC80" i="6" s="1"/>
  <c r="BY300" i="6"/>
  <c r="BZ300" i="6" s="1"/>
  <c r="BY436" i="6"/>
  <c r="BZ436" i="6" s="1"/>
  <c r="BY162" i="6"/>
  <c r="BZ162" i="6" s="1"/>
  <c r="BO501" i="6"/>
  <c r="BP501" i="6" s="1"/>
  <c r="BO439" i="6"/>
  <c r="BP439" i="6" s="1"/>
  <c r="BO387" i="6"/>
  <c r="BP387" i="6" s="1"/>
  <c r="BO436" i="6"/>
  <c r="BP436" i="6" s="1"/>
  <c r="BO141" i="6"/>
  <c r="BP141" i="6" s="1"/>
  <c r="BY328" i="6"/>
  <c r="BZ328" i="6" s="1"/>
  <c r="BY538" i="6"/>
  <c r="BZ538" i="6" s="1"/>
  <c r="BY73" i="6"/>
  <c r="BZ73" i="6" s="1"/>
  <c r="BO316" i="6"/>
  <c r="BP316" i="6" s="1"/>
  <c r="BY366" i="6"/>
  <c r="BZ366" i="6" s="1"/>
  <c r="BO100" i="6"/>
  <c r="BP100" i="6" s="1"/>
  <c r="BY399" i="6"/>
  <c r="BZ399" i="6" s="1"/>
  <c r="BO66" i="6"/>
  <c r="BP66" i="6" s="1"/>
  <c r="BO208" i="6"/>
  <c r="BP208" i="6" s="1"/>
  <c r="BO283" i="6"/>
  <c r="BP283" i="6" s="1"/>
  <c r="BO189" i="6"/>
  <c r="BP189" i="6" s="1"/>
  <c r="BY232" i="6"/>
  <c r="BZ232" i="6" s="1"/>
  <c r="BO303" i="6"/>
  <c r="BP303" i="6" s="1"/>
  <c r="BY177" i="6"/>
  <c r="BZ177" i="6" s="1"/>
  <c r="BY214" i="6"/>
  <c r="BZ214" i="6" s="1"/>
  <c r="BY301" i="6"/>
  <c r="BZ301" i="6" s="1"/>
  <c r="BY438" i="6"/>
  <c r="BZ438" i="6" s="1"/>
  <c r="BY190" i="6"/>
  <c r="BZ190" i="6" s="1"/>
  <c r="BY249" i="6"/>
  <c r="BZ249" i="6" s="1"/>
  <c r="BO309" i="6"/>
  <c r="BP309" i="6" s="1"/>
  <c r="CB398" i="6"/>
  <c r="CC398" i="6" s="1"/>
  <c r="CB74" i="6"/>
  <c r="CC74" i="6" s="1"/>
  <c r="CB278" i="6"/>
  <c r="CC278" i="6" s="1"/>
  <c r="CB59" i="6"/>
  <c r="CC59" i="6" s="1"/>
  <c r="CB542" i="6"/>
  <c r="CC542" i="6" s="1"/>
  <c r="CB155" i="6"/>
  <c r="CC155" i="6" s="1"/>
  <c r="BY492" i="6"/>
  <c r="BZ492" i="6" s="1"/>
  <c r="BY84" i="6"/>
  <c r="BZ84" i="6" s="1"/>
  <c r="BE87" i="6"/>
  <c r="BF87" i="6" s="1"/>
  <c r="BY46" i="6"/>
  <c r="BZ46" i="6" s="1"/>
  <c r="BY567" i="6"/>
  <c r="BZ567" i="6" s="1"/>
  <c r="BO150" i="6"/>
  <c r="BP150" i="6" s="1"/>
  <c r="BY568" i="6"/>
  <c r="BZ568" i="6" s="1"/>
  <c r="BY541" i="6"/>
  <c r="BZ541" i="6" s="1"/>
  <c r="BO127" i="6"/>
  <c r="BP127" i="6" s="1"/>
  <c r="BY196" i="6"/>
  <c r="BZ196" i="6" s="1"/>
  <c r="BY166" i="6"/>
  <c r="BZ166" i="6" s="1"/>
  <c r="BE557" i="6"/>
  <c r="BF557" i="6" s="1"/>
  <c r="BY169" i="6"/>
  <c r="BZ169" i="6" s="1"/>
  <c r="BO147" i="6"/>
  <c r="BP147" i="6" s="1"/>
  <c r="BO426" i="6"/>
  <c r="BP426" i="6" s="1"/>
  <c r="BE447" i="6"/>
  <c r="BF447" i="6" s="1"/>
  <c r="BE360" i="6"/>
  <c r="BF360" i="6" s="1"/>
  <c r="BO553" i="6"/>
  <c r="BP553" i="6" s="1"/>
  <c r="BY136" i="6"/>
  <c r="BZ136" i="6" s="1"/>
  <c r="BY355" i="6"/>
  <c r="BZ355" i="6" s="1"/>
  <c r="BY268" i="6"/>
  <c r="BZ268" i="6" s="1"/>
  <c r="BO351" i="6"/>
  <c r="BP351" i="6" s="1"/>
  <c r="BO231" i="6"/>
  <c r="BP231" i="6" s="1"/>
  <c r="BY460" i="6"/>
  <c r="BZ460" i="6" s="1"/>
  <c r="BO267" i="6"/>
  <c r="BP267" i="6" s="1"/>
  <c r="BY555" i="6"/>
  <c r="BZ555" i="6" s="1"/>
  <c r="BO67" i="6"/>
  <c r="BP67" i="6" s="1"/>
  <c r="BO154" i="6"/>
  <c r="BP154" i="6" s="1"/>
  <c r="BY376" i="6"/>
  <c r="BZ376" i="6" s="1"/>
  <c r="BY310" i="6"/>
  <c r="BZ310" i="6" s="1"/>
  <c r="BY351" i="6"/>
  <c r="BZ351" i="6" s="1"/>
  <c r="BY471" i="6"/>
  <c r="BZ471" i="6" s="1"/>
  <c r="BO198" i="6"/>
  <c r="BP198" i="6" s="1"/>
  <c r="BO496" i="6"/>
  <c r="BP496" i="6" s="1"/>
  <c r="BO75" i="6"/>
  <c r="BP75" i="6" s="1"/>
  <c r="BY225" i="6"/>
  <c r="BZ225" i="6" s="1"/>
  <c r="BY546" i="6"/>
  <c r="BZ546" i="6" s="1"/>
  <c r="BY226" i="6"/>
  <c r="BZ226" i="6" s="1"/>
  <c r="CB380" i="6"/>
  <c r="CC380" i="6" s="1"/>
  <c r="CB188" i="6"/>
  <c r="CC188" i="6" s="1"/>
  <c r="CB557" i="6"/>
  <c r="CC557" i="6" s="1"/>
  <c r="BO180" i="6"/>
  <c r="BP180" i="6" s="1"/>
  <c r="BY489" i="6"/>
  <c r="BZ489" i="6" s="1"/>
  <c r="BY429" i="6"/>
  <c r="BZ429" i="6" s="1"/>
  <c r="BY276" i="6"/>
  <c r="BZ276" i="6" s="1"/>
  <c r="BY520" i="6"/>
  <c r="BZ520" i="6" s="1"/>
  <c r="BY406" i="6"/>
  <c r="BZ406" i="6" s="1"/>
  <c r="BY93" i="6"/>
  <c r="BZ93" i="6" s="1"/>
  <c r="BY271" i="6"/>
  <c r="BZ271" i="6" s="1"/>
  <c r="BY358" i="6"/>
  <c r="BZ358" i="6" s="1"/>
  <c r="BY529" i="6"/>
  <c r="BZ529" i="6" s="1"/>
  <c r="BY235" i="6"/>
  <c r="BZ235" i="6" s="1"/>
  <c r="BO253" i="6"/>
  <c r="BP253" i="6" s="1"/>
  <c r="BO30" i="6"/>
  <c r="BP30" i="6" s="1"/>
  <c r="BY172" i="6"/>
  <c r="BZ172" i="6" s="1"/>
  <c r="BO132" i="6"/>
  <c r="BP132" i="6" s="1"/>
  <c r="BY201" i="6"/>
  <c r="BZ201" i="6" s="1"/>
  <c r="BY522" i="6"/>
  <c r="BZ522" i="6" s="1"/>
  <c r="BY30" i="6"/>
  <c r="BZ30" i="6" s="1"/>
  <c r="BY120" i="6"/>
  <c r="BZ120" i="6" s="1"/>
  <c r="BY294" i="6"/>
  <c r="BZ294" i="6" s="1"/>
  <c r="BY400" i="6"/>
  <c r="BZ400" i="6" s="1"/>
  <c r="BO340" i="6"/>
  <c r="BP340" i="6" s="1"/>
  <c r="BY171" i="6"/>
  <c r="BZ171" i="6" s="1"/>
  <c r="BY57" i="6"/>
  <c r="BZ57" i="6" s="1"/>
  <c r="BO193" i="6"/>
  <c r="BP193" i="6" s="1"/>
  <c r="BO337" i="6"/>
  <c r="BP337" i="6" s="1"/>
  <c r="BO336" i="6"/>
  <c r="BP336" i="6" s="1"/>
  <c r="BY562" i="6"/>
  <c r="BZ562" i="6" s="1"/>
  <c r="BO478" i="6"/>
  <c r="BP478" i="6" s="1"/>
  <c r="BO544" i="6"/>
  <c r="BP544" i="6" s="1"/>
  <c r="BO417" i="6"/>
  <c r="BP417" i="6" s="1"/>
  <c r="BO507" i="6"/>
  <c r="BP507" i="6" s="1"/>
  <c r="BO64" i="6"/>
  <c r="BP64" i="6" s="1"/>
  <c r="CB371" i="6"/>
  <c r="CC371" i="6" s="1"/>
  <c r="CB44" i="6"/>
  <c r="CC44" i="6" s="1"/>
  <c r="CB314" i="6"/>
  <c r="CC314" i="6" s="1"/>
  <c r="CB272" i="6"/>
  <c r="CC272" i="6" s="1"/>
  <c r="BO538" i="6"/>
  <c r="BP538" i="6" s="1"/>
  <c r="BY250" i="6"/>
  <c r="BZ250" i="6" s="1"/>
  <c r="BY498" i="6"/>
  <c r="BZ498" i="6" s="1"/>
  <c r="BO196" i="6"/>
  <c r="BP196" i="6" s="1"/>
  <c r="BY352" i="6"/>
  <c r="BZ352" i="6" s="1"/>
  <c r="BY549" i="6"/>
  <c r="BZ549" i="6" s="1"/>
  <c r="BO126" i="6"/>
  <c r="BP126" i="6" s="1"/>
  <c r="BO192" i="6"/>
  <c r="BP192" i="6" s="1"/>
  <c r="BO148" i="6"/>
  <c r="BP148" i="6" s="1"/>
  <c r="BO204" i="6"/>
  <c r="BP204" i="6" s="1"/>
  <c r="BY193" i="6"/>
  <c r="BZ193" i="6" s="1"/>
  <c r="BO324" i="6"/>
  <c r="BP324" i="6" s="1"/>
  <c r="BY223" i="6"/>
  <c r="BZ223" i="6" s="1"/>
  <c r="BY115" i="6"/>
  <c r="BZ115" i="6" s="1"/>
  <c r="BO534" i="6"/>
  <c r="BP534" i="6" s="1"/>
  <c r="BY364" i="6"/>
  <c r="BZ364" i="6" s="1"/>
  <c r="BY45" i="6"/>
  <c r="BZ45" i="6" s="1"/>
  <c r="BO451" i="6"/>
  <c r="BP451" i="6" s="1"/>
  <c r="BY195" i="6"/>
  <c r="BZ195" i="6" s="1"/>
  <c r="BY459" i="6"/>
  <c r="BZ459" i="6" s="1"/>
  <c r="BY39" i="6"/>
  <c r="BZ39" i="6" s="1"/>
  <c r="BO294" i="6"/>
  <c r="BP294" i="6" s="1"/>
  <c r="BY408" i="6"/>
  <c r="BZ408" i="6" s="1"/>
  <c r="BY369" i="6"/>
  <c r="BZ369" i="6" s="1"/>
  <c r="BO157" i="6"/>
  <c r="BP157" i="6" s="1"/>
  <c r="BO183" i="6"/>
  <c r="BP183" i="6" s="1"/>
  <c r="BO291" i="6"/>
  <c r="BP291" i="6" s="1"/>
  <c r="BY246" i="6"/>
  <c r="BZ246" i="6" s="1"/>
  <c r="BO327" i="6"/>
  <c r="BP327" i="6" s="1"/>
  <c r="BO169" i="6"/>
  <c r="BP169" i="6" s="1"/>
  <c r="BY336" i="6"/>
  <c r="BZ336" i="6" s="1"/>
  <c r="BO135" i="6"/>
  <c r="BP135" i="6" s="1"/>
  <c r="BO268" i="6"/>
  <c r="BP268" i="6" s="1"/>
  <c r="BY43" i="6"/>
  <c r="BZ43" i="6" s="1"/>
  <c r="BO94" i="6"/>
  <c r="BP94" i="6" s="1"/>
  <c r="BO216" i="6"/>
  <c r="BP216" i="6" s="1"/>
  <c r="BO540" i="6"/>
  <c r="BP540" i="6" s="1"/>
  <c r="BY283" i="6"/>
  <c r="BZ283" i="6" s="1"/>
  <c r="BY340" i="6"/>
  <c r="BZ340" i="6" s="1"/>
  <c r="BO117" i="6"/>
  <c r="BP117" i="6" s="1"/>
  <c r="BO301" i="6"/>
  <c r="BP301" i="6" s="1"/>
  <c r="BY70" i="6"/>
  <c r="BZ70" i="6" s="1"/>
  <c r="BY75" i="6"/>
  <c r="BZ75" i="6" s="1"/>
  <c r="BY118" i="6"/>
  <c r="BZ118" i="6" s="1"/>
  <c r="CB452" i="6"/>
  <c r="CC452" i="6" s="1"/>
  <c r="CB419" i="6"/>
  <c r="CC419" i="6" s="1"/>
  <c r="CB113" i="6"/>
  <c r="CC113" i="6" s="1"/>
  <c r="CB392" i="6"/>
  <c r="CC392" i="6" s="1"/>
  <c r="CB326" i="6"/>
  <c r="CC326" i="6" s="1"/>
  <c r="CB470" i="6"/>
  <c r="CC470" i="6" s="1"/>
  <c r="CB92" i="6"/>
  <c r="CC92" i="6" s="1"/>
  <c r="BO33" i="6"/>
  <c r="BP33" i="6" s="1"/>
  <c r="BY91" i="6"/>
  <c r="BZ91" i="6" s="1"/>
  <c r="BY405" i="6"/>
  <c r="BZ405" i="6" s="1"/>
  <c r="BY472" i="6"/>
  <c r="BZ472" i="6" s="1"/>
  <c r="BO52" i="6"/>
  <c r="BP52" i="6" s="1"/>
  <c r="BO79" i="6"/>
  <c r="BP79" i="6" s="1"/>
  <c r="BO51" i="6"/>
  <c r="BP51" i="6" s="1"/>
  <c r="BY108" i="6"/>
  <c r="BZ108" i="6" s="1"/>
  <c r="BE397" i="6"/>
  <c r="BF397" i="6" s="1"/>
  <c r="BE417" i="6"/>
  <c r="BF417" i="6" s="1"/>
  <c r="BE152" i="6"/>
  <c r="BF152" i="6" s="1"/>
  <c r="BE192" i="6"/>
  <c r="BF192" i="6" s="1"/>
  <c r="BO84" i="6"/>
  <c r="BP84" i="6" s="1"/>
  <c r="BE174" i="6"/>
  <c r="BF174" i="6" s="1"/>
  <c r="BE562" i="6"/>
  <c r="BF562" i="6" s="1"/>
  <c r="BE482" i="6"/>
  <c r="BF482" i="6" s="1"/>
  <c r="BO384" i="6"/>
  <c r="BP384" i="6" s="1"/>
  <c r="BE231" i="6"/>
  <c r="BF231" i="6" s="1"/>
  <c r="BE177" i="6"/>
  <c r="BF177" i="6" s="1"/>
  <c r="BE516" i="6"/>
  <c r="BF516" i="6" s="1"/>
  <c r="BY234" i="6"/>
  <c r="BZ234" i="6" s="1"/>
  <c r="BO238" i="6"/>
  <c r="BP238" i="6" s="1"/>
  <c r="BY484" i="6"/>
  <c r="BZ484" i="6" s="1"/>
  <c r="BO184" i="6"/>
  <c r="BP184" i="6" s="1"/>
  <c r="BO355" i="6"/>
  <c r="BP355" i="6" s="1"/>
  <c r="BO130" i="6"/>
  <c r="BP130" i="6" s="1"/>
  <c r="BY553" i="6"/>
  <c r="BZ553" i="6" s="1"/>
  <c r="BO31" i="6"/>
  <c r="BP31" i="6" s="1"/>
  <c r="BY58" i="6"/>
  <c r="BZ58" i="6" s="1"/>
  <c r="BY208" i="6"/>
  <c r="BZ208" i="6" s="1"/>
  <c r="BO565" i="6"/>
  <c r="BP565" i="6" s="1"/>
  <c r="BY448" i="6"/>
  <c r="BZ448" i="6" s="1"/>
  <c r="BY447" i="6"/>
  <c r="BZ447" i="6" s="1"/>
  <c r="BY544" i="6"/>
  <c r="BZ544" i="6" s="1"/>
  <c r="BO61" i="6"/>
  <c r="BP61" i="6" s="1"/>
  <c r="BY160" i="6"/>
  <c r="BZ160" i="6" s="1"/>
  <c r="BO76" i="6"/>
  <c r="BP76" i="6" s="1"/>
  <c r="CB89" i="6"/>
  <c r="CC89" i="6" s="1"/>
  <c r="CB476" i="6"/>
  <c r="CC476" i="6" s="1"/>
  <c r="CB236" i="6"/>
  <c r="CC236" i="6" s="1"/>
  <c r="CB344" i="6"/>
  <c r="CC344" i="6" s="1"/>
  <c r="CB509" i="6"/>
  <c r="CC509" i="6" s="1"/>
  <c r="CB224" i="6"/>
  <c r="CC224" i="6" s="1"/>
  <c r="BO27" i="6"/>
  <c r="BP27" i="6" s="1"/>
  <c r="BO121" i="6"/>
  <c r="BP121" i="6" s="1"/>
  <c r="BY493" i="6"/>
  <c r="BZ493" i="6" s="1"/>
  <c r="BO228" i="6"/>
  <c r="BP228" i="6" s="1"/>
  <c r="BO462" i="6"/>
  <c r="BP462" i="6" s="1"/>
  <c r="BO559" i="6"/>
  <c r="BP559" i="6" s="1"/>
  <c r="BO474" i="6"/>
  <c r="BP474" i="6" s="1"/>
  <c r="BY247" i="6"/>
  <c r="BZ247" i="6" s="1"/>
  <c r="BO142" i="6"/>
  <c r="BP142" i="6" s="1"/>
  <c r="BY469" i="6"/>
  <c r="BZ469" i="6" s="1"/>
  <c r="BY69" i="6"/>
  <c r="BZ69" i="6" s="1"/>
  <c r="BY552" i="6"/>
  <c r="BZ552" i="6" s="1"/>
  <c r="BY534" i="6"/>
  <c r="BZ534" i="6" s="1"/>
  <c r="BO72" i="6"/>
  <c r="BP72" i="6" s="1"/>
  <c r="BO249" i="6"/>
  <c r="BP249" i="6" s="1"/>
  <c r="BY121" i="6"/>
  <c r="BZ121" i="6" s="1"/>
  <c r="BO393" i="6"/>
  <c r="BP393" i="6" s="1"/>
  <c r="BY202" i="6"/>
  <c r="BZ202" i="6" s="1"/>
  <c r="BY312" i="6"/>
  <c r="BZ312" i="6" s="1"/>
  <c r="BO178" i="6"/>
  <c r="BP178" i="6" s="1"/>
  <c r="BY222" i="6"/>
  <c r="BZ222" i="6" s="1"/>
  <c r="BO57" i="6"/>
  <c r="BP57" i="6" s="1"/>
  <c r="BY81" i="6"/>
  <c r="BZ81" i="6" s="1"/>
  <c r="BY496" i="6"/>
  <c r="BZ496" i="6" s="1"/>
  <c r="BO396" i="6"/>
  <c r="BP396" i="6" s="1"/>
  <c r="BO307" i="6"/>
  <c r="BP307" i="6" s="1"/>
  <c r="BO508" i="6"/>
  <c r="BP508" i="6" s="1"/>
  <c r="BO555" i="6"/>
  <c r="BP555" i="6" s="1"/>
  <c r="BY412" i="6"/>
  <c r="BZ412" i="6" s="1"/>
  <c r="BY174" i="6"/>
  <c r="BZ174" i="6" s="1"/>
  <c r="BY517" i="6"/>
  <c r="BZ517" i="6" s="1"/>
  <c r="BO139" i="6"/>
  <c r="BP139" i="6" s="1"/>
  <c r="BY543" i="6"/>
  <c r="BZ543" i="6" s="1"/>
  <c r="BY370" i="6"/>
  <c r="BZ370" i="6" s="1"/>
  <c r="BO118" i="6"/>
  <c r="BP118" i="6" s="1"/>
  <c r="BO220" i="6"/>
  <c r="BP220" i="6" s="1"/>
  <c r="BO475" i="6"/>
  <c r="BP475" i="6" s="1"/>
  <c r="BY318" i="6"/>
  <c r="BZ318" i="6" s="1"/>
  <c r="CB434" i="6"/>
  <c r="CC434" i="6" s="1"/>
  <c r="CB230" i="6"/>
  <c r="CC230" i="6" s="1"/>
  <c r="CB194" i="6"/>
  <c r="CC194" i="6" s="1"/>
  <c r="CB455" i="6"/>
  <c r="CC455" i="6" s="1"/>
  <c r="BY205" i="6"/>
  <c r="BZ205" i="6" s="1"/>
  <c r="BO549" i="6"/>
  <c r="BP549" i="6" s="1"/>
  <c r="BY423" i="6"/>
  <c r="BZ423" i="6" s="1"/>
  <c r="BO217" i="6"/>
  <c r="BP217" i="6" s="1"/>
  <c r="BO567" i="6"/>
  <c r="BP567" i="6" s="1"/>
  <c r="BO541" i="6"/>
  <c r="BP541" i="6" s="1"/>
  <c r="BO568" i="6"/>
  <c r="BP568" i="6" s="1"/>
  <c r="BY27" i="6"/>
  <c r="BZ27" i="6" s="1"/>
  <c r="BY384" i="6"/>
  <c r="BZ384" i="6" s="1"/>
  <c r="BY304" i="6"/>
  <c r="BZ304" i="6" s="1"/>
  <c r="BY64" i="6"/>
  <c r="BZ64" i="6" s="1"/>
  <c r="BY31" i="6"/>
  <c r="BZ31" i="6" s="1"/>
  <c r="BY181" i="6"/>
  <c r="BZ181" i="6" s="1"/>
  <c r="BY334" i="6"/>
  <c r="BZ334" i="6" s="1"/>
  <c r="BY360" i="6"/>
  <c r="BZ360" i="6" s="1"/>
  <c r="BO388" i="6"/>
  <c r="BP388" i="6" s="1"/>
  <c r="BO207" i="6"/>
  <c r="BP207" i="6" s="1"/>
  <c r="BY184" i="6"/>
  <c r="BZ184" i="6" s="1"/>
  <c r="BO391" i="6"/>
  <c r="BP391" i="6" s="1"/>
  <c r="BY508" i="6"/>
  <c r="BZ508" i="6" s="1"/>
  <c r="BO39" i="6"/>
  <c r="BP39" i="6" s="1"/>
  <c r="BY478" i="6"/>
  <c r="BZ478" i="6" s="1"/>
  <c r="BY354" i="6"/>
  <c r="BZ354" i="6" s="1"/>
  <c r="BY189" i="6"/>
  <c r="BZ189" i="6" s="1"/>
  <c r="BY418" i="6"/>
  <c r="BZ418" i="6" s="1"/>
  <c r="BO187" i="6"/>
  <c r="BP187" i="6" s="1"/>
  <c r="BY528" i="6"/>
  <c r="BZ528" i="6" s="1"/>
  <c r="BY165" i="6"/>
  <c r="BZ165" i="6" s="1"/>
  <c r="BO106" i="6"/>
  <c r="BP106" i="6" s="1"/>
  <c r="BY477" i="6"/>
  <c r="BZ477" i="6" s="1"/>
  <c r="BO63" i="6"/>
  <c r="BP63" i="6" s="1"/>
  <c r="BY331" i="6"/>
  <c r="BZ331" i="6" s="1"/>
  <c r="BY456" i="6"/>
  <c r="BZ456" i="6" s="1"/>
  <c r="CB53" i="6"/>
  <c r="CC53" i="6" s="1"/>
  <c r="CB467" i="6"/>
  <c r="CC467" i="6" s="1"/>
  <c r="CB530" i="6"/>
  <c r="CC530" i="6" s="1"/>
  <c r="CB563" i="6"/>
  <c r="CC563" i="6" s="1"/>
  <c r="CB464" i="6"/>
  <c r="CC464" i="6" s="1"/>
  <c r="BO532" i="6"/>
  <c r="BP532" i="6" s="1"/>
  <c r="BY78" i="6"/>
  <c r="BZ78" i="6" s="1"/>
  <c r="BY426" i="6"/>
  <c r="BZ426" i="6" s="1"/>
  <c r="BY150" i="6"/>
  <c r="BZ150" i="6" s="1"/>
  <c r="BO406" i="6"/>
  <c r="BP406" i="6" s="1"/>
  <c r="BO405" i="6"/>
  <c r="BP405" i="6" s="1"/>
  <c r="BE217" i="6"/>
  <c r="BF217" i="6" s="1"/>
  <c r="BE103" i="6"/>
  <c r="BF103" i="6" s="1"/>
  <c r="BE560" i="6"/>
  <c r="BF560" i="6" s="1"/>
  <c r="BO444" i="6"/>
  <c r="BP444" i="6" s="1"/>
  <c r="BY402" i="6"/>
  <c r="BZ402" i="6" s="1"/>
  <c r="BE108" i="6"/>
  <c r="BF108" i="6" s="1"/>
  <c r="BE477" i="6"/>
  <c r="BF477" i="6" s="1"/>
  <c r="BY532" i="6"/>
  <c r="BZ532" i="6" s="1"/>
  <c r="BO262" i="6"/>
  <c r="BP262" i="6" s="1"/>
  <c r="BE42" i="6"/>
  <c r="BF42" i="6" s="1"/>
  <c r="BE515" i="6"/>
  <c r="BF515" i="6" s="1"/>
  <c r="BE121" i="6"/>
  <c r="BF121" i="6" s="1"/>
  <c r="BE453" i="6"/>
  <c r="BF453" i="6" s="1"/>
  <c r="BE215" i="6"/>
  <c r="BF215" i="6" s="1"/>
  <c r="BE420" i="6"/>
  <c r="BF420" i="6" s="1"/>
  <c r="BY454" i="6"/>
  <c r="BZ454" i="6" s="1"/>
  <c r="BO429" i="6"/>
  <c r="BP429" i="6" s="1"/>
  <c r="BE239" i="6"/>
  <c r="BF239" i="6" s="1"/>
  <c r="BE388" i="6"/>
  <c r="BF388" i="6" s="1"/>
  <c r="BE520" i="6"/>
  <c r="BF520" i="6" s="1"/>
  <c r="BE75" i="6"/>
  <c r="BF75" i="6" s="1"/>
  <c r="BO504" i="6"/>
  <c r="BP504" i="6" s="1"/>
  <c r="BY109" i="6"/>
  <c r="BZ109" i="6" s="1"/>
  <c r="BY483" i="6"/>
  <c r="BZ483" i="6" s="1"/>
  <c r="BY96" i="6"/>
  <c r="BZ96" i="6" s="1"/>
  <c r="BY564" i="6"/>
  <c r="BZ564" i="6" s="1"/>
  <c r="BO90" i="6"/>
  <c r="BP90" i="6" s="1"/>
  <c r="BY217" i="6"/>
  <c r="BZ217" i="6" s="1"/>
  <c r="BY175" i="6"/>
  <c r="BZ175" i="6" s="1"/>
  <c r="BY367" i="6"/>
  <c r="BZ367" i="6" s="1"/>
  <c r="BO153" i="6"/>
  <c r="BP153" i="6" s="1"/>
  <c r="BY391" i="6"/>
  <c r="BZ391" i="6" s="1"/>
  <c r="BO528" i="6"/>
  <c r="BP528" i="6" s="1"/>
  <c r="BO138" i="6"/>
  <c r="BP138" i="6" s="1"/>
  <c r="BO304" i="6"/>
  <c r="BP304" i="6" s="1"/>
  <c r="BO181" i="6"/>
  <c r="BP181" i="6" s="1"/>
  <c r="BY90" i="6"/>
  <c r="BZ90" i="6" s="1"/>
  <c r="BO466" i="6"/>
  <c r="BP466" i="6" s="1"/>
  <c r="BO486" i="6"/>
  <c r="BP486" i="6" s="1"/>
  <c r="BY145" i="6"/>
  <c r="BZ145" i="6" s="1"/>
  <c r="BO225" i="6"/>
  <c r="BP225" i="6" s="1"/>
  <c r="BY270" i="6"/>
  <c r="BZ270" i="6" s="1"/>
  <c r="BO165" i="6"/>
  <c r="BP165" i="6" s="1"/>
  <c r="BY267" i="6"/>
  <c r="BZ267" i="6" s="1"/>
  <c r="CB404" i="6"/>
  <c r="CC404" i="6" s="1"/>
  <c r="CB38" i="6"/>
  <c r="CC38" i="6" s="1"/>
  <c r="BY112" i="6"/>
  <c r="BZ112" i="6" s="1"/>
  <c r="BO390" i="6"/>
  <c r="BP390" i="6" s="1"/>
  <c r="BO54" i="6"/>
  <c r="BP54" i="6" s="1"/>
  <c r="BO37" i="6"/>
  <c r="BP37" i="6" s="1"/>
  <c r="BO472" i="6"/>
  <c r="BP472" i="6" s="1"/>
  <c r="BY79" i="6"/>
  <c r="BZ79" i="6" s="1"/>
  <c r="BO81" i="6"/>
  <c r="BP81" i="6" s="1"/>
  <c r="BY126" i="6"/>
  <c r="BZ126" i="6" s="1"/>
  <c r="BO526" i="6"/>
  <c r="BP526" i="6" s="1"/>
  <c r="BO289" i="6"/>
  <c r="BP289" i="6" s="1"/>
  <c r="BY519" i="6"/>
  <c r="BZ519" i="6" s="1"/>
  <c r="BO85" i="6"/>
  <c r="BP85" i="6" s="1"/>
  <c r="BO358" i="6"/>
  <c r="BP358" i="6" s="1"/>
  <c r="BY178" i="6"/>
  <c r="BZ178" i="6" s="1"/>
  <c r="BO450" i="6"/>
  <c r="BP450" i="6" s="1"/>
  <c r="BY264" i="6"/>
  <c r="BZ264" i="6" s="1"/>
  <c r="BY252" i="6"/>
  <c r="BZ252" i="6" s="1"/>
  <c r="BY295" i="6"/>
  <c r="BZ295" i="6" s="1"/>
  <c r="BO403" i="6"/>
  <c r="BP403" i="6" s="1"/>
  <c r="BY63" i="6"/>
  <c r="BZ63" i="6" s="1"/>
  <c r="BO43" i="6"/>
  <c r="BP43" i="6" s="1"/>
  <c r="BY204" i="6"/>
  <c r="BZ204" i="6" s="1"/>
  <c r="BO471" i="6"/>
  <c r="BP471" i="6" s="1"/>
  <c r="BO246" i="6"/>
  <c r="BP246" i="6" s="1"/>
  <c r="BO343" i="6"/>
  <c r="BP343" i="6" s="1"/>
  <c r="BY282" i="6"/>
  <c r="BZ282" i="6" s="1"/>
  <c r="BY486" i="6"/>
  <c r="BZ486" i="6" s="1"/>
  <c r="BO366" i="6"/>
  <c r="BP366" i="6" s="1"/>
  <c r="BY139" i="6"/>
  <c r="BZ139" i="6" s="1"/>
  <c r="BO96" i="6"/>
  <c r="BP96" i="6" s="1"/>
  <c r="CB209" i="6"/>
  <c r="CC209" i="6" s="1"/>
  <c r="CB368" i="6"/>
  <c r="CC368" i="6" s="1"/>
  <c r="CB524" i="6"/>
  <c r="CC524" i="6" s="1"/>
  <c r="CB527" i="6"/>
  <c r="CC527" i="6" s="1"/>
  <c r="CB506" i="6"/>
  <c r="CC506" i="6" s="1"/>
  <c r="CB332" i="6"/>
  <c r="CC332" i="6" s="1"/>
  <c r="BE230" i="6"/>
  <c r="BF230" i="6" s="1"/>
  <c r="BY258" i="6"/>
  <c r="BZ258" i="6" s="1"/>
  <c r="BO213" i="6"/>
  <c r="BP213" i="6" s="1"/>
  <c r="BO124" i="6"/>
  <c r="BP124" i="6" s="1"/>
  <c r="BO420" i="6"/>
  <c r="BP420" i="6" s="1"/>
  <c r="BO492" i="6"/>
  <c r="BP492" i="6" s="1"/>
  <c r="BE52" i="6"/>
  <c r="BF52" i="6" s="1"/>
  <c r="BY72" i="6"/>
  <c r="BZ72" i="6" s="1"/>
  <c r="BY387" i="6"/>
  <c r="BZ387" i="6" s="1"/>
  <c r="BY37" i="6"/>
  <c r="BZ37" i="6" s="1"/>
  <c r="BY474" i="6"/>
  <c r="BZ474" i="6" s="1"/>
  <c r="BY127" i="6"/>
  <c r="BZ127" i="6" s="1"/>
  <c r="BO352" i="6"/>
  <c r="BP352" i="6" s="1"/>
  <c r="BY325" i="6"/>
  <c r="BZ325" i="6" s="1"/>
  <c r="BO241" i="6"/>
  <c r="BP241" i="6" s="1"/>
  <c r="BY97" i="6"/>
  <c r="BZ97" i="6" s="1"/>
  <c r="BO247" i="6"/>
  <c r="BP247" i="6" s="1"/>
  <c r="BY186" i="6"/>
  <c r="BZ186" i="6" s="1"/>
  <c r="BO546" i="6"/>
  <c r="BP546" i="6" s="1"/>
  <c r="BE89" i="6"/>
  <c r="BF89" i="6" s="1"/>
  <c r="BY265" i="6"/>
  <c r="BZ265" i="6" s="1"/>
  <c r="BY133" i="6"/>
  <c r="BZ133" i="6" s="1"/>
  <c r="BO312" i="6"/>
  <c r="BP312" i="6" s="1"/>
  <c r="BY291" i="6"/>
  <c r="BZ291" i="6" s="1"/>
  <c r="BY433" i="6"/>
  <c r="BZ433" i="6" s="1"/>
  <c r="BO456" i="6"/>
  <c r="BP456" i="6" s="1"/>
  <c r="BO379" i="6"/>
  <c r="BP379" i="6" s="1"/>
  <c r="BO376" i="6"/>
  <c r="BP376" i="6" s="1"/>
  <c r="BO49" i="6"/>
  <c r="BP49" i="6" s="1"/>
  <c r="BO229" i="6"/>
  <c r="BP229" i="6" s="1"/>
  <c r="BY220" i="6"/>
  <c r="BZ220" i="6" s="1"/>
  <c r="BO214" i="6"/>
  <c r="BP214" i="6" s="1"/>
  <c r="BO459" i="6"/>
  <c r="BP459" i="6" s="1"/>
  <c r="BO199" i="6"/>
  <c r="BP199" i="6" s="1"/>
  <c r="BO102" i="6"/>
  <c r="BP102" i="6" s="1"/>
  <c r="BO151" i="6"/>
  <c r="BP151" i="6" s="1"/>
  <c r="CB458" i="6"/>
  <c r="CC458" i="6" s="1"/>
  <c r="CB212" i="6"/>
  <c r="CC212" i="6" s="1"/>
  <c r="CB242" i="6"/>
  <c r="CC242" i="6" s="1"/>
  <c r="CB227" i="6"/>
  <c r="CC227" i="6" s="1"/>
  <c r="CB317" i="6"/>
  <c r="CC317" i="6" s="1"/>
  <c r="BO69" i="6"/>
  <c r="BP69" i="6" s="1"/>
  <c r="BO511" i="6"/>
  <c r="BP511" i="6" s="1"/>
  <c r="BO465" i="6"/>
  <c r="BP465" i="6" s="1"/>
  <c r="BO162" i="6"/>
  <c r="BP162" i="6" s="1"/>
  <c r="BE431" i="6"/>
  <c r="BF431" i="6" s="1"/>
  <c r="BE148" i="6"/>
  <c r="BF148" i="6" s="1"/>
  <c r="BE154" i="6"/>
  <c r="BF154" i="6" s="1"/>
  <c r="BO24" i="6"/>
  <c r="BP24" i="6" s="1"/>
  <c r="BO394" i="6"/>
  <c r="BP394" i="6" s="1"/>
  <c r="BY25" i="6"/>
  <c r="BZ25" i="6" s="1"/>
  <c r="BY516" i="6"/>
  <c r="BZ516" i="6" s="1"/>
  <c r="BY490" i="6"/>
  <c r="BZ490" i="6" s="1"/>
  <c r="BO364" i="6"/>
  <c r="BP364" i="6" s="1"/>
  <c r="BO123" i="6"/>
  <c r="BP123" i="6" s="1"/>
  <c r="BE394" i="6"/>
  <c r="BF394" i="6" s="1"/>
  <c r="BO201" i="6"/>
  <c r="BP201" i="6" s="1"/>
  <c r="BO556" i="6"/>
  <c r="BP556" i="6" s="1"/>
  <c r="BO430" i="6"/>
  <c r="BP430" i="6" s="1"/>
  <c r="BY48" i="6"/>
  <c r="BZ48" i="6" s="1"/>
  <c r="BY531" i="6"/>
  <c r="BZ531" i="6" s="1"/>
  <c r="BO273" i="6"/>
  <c r="BP273" i="6" s="1"/>
  <c r="BO159" i="6"/>
  <c r="BP159" i="6" s="1"/>
  <c r="BO171" i="6"/>
  <c r="BP171" i="6" s="1"/>
  <c r="BO399" i="6"/>
  <c r="BP399" i="6" s="1"/>
  <c r="BY138" i="6"/>
  <c r="BZ138" i="6" s="1"/>
  <c r="BO36" i="6"/>
  <c r="BP36" i="6" s="1"/>
  <c r="BY100" i="6"/>
  <c r="BZ100" i="6" s="1"/>
  <c r="BY480" i="6"/>
  <c r="BZ480" i="6" s="1"/>
  <c r="BO360" i="6"/>
  <c r="BP360" i="6" s="1"/>
  <c r="BY60" i="6"/>
  <c r="BZ60" i="6" s="1"/>
  <c r="BY315" i="6"/>
  <c r="BZ315" i="6" s="1"/>
  <c r="CB35" i="6"/>
  <c r="CC35" i="6" s="1"/>
  <c r="CB365" i="6"/>
  <c r="CC365" i="6" s="1"/>
  <c r="CB521" i="6"/>
  <c r="CC521" i="6" s="1"/>
  <c r="CB290" i="6"/>
  <c r="CC290" i="6" s="1"/>
  <c r="CB50" i="6"/>
  <c r="CC50" i="6" s="1"/>
  <c r="BO34" i="6"/>
  <c r="BP34" i="6" s="1"/>
  <c r="BO232" i="6"/>
  <c r="BP232" i="6" s="1"/>
  <c r="BY54" i="6"/>
  <c r="BZ54" i="6" s="1"/>
  <c r="BO535" i="6"/>
  <c r="BP535" i="6" s="1"/>
  <c r="BE522" i="6"/>
  <c r="BF522" i="6" s="1"/>
  <c r="BO321" i="6"/>
  <c r="BP321" i="6" s="1"/>
  <c r="BO88" i="6"/>
  <c r="BP88" i="6" s="1"/>
  <c r="BO537" i="6"/>
  <c r="BP537" i="6" s="1"/>
  <c r="BY457" i="6"/>
  <c r="BZ457" i="6" s="1"/>
  <c r="BO558" i="6"/>
  <c r="BP558" i="6" s="1"/>
  <c r="BO322" i="6"/>
  <c r="BP322" i="6" s="1"/>
  <c r="BO457" i="6"/>
  <c r="BP457" i="6" s="1"/>
  <c r="BO493" i="6"/>
  <c r="BP493" i="6" s="1"/>
  <c r="BO108" i="6"/>
  <c r="BP108" i="6" s="1"/>
  <c r="BE234" i="6"/>
  <c r="BF234" i="6" s="1"/>
  <c r="BO363" i="6"/>
  <c r="BP363" i="6" s="1"/>
  <c r="BO348" i="6"/>
  <c r="BP348" i="6" s="1"/>
  <c r="BO519" i="6"/>
  <c r="BP519" i="6" s="1"/>
  <c r="BY357" i="6"/>
  <c r="BZ357" i="6" s="1"/>
  <c r="BY523" i="6"/>
  <c r="BZ523" i="6" s="1"/>
  <c r="BY420" i="6"/>
  <c r="BZ420" i="6" s="1"/>
  <c r="BY102" i="6"/>
  <c r="BZ102" i="6" s="1"/>
  <c r="BY417" i="6"/>
  <c r="BZ417" i="6" s="1"/>
  <c r="BY183" i="6"/>
  <c r="BZ183" i="6" s="1"/>
  <c r="BY40" i="6"/>
  <c r="BZ40" i="6" s="1"/>
  <c r="BO543" i="6"/>
  <c r="BP543" i="6" s="1"/>
  <c r="BO483" i="6"/>
  <c r="BP483" i="6" s="1"/>
  <c r="BO564" i="6"/>
  <c r="BP564" i="6" s="1"/>
  <c r="BY144" i="6"/>
  <c r="BZ144" i="6" s="1"/>
  <c r="BO195" i="6"/>
  <c r="BP195" i="6" s="1"/>
  <c r="BY36" i="6"/>
  <c r="BZ36" i="6" s="1"/>
  <c r="BO427" i="6"/>
  <c r="BP427" i="6" s="1"/>
  <c r="BO477" i="6"/>
  <c r="BP477" i="6" s="1"/>
  <c r="BO82" i="6"/>
  <c r="BP82" i="6" s="1"/>
  <c r="BY441" i="6"/>
  <c r="BZ441" i="6" s="1"/>
  <c r="BO318" i="6"/>
  <c r="BP318" i="6" s="1"/>
  <c r="BO300" i="6"/>
  <c r="BP300" i="6" s="1"/>
  <c r="BO460" i="6"/>
  <c r="BP460" i="6" s="1"/>
  <c r="BO523" i="6"/>
  <c r="BP523" i="6" s="1"/>
  <c r="BO433" i="6"/>
  <c r="BP433" i="6" s="1"/>
  <c r="BO370" i="6"/>
  <c r="BP370" i="6" s="1"/>
  <c r="BY339" i="6"/>
  <c r="BZ339" i="6" s="1"/>
  <c r="BY495" i="6"/>
  <c r="BZ495" i="6" s="1"/>
  <c r="CB26" i="6"/>
  <c r="CC26" i="6" s="1"/>
  <c r="CB413" i="6"/>
  <c r="CC413" i="6" s="1"/>
  <c r="CB296" i="6"/>
  <c r="CC296" i="6" s="1"/>
  <c r="CB482" i="6"/>
  <c r="CC482" i="6" s="1"/>
  <c r="CB179" i="6"/>
  <c r="CC179" i="6" s="1"/>
  <c r="CB170" i="6"/>
  <c r="CC170" i="6" s="1"/>
  <c r="BO468" i="6"/>
  <c r="BP468" i="6" s="1"/>
  <c r="BO445" i="6"/>
  <c r="BP445" i="6" s="1"/>
  <c r="BY24" i="6"/>
  <c r="BZ24" i="6" s="1"/>
  <c r="BY253" i="6"/>
  <c r="BZ253" i="6" s="1"/>
  <c r="BO499" i="6"/>
  <c r="BP499" i="6" s="1"/>
  <c r="BY213" i="6"/>
  <c r="BZ213" i="6" s="1"/>
  <c r="BO469" i="6"/>
  <c r="BP469" i="6" s="1"/>
  <c r="BO78" i="6"/>
  <c r="BP78" i="6" s="1"/>
  <c r="BO235" i="6"/>
  <c r="BP235" i="6" s="1"/>
  <c r="BO463" i="6"/>
  <c r="BP463" i="6" s="1"/>
  <c r="BY132" i="6"/>
  <c r="BZ132" i="6" s="1"/>
  <c r="BO510" i="6"/>
  <c r="BP510" i="6" s="1"/>
  <c r="BO325" i="6"/>
  <c r="BP325" i="6" s="1"/>
  <c r="BO280" i="6"/>
  <c r="BP280" i="6" s="1"/>
  <c r="BO129" i="6"/>
  <c r="BP129" i="6" s="1"/>
  <c r="BO333" i="6"/>
  <c r="BP333" i="6" s="1"/>
  <c r="BY151" i="6"/>
  <c r="BZ151" i="6" s="1"/>
  <c r="BO517" i="6"/>
  <c r="BP517" i="6" s="1"/>
  <c r="BY385" i="6"/>
  <c r="BZ385" i="6" s="1"/>
  <c r="BO264" i="6"/>
  <c r="BP264" i="6" s="1"/>
  <c r="BO447" i="6"/>
  <c r="BP447" i="6" s="1"/>
  <c r="BY216" i="6"/>
  <c r="BZ216" i="6" s="1"/>
  <c r="BO415" i="6"/>
  <c r="BP415" i="6" s="1"/>
  <c r="BO514" i="6"/>
  <c r="BP514" i="6" s="1"/>
  <c r="BY475" i="6"/>
  <c r="BZ475" i="6" s="1"/>
  <c r="BO320" i="6"/>
  <c r="BP320" i="6" s="1"/>
  <c r="CB518" i="6"/>
  <c r="CC518" i="6" s="1"/>
  <c r="CB41" i="6"/>
  <c r="CC41" i="6" s="1"/>
  <c r="CB302" i="6"/>
  <c r="CC302" i="6" s="1"/>
  <c r="CB395" i="6"/>
  <c r="CC395" i="6" s="1"/>
  <c r="CB164" i="6"/>
  <c r="CC164" i="6" s="1"/>
  <c r="CB215" i="6"/>
  <c r="CC215" i="6" s="1"/>
  <c r="BY439" i="6"/>
  <c r="BZ439" i="6" s="1"/>
  <c r="BO25" i="6"/>
  <c r="BP25" i="6" s="1"/>
  <c r="BY142" i="6"/>
  <c r="BZ142" i="6" s="1"/>
  <c r="BO520" i="6"/>
  <c r="BP520" i="6" s="1"/>
  <c r="BO28" i="6"/>
  <c r="BP28" i="6" s="1"/>
  <c r="BO442" i="6"/>
  <c r="BP442" i="6" s="1"/>
  <c r="BO313" i="6"/>
  <c r="BP313" i="6" s="1"/>
  <c r="BO490" i="6"/>
  <c r="BP490" i="6" s="1"/>
  <c r="BO306" i="6"/>
  <c r="BP306" i="6" s="1"/>
  <c r="BY390" i="6"/>
  <c r="BZ390" i="6" s="1"/>
  <c r="BY99" i="6"/>
  <c r="BZ99" i="6" s="1"/>
  <c r="BY156" i="6"/>
  <c r="BZ156" i="6" s="1"/>
  <c r="BY111" i="6"/>
  <c r="BZ111" i="6" s="1"/>
  <c r="BY324" i="6"/>
  <c r="BZ324" i="6" s="1"/>
  <c r="BY450" i="6"/>
  <c r="BZ450" i="6" s="1"/>
  <c r="BO282" i="6"/>
  <c r="BP282" i="6" s="1"/>
  <c r="BO310" i="6"/>
  <c r="BP310" i="6" s="1"/>
  <c r="BY106" i="6"/>
  <c r="BZ106" i="6" s="1"/>
  <c r="BO531" i="6"/>
  <c r="BP531" i="6" s="1"/>
  <c r="BO252" i="6"/>
  <c r="BP252" i="6" s="1"/>
  <c r="BY103" i="6"/>
  <c r="BZ103" i="6" s="1"/>
  <c r="BO421" i="6"/>
  <c r="BP421" i="6" s="1"/>
  <c r="BY273" i="6"/>
  <c r="BZ273" i="6" s="1"/>
  <c r="BO498" i="6"/>
  <c r="BP498" i="6" s="1"/>
  <c r="BY507" i="6"/>
  <c r="BZ507" i="6" s="1"/>
  <c r="BO103" i="6"/>
  <c r="BP103" i="6" s="1"/>
  <c r="BO418" i="6"/>
  <c r="BP418" i="6" s="1"/>
  <c r="BY409" i="6"/>
  <c r="BZ409" i="6" s="1"/>
  <c r="BY307" i="6"/>
  <c r="BZ307" i="6" s="1"/>
  <c r="BE528" i="6"/>
  <c r="BF528" i="6" s="1"/>
  <c r="BO279" i="6"/>
  <c r="BP279" i="6" s="1"/>
  <c r="BY238" i="6"/>
  <c r="BZ238" i="6" s="1"/>
  <c r="BY309" i="6"/>
  <c r="BZ309" i="6" s="1"/>
  <c r="BY187" i="6"/>
  <c r="BZ187" i="6" s="1"/>
  <c r="BY229" i="6"/>
  <c r="BZ229" i="6" s="1"/>
  <c r="BY210" i="6"/>
  <c r="BZ210" i="6" s="1"/>
  <c r="BY514" i="6"/>
  <c r="BZ514" i="6" s="1"/>
  <c r="BO255" i="6"/>
  <c r="BP255" i="6" s="1"/>
  <c r="BO259" i="6"/>
  <c r="BP259" i="6" s="1"/>
  <c r="BO382" i="6"/>
  <c r="BP382" i="6" s="1"/>
  <c r="CB104" i="6"/>
  <c r="CC104" i="6" s="1"/>
  <c r="CB185" i="6"/>
  <c r="CC185" i="6" s="1"/>
  <c r="CB560" i="6"/>
  <c r="CC560" i="6" s="1"/>
  <c r="CB122" i="6"/>
  <c r="CC122" i="6" s="1"/>
  <c r="CB425" i="6"/>
  <c r="CC425" i="6" s="1"/>
  <c r="CB410" i="6"/>
  <c r="CC410" i="6" s="1"/>
  <c r="BY71" i="6"/>
  <c r="BZ71" i="6" s="1"/>
  <c r="BE340" i="6"/>
  <c r="BF340" i="6" s="1"/>
  <c r="BE120" i="6"/>
  <c r="BF120" i="6" s="1"/>
  <c r="BE146" i="6"/>
  <c r="BF146" i="6" s="1"/>
  <c r="BY455" i="6"/>
  <c r="BZ455" i="6" s="1"/>
  <c r="BE260" i="6"/>
  <c r="BF260" i="6" s="1"/>
  <c r="BE96" i="6"/>
  <c r="BF96" i="6" s="1"/>
  <c r="BE156" i="6"/>
  <c r="BF156" i="6" s="1"/>
  <c r="BE178" i="6"/>
  <c r="BF178" i="6" s="1"/>
  <c r="BY260" i="6"/>
  <c r="BZ260" i="6" s="1"/>
  <c r="BE423" i="6"/>
  <c r="BF423" i="6" s="1"/>
  <c r="BE61" i="6"/>
  <c r="BF61" i="6" s="1"/>
  <c r="BE558" i="6"/>
  <c r="BF558" i="6" s="1"/>
  <c r="BE85" i="6"/>
  <c r="BF85" i="6" s="1"/>
  <c r="BE455" i="6"/>
  <c r="BF455" i="6" s="1"/>
  <c r="BE122" i="6"/>
  <c r="BF122" i="6" s="1"/>
  <c r="BE125" i="6"/>
  <c r="BF125" i="6" s="1"/>
  <c r="BE281" i="6"/>
  <c r="BF281" i="6" s="1"/>
  <c r="BE385" i="6"/>
  <c r="BF385" i="6" s="1"/>
  <c r="BE540" i="6"/>
  <c r="BF540" i="6" s="1"/>
  <c r="BE298" i="6"/>
  <c r="BF298" i="6" s="1"/>
  <c r="BE363" i="6"/>
  <c r="BF363" i="6" s="1"/>
  <c r="BE26" i="6"/>
  <c r="BF26" i="6" s="1"/>
  <c r="BE67" i="6"/>
  <c r="BF67" i="6" s="1"/>
  <c r="BE133" i="6"/>
  <c r="BF133" i="6" s="1"/>
  <c r="BE275" i="6"/>
  <c r="BF275" i="6" s="1"/>
  <c r="BE208" i="6"/>
  <c r="BF208" i="6" s="1"/>
  <c r="BE416" i="6"/>
  <c r="BF416" i="6" s="1"/>
  <c r="BE389" i="6"/>
  <c r="BF389" i="6" s="1"/>
  <c r="BE62" i="6"/>
  <c r="BF62" i="6" s="1"/>
  <c r="BE270" i="6"/>
  <c r="BF270" i="6" s="1"/>
  <c r="BE493" i="6"/>
  <c r="BF493" i="6" s="1"/>
  <c r="BE459" i="6"/>
  <c r="BF459" i="6" s="1"/>
  <c r="BE309" i="6"/>
  <c r="BF309" i="6" s="1"/>
  <c r="BE173" i="6"/>
  <c r="BF173" i="6" s="1"/>
  <c r="BO176" i="6"/>
  <c r="BP176" i="6" s="1"/>
  <c r="BY410" i="6"/>
  <c r="BZ410" i="6" s="1"/>
  <c r="BY279" i="6"/>
  <c r="BZ279" i="6" s="1"/>
  <c r="BY26" i="6"/>
  <c r="BZ26" i="6" s="1"/>
  <c r="BE100" i="6"/>
  <c r="BF100" i="6" s="1"/>
  <c r="BY380" i="6"/>
  <c r="BZ380" i="6" s="1"/>
  <c r="BE95" i="6"/>
  <c r="BF95" i="6" s="1"/>
  <c r="BE498" i="6"/>
  <c r="BF498" i="6" s="1"/>
  <c r="BY259" i="6"/>
  <c r="BZ259" i="6" s="1"/>
  <c r="BE131" i="6"/>
  <c r="BF131" i="6" s="1"/>
  <c r="BO257" i="6"/>
  <c r="BP257" i="6" s="1"/>
  <c r="BE47" i="6"/>
  <c r="BF47" i="6" s="1"/>
  <c r="BE38" i="6"/>
  <c r="BF38" i="6" s="1"/>
  <c r="BE362" i="6"/>
  <c r="BF362" i="6" s="1"/>
  <c r="BE145" i="6"/>
  <c r="BF145" i="6" s="1"/>
  <c r="BE324" i="6"/>
  <c r="BF324" i="6" s="1"/>
  <c r="BE166" i="6"/>
  <c r="BF166" i="6" s="1"/>
  <c r="BE238" i="6"/>
  <c r="BF238" i="6" s="1"/>
  <c r="BE532" i="6"/>
  <c r="BF532" i="6" s="1"/>
  <c r="BE488" i="6"/>
  <c r="BF488" i="6" s="1"/>
  <c r="BE481" i="6"/>
  <c r="BF481" i="6" s="1"/>
  <c r="BE155" i="6"/>
  <c r="BF155" i="6" s="1"/>
  <c r="BO419" i="6"/>
  <c r="BP419" i="6" s="1"/>
  <c r="BE349" i="6"/>
  <c r="BF349" i="6" s="1"/>
  <c r="BE189" i="6"/>
  <c r="BF189" i="6" s="1"/>
  <c r="BE511" i="6"/>
  <c r="BF511" i="6" s="1"/>
  <c r="BE430" i="6"/>
  <c r="BF430" i="6" s="1"/>
  <c r="BE123" i="6"/>
  <c r="BF123" i="6" s="1"/>
  <c r="BE375" i="6"/>
  <c r="BF375" i="6" s="1"/>
  <c r="BE224" i="6"/>
  <c r="BF224" i="6" s="1"/>
  <c r="BE434" i="6"/>
  <c r="BF434" i="6" s="1"/>
  <c r="BE490" i="6"/>
  <c r="BF490" i="6" s="1"/>
  <c r="BE119" i="6"/>
  <c r="BF119" i="6" s="1"/>
  <c r="BE294" i="6"/>
  <c r="BF294" i="6" s="1"/>
  <c r="BE555" i="6"/>
  <c r="BF555" i="6" s="1"/>
  <c r="BE25" i="6"/>
  <c r="BF25" i="6" s="1"/>
  <c r="BE448" i="6"/>
  <c r="BF448" i="6" s="1"/>
  <c r="BE132" i="6"/>
  <c r="BF132" i="6" s="1"/>
  <c r="BE331" i="6"/>
  <c r="BF331" i="6" s="1"/>
  <c r="BE130" i="6"/>
  <c r="BF130" i="6" s="1"/>
  <c r="BE329" i="6"/>
  <c r="BF329" i="6" s="1"/>
  <c r="BE507" i="6"/>
  <c r="BF507" i="6" s="1"/>
  <c r="BE307" i="6"/>
  <c r="BF307" i="6" s="1"/>
  <c r="BE352" i="6"/>
  <c r="BF352" i="6" s="1"/>
  <c r="BE442" i="6"/>
  <c r="BF442" i="6" s="1"/>
  <c r="BE214" i="6"/>
  <c r="BF214" i="6" s="1"/>
  <c r="BE365" i="6"/>
  <c r="BF365" i="6" s="1"/>
  <c r="BE115" i="6"/>
  <c r="BF115" i="6" s="1"/>
  <c r="BE404" i="6"/>
  <c r="BF404" i="6" s="1"/>
  <c r="BE243" i="6"/>
  <c r="BF243" i="6" s="1"/>
  <c r="BE395" i="6"/>
  <c r="BF395" i="6" s="1"/>
  <c r="BE252" i="6"/>
  <c r="BF252" i="6" s="1"/>
  <c r="BE377" i="6"/>
  <c r="BF377" i="6" s="1"/>
  <c r="BE438" i="6"/>
  <c r="BF438" i="6" s="1"/>
  <c r="BE206" i="6"/>
  <c r="BF206" i="6" s="1"/>
  <c r="BY344" i="6"/>
  <c r="BZ344" i="6" s="1"/>
  <c r="BE539" i="6"/>
  <c r="BF539" i="6" s="1"/>
  <c r="BY95" i="6"/>
  <c r="BZ95" i="6" s="1"/>
  <c r="BO431" i="6"/>
  <c r="BP431" i="6" s="1"/>
  <c r="BY135" i="6"/>
  <c r="BZ135" i="6" s="1"/>
  <c r="BO160" i="6"/>
  <c r="BP160" i="6" s="1"/>
  <c r="BE91" i="6"/>
  <c r="BF91" i="6" s="1"/>
  <c r="BE161" i="6"/>
  <c r="BF161" i="6" s="1"/>
  <c r="BE541" i="6"/>
  <c r="BF541" i="6" s="1"/>
  <c r="BE553" i="6"/>
  <c r="BF553" i="6" s="1"/>
  <c r="BE551" i="6"/>
  <c r="BF551" i="6" s="1"/>
  <c r="BE127" i="6"/>
  <c r="BF127" i="6" s="1"/>
  <c r="BE446" i="6"/>
  <c r="BF446" i="6" s="1"/>
  <c r="BE410" i="6"/>
  <c r="BF410" i="6" s="1"/>
  <c r="BE31" i="6"/>
  <c r="BF31" i="6" s="1"/>
  <c r="BE28" i="6"/>
  <c r="BF28" i="6" s="1"/>
  <c r="BE347" i="6"/>
  <c r="BF347" i="6" s="1"/>
  <c r="BE542" i="6"/>
  <c r="BF542" i="6" s="1"/>
  <c r="BE312" i="6"/>
  <c r="BF312" i="6" s="1"/>
  <c r="BE272" i="6"/>
  <c r="BF272" i="6" s="1"/>
  <c r="BE49" i="6"/>
  <c r="BF49" i="6" s="1"/>
  <c r="BE117" i="6"/>
  <c r="BF117" i="6" s="1"/>
  <c r="BO354" i="6"/>
  <c r="BP354" i="6" s="1"/>
  <c r="BE63" i="6"/>
  <c r="BF63" i="6" s="1"/>
  <c r="BE64" i="6"/>
  <c r="BF64" i="6" s="1"/>
  <c r="BE371" i="6"/>
  <c r="BF371" i="6" s="1"/>
  <c r="BE134" i="6"/>
  <c r="BF134" i="6" s="1"/>
  <c r="BE35" i="6"/>
  <c r="BF35" i="6" s="1"/>
  <c r="BE202" i="6"/>
  <c r="BF202" i="6" s="1"/>
  <c r="BE228" i="6"/>
  <c r="BF228" i="6" s="1"/>
  <c r="BO35" i="6"/>
  <c r="BP35" i="6" s="1"/>
  <c r="BE568" i="6"/>
  <c r="BF568" i="6" s="1"/>
  <c r="BE538" i="6"/>
  <c r="BF538" i="6" s="1"/>
  <c r="BE268" i="6"/>
  <c r="BF268" i="6" s="1"/>
  <c r="BY560" i="6"/>
  <c r="BZ560" i="6" s="1"/>
  <c r="BE483" i="6"/>
  <c r="BF483" i="6" s="1"/>
  <c r="BE433" i="6"/>
  <c r="BF433" i="6" s="1"/>
  <c r="BE278" i="6"/>
  <c r="BF278" i="6" s="1"/>
  <c r="BE212" i="6"/>
  <c r="BF212" i="6" s="1"/>
  <c r="BE392" i="6"/>
  <c r="BF392" i="6" s="1"/>
  <c r="BE334" i="6"/>
  <c r="BF334" i="6" s="1"/>
  <c r="BE216" i="6"/>
  <c r="BF216" i="6" s="1"/>
  <c r="BE248" i="6"/>
  <c r="BF248" i="6" s="1"/>
  <c r="BE454" i="6"/>
  <c r="BF454" i="6" s="1"/>
  <c r="BE182" i="6"/>
  <c r="BF182" i="6" s="1"/>
  <c r="BE316" i="6"/>
  <c r="BF316" i="6" s="1"/>
  <c r="BO140" i="6"/>
  <c r="BP140" i="6" s="1"/>
  <c r="BE566" i="6"/>
  <c r="BF566" i="6" s="1"/>
  <c r="BE53" i="6"/>
  <c r="BF53" i="6" s="1"/>
  <c r="BE450" i="6"/>
  <c r="BF450" i="6" s="1"/>
  <c r="BE94" i="6"/>
  <c r="BF94" i="6" s="1"/>
  <c r="BE160" i="6"/>
  <c r="BF160" i="6" s="1"/>
  <c r="BE554" i="6"/>
  <c r="BF554" i="6" s="1"/>
  <c r="BE402" i="6"/>
  <c r="BF402" i="6" s="1"/>
  <c r="BY134" i="6"/>
  <c r="BZ134" i="6" s="1"/>
  <c r="BE503" i="6"/>
  <c r="BF503" i="6" s="1"/>
  <c r="BE444" i="6"/>
  <c r="BF444" i="6" s="1"/>
  <c r="BE180" i="6"/>
  <c r="BF180" i="6" s="1"/>
  <c r="BE432" i="6"/>
  <c r="BF432" i="6" s="1"/>
  <c r="BE227" i="6"/>
  <c r="BF227" i="6" s="1"/>
  <c r="BE241" i="6"/>
  <c r="BF241" i="6" s="1"/>
  <c r="BE374" i="6"/>
  <c r="BF374" i="6" s="1"/>
  <c r="BE412" i="6"/>
  <c r="BF412" i="6" s="1"/>
  <c r="BE474" i="6"/>
  <c r="BF474" i="6" s="1"/>
  <c r="BE495" i="6"/>
  <c r="BF495" i="6" s="1"/>
  <c r="BE65" i="6"/>
  <c r="BF65" i="6" s="1"/>
  <c r="BE325" i="6"/>
  <c r="BF325" i="6" s="1"/>
  <c r="BY154" i="6"/>
  <c r="BZ154" i="6" s="1"/>
  <c r="BE40" i="6"/>
  <c r="BF40" i="6" s="1"/>
  <c r="BE475" i="6"/>
  <c r="BF475" i="6" s="1"/>
  <c r="BE383" i="6"/>
  <c r="BF383" i="6" s="1"/>
  <c r="BE110" i="6"/>
  <c r="BF110" i="6" s="1"/>
  <c r="BE484" i="6"/>
  <c r="BF484" i="6" s="1"/>
  <c r="BE330" i="6"/>
  <c r="BF330" i="6" s="1"/>
  <c r="BE250" i="6"/>
  <c r="BF250" i="6" s="1"/>
  <c r="BE332" i="6"/>
  <c r="BF332" i="6" s="1"/>
  <c r="BE364" i="6"/>
  <c r="BF364" i="6" s="1"/>
  <c r="BE242" i="6"/>
  <c r="BF242" i="6" s="1"/>
  <c r="BE429" i="6"/>
  <c r="BF429" i="6" s="1"/>
  <c r="BE328" i="6"/>
  <c r="BF328" i="6" s="1"/>
  <c r="BE369" i="6"/>
  <c r="BF369" i="6" s="1"/>
  <c r="BE401" i="6"/>
  <c r="BF401" i="6" s="1"/>
  <c r="BE343" i="6"/>
  <c r="BF343" i="6" s="1"/>
  <c r="BE211" i="6"/>
  <c r="BF211" i="6" s="1"/>
  <c r="BE256" i="6"/>
  <c r="BF256" i="6" s="1"/>
  <c r="BE167" i="6"/>
  <c r="BF167" i="6" s="1"/>
  <c r="BE176" i="6"/>
  <c r="BF176" i="6" s="1"/>
  <c r="BE408" i="6"/>
  <c r="BF408" i="6" s="1"/>
  <c r="BE301" i="6"/>
  <c r="BF301" i="6" s="1"/>
  <c r="BE147" i="6"/>
  <c r="BF147" i="6" s="1"/>
  <c r="BE207" i="6"/>
  <c r="BF207" i="6" s="1"/>
  <c r="BE499" i="6"/>
  <c r="BF499" i="6" s="1"/>
  <c r="BE534" i="6"/>
  <c r="BF534" i="6" s="1"/>
  <c r="BE259" i="6"/>
  <c r="BF259" i="6" s="1"/>
  <c r="BE519" i="6"/>
  <c r="BF519" i="6" s="1"/>
  <c r="BE456" i="6"/>
  <c r="BF456" i="6" s="1"/>
  <c r="BE101" i="6"/>
  <c r="BF101" i="6" s="1"/>
  <c r="BE556" i="6"/>
  <c r="BF556" i="6" s="1"/>
  <c r="BE237" i="6"/>
  <c r="BF237" i="6" s="1"/>
  <c r="BE233" i="6"/>
  <c r="BF233" i="6" s="1"/>
  <c r="BE339" i="6"/>
  <c r="BF339" i="6" s="1"/>
  <c r="BE393" i="6"/>
  <c r="BF393" i="6" s="1"/>
  <c r="BE354" i="6"/>
  <c r="BF354" i="6" s="1"/>
  <c r="BE253" i="6"/>
  <c r="BF253" i="6" s="1"/>
  <c r="BE184" i="6"/>
  <c r="BF184" i="6" s="1"/>
  <c r="BE56" i="6"/>
  <c r="BF56" i="6" s="1"/>
  <c r="BE386" i="6"/>
  <c r="BF386" i="6" s="1"/>
  <c r="BE523" i="6"/>
  <c r="BF523" i="6" s="1"/>
  <c r="BE273" i="6"/>
  <c r="BF273" i="6" s="1"/>
  <c r="BE480" i="6"/>
  <c r="BF480" i="6" s="1"/>
  <c r="BE276" i="6"/>
  <c r="BF276" i="6" s="1"/>
  <c r="BE418" i="6"/>
  <c r="BF418" i="6" s="1"/>
  <c r="BE497" i="6"/>
  <c r="BF497" i="6" s="1"/>
  <c r="BE426" i="6"/>
  <c r="BF426" i="6" s="1"/>
  <c r="BE387" i="6"/>
  <c r="BF387" i="6" s="1"/>
  <c r="BE422" i="6"/>
  <c r="BF422" i="6" s="1"/>
  <c r="BE440" i="6"/>
  <c r="BF440" i="6" s="1"/>
  <c r="BY482" i="6"/>
  <c r="BZ482" i="6" s="1"/>
  <c r="BY119" i="6"/>
  <c r="BZ119" i="6" s="1"/>
  <c r="BO240" i="6"/>
  <c r="BP240" i="6" s="1"/>
  <c r="BE537" i="6"/>
  <c r="BF537" i="6" s="1"/>
  <c r="BY209" i="6"/>
  <c r="BZ209" i="6" s="1"/>
  <c r="BO329" i="6"/>
  <c r="BP329" i="6" s="1"/>
  <c r="BY248" i="6"/>
  <c r="BZ248" i="6" s="1"/>
  <c r="BO161" i="6"/>
  <c r="BP161" i="6" s="1"/>
  <c r="BO194" i="6"/>
  <c r="BP194" i="6" s="1"/>
  <c r="BE535" i="6"/>
  <c r="BF535" i="6" s="1"/>
  <c r="BE445" i="6"/>
  <c r="BF445" i="6" s="1"/>
  <c r="BE526" i="6"/>
  <c r="BF526" i="6" s="1"/>
  <c r="BE46" i="6"/>
  <c r="BF46" i="6" s="1"/>
  <c r="BE191" i="6"/>
  <c r="BF191" i="6" s="1"/>
  <c r="BE200" i="6"/>
  <c r="BF200" i="6" s="1"/>
  <c r="BE82" i="6"/>
  <c r="BF82" i="6" s="1"/>
  <c r="BE466" i="6"/>
  <c r="BF466" i="6" s="1"/>
  <c r="BE565" i="6"/>
  <c r="BF565" i="6" s="1"/>
  <c r="BE322" i="6"/>
  <c r="BF322" i="6" s="1"/>
  <c r="BE88" i="6"/>
  <c r="BF88" i="6" s="1"/>
  <c r="BE457" i="6"/>
  <c r="BF457" i="6" s="1"/>
  <c r="BE99" i="6"/>
  <c r="BF99" i="6" s="1"/>
  <c r="BE559" i="6"/>
  <c r="BF559" i="6" s="1"/>
  <c r="BE179" i="6"/>
  <c r="BF179" i="6" s="1"/>
  <c r="BE149" i="6"/>
  <c r="BF149" i="6" s="1"/>
  <c r="BE407" i="6"/>
  <c r="BF407" i="6" s="1"/>
  <c r="BE83" i="6"/>
  <c r="BF83" i="6" s="1"/>
  <c r="BE548" i="6"/>
  <c r="BF548" i="6" s="1"/>
  <c r="BE244" i="6"/>
  <c r="BF244" i="6" s="1"/>
  <c r="BE98" i="6"/>
  <c r="BF98" i="6" s="1"/>
  <c r="BE36" i="6"/>
  <c r="BF36" i="6" s="1"/>
  <c r="BE54" i="6"/>
  <c r="BF54" i="6" s="1"/>
  <c r="BE351" i="6"/>
  <c r="BF351" i="6" s="1"/>
  <c r="BE356" i="6"/>
  <c r="BF356" i="6" s="1"/>
  <c r="BE399" i="6"/>
  <c r="BF399" i="6" s="1"/>
  <c r="BE437" i="6"/>
  <c r="BF437" i="6" s="1"/>
  <c r="BE198" i="6"/>
  <c r="BF198" i="6" s="1"/>
  <c r="BE104" i="6"/>
  <c r="BF104" i="6" s="1"/>
  <c r="BE81" i="6"/>
  <c r="BF81" i="6" s="1"/>
  <c r="BE358" i="6"/>
  <c r="BF358" i="6" s="1"/>
  <c r="BE254" i="6"/>
  <c r="BF254" i="6" s="1"/>
  <c r="BE428" i="6"/>
  <c r="BF428" i="6" s="1"/>
  <c r="BO369" i="6"/>
  <c r="BP369" i="6" s="1"/>
  <c r="BO392" i="6"/>
  <c r="BP392" i="6" s="1"/>
  <c r="BE151" i="6"/>
  <c r="BF151" i="6" s="1"/>
  <c r="BE271" i="6"/>
  <c r="BF271" i="6" s="1"/>
  <c r="BE313" i="6"/>
  <c r="BF313" i="6" s="1"/>
  <c r="BE508" i="6"/>
  <c r="BF508" i="6" s="1"/>
  <c r="BE411" i="6"/>
  <c r="BF411" i="6" s="1"/>
  <c r="BE510" i="6"/>
  <c r="BF510" i="6" s="1"/>
  <c r="BE283" i="6"/>
  <c r="BF283" i="6" s="1"/>
  <c r="BE405" i="6"/>
  <c r="BF405" i="6" s="1"/>
  <c r="BE102" i="6"/>
  <c r="BF102" i="6" s="1"/>
  <c r="BE381" i="6"/>
  <c r="BF381" i="6" s="1"/>
  <c r="BE267" i="6"/>
  <c r="BF267" i="6" s="1"/>
  <c r="BE137" i="6"/>
  <c r="BF137" i="6" s="1"/>
  <c r="BE153" i="6"/>
  <c r="BF153" i="6" s="1"/>
  <c r="BE333" i="6"/>
  <c r="BF333" i="6" s="1"/>
  <c r="BE300" i="6"/>
  <c r="BF300" i="6" s="1"/>
  <c r="BE97" i="6"/>
  <c r="BF97" i="6" s="1"/>
  <c r="BE285" i="6"/>
  <c r="BF285" i="6" s="1"/>
  <c r="BE109" i="6"/>
  <c r="BF109" i="6" s="1"/>
  <c r="BE68" i="6"/>
  <c r="BF68" i="6" s="1"/>
  <c r="BE338" i="6"/>
  <c r="BF338" i="6" s="1"/>
  <c r="BE390" i="6"/>
  <c r="BF390" i="6" s="1"/>
  <c r="BY317" i="6"/>
  <c r="BZ317" i="6" s="1"/>
  <c r="BO377" i="6"/>
  <c r="BP377" i="6" s="1"/>
  <c r="BO239" i="6"/>
  <c r="BP239" i="6" s="1"/>
  <c r="BO404" i="6"/>
  <c r="BP404" i="6" s="1"/>
  <c r="BE39" i="6"/>
  <c r="BF39" i="6" s="1"/>
  <c r="BE341" i="6"/>
  <c r="BF341" i="6" s="1"/>
  <c r="BE517" i="6"/>
  <c r="BF517" i="6" s="1"/>
  <c r="BE45" i="6"/>
  <c r="BF45" i="6" s="1"/>
  <c r="BE297" i="6"/>
  <c r="BF297" i="6" s="1"/>
  <c r="BE181" i="6"/>
  <c r="BF181" i="6" s="1"/>
  <c r="BE314" i="6"/>
  <c r="BF314" i="6" s="1"/>
  <c r="BE29" i="6"/>
  <c r="BF29" i="6" s="1"/>
  <c r="BE290" i="6"/>
  <c r="BF290" i="6" s="1"/>
  <c r="BE414" i="6"/>
  <c r="BF414" i="6" s="1"/>
  <c r="BE479" i="6"/>
  <c r="BF479" i="6" s="1"/>
  <c r="BE209" i="6"/>
  <c r="BF209" i="6" s="1"/>
  <c r="BE232" i="6"/>
  <c r="BF232" i="6" s="1"/>
  <c r="BE547" i="6"/>
  <c r="BF547" i="6" s="1"/>
  <c r="BE319" i="6"/>
  <c r="BF319" i="6" s="1"/>
  <c r="BE118" i="6"/>
  <c r="BF118" i="6" s="1"/>
  <c r="BE30" i="6"/>
  <c r="BF30" i="6" s="1"/>
  <c r="BE187" i="6"/>
  <c r="BF187" i="6" s="1"/>
  <c r="BE525" i="6"/>
  <c r="BF525" i="6" s="1"/>
  <c r="BE311" i="6"/>
  <c r="BF311" i="6" s="1"/>
  <c r="BE84" i="6"/>
  <c r="BF84" i="6" s="1"/>
  <c r="BE128" i="6"/>
  <c r="BF128" i="6" s="1"/>
  <c r="BE514" i="6"/>
  <c r="BF514" i="6" s="1"/>
  <c r="BE315" i="6"/>
  <c r="BF315" i="6" s="1"/>
  <c r="BE564" i="6"/>
  <c r="BF564" i="6" s="1"/>
  <c r="BO407" i="6"/>
  <c r="BP407" i="6" s="1"/>
  <c r="BO443" i="6"/>
  <c r="BP443" i="6" s="1"/>
  <c r="BO365" i="6"/>
  <c r="BP365" i="6" s="1"/>
  <c r="BE265" i="6"/>
  <c r="BF265" i="6" s="1"/>
  <c r="BE183" i="6"/>
  <c r="BF183" i="6" s="1"/>
  <c r="BE567" i="6"/>
  <c r="BF567" i="6" s="1"/>
  <c r="BE419" i="6"/>
  <c r="BF419" i="6" s="1"/>
  <c r="BE236" i="6"/>
  <c r="BF236" i="6" s="1"/>
  <c r="BE544" i="6"/>
  <c r="BF544" i="6" s="1"/>
  <c r="BE79" i="6"/>
  <c r="BF79" i="6" s="1"/>
  <c r="BE218" i="6"/>
  <c r="BF218" i="6" s="1"/>
  <c r="BE382" i="6"/>
  <c r="BF382" i="6" s="1"/>
  <c r="BO345" i="6"/>
  <c r="BP345" i="6" s="1"/>
  <c r="BE391" i="6"/>
  <c r="BF391" i="6" s="1"/>
  <c r="BE165" i="6"/>
  <c r="BF165" i="6" s="1"/>
  <c r="BO113" i="6"/>
  <c r="BP113" i="6" s="1"/>
  <c r="BE458" i="6"/>
  <c r="BF458" i="6" s="1"/>
  <c r="BE478" i="6"/>
  <c r="BF478" i="6" s="1"/>
  <c r="BY275" i="6"/>
  <c r="BZ275" i="6" s="1"/>
  <c r="BE413" i="6"/>
  <c r="BF413" i="6" s="1"/>
  <c r="BE463" i="6"/>
  <c r="BF463" i="6" s="1"/>
  <c r="BE398" i="6"/>
  <c r="BF398" i="6" s="1"/>
  <c r="BE32" i="6"/>
  <c r="BF32" i="6" s="1"/>
  <c r="BE462" i="6"/>
  <c r="BF462" i="6" s="1"/>
  <c r="BE467" i="6"/>
  <c r="BF467" i="6" s="1"/>
  <c r="BE421" i="6"/>
  <c r="BF421" i="6" s="1"/>
  <c r="BE247" i="6"/>
  <c r="BF247" i="6" s="1"/>
  <c r="BE504" i="6"/>
  <c r="BF504" i="6" s="1"/>
  <c r="BE487" i="6"/>
  <c r="BF487" i="6" s="1"/>
  <c r="BE561" i="6"/>
  <c r="BF561" i="6" s="1"/>
  <c r="BE116" i="6"/>
  <c r="BF116" i="6" s="1"/>
  <c r="BE27" i="6"/>
  <c r="BF27" i="6" s="1"/>
  <c r="BE44" i="6"/>
  <c r="BF44" i="6" s="1"/>
  <c r="BE163" i="6"/>
  <c r="BF163" i="6" s="1"/>
  <c r="BE77" i="6"/>
  <c r="BF77" i="6" s="1"/>
  <c r="BE58" i="6"/>
  <c r="BF58" i="6" s="1"/>
  <c r="BE76" i="6"/>
  <c r="BF76" i="6" s="1"/>
  <c r="BE190" i="6"/>
  <c r="BF190" i="6" s="1"/>
  <c r="BE424" i="6"/>
  <c r="BF424" i="6" s="1"/>
  <c r="BE295" i="6"/>
  <c r="BF295" i="6" s="1"/>
  <c r="BE505" i="6"/>
  <c r="BF505" i="6" s="1"/>
  <c r="BE452" i="6"/>
  <c r="BF452" i="6" s="1"/>
  <c r="BE164" i="6"/>
  <c r="BF164" i="6" s="1"/>
  <c r="BE194" i="6"/>
  <c r="BF194" i="6" s="1"/>
  <c r="BE90" i="6"/>
  <c r="BF90" i="6" s="1"/>
  <c r="BE342" i="6"/>
  <c r="BF342" i="6" s="1"/>
  <c r="BE136" i="6"/>
  <c r="BF136" i="6" s="1"/>
  <c r="BE468" i="6"/>
  <c r="BF468" i="6" s="1"/>
  <c r="BE140" i="6"/>
  <c r="BF140" i="6" s="1"/>
  <c r="BE327" i="6"/>
  <c r="BF327" i="6" s="1"/>
  <c r="BE255" i="6"/>
  <c r="BF255" i="6" s="1"/>
  <c r="BE66" i="6"/>
  <c r="BF66" i="6" s="1"/>
  <c r="BE531" i="6"/>
  <c r="BF531" i="6" s="1"/>
  <c r="BE158" i="6"/>
  <c r="BF158" i="6" s="1"/>
  <c r="BE129" i="6"/>
  <c r="BF129" i="6" s="1"/>
  <c r="BE489" i="6"/>
  <c r="BF489" i="6" s="1"/>
  <c r="BE55" i="6"/>
  <c r="BF55" i="6" s="1"/>
  <c r="BE139" i="6"/>
  <c r="BF139" i="6" s="1"/>
  <c r="BE24" i="6"/>
  <c r="BF24" i="6" s="1"/>
  <c r="BE280" i="6"/>
  <c r="BF280" i="6" s="1"/>
  <c r="BO137" i="6"/>
  <c r="BP137" i="6" s="1"/>
  <c r="BE71" i="6"/>
  <c r="BF71" i="6" s="1"/>
  <c r="BY50" i="6"/>
  <c r="BZ50" i="6" s="1"/>
  <c r="BY34" i="6"/>
  <c r="BZ34" i="6" s="1"/>
  <c r="BE186" i="6"/>
  <c r="BF186" i="6" s="1"/>
  <c r="BE350" i="6"/>
  <c r="BF350" i="6" s="1"/>
  <c r="BE86" i="6"/>
  <c r="BF86" i="6" s="1"/>
  <c r="BE282" i="6"/>
  <c r="BF282" i="6" s="1"/>
  <c r="BO338" i="6"/>
  <c r="BP338" i="6" s="1"/>
  <c r="BE293" i="6"/>
  <c r="BF293" i="6" s="1"/>
  <c r="BE415" i="6"/>
  <c r="BF415" i="6" s="1"/>
  <c r="BE460" i="6"/>
  <c r="BF460" i="6" s="1"/>
  <c r="BE138" i="6"/>
  <c r="BF138" i="6" s="1"/>
  <c r="BE524" i="6"/>
  <c r="BF524" i="6" s="1"/>
  <c r="BE263" i="6"/>
  <c r="BF263" i="6" s="1"/>
  <c r="BE527" i="6"/>
  <c r="BF527" i="6" s="1"/>
  <c r="BE240" i="6"/>
  <c r="BF240" i="6" s="1"/>
  <c r="BE193" i="6"/>
  <c r="BF193" i="6" s="1"/>
  <c r="BE368" i="6"/>
  <c r="BF368" i="6" s="1"/>
  <c r="BE303" i="6"/>
  <c r="BF303" i="6" s="1"/>
  <c r="BE286" i="6"/>
  <c r="BF286" i="6" s="1"/>
  <c r="BE439" i="6"/>
  <c r="BF439" i="6" s="1"/>
  <c r="BE262" i="6"/>
  <c r="BF262" i="6" s="1"/>
  <c r="BE223" i="6"/>
  <c r="BF223" i="6" s="1"/>
  <c r="BE348" i="6"/>
  <c r="BF348" i="6" s="1"/>
  <c r="BE469" i="6"/>
  <c r="BF469" i="6" s="1"/>
  <c r="BO203" i="6"/>
  <c r="BP203" i="6" s="1"/>
  <c r="BE72" i="6"/>
  <c r="BF72" i="6" s="1"/>
  <c r="BO269" i="6"/>
  <c r="BP269" i="6" s="1"/>
  <c r="BE521" i="6"/>
  <c r="BF521" i="6" s="1"/>
  <c r="BE357" i="6"/>
  <c r="BF357" i="6" s="1"/>
  <c r="BE159" i="6"/>
  <c r="BF159" i="6" s="1"/>
  <c r="BE144" i="6"/>
  <c r="BF144" i="6" s="1"/>
  <c r="BE70" i="6"/>
  <c r="BF70" i="6" s="1"/>
  <c r="BE337" i="6"/>
  <c r="BF337" i="6" s="1"/>
  <c r="BE370" i="6"/>
  <c r="BF370" i="6" s="1"/>
  <c r="BE496" i="6"/>
  <c r="BF496" i="6" s="1"/>
  <c r="BE461" i="6"/>
  <c r="BF461" i="6" s="1"/>
  <c r="BO215" i="6"/>
  <c r="BP215" i="6" s="1"/>
  <c r="L53" i="6"/>
  <c r="L56" i="6" s="1"/>
  <c r="N56" i="6" s="1"/>
  <c r="BP23" i="6"/>
  <c r="BE23" i="6"/>
  <c r="BF23" i="6" s="1"/>
  <c r="BK23" i="6"/>
  <c r="L45" i="6"/>
  <c r="N45" i="6" s="1"/>
  <c r="G23" i="6"/>
  <c r="BL23" i="6" a="1"/>
  <c r="BO525" i="6" l="1"/>
  <c r="BP525" i="6" s="1"/>
  <c r="CB433" i="6"/>
  <c r="CC433" i="6" s="1"/>
  <c r="CB304" i="6"/>
  <c r="CC304" i="6" s="1"/>
  <c r="CB25" i="6"/>
  <c r="CC25" i="6" s="1"/>
  <c r="CB327" i="6"/>
  <c r="CC327" i="6" s="1"/>
  <c r="CB118" i="6"/>
  <c r="CC118" i="6" s="1"/>
  <c r="BO265" i="6"/>
  <c r="BP265" i="6" s="1"/>
  <c r="BO334" i="6"/>
  <c r="BP334" i="6" s="1"/>
  <c r="BO205" i="6"/>
  <c r="BP205" i="6" s="1"/>
  <c r="CB373" i="6"/>
  <c r="CC373" i="6" s="1"/>
  <c r="BO210" i="6"/>
  <c r="BP210" i="6" s="1"/>
  <c r="CB487" i="6"/>
  <c r="CC487" i="6" s="1"/>
  <c r="CB411" i="6"/>
  <c r="CC411" i="6" s="1"/>
  <c r="BO331" i="6"/>
  <c r="BP331" i="6" s="1"/>
  <c r="BO97" i="6"/>
  <c r="BP97" i="6" s="1"/>
  <c r="BO172" i="6"/>
  <c r="BP172" i="6" s="1"/>
  <c r="BO502" i="6"/>
  <c r="BP502" i="6" s="1"/>
  <c r="CB342" i="6"/>
  <c r="CC342" i="6" s="1"/>
  <c r="BO453" i="6"/>
  <c r="BP453" i="6" s="1"/>
  <c r="BO222" i="6"/>
  <c r="BP222" i="6" s="1"/>
  <c r="BO409" i="6"/>
  <c r="BP409" i="6" s="1"/>
  <c r="CB550" i="6"/>
  <c r="CC550" i="6" s="1"/>
  <c r="CB66" i="6"/>
  <c r="CC66" i="6" s="1"/>
  <c r="CB505" i="6"/>
  <c r="CC505" i="6" s="1"/>
  <c r="BO270" i="6"/>
  <c r="BP270" i="6" s="1"/>
  <c r="CB40" i="6"/>
  <c r="CC40" i="6" s="1"/>
  <c r="CB345" i="6"/>
  <c r="CC345" i="6" s="1"/>
  <c r="CB381" i="6"/>
  <c r="CC381" i="6" s="1"/>
  <c r="BO115" i="6"/>
  <c r="BP115" i="6" s="1"/>
  <c r="CB192" i="6"/>
  <c r="CC192" i="6" s="1"/>
  <c r="CB486" i="6"/>
  <c r="CC486" i="6" s="1"/>
  <c r="CB178" i="6"/>
  <c r="CC178" i="6" s="1"/>
  <c r="BO226" i="6"/>
  <c r="BP226" i="6" s="1"/>
  <c r="CB526" i="6"/>
  <c r="CC526" i="6" s="1"/>
  <c r="BO111" i="6"/>
  <c r="BP111" i="6" s="1"/>
  <c r="CB561" i="6"/>
  <c r="CC561" i="6" s="1"/>
  <c r="CB153" i="6"/>
  <c r="CC153" i="6" s="1"/>
  <c r="BO48" i="6"/>
  <c r="BP48" i="6" s="1"/>
  <c r="CB219" i="6"/>
  <c r="CC219" i="6" s="1"/>
  <c r="CB315" i="6"/>
  <c r="CC315" i="6" s="1"/>
  <c r="CB462" i="6"/>
  <c r="CC462" i="6" s="1"/>
  <c r="CB426" i="6"/>
  <c r="CC426" i="6" s="1"/>
  <c r="CB508" i="6"/>
  <c r="CC508" i="6" s="1"/>
  <c r="CB549" i="6"/>
  <c r="CC549" i="6" s="1"/>
  <c r="CB294" i="6"/>
  <c r="CC294" i="6" s="1"/>
  <c r="CB436" i="6"/>
  <c r="CC436" i="6" s="1"/>
  <c r="BO561" i="6"/>
  <c r="BP561" i="6" s="1"/>
  <c r="CB558" i="6"/>
  <c r="CC558" i="6" s="1"/>
  <c r="CB151" i="6"/>
  <c r="CC151" i="6" s="1"/>
  <c r="CB67" i="6"/>
  <c r="CC67" i="6" s="1"/>
  <c r="CB198" i="6"/>
  <c r="CC198" i="6" s="1"/>
  <c r="CB337" i="6"/>
  <c r="CC337" i="6" s="1"/>
  <c r="BO60" i="6"/>
  <c r="BP60" i="6" s="1"/>
  <c r="CB348" i="6"/>
  <c r="CC348" i="6" s="1"/>
  <c r="CB231" i="6"/>
  <c r="CC231" i="6" s="1"/>
  <c r="BO40" i="6"/>
  <c r="BP40" i="6" s="1"/>
  <c r="CB87" i="6"/>
  <c r="CC87" i="6" s="1"/>
  <c r="CB540" i="6"/>
  <c r="CC540" i="6" s="1"/>
  <c r="BO454" i="6"/>
  <c r="BP454" i="6" s="1"/>
  <c r="CB187" i="6"/>
  <c r="CC187" i="6" s="1"/>
  <c r="CB297" i="6"/>
  <c r="CC297" i="6" s="1"/>
  <c r="CB393" i="6"/>
  <c r="CC393" i="6" s="1"/>
  <c r="CB298" i="6"/>
  <c r="CC298" i="6" s="1"/>
  <c r="BO562" i="6"/>
  <c r="BP562" i="6" s="1"/>
  <c r="CB36" i="6"/>
  <c r="CC36" i="6" s="1"/>
  <c r="CB523" i="6"/>
  <c r="CC523" i="6" s="1"/>
  <c r="CB420" i="6"/>
  <c r="CC420" i="6" s="1"/>
  <c r="CB483" i="6"/>
  <c r="CC483" i="6" s="1"/>
  <c r="CB271" i="6"/>
  <c r="CC271" i="6" s="1"/>
  <c r="CB76" i="6"/>
  <c r="CC76" i="6" s="1"/>
  <c r="CB148" i="6"/>
  <c r="CC148" i="6" s="1"/>
  <c r="BO357" i="6"/>
  <c r="BP357" i="6" s="1"/>
  <c r="BO133" i="6"/>
  <c r="BP133" i="6" s="1"/>
  <c r="CB441" i="6"/>
  <c r="CC441" i="6" s="1"/>
  <c r="CB190" i="6"/>
  <c r="CC190" i="6" s="1"/>
  <c r="BO45" i="6"/>
  <c r="BP45" i="6" s="1"/>
  <c r="BO522" i="6"/>
  <c r="BP522" i="6" s="1"/>
  <c r="CB211" i="6"/>
  <c r="CC211" i="6" s="1"/>
  <c r="CB112" i="6"/>
  <c r="CC112" i="6" s="1"/>
  <c r="BO480" i="6"/>
  <c r="BP480" i="6" s="1"/>
  <c r="CB42" i="6"/>
  <c r="CC42" i="6" s="1"/>
  <c r="CB114" i="6"/>
  <c r="CC114" i="6" s="1"/>
  <c r="BO144" i="6"/>
  <c r="BP144" i="6" s="1"/>
  <c r="CB130" i="6"/>
  <c r="CC130" i="6" s="1"/>
  <c r="CB52" i="6"/>
  <c r="CC52" i="6" s="1"/>
  <c r="CB208" i="6"/>
  <c r="CC208" i="6" s="1"/>
  <c r="CB303" i="6"/>
  <c r="CC303" i="6" s="1"/>
  <c r="CB435" i="6"/>
  <c r="CC435" i="6" s="1"/>
  <c r="CB30" i="6"/>
  <c r="CC30" i="6" s="1"/>
  <c r="CB400" i="6"/>
  <c r="CC400" i="6" s="1"/>
  <c r="CB501" i="6"/>
  <c r="CC501" i="6" s="1"/>
  <c r="CB544" i="6"/>
  <c r="CC544" i="6" s="1"/>
  <c r="CB99" i="6"/>
  <c r="CC99" i="6" s="1"/>
  <c r="CB466" i="6"/>
  <c r="CC466" i="6" s="1"/>
  <c r="BO342" i="6"/>
  <c r="BP342" i="6" s="1"/>
  <c r="CB340" i="6"/>
  <c r="CC340" i="6" s="1"/>
  <c r="CB24" i="6"/>
  <c r="CC24" i="6" s="1"/>
  <c r="CB220" i="6"/>
  <c r="CC220" i="6" s="1"/>
  <c r="CB139" i="6"/>
  <c r="CC139" i="6" s="1"/>
  <c r="CB105" i="6"/>
  <c r="CC105" i="6" s="1"/>
  <c r="CB384" i="6"/>
  <c r="CC384" i="6" s="1"/>
  <c r="CB378" i="6"/>
  <c r="CC378" i="6" s="1"/>
  <c r="CB529" i="6"/>
  <c r="CC529" i="6" s="1"/>
  <c r="CB102" i="6"/>
  <c r="CC102" i="6" s="1"/>
  <c r="CB519" i="6"/>
  <c r="CC519" i="6" s="1"/>
  <c r="CB96" i="6"/>
  <c r="CC96" i="6" s="1"/>
  <c r="CB478" i="6"/>
  <c r="CC478" i="6" s="1"/>
  <c r="CB394" i="6"/>
  <c r="CC394" i="6" s="1"/>
  <c r="CB163" i="6"/>
  <c r="CC163" i="6" s="1"/>
  <c r="CB328" i="6"/>
  <c r="CC328" i="6" s="1"/>
  <c r="CB61" i="6"/>
  <c r="CC61" i="6" s="1"/>
  <c r="CB504" i="6"/>
  <c r="CC504" i="6" s="1"/>
  <c r="CB321" i="6"/>
  <c r="CC321" i="6" s="1"/>
  <c r="CB280" i="6"/>
  <c r="CC280" i="6" s="1"/>
  <c r="CB354" i="6"/>
  <c r="CC354" i="6" s="1"/>
  <c r="CB81" i="6"/>
  <c r="CC81" i="6" s="1"/>
  <c r="CB445" i="6"/>
  <c r="CC445" i="6" s="1"/>
  <c r="CB310" i="6"/>
  <c r="CC310" i="6" s="1"/>
  <c r="CB225" i="6"/>
  <c r="CC225" i="6" s="1"/>
  <c r="CB162" i="6"/>
  <c r="CC162" i="6" s="1"/>
  <c r="CB427" i="6"/>
  <c r="CC427" i="6" s="1"/>
  <c r="CB262" i="6"/>
  <c r="CC262" i="6" s="1"/>
  <c r="CB145" i="6"/>
  <c r="CC145" i="6" s="1"/>
  <c r="CB517" i="6"/>
  <c r="CC517" i="6" s="1"/>
  <c r="CB369" i="6"/>
  <c r="CC369" i="6" s="1"/>
  <c r="CB201" i="6"/>
  <c r="CC201" i="6" s="1"/>
  <c r="CB376" i="6"/>
  <c r="CC376" i="6" s="1"/>
  <c r="CB93" i="6"/>
  <c r="CC93" i="6" s="1"/>
  <c r="CB169" i="6"/>
  <c r="CC169" i="6" s="1"/>
  <c r="CB492" i="6"/>
  <c r="CC492" i="6" s="1"/>
  <c r="CB307" i="6"/>
  <c r="CC307" i="6" s="1"/>
  <c r="CB28" i="6"/>
  <c r="CC28" i="6" s="1"/>
  <c r="CB78" i="6"/>
  <c r="CC78" i="6" s="1"/>
  <c r="CB322" i="6"/>
  <c r="CC322" i="6" s="1"/>
  <c r="CB444" i="6"/>
  <c r="CC444" i="6" s="1"/>
  <c r="CB447" i="6"/>
  <c r="CC447" i="6" s="1"/>
  <c r="CB249" i="6"/>
  <c r="CC249" i="6" s="1"/>
  <c r="CB406" i="6"/>
  <c r="CC406" i="6" s="1"/>
  <c r="CB465" i="6"/>
  <c r="CC465" i="6" s="1"/>
  <c r="CB244" i="6"/>
  <c r="CC244" i="6" s="1"/>
  <c r="CB390" i="6"/>
  <c r="CC390" i="6" s="1"/>
  <c r="CB157" i="6"/>
  <c r="CC157" i="6" s="1"/>
  <c r="CB88" i="6"/>
  <c r="CC88" i="6" s="1"/>
  <c r="CB382" i="6"/>
  <c r="CC382" i="6" s="1"/>
  <c r="CB516" i="6"/>
  <c r="CC516" i="6" s="1"/>
  <c r="CB412" i="6"/>
  <c r="CC412" i="6" s="1"/>
  <c r="CB469" i="6"/>
  <c r="CC469" i="6" s="1"/>
  <c r="CB448" i="6"/>
  <c r="CC448" i="6" s="1"/>
  <c r="CB166" i="6"/>
  <c r="CC166" i="6" s="1"/>
  <c r="CB319" i="6"/>
  <c r="CC319" i="6" s="1"/>
  <c r="CB375" i="6"/>
  <c r="CC375" i="6" s="1"/>
  <c r="CB237" i="6"/>
  <c r="CC237" i="6" s="1"/>
  <c r="CB330" i="6"/>
  <c r="CC330" i="6" s="1"/>
  <c r="CB397" i="6"/>
  <c r="CC397" i="6" s="1"/>
  <c r="CB306" i="6"/>
  <c r="CC306" i="6" s="1"/>
  <c r="CB108" i="6"/>
  <c r="CC108" i="6" s="1"/>
  <c r="CB555" i="6"/>
  <c r="CC555" i="6" s="1"/>
  <c r="CB438" i="6"/>
  <c r="CC438" i="6" s="1"/>
  <c r="CB421" i="6"/>
  <c r="CC421" i="6" s="1"/>
  <c r="CB240" i="6"/>
  <c r="CC240" i="6" s="1"/>
  <c r="CB196" i="6"/>
  <c r="CC196" i="6" s="1"/>
  <c r="CB117" i="6"/>
  <c r="CC117" i="6" s="1"/>
  <c r="CB366" i="6"/>
  <c r="CC366" i="6" s="1"/>
  <c r="CB289" i="6"/>
  <c r="CC289" i="6" s="1"/>
  <c r="CB259" i="6"/>
  <c r="CC259" i="6" s="1"/>
  <c r="CB141" i="6"/>
  <c r="CC141" i="6" s="1"/>
  <c r="CB493" i="6"/>
  <c r="CC493" i="6" s="1"/>
  <c r="CB472" i="6"/>
  <c r="CC472" i="6" s="1"/>
  <c r="CB312" i="6"/>
  <c r="CC312" i="6" s="1"/>
  <c r="CB247" i="6"/>
  <c r="CC247" i="6" s="1"/>
  <c r="CB520" i="6"/>
  <c r="CC520" i="6" s="1"/>
  <c r="CB399" i="6"/>
  <c r="CC399" i="6" s="1"/>
  <c r="CB471" i="6"/>
  <c r="CC471" i="6" s="1"/>
  <c r="CB301" i="6"/>
  <c r="CC301" i="6" s="1"/>
  <c r="CB273" i="6"/>
  <c r="CC273" i="6" s="1"/>
  <c r="CB255" i="6"/>
  <c r="CC255" i="6" s="1"/>
  <c r="CB292" i="6"/>
  <c r="CC292" i="6" s="1"/>
  <c r="CB94" i="6"/>
  <c r="CC94" i="6" s="1"/>
  <c r="CB277" i="6"/>
  <c r="CC277" i="6" s="1"/>
  <c r="CB531" i="6"/>
  <c r="CC531" i="6" s="1"/>
  <c r="CB318" i="6"/>
  <c r="CC318" i="6" s="1"/>
  <c r="CB541" i="6"/>
  <c r="CC541" i="6" s="1"/>
  <c r="CB214" i="6"/>
  <c r="CC214" i="6" s="1"/>
  <c r="CB559" i="6"/>
  <c r="CC559" i="6" s="1"/>
  <c r="CB256" i="6"/>
  <c r="CC256" i="6" s="1"/>
  <c r="CB241" i="6"/>
  <c r="CC241" i="6" s="1"/>
  <c r="CB547" i="6"/>
  <c r="CC547" i="6" s="1"/>
  <c r="CB451" i="6"/>
  <c r="CC451" i="6" s="1"/>
  <c r="CB207" i="6"/>
  <c r="CC207" i="6" s="1"/>
  <c r="CB456" i="6"/>
  <c r="CC456" i="6" s="1"/>
  <c r="CB423" i="6"/>
  <c r="CC423" i="6" s="1"/>
  <c r="CB168" i="6"/>
  <c r="CC168" i="6" s="1"/>
  <c r="CB70" i="6"/>
  <c r="CC70" i="6" s="1"/>
  <c r="CB288" i="6"/>
  <c r="CC288" i="6" s="1"/>
  <c r="CB58" i="6"/>
  <c r="CC58" i="6" s="1"/>
  <c r="CB276" i="6"/>
  <c r="CC276" i="6" s="1"/>
  <c r="CB481" i="6"/>
  <c r="CC481" i="6" s="1"/>
  <c r="CB177" i="6"/>
  <c r="CC177" i="6" s="1"/>
  <c r="CB73" i="6"/>
  <c r="CC73" i="6" s="1"/>
  <c r="CB274" i="6"/>
  <c r="CC274" i="6" s="1"/>
  <c r="CB349" i="6"/>
  <c r="CC349" i="6" s="1"/>
  <c r="CB432" i="6"/>
  <c r="CC432" i="6" s="1"/>
  <c r="CB361" i="6"/>
  <c r="CC361" i="6" s="1"/>
  <c r="CB514" i="6"/>
  <c r="CC514" i="6" s="1"/>
  <c r="CB532" i="6"/>
  <c r="CC532" i="6" s="1"/>
  <c r="CB360" i="6"/>
  <c r="CC360" i="6" s="1"/>
  <c r="CB402" i="6"/>
  <c r="CC402" i="6" s="1"/>
  <c r="CB49" i="6"/>
  <c r="CC49" i="6" s="1"/>
  <c r="CB181" i="6"/>
  <c r="CC181" i="6" s="1"/>
  <c r="CB364" i="6"/>
  <c r="CC364" i="6" s="1"/>
  <c r="CB429" i="6"/>
  <c r="CC429" i="6" s="1"/>
  <c r="CB568" i="6"/>
  <c r="CC568" i="6" s="1"/>
  <c r="CB538" i="6"/>
  <c r="CC538" i="6" s="1"/>
  <c r="CB82" i="6"/>
  <c r="CC82" i="6" s="1"/>
  <c r="CB85" i="6"/>
  <c r="CC85" i="6" s="1"/>
  <c r="CB180" i="6"/>
  <c r="CC180" i="6" s="1"/>
  <c r="CB316" i="6"/>
  <c r="CC316" i="6" s="1"/>
  <c r="CB250" i="6"/>
  <c r="CC250" i="6" s="1"/>
  <c r="CB414" i="6"/>
  <c r="CC414" i="6" s="1"/>
  <c r="CB408" i="6"/>
  <c r="CC408" i="6" s="1"/>
  <c r="CB489" i="6"/>
  <c r="CC489" i="6" s="1"/>
  <c r="CB55" i="6"/>
  <c r="CC55" i="6" s="1"/>
  <c r="CB424" i="6"/>
  <c r="CC424" i="6" s="1"/>
  <c r="CB346" i="6"/>
  <c r="CC346" i="6" s="1"/>
  <c r="CB243" i="6"/>
  <c r="CC243" i="6" s="1"/>
  <c r="CB103" i="6"/>
  <c r="CC103" i="6" s="1"/>
  <c r="CB363" i="6"/>
  <c r="CC363" i="6" s="1"/>
  <c r="CB325" i="6"/>
  <c r="CC325" i="6" s="1"/>
  <c r="CB372" i="6"/>
  <c r="CC372" i="6" s="1"/>
  <c r="CB64" i="6"/>
  <c r="CC64" i="6" s="1"/>
  <c r="CB246" i="6"/>
  <c r="CC246" i="6" s="1"/>
  <c r="CB121" i="6"/>
  <c r="CC121" i="6" s="1"/>
  <c r="CB388" i="6"/>
  <c r="CC388" i="6" s="1"/>
  <c r="CB430" i="6"/>
  <c r="CC430" i="6" s="1"/>
  <c r="CB556" i="6"/>
  <c r="CC556" i="6" s="1"/>
  <c r="CB232" i="6"/>
  <c r="CC232" i="6" s="1"/>
  <c r="CB129" i="6"/>
  <c r="CC129" i="6" s="1"/>
  <c r="CB33" i="6"/>
  <c r="CC33" i="6" s="1"/>
  <c r="CB228" i="6"/>
  <c r="CC228" i="6" s="1"/>
  <c r="CB165" i="6"/>
  <c r="CC165" i="6" s="1"/>
  <c r="CB252" i="6"/>
  <c r="CC252" i="6" s="1"/>
  <c r="CB477" i="6"/>
  <c r="CC477" i="6" s="1"/>
  <c r="CB553" i="6"/>
  <c r="CC553" i="6" s="1"/>
  <c r="CB43" i="6"/>
  <c r="CC43" i="6" s="1"/>
  <c r="CB39" i="6"/>
  <c r="CC39" i="6" s="1"/>
  <c r="CB352" i="6"/>
  <c r="CC352" i="6" s="1"/>
  <c r="CB57" i="6"/>
  <c r="CC57" i="6" s="1"/>
  <c r="CB300" i="6"/>
  <c r="CC300" i="6" s="1"/>
  <c r="CB510" i="6"/>
  <c r="CC510" i="6" s="1"/>
  <c r="CB199" i="6"/>
  <c r="CC199" i="6" s="1"/>
  <c r="CB379" i="6"/>
  <c r="CC379" i="6" s="1"/>
  <c r="CB442" i="6"/>
  <c r="CC442" i="6" s="1"/>
  <c r="CB468" i="6"/>
  <c r="CC468" i="6" s="1"/>
  <c r="CB282" i="6"/>
  <c r="CC282" i="6" s="1"/>
  <c r="CB123" i="6"/>
  <c r="CC123" i="6" s="1"/>
  <c r="CB528" i="6"/>
  <c r="CC528" i="6" s="1"/>
  <c r="CB264" i="6"/>
  <c r="CC264" i="6" s="1"/>
  <c r="CB217" i="6"/>
  <c r="CC217" i="6" s="1"/>
  <c r="CB160" i="6"/>
  <c r="CC160" i="6" s="1"/>
  <c r="CB370" i="6"/>
  <c r="CC370" i="6" s="1"/>
  <c r="CB405" i="6"/>
  <c r="CC405" i="6" s="1"/>
  <c r="CB459" i="6"/>
  <c r="CC459" i="6" s="1"/>
  <c r="CB235" i="6"/>
  <c r="CC235" i="6" s="1"/>
  <c r="CB460" i="6"/>
  <c r="CC460" i="6" s="1"/>
  <c r="CB159" i="6"/>
  <c r="CC159" i="6" s="1"/>
  <c r="CB450" i="6"/>
  <c r="CC450" i="6" s="1"/>
  <c r="CB513" i="6"/>
  <c r="CC513" i="6" s="1"/>
  <c r="CB286" i="6"/>
  <c r="CC286" i="6" s="1"/>
  <c r="CB343" i="6"/>
  <c r="CC343" i="6" s="1"/>
  <c r="CB69" i="6"/>
  <c r="CC69" i="6" s="1"/>
  <c r="CB195" i="6"/>
  <c r="CC195" i="6" s="1"/>
  <c r="CB268" i="6"/>
  <c r="CC268" i="6" s="1"/>
  <c r="CB51" i="6"/>
  <c r="CC51" i="6" s="1"/>
  <c r="CB238" i="6"/>
  <c r="CC238" i="6" s="1"/>
  <c r="CB324" i="6"/>
  <c r="CC324" i="6" s="1"/>
  <c r="CB535" i="6"/>
  <c r="CC535" i="6" s="1"/>
  <c r="CB463" i="6"/>
  <c r="CC463" i="6" s="1"/>
  <c r="CB511" i="6"/>
  <c r="CC511" i="6" s="1"/>
  <c r="CB285" i="6"/>
  <c r="CC285" i="6" s="1"/>
  <c r="CB261" i="6"/>
  <c r="CC261" i="6" s="1"/>
  <c r="BO315" i="6"/>
  <c r="BP315" i="6" s="1"/>
  <c r="CB37" i="6"/>
  <c r="CC37" i="6" s="1"/>
  <c r="CB138" i="6"/>
  <c r="CC138" i="6" s="1"/>
  <c r="CB124" i="6"/>
  <c r="CC124" i="6" s="1"/>
  <c r="CB418" i="6"/>
  <c r="CC418" i="6" s="1"/>
  <c r="CB564" i="6"/>
  <c r="CC564" i="6" s="1"/>
  <c r="CB333" i="6"/>
  <c r="CC333" i="6" s="1"/>
  <c r="CB543" i="6"/>
  <c r="CC543" i="6" s="1"/>
  <c r="CB336" i="6"/>
  <c r="CC336" i="6" s="1"/>
  <c r="CB84" i="6"/>
  <c r="CC84" i="6" s="1"/>
  <c r="CB171" i="6"/>
  <c r="CC171" i="6" s="1"/>
  <c r="CB358" i="6"/>
  <c r="CC358" i="6" s="1"/>
  <c r="CB546" i="6"/>
  <c r="CC546" i="6" s="1"/>
  <c r="CB355" i="6"/>
  <c r="CC355" i="6" s="1"/>
  <c r="CB567" i="6"/>
  <c r="CC567" i="6" s="1"/>
  <c r="CB403" i="6"/>
  <c r="CC403" i="6" s="1"/>
  <c r="CB415" i="6"/>
  <c r="CC415" i="6" s="1"/>
  <c r="CB565" i="6"/>
  <c r="CC565" i="6" s="1"/>
  <c r="CB499" i="6"/>
  <c r="CC499" i="6" s="1"/>
  <c r="CB313" i="6"/>
  <c r="CC313" i="6" s="1"/>
  <c r="CB147" i="6"/>
  <c r="CC147" i="6" s="1"/>
  <c r="BL23" i="6"/>
  <c r="BY23" i="6" s="1"/>
  <c r="I52" i="6"/>
  <c r="I53" i="6" a="1"/>
  <c r="BZ23" i="6" l="1"/>
  <c r="CB23" i="6"/>
  <c r="CC23" i="6" s="1"/>
  <c r="I53" i="6"/>
  <c r="L57" i="6" s="1"/>
  <c r="N57" i="6" l="1"/>
  <c r="I60" i="6"/>
  <c r="L60" i="6" s="1"/>
  <c r="L61" i="6" s="1"/>
  <c r="N61" i="6" s="1"/>
  <c r="G60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DELL</author>
  </authors>
  <commentList>
    <comment ref="Z11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CZ11" authorId="0" shapeId="0" xr:uid="{00000000-0006-0000-0100-000002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  <comment ref="FZ11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HVMT:
Cấm xóa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<sst xmlns="http://schemas.openxmlformats.org/spreadsheetml/2006/main" count="2359" uniqueCount="226">
  <si>
    <t>A. THÔNG TIN THIẾT KẾ</t>
  </si>
  <si>
    <t>mm</t>
  </si>
  <si>
    <t>Mac Thép</t>
  </si>
  <si>
    <r>
      <t xml:space="preserve">S235 </t>
    </r>
    <r>
      <rPr>
        <sz val="10"/>
        <color theme="1"/>
        <rFont val="Calibri"/>
        <family val="2"/>
      </rPr>
      <t>≤ 40</t>
    </r>
  </si>
  <si>
    <r>
      <t xml:space="preserve">S235 </t>
    </r>
    <r>
      <rPr>
        <sz val="10"/>
        <color theme="1"/>
        <rFont val="Calibri"/>
        <family val="2"/>
      </rPr>
      <t>≤ 16</t>
    </r>
  </si>
  <si>
    <r>
      <t xml:space="preserve">S235 </t>
    </r>
    <r>
      <rPr>
        <sz val="10"/>
        <color theme="1"/>
        <rFont val="Calibri"/>
        <family val="2"/>
      </rPr>
      <t>≤ 63</t>
    </r>
  </si>
  <si>
    <r>
      <t xml:space="preserve">S235 </t>
    </r>
    <r>
      <rPr>
        <sz val="10"/>
        <color theme="1"/>
        <rFont val="Calibri"/>
        <family val="2"/>
      </rPr>
      <t xml:space="preserve">≤ </t>
    </r>
    <r>
      <rPr>
        <sz val="10"/>
        <color theme="1"/>
        <rFont val="Calibri"/>
        <family val="2"/>
        <scheme val="minor"/>
      </rPr>
      <t>80</t>
    </r>
  </si>
  <si>
    <r>
      <t xml:space="preserve">S235 </t>
    </r>
    <r>
      <rPr>
        <sz val="10"/>
        <color theme="1"/>
        <rFont val="Calibri"/>
        <family val="2"/>
      </rPr>
      <t>≤ 100</t>
    </r>
  </si>
  <si>
    <t>S275 ≤ 16</t>
  </si>
  <si>
    <t>S275 ≤ 40</t>
  </si>
  <si>
    <t>S275 ≤ 63</t>
  </si>
  <si>
    <t>S275 ≤ 80</t>
  </si>
  <si>
    <t>S275 ≤ 100</t>
  </si>
  <si>
    <t>S355 ≤ 16</t>
  </si>
  <si>
    <t>S355 ≤ 40</t>
  </si>
  <si>
    <t>S355 ≤ 63</t>
  </si>
  <si>
    <t>S355 ≤ 80</t>
  </si>
  <si>
    <t>S355 ≤ 100</t>
  </si>
  <si>
    <t>E</t>
  </si>
  <si>
    <t>Mpa</t>
  </si>
  <si>
    <r>
      <t>f</t>
    </r>
    <r>
      <rPr>
        <vertAlign val="subscript"/>
        <sz val="10"/>
        <color theme="1"/>
        <rFont val="Calibri"/>
        <family val="2"/>
        <scheme val="minor"/>
      </rPr>
      <t>y</t>
    </r>
  </si>
  <si>
    <t>Mác Thép</t>
  </si>
  <si>
    <r>
      <rPr>
        <sz val="10"/>
        <color theme="1"/>
        <rFont val="Symbol"/>
        <family val="1"/>
        <charset val="2"/>
      </rPr>
      <t xml:space="preserve"> g</t>
    </r>
    <r>
      <rPr>
        <vertAlign val="subscript"/>
        <sz val="10"/>
        <color theme="1"/>
        <rFont val="Calibri"/>
        <family val="2"/>
      </rPr>
      <t>m</t>
    </r>
  </si>
  <si>
    <r>
      <t>f</t>
    </r>
    <r>
      <rPr>
        <vertAlign val="subscript"/>
        <sz val="10"/>
        <color theme="1"/>
        <rFont val="Calibri"/>
        <family val="2"/>
        <scheme val="minor"/>
      </rPr>
      <t>v</t>
    </r>
  </si>
  <si>
    <t>1. Kích Thước</t>
  </si>
  <si>
    <t>A</t>
  </si>
  <si>
    <t>Đặc Trưng Hình Học</t>
  </si>
  <si>
    <r>
      <t>cm</t>
    </r>
    <r>
      <rPr>
        <vertAlign val="superscript"/>
        <sz val="10"/>
        <color theme="1"/>
        <rFont val="Calibri"/>
        <family val="2"/>
        <scheme val="minor"/>
      </rPr>
      <t>4</t>
    </r>
  </si>
  <si>
    <r>
      <t>cm</t>
    </r>
    <r>
      <rPr>
        <vertAlign val="superscript"/>
        <sz val="10"/>
        <color theme="1"/>
        <rFont val="Calibri"/>
        <family val="2"/>
        <scheme val="minor"/>
      </rPr>
      <t>3</t>
    </r>
  </si>
  <si>
    <t>B. QUY TRÌNH TÍNH TOÁN</t>
  </si>
  <si>
    <t>Hệ số</t>
  </si>
  <si>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</si>
  <si>
    <t>®</t>
  </si>
  <si>
    <t>Vị trí</t>
  </si>
  <si>
    <t>(kNm)</t>
  </si>
  <si>
    <t>(kN)</t>
  </si>
  <si>
    <t>N</t>
  </si>
  <si>
    <t>T</t>
  </si>
  <si>
    <t>2. Vật Liệu - Đặc Trưng Hình Học</t>
  </si>
  <si>
    <t>3. Nội Lực</t>
  </si>
  <si>
    <t>MPa</t>
  </si>
  <si>
    <r>
      <t>cm</t>
    </r>
    <r>
      <rPr>
        <vertAlign val="superscript"/>
        <sz val="10"/>
        <color theme="1"/>
        <rFont val="Calibri"/>
        <family val="2"/>
        <scheme val="minor"/>
      </rPr>
      <t>2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</si>
  <si>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y</t>
    </r>
  </si>
  <si>
    <r>
      <t>f</t>
    </r>
    <r>
      <rPr>
        <b/>
        <vertAlign val="subscript"/>
        <sz val="10"/>
        <color theme="0"/>
        <rFont val="Calibri"/>
        <family val="2"/>
        <scheme val="minor"/>
      </rPr>
      <t>u</t>
    </r>
  </si>
  <si>
    <t>(m)</t>
  </si>
  <si>
    <t>Phần tử</t>
  </si>
  <si>
    <t>Tổ hợp</t>
  </si>
  <si>
    <t>Q235</t>
  </si>
  <si>
    <t>Q345</t>
  </si>
  <si>
    <t>A572 gr.50</t>
  </si>
  <si>
    <t>A36</t>
  </si>
  <si>
    <r>
      <t xml:space="preserve"> 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s</t>
    </r>
    <r>
      <rPr>
        <sz val="10"/>
        <color theme="1"/>
        <rFont val="Calibri"/>
        <family val="2"/>
      </rPr>
      <t>] =</t>
    </r>
  </si>
  <si>
    <t>cm</t>
  </si>
  <si>
    <t>Chiều dài tính toán cột</t>
  </si>
  <si>
    <t>Độ mảnh giới hạn của cấu kiện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</si>
  <si>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</rPr>
      <t xml:space="preserve"> </t>
    </r>
    <r>
      <rPr>
        <vertAlign val="subscript"/>
        <sz val="10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</si>
  <si>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t xml:space="preserve">Tỉ số </t>
    </r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</rPr>
      <t>]</t>
    </r>
  </si>
  <si>
    <r>
      <t>[</t>
    </r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  <scheme val="minor"/>
      </rPr>
      <t>]=180-60</t>
    </r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</si>
  <si>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</rPr>
      <t>/[</t>
    </r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</rPr>
      <t>]</t>
    </r>
    <r>
      <rPr>
        <sz val="10"/>
        <color theme="1"/>
        <rFont val="Calibri"/>
        <family val="2"/>
        <scheme val="minor"/>
      </rPr>
      <t>=</t>
    </r>
  </si>
  <si>
    <r>
      <t>Kết luận:</t>
    </r>
    <r>
      <rPr>
        <sz val="10"/>
        <color theme="1"/>
        <rFont val="Calibri"/>
        <family val="2"/>
        <scheme val="minor"/>
      </rPr>
      <t xml:space="preserve"> Cấu kiện đảm bảo khả năng chịu lực</t>
    </r>
  </si>
  <si>
    <r>
      <t>L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 =</t>
    </r>
  </si>
  <si>
    <r>
      <t>L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 =</t>
    </r>
  </si>
  <si>
    <r>
      <t>f</t>
    </r>
    <r>
      <rPr>
        <vertAlign val="subscript"/>
        <sz val="10"/>
        <color theme="1"/>
        <rFont val="Calibri"/>
        <family val="2"/>
        <scheme val="minor"/>
      </rPr>
      <t>yd</t>
    </r>
  </si>
  <si>
    <r>
      <t>V</t>
    </r>
    <r>
      <rPr>
        <vertAlign val="subscript"/>
        <sz val="10"/>
        <color theme="1"/>
        <rFont val="Calibri"/>
        <family val="2"/>
        <scheme val="minor"/>
      </rPr>
      <t>Y</t>
    </r>
  </si>
  <si>
    <r>
      <t>V</t>
    </r>
    <r>
      <rPr>
        <vertAlign val="subscript"/>
        <sz val="10"/>
        <color theme="1"/>
        <rFont val="Calibri"/>
        <family val="2"/>
        <scheme val="minor"/>
      </rPr>
      <t>X</t>
    </r>
  </si>
  <si>
    <r>
      <t>M</t>
    </r>
    <r>
      <rPr>
        <vertAlign val="subscript"/>
        <sz val="10"/>
        <color theme="1"/>
        <rFont val="Calibri"/>
        <family val="2"/>
        <scheme val="minor"/>
      </rPr>
      <t>Y</t>
    </r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</si>
  <si>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</si>
  <si>
    <t>1. Tính toán về bền (Mục 9.1)</t>
  </si>
  <si>
    <t>n =</t>
  </si>
  <si>
    <r>
      <t>c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</si>
  <si>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t>N/(A</t>
    </r>
    <r>
      <rPr>
        <vertAlign val="subscript"/>
        <sz val="10"/>
        <color theme="1"/>
        <rFont val="Calibri"/>
        <family val="2"/>
        <scheme val="minor"/>
      </rPr>
      <t>n</t>
    </r>
    <r>
      <rPr>
        <sz val="10"/>
        <color theme="1"/>
        <rFont val="Calibri"/>
        <family val="2"/>
        <scheme val="minor"/>
      </rPr>
      <t>f</t>
    </r>
    <r>
      <rPr>
        <vertAlign val="subscript"/>
        <sz val="10"/>
        <color theme="1"/>
        <rFont val="Calibri"/>
        <family val="2"/>
        <scheme val="minor"/>
      </rPr>
      <t>yd</t>
    </r>
    <r>
      <rPr>
        <sz val="10"/>
        <color theme="1"/>
        <rFont val="Calibri"/>
        <family val="2"/>
        <scheme val="minor"/>
      </rPr>
      <t>)=</t>
    </r>
  </si>
  <si>
    <r>
      <t>Xét trường hợp N/(A</t>
    </r>
    <r>
      <rPr>
        <i/>
        <u/>
        <vertAlign val="subscript"/>
        <sz val="10"/>
        <color theme="1"/>
        <rFont val="Calibri"/>
        <family val="2"/>
        <scheme val="minor"/>
      </rPr>
      <t>n</t>
    </r>
    <r>
      <rPr>
        <i/>
        <u/>
        <sz val="10"/>
        <color theme="1"/>
        <rFont val="Calibri"/>
        <family val="2"/>
        <scheme val="minor"/>
      </rPr>
      <t>f</t>
    </r>
    <r>
      <rPr>
        <i/>
        <u/>
        <vertAlign val="subscript"/>
        <sz val="10"/>
        <color theme="1"/>
        <rFont val="Calibri"/>
        <family val="2"/>
        <scheme val="minor"/>
      </rPr>
      <t>yd</t>
    </r>
    <r>
      <rPr>
        <i/>
        <u/>
        <sz val="10"/>
        <color theme="1"/>
        <rFont val="Calibri"/>
        <family val="2"/>
        <scheme val="minor"/>
      </rPr>
      <t>) &gt; 0.1</t>
    </r>
  </si>
  <si>
    <r>
      <t>Xét trường hợp N/(A</t>
    </r>
    <r>
      <rPr>
        <i/>
        <vertAlign val="subscript"/>
        <sz val="10"/>
        <color theme="1"/>
        <rFont val="Calibri"/>
        <family val="2"/>
        <scheme val="minor"/>
      </rPr>
      <t>n</t>
    </r>
    <r>
      <rPr>
        <i/>
        <sz val="10"/>
        <color theme="1"/>
        <rFont val="Calibri"/>
        <family val="2"/>
        <scheme val="minor"/>
      </rPr>
      <t>f</t>
    </r>
    <r>
      <rPr>
        <i/>
        <vertAlign val="subscript"/>
        <sz val="10"/>
        <color theme="1"/>
        <rFont val="Calibri"/>
        <family val="2"/>
        <scheme val="minor"/>
      </rPr>
      <t>yd</t>
    </r>
    <r>
      <rPr>
        <i/>
        <sz val="10"/>
        <color theme="1"/>
        <rFont val="Calibri"/>
        <family val="2"/>
        <scheme val="minor"/>
      </rPr>
      <t>) ≤ 0.1</t>
    </r>
  </si>
  <si>
    <r>
      <t>c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</si>
  <si>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Tỷ số huy động  ứng suất pháp của cấu kiện khi có tác dụng của N</t>
  </si>
  <si>
    <r>
      <t>Tỷ số huy động  ứng suất pháp của cấu kiện khi có tác dụng của M</t>
    </r>
    <r>
      <rPr>
        <vertAlign val="subscript"/>
        <sz val="10"/>
        <color theme="1"/>
        <rFont val="Calibri"/>
        <family val="2"/>
        <scheme val="minor"/>
      </rPr>
      <t>x</t>
    </r>
  </si>
  <si>
    <r>
      <t>Tỷ số huy động  ứng suất pháp của cấu kiện khi có tác dụng của M</t>
    </r>
    <r>
      <rPr>
        <vertAlign val="subscript"/>
        <sz val="10"/>
        <color theme="1"/>
        <rFont val="Calibri"/>
        <family val="2"/>
        <scheme val="minor"/>
      </rPr>
      <t>y</t>
    </r>
  </si>
  <si>
    <t>Tỷ số huy động  ứng suất pháp của cấu kiện khi có tác dụng của B</t>
  </si>
  <si>
    <t>Hệ số tính toán (Phụ lục E)</t>
  </si>
  <si>
    <t xml:space="preserve"> </t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</si>
  <si>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</si>
  <si>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l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</si>
  <si>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Độ mảnh quy ước</t>
  </si>
  <si>
    <t>Độ lệch tâm tương đối m</t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</si>
  <si>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  <scheme val="minor"/>
      </rPr>
      <t>e</t>
    </r>
    <r>
      <rPr>
        <sz val="10"/>
        <color theme="1"/>
        <rFont val="Calibri"/>
        <family val="1"/>
        <charset val="2"/>
        <scheme val="minor"/>
      </rPr>
      <t xml:space="preserve"> =</t>
    </r>
  </si>
  <si>
    <t>Tỷ số huy động của cấu kiện</t>
  </si>
  <si>
    <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1"/>
        <charset val="2"/>
        <scheme val="minor"/>
      </rPr>
      <t xml:space="preserve"> =</t>
    </r>
  </si>
  <si>
    <t>3. Độ mảnh của cấu kiện (Mục 10.4)</t>
  </si>
  <si>
    <t>Độ mảnh lớn nhất cấu kiện</t>
  </si>
  <si>
    <r>
      <rPr>
        <sz val="10"/>
        <color theme="1"/>
        <rFont val="Symbol"/>
        <family val="1"/>
        <charset val="2"/>
      </rPr>
      <t>a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</si>
  <si>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Symbol"/>
        <family val="1"/>
        <charset val="2"/>
      </rPr>
      <t>N</t>
    </r>
    <r>
      <rPr>
        <sz val="10"/>
        <color theme="1"/>
        <rFont val="Symbol"/>
        <family val="1"/>
        <charset val="2"/>
      </rPr>
      <t>/[s</t>
    </r>
    <r>
      <rPr>
        <vertAlign val="subscript"/>
        <sz val="10"/>
        <color theme="1"/>
        <rFont val="Symbol"/>
        <family val="1"/>
        <charset val="2"/>
      </rPr>
      <t>N</t>
    </r>
    <r>
      <rPr>
        <sz val="10"/>
        <color theme="1"/>
        <rFont val="Symbol"/>
        <family val="1"/>
        <charset val="2"/>
      </rPr>
      <t xml:space="preserve">]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</si>
  <si>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Symbol"/>
        <family val="1"/>
        <charset val="2"/>
      </rP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Symbol"/>
        <family val="1"/>
        <charset val="2"/>
      </rPr>
      <t>/[s</t>
    </r>
    <r>
      <rPr>
        <vertAlign val="subscript"/>
        <sz val="10"/>
        <color theme="1"/>
        <rFont val="Symbol"/>
        <family val="1"/>
        <charset val="2"/>
      </rPr>
      <t>M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Symbol"/>
        <family val="1"/>
        <charset val="2"/>
      </rPr>
      <t xml:space="preserve">]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</si>
  <si>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Symbol"/>
        <family val="1"/>
        <charset val="2"/>
      </rPr>
      <t>M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Symbol"/>
        <family val="1"/>
        <charset val="2"/>
      </rPr>
      <t>/[s</t>
    </r>
    <r>
      <rPr>
        <vertAlign val="subscript"/>
        <sz val="10"/>
        <color theme="1"/>
        <rFont val="Symbol"/>
        <family val="1"/>
        <charset val="2"/>
      </rPr>
      <t>M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Symbol"/>
        <family val="1"/>
        <charset val="2"/>
      </rPr>
      <t xml:space="preserve">]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</si>
  <si>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s</t>
    </r>
    <r>
      <rPr>
        <vertAlign val="subscript"/>
        <sz val="10"/>
        <color theme="1"/>
        <rFont val="Symbol"/>
        <family val="1"/>
        <charset val="2"/>
      </rPr>
      <t>B</t>
    </r>
    <r>
      <rPr>
        <sz val="10"/>
        <color theme="1"/>
        <rFont val="Symbol"/>
        <family val="1"/>
        <charset val="2"/>
      </rPr>
      <t>/[s</t>
    </r>
    <r>
      <rPr>
        <vertAlign val="subscript"/>
        <sz val="10"/>
        <color theme="1"/>
        <rFont val="Symbol"/>
        <family val="1"/>
        <charset val="2"/>
      </rPr>
      <t>B</t>
    </r>
    <r>
      <rPr>
        <sz val="10"/>
        <color theme="1"/>
        <rFont val="Symbol"/>
        <family val="1"/>
        <charset val="2"/>
      </rPr>
      <t xml:space="preserve">] </t>
    </r>
    <r>
      <rPr>
        <sz val="10"/>
        <color theme="1"/>
        <rFont val="Calibri"/>
        <family val="2"/>
      </rPr>
      <t>=</t>
    </r>
  </si>
  <si>
    <r>
      <t>THIẾT KẾ THÉP ỐNG</t>
    </r>
    <r>
      <rPr>
        <b/>
        <sz val="14"/>
        <color theme="0"/>
        <rFont val="Adobe Hebrew"/>
        <family val="1"/>
      </rPr>
      <t xml:space="preserve"> CHỊU NÉN UỐN</t>
    </r>
    <r>
      <rPr>
        <b/>
        <sz val="14"/>
        <color theme="0"/>
        <rFont val="Calibri"/>
        <family val="2"/>
        <scheme val="minor"/>
      </rPr>
      <t xml:space="preserve"> THEO TCVN 5575:2024</t>
    </r>
  </si>
  <si>
    <t>Đường kính ống</t>
  </si>
  <si>
    <t>Chiều dày ống</t>
  </si>
  <si>
    <t>D =</t>
  </si>
  <si>
    <t>t =</t>
  </si>
  <si>
    <t>2. Tính toán về ổn định (Mục 9.2.10)</t>
  </si>
  <si>
    <t>Độ mảnh của cột</t>
  </si>
  <si>
    <r>
      <t>m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</si>
  <si>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h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3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</si>
  <si>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r>
      <rPr>
        <sz val="10"/>
        <color theme="1"/>
        <rFont val="Symbol"/>
        <family val="1"/>
        <charset val="2"/>
      </rPr>
      <t>h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3"/>
        <color theme="1"/>
        <rFont val="Calibri"/>
        <family val="2"/>
      </rPr>
      <t xml:space="preserve"> </t>
    </r>
    <r>
      <rPr>
        <sz val="10"/>
        <color theme="1"/>
        <rFont val="Calibri"/>
        <family val="2"/>
      </rPr>
      <t>=</t>
    </r>
  </si>
  <si>
    <t>Hệ số ảnh hưởng hình dạng</t>
  </si>
  <si>
    <t>Độ lệch tâm tương đối quy đổi</t>
  </si>
  <si>
    <r>
      <t>m</t>
    </r>
    <r>
      <rPr>
        <vertAlign val="subscript"/>
        <sz val="10"/>
        <color theme="1"/>
        <rFont val="Calibri"/>
        <family val="2"/>
        <scheme val="minor"/>
      </rPr>
      <t>ef</t>
    </r>
    <r>
      <rPr>
        <sz val="10"/>
        <color theme="1"/>
        <rFont val="Calibri"/>
        <family val="2"/>
        <scheme val="minor"/>
      </rPr>
      <t xml:space="preserve"> =</t>
    </r>
  </si>
  <si>
    <t>Hệ số ổn định khi nén uốn</t>
  </si>
  <si>
    <t>Phương X</t>
  </si>
  <si>
    <t>Phương Y</t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</si>
  <si>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  <scheme val="minor"/>
      </rPr>
      <t>ex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</si>
  <si>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  <scheme val="minor"/>
      </rPr>
      <t>ey</t>
    </r>
    <r>
      <rPr>
        <sz val="10"/>
        <color theme="1"/>
        <rFont val="Calibri"/>
        <family val="1"/>
        <charset val="2"/>
        <scheme val="minor"/>
      </rPr>
      <t xml:space="preserve"> =</t>
    </r>
  </si>
  <si>
    <r>
      <t xml:space="preserve">Hệ số </t>
    </r>
    <r>
      <rPr>
        <sz val="10"/>
        <color theme="1"/>
        <rFont val="Symbol"/>
        <family val="1"/>
        <charset val="2"/>
      </rPr>
      <t>d</t>
    </r>
  </si>
  <si>
    <r>
      <rPr>
        <sz val="10"/>
        <color theme="1"/>
        <rFont val="Symbol"/>
        <family val="1"/>
        <charset val="2"/>
      </rPr>
      <t>d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 xml:space="preserve"> =</t>
    </r>
  </si>
  <si>
    <r>
      <rPr>
        <sz val="10"/>
        <color theme="1"/>
        <rFont val="Symbol"/>
        <family val="1"/>
        <charset val="2"/>
      </rPr>
      <t>d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 xml:space="preserve"> =</t>
    </r>
  </si>
  <si>
    <t>Tỷ số huy động của cấu kiện theo phương X</t>
  </si>
  <si>
    <t>Tỷ số huy động của cấu kiện theo phương Y</t>
  </si>
  <si>
    <r>
      <t>N/(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</rPr>
      <t>ey</t>
    </r>
    <r>
      <rPr>
        <sz val="10"/>
        <color theme="1"/>
        <rFont val="Calibri"/>
        <family val="2"/>
      </rPr>
      <t>Af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 + M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>/(c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Symbol"/>
        <family val="1"/>
        <charset val="2"/>
      </rPr>
      <t>d</t>
    </r>
    <r>
      <rPr>
        <vertAlign val="subscript"/>
        <sz val="10"/>
        <color theme="1"/>
        <rFont val="Calibri"/>
        <family val="2"/>
      </rPr>
      <t>x</t>
    </r>
    <r>
      <rPr>
        <sz val="10"/>
        <color theme="1"/>
        <rFont val="Calibri"/>
        <family val="2"/>
      </rPr>
      <t>W</t>
    </r>
    <r>
      <rPr>
        <vertAlign val="subscript"/>
        <sz val="10"/>
        <color theme="1"/>
        <rFont val="Calibri"/>
        <family val="2"/>
      </rPr>
      <t>x,min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 =</t>
    </r>
  </si>
  <si>
    <r>
      <t>N/(</t>
    </r>
    <r>
      <rPr>
        <sz val="10"/>
        <color theme="1"/>
        <rFont val="Symbol"/>
        <family val="1"/>
        <charset val="2"/>
      </rPr>
      <t>j</t>
    </r>
    <r>
      <rPr>
        <vertAlign val="subscript"/>
        <sz val="10"/>
        <color theme="1"/>
        <rFont val="Calibri"/>
        <family val="2"/>
      </rPr>
      <t>eX</t>
    </r>
    <r>
      <rPr>
        <sz val="10"/>
        <color theme="1"/>
        <rFont val="Calibri"/>
        <family val="2"/>
      </rPr>
      <t>Af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 + M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>/(c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Symbol"/>
        <family val="1"/>
        <charset val="2"/>
      </rPr>
      <t>d</t>
    </r>
    <r>
      <rPr>
        <vertAlign val="subscript"/>
        <sz val="10"/>
        <color theme="1"/>
        <rFont val="Calibri"/>
        <family val="2"/>
      </rPr>
      <t>Y</t>
    </r>
    <r>
      <rPr>
        <sz val="10"/>
        <color theme="1"/>
        <rFont val="Calibri"/>
        <family val="2"/>
      </rPr>
      <t>W</t>
    </r>
    <r>
      <rPr>
        <vertAlign val="subscript"/>
        <sz val="10"/>
        <color theme="1"/>
        <rFont val="Calibri"/>
        <family val="2"/>
      </rPr>
      <t>Y,min</t>
    </r>
    <r>
      <rPr>
        <sz val="10"/>
        <color theme="1"/>
        <rFont val="Calibri"/>
        <family val="2"/>
      </rPr>
      <t>f</t>
    </r>
    <r>
      <rPr>
        <vertAlign val="subscript"/>
        <sz val="10"/>
        <color theme="1"/>
        <rFont val="Calibri"/>
        <family val="2"/>
      </rPr>
      <t>yd</t>
    </r>
    <r>
      <rPr>
        <sz val="10"/>
        <color theme="1"/>
        <rFont val="Symbol"/>
        <family val="1"/>
        <charset val="2"/>
      </rPr>
      <t>g</t>
    </r>
    <r>
      <rPr>
        <vertAlign val="subscript"/>
        <sz val="10"/>
        <color theme="1"/>
        <rFont val="Calibri"/>
        <family val="2"/>
      </rPr>
      <t>c</t>
    </r>
    <r>
      <rPr>
        <sz val="10"/>
        <color theme="1"/>
        <rFont val="Calibri"/>
        <family val="2"/>
      </rPr>
      <t>) =</t>
    </r>
  </si>
  <si>
    <t>SS330 ≤ 16</t>
  </si>
  <si>
    <t>SS330 ≤ 40</t>
  </si>
  <si>
    <t>SS400 ≤ 16</t>
  </si>
  <si>
    <t>SS400 ≤ 40</t>
  </si>
  <si>
    <t>SS490 ≤ 16</t>
  </si>
  <si>
    <t>SS490 ≤ 40</t>
  </si>
  <si>
    <t>SS540 ≤ 16</t>
  </si>
  <si>
    <t>SS540 ≤ 40</t>
  </si>
  <si>
    <t>I</t>
  </si>
  <si>
    <t>W</t>
  </si>
  <si>
    <t>i</t>
  </si>
  <si>
    <t>(Theo TCVN 5575-2024)</t>
  </si>
  <si>
    <t>A. THÔNG SỐ THIẾT KẾ</t>
  </si>
  <si>
    <t>Mác thép</t>
  </si>
  <si>
    <t>E=</t>
  </si>
  <si>
    <r>
      <t>f</t>
    </r>
    <r>
      <rPr>
        <vertAlign val="subscript"/>
        <sz val="10"/>
        <rFont val="Calibri"/>
        <family val="2"/>
        <scheme val="minor"/>
      </rPr>
      <t>y</t>
    </r>
    <r>
      <rPr>
        <sz val="10"/>
        <rFont val="Calibri"/>
        <family val="2"/>
        <scheme val="minor"/>
      </rPr>
      <t>=</t>
    </r>
  </si>
  <si>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  <scheme val="minor"/>
      </rPr>
      <t>c</t>
    </r>
    <r>
      <rPr>
        <sz val="10"/>
        <rFont val="Calibri"/>
        <family val="2"/>
        <scheme val="minor"/>
      </rPr>
      <t>=</t>
    </r>
  </si>
  <si>
    <r>
      <t>f</t>
    </r>
    <r>
      <rPr>
        <vertAlign val="subscript"/>
        <sz val="10"/>
        <rFont val="Calibri"/>
        <family val="2"/>
        <scheme val="minor"/>
      </rPr>
      <t>yd</t>
    </r>
    <r>
      <rPr>
        <sz val="10"/>
        <rFont val="Calibri"/>
        <family val="2"/>
        <scheme val="minor"/>
      </rPr>
      <t>=</t>
    </r>
  </si>
  <si>
    <r>
      <rPr>
        <sz val="10"/>
        <rFont val="Symbol"/>
        <family val="1"/>
        <charset val="2"/>
      </rPr>
      <t>g</t>
    </r>
    <r>
      <rPr>
        <vertAlign val="subscript"/>
        <sz val="10"/>
        <rFont val="Calibri"/>
        <family val="2"/>
        <scheme val="minor"/>
      </rPr>
      <t>m</t>
    </r>
    <r>
      <rPr>
        <sz val="10"/>
        <rFont val="Calibri"/>
        <family val="2"/>
        <scheme val="minor"/>
      </rPr>
      <t>=</t>
    </r>
  </si>
  <si>
    <r>
      <t>f</t>
    </r>
    <r>
      <rPr>
        <vertAlign val="subscript"/>
        <sz val="10"/>
        <rFont val="Calibri"/>
        <family val="2"/>
        <scheme val="minor"/>
      </rPr>
      <t>v</t>
    </r>
    <r>
      <rPr>
        <sz val="10"/>
        <rFont val="Calibri"/>
        <family val="2"/>
        <scheme val="minor"/>
      </rPr>
      <t>=</t>
    </r>
  </si>
  <si>
    <t>B. TÍNH TOÁN</t>
  </si>
  <si>
    <t>Thông Số</t>
  </si>
  <si>
    <t>Chiều dài
tính toán cột</t>
  </si>
  <si>
    <t>Kiểm tra ổn định tổng thể
trong mặt phẳng</t>
  </si>
  <si>
    <t>Kiểm tra độ mảnh</t>
  </si>
  <si>
    <t>Tên</t>
  </si>
  <si>
    <t>L</t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</si>
  <si>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</si>
  <si>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V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</si>
  <si>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</si>
  <si>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</si>
  <si>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L</t>
    </r>
    <r>
      <rPr>
        <b/>
        <vertAlign val="subscript"/>
        <sz val="10"/>
        <color rgb="FF0070C0"/>
        <rFont val="Calibri"/>
        <family val="2"/>
        <scheme val="minor"/>
      </rPr>
      <t>ytt</t>
    </r>
  </si>
  <si>
    <r>
      <t>L</t>
    </r>
    <r>
      <rPr>
        <b/>
        <vertAlign val="subscript"/>
        <sz val="10"/>
        <color rgb="FF0070C0"/>
        <rFont val="Calibri"/>
        <family val="2"/>
        <scheme val="minor"/>
      </rPr>
      <t>xtt</t>
    </r>
  </si>
  <si>
    <t>B</t>
  </si>
  <si>
    <r>
      <t>N/
(Af</t>
    </r>
    <r>
      <rPr>
        <b/>
        <vertAlign val="subscript"/>
        <sz val="10"/>
        <color rgb="FF0070C0"/>
        <rFont val="Calibri"/>
        <family val="2"/>
        <scheme val="minor"/>
      </rPr>
      <t>yd</t>
    </r>
    <r>
      <rPr>
        <b/>
        <sz val="10"/>
        <color rgb="FF0070C0"/>
        <rFont val="Calibri"/>
        <family val="2"/>
        <scheme val="minor"/>
      </rPr>
      <t>)</t>
    </r>
  </si>
  <si>
    <t>Công
thức</t>
  </si>
  <si>
    <t>n</t>
  </si>
  <si>
    <r>
      <t>c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</si>
  <si>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c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</si>
  <si>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t>Tỷ số huy động cấu kiện</t>
  </si>
  <si>
    <t>Kết luận</t>
  </si>
  <si>
    <r>
      <t>l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</si>
  <si>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l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</si>
  <si>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t>λ̅x</t>
  </si>
  <si>
    <t>λ̅y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</si>
  <si>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</si>
  <si>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t>FS</t>
  </si>
  <si>
    <t>l</t>
  </si>
  <si>
    <r>
      <rPr>
        <b/>
        <sz val="10"/>
        <color rgb="FF0070C0"/>
        <rFont val="Symbol"/>
        <family val="1"/>
        <charset val="2"/>
      </rPr>
      <t>[l</t>
    </r>
    <r>
      <rPr>
        <b/>
        <sz val="10"/>
        <color rgb="FF0070C0"/>
        <rFont val="Calibri"/>
        <family val="2"/>
        <scheme val="minor"/>
      </rPr>
      <t>]</t>
    </r>
  </si>
  <si>
    <t>(mm)</t>
  </si>
  <si>
    <r>
      <t>cm</t>
    </r>
    <r>
      <rPr>
        <b/>
        <vertAlign val="superscript"/>
        <sz val="10"/>
        <color rgb="FF0070C0"/>
        <rFont val="Calibri"/>
        <family val="2"/>
        <scheme val="minor"/>
      </rPr>
      <t>2</t>
    </r>
  </si>
  <si>
    <r>
      <t>cm</t>
    </r>
    <r>
      <rPr>
        <b/>
        <vertAlign val="superscript"/>
        <sz val="10"/>
        <color rgb="FF0070C0"/>
        <rFont val="Calibri"/>
        <family val="2"/>
        <scheme val="minor"/>
      </rPr>
      <t>4</t>
    </r>
  </si>
  <si>
    <t>kN</t>
  </si>
  <si>
    <t>kNm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</si>
  <si>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</si>
  <si>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</si>
  <si>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t>C1</t>
  </si>
  <si>
    <t>1_ULS51</t>
  </si>
  <si>
    <t>D</t>
  </si>
  <si>
    <t>t</t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</si>
  <si>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</si>
  <si>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λ̅</t>
    </r>
    <r>
      <rPr>
        <vertAlign val="subscript"/>
        <sz val="10"/>
        <color theme="1"/>
        <rFont val="Calibri"/>
        <family val="2"/>
        <scheme val="minor"/>
      </rPr>
      <t>x</t>
    </r>
    <r>
      <rPr>
        <sz val="10"/>
        <color theme="1"/>
        <rFont val="Calibri"/>
        <family val="2"/>
        <scheme val="minor"/>
      </rPr>
      <t>=</t>
    </r>
  </si>
  <si>
    <r>
      <t>λ̅</t>
    </r>
    <r>
      <rPr>
        <vertAlign val="subscript"/>
        <sz val="10"/>
        <color theme="1"/>
        <rFont val="Calibri"/>
        <family val="2"/>
        <scheme val="minor"/>
      </rPr>
      <t>y</t>
    </r>
    <r>
      <rPr>
        <sz val="10"/>
        <color theme="1"/>
        <rFont val="Calibri"/>
        <family val="2"/>
        <scheme val="minor"/>
      </rPr>
      <t>=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</si>
  <si>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</si>
  <si>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t>h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</si>
  <si>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efx</t>
    </r>
  </si>
  <si>
    <r>
      <t>m</t>
    </r>
    <r>
      <rPr>
        <b/>
        <vertAlign val="subscript"/>
        <sz val="10"/>
        <color rgb="FF0070C0"/>
        <rFont val="Calibri"/>
        <family val="2"/>
        <scheme val="minor"/>
      </rPr>
      <t>efy</t>
    </r>
  </si>
  <si>
    <r>
      <rPr>
        <b/>
        <sz val="10"/>
        <color rgb="FF0070C0"/>
        <rFont val="Symbol"/>
        <family val="1"/>
        <charset val="2"/>
      </rPr>
      <t>j</t>
    </r>
    <r>
      <rPr>
        <b/>
        <vertAlign val="subscript"/>
        <sz val="10"/>
        <color rgb="FF0070C0"/>
        <rFont val="Calibri"/>
        <family val="2"/>
        <scheme val="minor"/>
      </rPr>
      <t>ex</t>
    </r>
  </si>
  <si>
    <r>
      <rPr>
        <b/>
        <sz val="10"/>
        <color rgb="FF0070C0"/>
        <rFont val="Symbol"/>
        <family val="1"/>
        <charset val="2"/>
      </rPr>
      <t>j</t>
    </r>
    <r>
      <rPr>
        <b/>
        <vertAlign val="subscript"/>
        <sz val="10"/>
        <color rgb="FF0070C0"/>
        <rFont val="Calibri"/>
        <family val="2"/>
        <scheme val="minor"/>
      </rPr>
      <t>ey</t>
    </r>
  </si>
  <si>
    <r>
      <rPr>
        <b/>
        <sz val="10"/>
        <color rgb="FF0070C0"/>
        <rFont val="Symbol"/>
        <family val="1"/>
        <charset val="2"/>
      </rPr>
      <t>d</t>
    </r>
    <r>
      <rPr>
        <b/>
        <vertAlign val="subscript"/>
        <sz val="10"/>
        <color rgb="FF0070C0"/>
        <rFont val="Calibri"/>
        <family val="2"/>
        <scheme val="minor"/>
      </rPr>
      <t>x</t>
    </r>
  </si>
  <si>
    <r>
      <rPr>
        <b/>
        <sz val="10"/>
        <color rgb="FF0070C0"/>
        <rFont val="Symbol"/>
        <family val="1"/>
        <charset val="2"/>
      </rPr>
      <t>d</t>
    </r>
    <r>
      <rPr>
        <b/>
        <vertAlign val="subscript"/>
        <sz val="10"/>
        <color rgb="FF0070C0"/>
        <rFont val="Calibri"/>
        <family val="2"/>
        <scheme val="minor"/>
      </rPr>
      <t>y</t>
    </r>
  </si>
  <si>
    <t>BẢNG TỔNG HỢP CHI TIẾT  - THUYẾT MINH CẤU KIỆN THÉP ỐNG CHỊU NÉN LỆCH TÂM</t>
  </si>
  <si>
    <t>Kiểm tra điều kiện bền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</si>
  <si>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</si>
  <si>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</si>
  <si>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</si>
  <si>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</si>
  <si>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</si>
  <si>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</si>
  <si>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</si>
  <si>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</si>
  <si>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</si>
  <si>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</si>
  <si>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</si>
  <si>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</si>
  <si>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</si>
  <si>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</si>
  <si>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1_ULSV2(1.2D+1.3L+1.3Lr)</t>
  </si>
  <si>
    <t>1_ULSV31(1.2D+2.1Wdown1)</t>
  </si>
  <si>
    <t>1_ULSV32(1.2D+2.1Wdown2)</t>
  </si>
  <si>
    <t>1_ULSV33(1.2D+2.1Wup1)</t>
  </si>
  <si>
    <t>1_ULSV34(1.2D+2.1Wup2)</t>
  </si>
  <si>
    <t>1_ULSV41(1.2D+1.3L+1.3Lr+1.89Wdown1)</t>
  </si>
  <si>
    <t>1_ULSV42(1.2D+1.3L+1.3Lr+1.89Wdown2)</t>
  </si>
  <si>
    <t>1_ULSV43(1.2D+1.3L+1.3Lr+1.89Wup1)</t>
  </si>
  <si>
    <t>1_ULSV44(1.2D+1.3L+1.3Lr+1.89Wup2)</t>
  </si>
  <si>
    <t>1_ULSV51(1.2D+1.17L+1.17Lr+2.1Wdown1)</t>
  </si>
  <si>
    <t>1_ULSV52(1.2D+1.17L+1.17Lr+2.1Wdown2)</t>
  </si>
  <si>
    <t>1_ULSV53(1.2D+1.17L+1.17Lr+2.1Wup1)</t>
  </si>
  <si>
    <t>1_ULSV54(1.2D+1.17L+1.17Lr+2.1Wup2)</t>
  </si>
  <si>
    <t>OK</t>
  </si>
  <si>
    <t>Check</t>
  </si>
  <si>
    <r>
      <rPr>
        <b/>
        <sz val="10"/>
        <color theme="0"/>
        <rFont val="Symbol"/>
        <family val="1"/>
        <charset val="2"/>
      </rPr>
      <t xml:space="preserve"> g</t>
    </r>
    <r>
      <rPr>
        <b/>
        <sz val="10"/>
        <color theme="0"/>
        <rFont val="Calibri"/>
        <family val="2"/>
        <scheme val="minor"/>
      </rPr>
      <t>m</t>
    </r>
  </si>
  <si>
    <t>Q355</t>
  </si>
  <si>
    <t>CCT34</t>
  </si>
  <si>
    <t>CCT38</t>
  </si>
  <si>
    <t>CCT42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</si>
</sst>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53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0"/>
      <color rgb="FF0070C0"/>
      <name val="Calibri"/>
      <family val="2"/>
      <scheme val="minor"/>
    </font>
    <font>
      <sz val="10"/>
      <color theme="1"/>
      <name val="Symbol"/>
      <family val="1"/>
      <charset val="2"/>
    </font>
    <font>
      <sz val="10"/>
      <color theme="1"/>
      <name val="Calibri"/>
      <family val="2"/>
    </font>
    <font>
      <sz val="10"/>
      <color theme="1"/>
      <name val="Calibri"/>
      <family val="1"/>
      <charset val="2"/>
    </font>
    <font>
      <vertAlign val="subscript"/>
      <sz val="10"/>
      <color theme="1"/>
      <name val="Calibri"/>
      <family val="2"/>
    </font>
    <font>
      <sz val="10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u/>
      <sz val="10"/>
      <color rgb="FFFF0000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0"/>
      <color rgb="FF7030A0"/>
      <name val="Calibri"/>
      <family val="2"/>
      <scheme val="minor"/>
    </font>
    <font>
      <sz val="10"/>
      <color rgb="FF0000CC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0"/>
      <name val="Adobe Hebrew"/>
      <family val="1"/>
    </font>
    <font>
      <b/>
      <sz val="14"/>
      <color rgb="FF0070C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vertAlign val="subscript"/>
      <sz val="10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Tahoma"/>
      <family val="2"/>
    </font>
    <font>
      <b/>
      <sz val="10"/>
      <color rgb="FF0070C0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5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00FF"/>
      <name val="Calibri"/>
      <family val="2"/>
    </font>
    <font>
      <b/>
      <sz val="11"/>
      <color rgb="FFFA7D00"/>
      <name val="Calibri"/>
      <family val="2"/>
      <scheme val="minor"/>
    </font>
    <font>
      <vertAlign val="subscript"/>
      <sz val="10"/>
      <color theme="1"/>
      <name val="Symbol"/>
      <family val="1"/>
      <charset val="2"/>
    </font>
    <font>
      <b/>
      <sz val="10"/>
      <color rgb="FFFA7D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i/>
      <u/>
      <vertAlign val="subscript"/>
      <sz val="10"/>
      <color theme="1"/>
      <name val="Calibri"/>
      <family val="2"/>
      <scheme val="minor"/>
    </font>
    <font>
      <i/>
      <u/>
      <sz val="10"/>
      <color theme="1"/>
      <name val="Calibri"/>
      <family val="2"/>
      <scheme val="minor"/>
    </font>
    <font>
      <i/>
      <vertAlign val="subscript"/>
      <sz val="10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3"/>
      <color theme="1"/>
      <name val="Calibri"/>
      <family val="2"/>
    </font>
    <font>
      <b/>
      <sz val="13"/>
      <color rgb="FF0000CC"/>
      <name val="Calibri"/>
      <family val="2"/>
      <scheme val="minor"/>
    </font>
    <font>
      <b/>
      <sz val="10"/>
      <color rgb="FF0000CC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10"/>
      <name val="Calibri"/>
      <family val="1"/>
      <charset val="2"/>
      <scheme val="minor"/>
    </font>
    <font>
      <sz val="10"/>
      <name val="Symbol"/>
      <family val="1"/>
      <charset val="2"/>
    </font>
    <font>
      <b/>
      <vertAlign val="subscript"/>
      <sz val="10"/>
      <color rgb="FF0070C0"/>
      <name val="Calibri"/>
      <family val="2"/>
      <scheme val="minor"/>
    </font>
    <font>
      <b/>
      <sz val="10"/>
      <color rgb="FF0070C0"/>
      <name val="Symbol"/>
      <family val="1"/>
      <charset val="2"/>
    </font>
    <font>
      <b/>
      <sz val="10"/>
      <color rgb="FF0070C0"/>
      <name val="Calibri"/>
      <family val="1"/>
      <charset val="2"/>
      <scheme val="minor"/>
    </font>
    <font>
      <b/>
      <vertAlign val="superscript"/>
      <sz val="10"/>
      <color rgb="FF0070C0"/>
      <name val="Calibri"/>
      <family val="2"/>
      <scheme val="minor"/>
    </font>
    <font>
      <b/>
      <sz val="10"/>
      <color rgb="FF006666"/>
      <name val="Calibri"/>
      <family val="2"/>
      <scheme val="minor"/>
    </font>
    <font>
      <b/>
      <sz val="13"/>
      <color rgb="FF0070C0"/>
      <name val="Calibri"/>
      <family val="2"/>
      <scheme val="minor"/>
    </font>
    <font>
      <b/>
      <sz val="10"/>
      <color theme="0"/>
      <name val="Calibri"/>
      <family val="1"/>
      <charset val="2"/>
      <scheme val="minor"/>
    </font>
    <font>
      <b/>
      <sz val="10"/>
      <color theme="0"/>
      <name val="Symbol"/>
      <family val="1"/>
      <charset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</patternFill>
    </fill>
  </fills>
  <borders count="29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0" tint="-0.499984740745262"/>
      </left>
      <right/>
      <top/>
      <bottom style="thin">
        <color theme="0" tint="-0.499984740745262"/>
      </bottom>
      <diagonal/>
    </border>
    <border>
      <left/>
      <right/>
      <top/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theme="0" tint="-0.499984740745262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theme="0" tint="-0.499984740745262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</borders>
  <cellStyleXfs count="3">
    <xf numFmtId="0" fontId="0" fillId="0" borderId="0"/>
    <xf numFmtId="0" fontId="21" fillId="0" borderId="0"/>
    <xf numFmtId="0" fontId="29" fillId="7" borderId="22" applyNumberFormat="0" applyAlignment="0" applyProtection="0"/>
  </cellStyleXfs>
  <cellXfs count="198">
    <xf numFmtId="0" fontId="0" fillId="0" borderId="0" xfId="0"/>
    <xf numFmtId="0" fontId="1" fillId="0" borderId="0" xfId="0" applyFont="1"/>
    <xf numFmtId="0" fontId="4" fillId="0" borderId="0" xfId="0" applyFont="1"/>
    <xf numFmtId="0" fontId="14" fillId="0" borderId="0" xfId="0" applyFont="1"/>
    <xf numFmtId="0" fontId="1" fillId="2" borderId="0" xfId="0" applyFont="1" applyFill="1"/>
    <xf numFmtId="0" fontId="1" fillId="2" borderId="10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vertical="top"/>
    </xf>
    <xf numFmtId="0" fontId="2" fillId="2" borderId="17" xfId="0" applyFont="1" applyFill="1" applyBorder="1" applyAlignment="1">
      <alignment horizontal="left" indent="1"/>
    </xf>
    <xf numFmtId="0" fontId="1" fillId="2" borderId="17" xfId="0" applyFont="1" applyFill="1" applyBorder="1" applyAlignment="1">
      <alignment horizontal="left" vertical="top" indent="2"/>
    </xf>
    <xf numFmtId="0" fontId="1" fillId="2" borderId="16" xfId="0" applyFont="1" applyFill="1" applyBorder="1"/>
    <xf numFmtId="0" fontId="1" fillId="2" borderId="17" xfId="0" applyFont="1" applyFill="1" applyBorder="1"/>
    <xf numFmtId="0" fontId="1" fillId="2" borderId="5" xfId="0" applyFont="1" applyFill="1" applyBorder="1"/>
    <xf numFmtId="0" fontId="1" fillId="2" borderId="13" xfId="0" applyFont="1" applyFill="1" applyBorder="1" applyAlignment="1">
      <alignment horizontal="center"/>
    </xf>
    <xf numFmtId="0" fontId="1" fillId="2" borderId="13" xfId="0" applyFont="1" applyFill="1" applyBorder="1" applyAlignment="1">
      <alignment horizontal="center" vertical="top"/>
    </xf>
    <xf numFmtId="1" fontId="1" fillId="2" borderId="13" xfId="0" applyNumberFormat="1" applyFont="1" applyFill="1" applyBorder="1" applyAlignment="1">
      <alignment horizontal="center" vertical="center"/>
    </xf>
    <xf numFmtId="164" fontId="1" fillId="2" borderId="13" xfId="0" applyNumberFormat="1" applyFont="1" applyFill="1" applyBorder="1" applyAlignment="1">
      <alignment horizontal="center" vertical="top"/>
    </xf>
    <xf numFmtId="0" fontId="19" fillId="5" borderId="10" xfId="0" applyFont="1" applyFill="1" applyBorder="1" applyAlignment="1">
      <alignment horizontal="center"/>
    </xf>
    <xf numFmtId="164" fontId="1" fillId="2" borderId="13" xfId="0" applyNumberFormat="1" applyFont="1" applyFill="1" applyBorder="1" applyAlignment="1">
      <alignment horizontal="center"/>
    </xf>
    <xf numFmtId="1" fontId="1" fillId="2" borderId="13" xfId="0" applyNumberFormat="1" applyFont="1" applyFill="1" applyBorder="1" applyAlignment="1">
      <alignment horizontal="center" vertical="top"/>
    </xf>
    <xf numFmtId="0" fontId="12" fillId="2" borderId="16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right" vertical="center"/>
    </xf>
    <xf numFmtId="0" fontId="1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0" fillId="2" borderId="13" xfId="0" applyFont="1" applyFill="1" applyBorder="1" applyAlignment="1">
      <alignment horizontal="center"/>
    </xf>
    <xf numFmtId="2" fontId="1" fillId="2" borderId="0" xfId="0" applyNumberFormat="1" applyFont="1" applyFill="1"/>
    <xf numFmtId="0" fontId="1" fillId="2" borderId="6" xfId="0" applyFont="1" applyFill="1" applyBorder="1"/>
    <xf numFmtId="0" fontId="1" fillId="6" borderId="0" xfId="0" applyFont="1" applyFill="1"/>
    <xf numFmtId="1" fontId="15" fillId="2" borderId="13" xfId="0" applyNumberFormat="1" applyFont="1" applyFill="1" applyBorder="1" applyAlignment="1">
      <alignment horizontal="center" vertical="center"/>
    </xf>
    <xf numFmtId="2" fontId="15" fillId="2" borderId="13" xfId="0" applyNumberFormat="1" applyFont="1" applyFill="1" applyBorder="1" applyAlignment="1">
      <alignment horizontal="center" vertical="center"/>
    </xf>
    <xf numFmtId="2" fontId="32" fillId="0" borderId="13" xfId="0" applyNumberFormat="1" applyFont="1" applyBorder="1" applyAlignment="1">
      <alignment horizontal="center" vertical="center"/>
    </xf>
    <xf numFmtId="165" fontId="0" fillId="0" borderId="13" xfId="0" applyNumberFormat="1" applyBorder="1" applyAlignment="1">
      <alignment horizontal="center" vertical="center"/>
    </xf>
    <xf numFmtId="0" fontId="33" fillId="2" borderId="17" xfId="0" applyFont="1" applyFill="1" applyBorder="1" applyAlignment="1">
      <alignment horizontal="left" indent="1"/>
    </xf>
    <xf numFmtId="0" fontId="13" fillId="2" borderId="5" xfId="0" applyFont="1" applyFill="1" applyBorder="1" applyAlignment="1">
      <alignment horizontal="right" vertical="center"/>
    </xf>
    <xf numFmtId="0" fontId="1" fillId="2" borderId="5" xfId="0" applyFont="1" applyFill="1" applyBorder="1" applyAlignment="1">
      <alignment horizontal="right" vertical="center"/>
    </xf>
    <xf numFmtId="1" fontId="32" fillId="0" borderId="13" xfId="0" applyNumberFormat="1" applyFont="1" applyBorder="1" applyAlignment="1">
      <alignment horizontal="center" vertical="center"/>
    </xf>
    <xf numFmtId="0" fontId="26" fillId="6" borderId="0" xfId="0" applyFont="1" applyFill="1" applyAlignment="1">
      <alignment horizontal="center" vertical="center"/>
    </xf>
    <xf numFmtId="0" fontId="25" fillId="6" borderId="0" xfId="0" applyFont="1" applyFill="1" applyAlignment="1">
      <alignment vertical="center"/>
    </xf>
    <xf numFmtId="0" fontId="24" fillId="2" borderId="17" xfId="0" applyFont="1" applyFill="1" applyBorder="1" applyAlignment="1">
      <alignment horizontal="left" indent="1"/>
    </xf>
    <xf numFmtId="0" fontId="1" fillId="2" borderId="17" xfId="0" applyFont="1" applyFill="1" applyBorder="1" applyAlignment="1">
      <alignment horizontal="left" indent="2"/>
    </xf>
    <xf numFmtId="0" fontId="13" fillId="2" borderId="0" xfId="0" applyFont="1" applyFill="1" applyAlignment="1">
      <alignment horizontal="right" vertical="center"/>
    </xf>
    <xf numFmtId="0" fontId="1" fillId="2" borderId="0" xfId="0" applyFont="1" applyFill="1" applyAlignment="1">
      <alignment vertical="top"/>
    </xf>
    <xf numFmtId="0" fontId="1" fillId="2" borderId="0" xfId="0" applyFont="1" applyFill="1" applyAlignment="1">
      <alignment horizontal="right" vertical="top"/>
    </xf>
    <xf numFmtId="0" fontId="5" fillId="2" borderId="0" xfId="0" applyFont="1" applyFill="1" applyAlignment="1">
      <alignment vertical="top"/>
    </xf>
    <xf numFmtId="0" fontId="15" fillId="2" borderId="0" xfId="0" applyFont="1" applyFill="1" applyAlignment="1">
      <alignment horizontal="right" vertical="center"/>
    </xf>
    <xf numFmtId="0" fontId="1" fillId="2" borderId="0" xfId="0" applyFont="1" applyFill="1" applyAlignment="1">
      <alignment horizontal="right" vertical="center"/>
    </xf>
    <xf numFmtId="2" fontId="15" fillId="2" borderId="0" xfId="0" applyNumberFormat="1" applyFont="1" applyFill="1" applyAlignment="1">
      <alignment horizontal="right" vertical="center"/>
    </xf>
    <xf numFmtId="0" fontId="1" fillId="2" borderId="0" xfId="0" applyFont="1" applyFill="1" applyAlignment="1">
      <alignment horizontal="left" vertical="center"/>
    </xf>
    <xf numFmtId="0" fontId="5" fillId="2" borderId="0" xfId="0" applyFont="1" applyFill="1" applyAlignment="1">
      <alignment horizontal="right"/>
    </xf>
    <xf numFmtId="2" fontId="1" fillId="2" borderId="0" xfId="0" applyNumberFormat="1" applyFont="1" applyFill="1" applyAlignment="1">
      <alignment horizontal="center" vertical="center"/>
    </xf>
    <xf numFmtId="165" fontId="1" fillId="2" borderId="0" xfId="0" applyNumberFormat="1" applyFont="1" applyFill="1"/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left"/>
    </xf>
    <xf numFmtId="2" fontId="1" fillId="2" borderId="0" xfId="0" applyNumberFormat="1" applyFont="1" applyFill="1" applyAlignment="1">
      <alignment horizontal="left"/>
    </xf>
    <xf numFmtId="164" fontId="1" fillId="2" borderId="0" xfId="0" applyNumberFormat="1" applyFont="1" applyFill="1" applyAlignment="1">
      <alignment vertical="top"/>
    </xf>
    <xf numFmtId="0" fontId="8" fillId="2" borderId="0" xfId="0" applyFont="1" applyFill="1" applyAlignment="1">
      <alignment horizontal="right" vertical="top"/>
    </xf>
    <xf numFmtId="2" fontId="31" fillId="7" borderId="22" xfId="2" applyNumberFormat="1" applyFont="1" applyAlignment="1">
      <alignment horizontal="center" vertical="center"/>
    </xf>
    <xf numFmtId="0" fontId="6" fillId="2" borderId="0" xfId="0" applyFont="1" applyFill="1" applyAlignment="1">
      <alignment horizontal="center"/>
    </xf>
    <xf numFmtId="2" fontId="1" fillId="2" borderId="0" xfId="0" applyNumberFormat="1" applyFont="1" applyFill="1" applyAlignment="1">
      <alignment horizontal="right" vertical="center"/>
    </xf>
    <xf numFmtId="0" fontId="8" fillId="2" borderId="0" xfId="0" applyFont="1" applyFill="1" applyAlignment="1">
      <alignment horizontal="right" vertical="center"/>
    </xf>
    <xf numFmtId="0" fontId="7" fillId="2" borderId="0" xfId="0" applyFont="1" applyFill="1" applyAlignment="1">
      <alignment horizontal="right" vertical="top"/>
    </xf>
    <xf numFmtId="2" fontId="31" fillId="7" borderId="22" xfId="2" applyNumberFormat="1" applyFont="1"/>
    <xf numFmtId="0" fontId="8" fillId="2" borderId="0" xfId="0" applyFont="1" applyFill="1" applyAlignment="1">
      <alignment horizontal="right"/>
    </xf>
    <xf numFmtId="164" fontId="1" fillId="2" borderId="0" xfId="0" applyNumberFormat="1" applyFont="1" applyFill="1" applyAlignment="1">
      <alignment horizontal="right" vertical="top"/>
    </xf>
    <xf numFmtId="0" fontId="12" fillId="2" borderId="0" xfId="0" applyFont="1" applyFill="1" applyAlignment="1">
      <alignment horizontal="left" vertical="center"/>
    </xf>
    <xf numFmtId="0" fontId="33" fillId="2" borderId="4" xfId="0" applyFont="1" applyFill="1" applyBorder="1" applyAlignment="1">
      <alignment horizontal="left" indent="1"/>
    </xf>
    <xf numFmtId="0" fontId="6" fillId="2" borderId="5" xfId="0" applyFont="1" applyFill="1" applyBorder="1" applyAlignment="1">
      <alignment horizontal="center"/>
    </xf>
    <xf numFmtId="0" fontId="12" fillId="2" borderId="5" xfId="0" applyFont="1" applyFill="1" applyBorder="1" applyAlignment="1">
      <alignment horizontal="left" vertical="center"/>
    </xf>
    <xf numFmtId="2" fontId="1" fillId="2" borderId="5" xfId="0" applyNumberFormat="1" applyFont="1" applyFill="1" applyBorder="1" applyAlignment="1">
      <alignment horizontal="center" vertical="center"/>
    </xf>
    <xf numFmtId="164" fontId="15" fillId="2" borderId="13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top"/>
    </xf>
    <xf numFmtId="164" fontId="1" fillId="2" borderId="0" xfId="0" applyNumberFormat="1" applyFont="1" applyFill="1" applyAlignment="1">
      <alignment horizontal="center" vertical="top"/>
    </xf>
    <xf numFmtId="0" fontId="2" fillId="2" borderId="0" xfId="0" applyFont="1" applyFill="1"/>
    <xf numFmtId="0" fontId="22" fillId="2" borderId="13" xfId="0" applyFont="1" applyFill="1" applyBorder="1" applyAlignment="1">
      <alignment horizontal="center" vertical="center"/>
    </xf>
    <xf numFmtId="0" fontId="1" fillId="2" borderId="13" xfId="0" applyFont="1" applyFill="1" applyBorder="1"/>
    <xf numFmtId="0" fontId="15" fillId="2" borderId="13" xfId="0" applyFont="1" applyFill="1" applyBorder="1"/>
    <xf numFmtId="2" fontId="15" fillId="2" borderId="13" xfId="0" applyNumberFormat="1" applyFont="1" applyFill="1" applyBorder="1"/>
    <xf numFmtId="164" fontId="15" fillId="2" borderId="13" xfId="0" applyNumberFormat="1" applyFont="1" applyFill="1" applyBorder="1"/>
    <xf numFmtId="164" fontId="15" fillId="2" borderId="0" xfId="0" applyNumberFormat="1" applyFont="1" applyFill="1"/>
    <xf numFmtId="0" fontId="41" fillId="2" borderId="0" xfId="0" applyFont="1" applyFill="1" applyAlignment="1">
      <alignment horizontal="left" indent="1"/>
    </xf>
    <xf numFmtId="2" fontId="15" fillId="2" borderId="0" xfId="0" applyNumberFormat="1" applyFont="1" applyFill="1"/>
    <xf numFmtId="0" fontId="15" fillId="2" borderId="0" xfId="0" applyFont="1" applyFill="1"/>
    <xf numFmtId="0" fontId="10" fillId="2" borderId="0" xfId="0" applyFont="1" applyFill="1" applyAlignment="1">
      <alignment horizontal="center" vertical="center"/>
    </xf>
    <xf numFmtId="164" fontId="15" fillId="2" borderId="0" xfId="0" applyNumberFormat="1" applyFont="1" applyFill="1" applyAlignment="1">
      <alignment horizontal="center" vertical="center"/>
    </xf>
    <xf numFmtId="0" fontId="10" fillId="2" borderId="0" xfId="0" applyFont="1" applyFill="1" applyAlignment="1">
      <alignment horizontal="right" vertical="center"/>
    </xf>
    <xf numFmtId="164" fontId="10" fillId="2" borderId="0" xfId="0" applyNumberFormat="1" applyFont="1" applyFill="1" applyAlignment="1">
      <alignment horizontal="right"/>
    </xf>
    <xf numFmtId="1" fontId="10" fillId="2" borderId="0" xfId="0" applyNumberFormat="1" applyFont="1" applyFill="1"/>
    <xf numFmtId="0" fontId="10" fillId="2" borderId="0" xfId="0" applyFont="1" applyFill="1"/>
    <xf numFmtId="2" fontId="10" fillId="2" borderId="0" xfId="0" applyNumberFormat="1" applyFont="1" applyFill="1"/>
    <xf numFmtId="0" fontId="43" fillId="2" borderId="0" xfId="0" applyFont="1" applyFill="1" applyAlignment="1">
      <alignment horizontal="right"/>
    </xf>
    <xf numFmtId="0" fontId="2" fillId="2" borderId="4" xfId="0" applyFont="1" applyFill="1" applyBorder="1" applyAlignment="1">
      <alignment horizontal="left" indent="1"/>
    </xf>
    <xf numFmtId="0" fontId="41" fillId="2" borderId="5" xfId="0" applyFont="1" applyFill="1" applyBorder="1" applyAlignment="1">
      <alignment horizontal="left" indent="1"/>
    </xf>
    <xf numFmtId="2" fontId="15" fillId="2" borderId="5" xfId="0" applyNumberFormat="1" applyFont="1" applyFill="1" applyBorder="1"/>
    <xf numFmtId="0" fontId="15" fillId="2" borderId="5" xfId="0" applyFont="1" applyFill="1" applyBorder="1"/>
    <xf numFmtId="164" fontId="15" fillId="2" borderId="5" xfId="0" applyNumberFormat="1" applyFont="1" applyFill="1" applyBorder="1"/>
    <xf numFmtId="164" fontId="15" fillId="2" borderId="5" xfId="0" applyNumberFormat="1" applyFont="1" applyFill="1" applyBorder="1" applyAlignment="1">
      <alignment horizontal="center" vertical="center"/>
    </xf>
    <xf numFmtId="0" fontId="23" fillId="4" borderId="13" xfId="0" applyFont="1" applyFill="1" applyBorder="1" applyAlignment="1">
      <alignment horizontal="center" vertical="center"/>
    </xf>
    <xf numFmtId="0" fontId="23" fillId="4" borderId="13" xfId="0" applyFont="1" applyFill="1" applyBorder="1" applyAlignment="1">
      <alignment horizontal="center" vertical="top"/>
    </xf>
    <xf numFmtId="2" fontId="23" fillId="4" borderId="13" xfId="0" applyNumberFormat="1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164" fontId="23" fillId="4" borderId="13" xfId="0" applyNumberFormat="1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 vertical="center" wrapText="1"/>
    </xf>
    <xf numFmtId="2" fontId="23" fillId="4" borderId="13" xfId="0" applyNumberFormat="1" applyFont="1" applyFill="1" applyBorder="1" applyAlignment="1">
      <alignment horizontal="center" vertical="center"/>
    </xf>
    <xf numFmtId="164" fontId="1" fillId="2" borderId="13" xfId="0" applyNumberFormat="1" applyFont="1" applyFill="1" applyBorder="1" applyAlignment="1">
      <alignment horizontal="center" vertical="center"/>
    </xf>
    <xf numFmtId="164" fontId="15" fillId="2" borderId="9" xfId="0" applyNumberFormat="1" applyFont="1" applyFill="1" applyBorder="1" applyAlignment="1">
      <alignment horizontal="center" vertical="center"/>
    </xf>
    <xf numFmtId="164" fontId="15" fillId="2" borderId="8" xfId="0" applyNumberFormat="1" applyFont="1" applyFill="1" applyBorder="1" applyAlignment="1">
      <alignment horizontal="center" vertical="center"/>
    </xf>
    <xf numFmtId="2" fontId="10" fillId="2" borderId="13" xfId="0" applyNumberFormat="1" applyFont="1" applyFill="1" applyBorder="1" applyAlignment="1">
      <alignment horizontal="center" vertical="center"/>
    </xf>
    <xf numFmtId="165" fontId="1" fillId="2" borderId="13" xfId="0" applyNumberFormat="1" applyFont="1" applyFill="1" applyBorder="1" applyAlignment="1">
      <alignment horizontal="center" vertical="center"/>
    </xf>
    <xf numFmtId="2" fontId="49" fillId="2" borderId="13" xfId="0" applyNumberFormat="1" applyFont="1" applyFill="1" applyBorder="1" applyAlignment="1">
      <alignment horizontal="center" vertical="center"/>
    </xf>
    <xf numFmtId="164" fontId="1" fillId="2" borderId="26" xfId="0" applyNumberFormat="1" applyFont="1" applyFill="1" applyBorder="1"/>
    <xf numFmtId="164" fontId="1" fillId="2" borderId="26" xfId="0" applyNumberFormat="1" applyFont="1" applyFill="1" applyBorder="1" applyAlignment="1">
      <alignment horizontal="center" vertical="center"/>
    </xf>
    <xf numFmtId="164" fontId="10" fillId="2" borderId="13" xfId="0" applyNumberFormat="1" applyFont="1" applyFill="1" applyBorder="1" applyAlignment="1">
      <alignment horizontal="center" vertical="center"/>
    </xf>
    <xf numFmtId="1" fontId="10" fillId="2" borderId="13" xfId="0" applyNumberFormat="1" applyFont="1" applyFill="1" applyBorder="1" applyAlignment="1">
      <alignment horizontal="center" vertical="center"/>
    </xf>
    <xf numFmtId="2" fontId="1" fillId="2" borderId="13" xfId="0" applyNumberFormat="1" applyFont="1" applyFill="1" applyBorder="1" applyAlignment="1">
      <alignment horizontal="center" vertical="center"/>
    </xf>
    <xf numFmtId="0" fontId="5" fillId="4" borderId="24" xfId="0" applyFont="1" applyFill="1" applyBorder="1" applyAlignment="1">
      <alignment vertical="center"/>
    </xf>
    <xf numFmtId="2" fontId="47" fillId="4" borderId="13" xfId="0" applyNumberFormat="1" applyFont="1" applyFill="1" applyBorder="1" applyAlignment="1">
      <alignment vertical="center" wrapText="1"/>
    </xf>
    <xf numFmtId="2" fontId="23" fillId="4" borderId="13" xfId="0" applyNumberFormat="1" applyFont="1" applyFill="1" applyBorder="1" applyAlignment="1">
      <alignment vertical="center" wrapText="1"/>
    </xf>
    <xf numFmtId="0" fontId="47" fillId="4" borderId="13" xfId="0" applyFont="1" applyFill="1" applyBorder="1" applyAlignment="1">
      <alignment vertical="center"/>
    </xf>
    <xf numFmtId="0" fontId="23" fillId="4" borderId="13" xfId="0" applyFont="1" applyFill="1" applyBorder="1" applyAlignment="1">
      <alignment vertical="center" wrapText="1"/>
    </xf>
    <xf numFmtId="0" fontId="46" fillId="4" borderId="24" xfId="0" applyFont="1" applyFill="1" applyBorder="1" applyAlignment="1">
      <alignment vertical="center"/>
    </xf>
    <xf numFmtId="0" fontId="46" fillId="4" borderId="24" xfId="0" applyFont="1" applyFill="1" applyBorder="1" applyAlignment="1">
      <alignment vertical="center" wrapText="1"/>
    </xf>
    <xf numFmtId="0" fontId="15" fillId="0" borderId="0" xfId="0" applyFont="1"/>
    <xf numFmtId="2" fontId="23" fillId="4" borderId="13" xfId="0" applyNumberFormat="1" applyFont="1" applyFill="1" applyBorder="1" applyAlignment="1">
      <alignment horizontal="center" vertical="center" wrapText="1"/>
    </xf>
    <xf numFmtId="2" fontId="23" fillId="4" borderId="13" xfId="0" applyNumberFormat="1" applyFont="1" applyFill="1" applyBorder="1" applyAlignment="1">
      <alignment vertical="center"/>
    </xf>
    <xf numFmtId="2" fontId="1" fillId="0" borderId="0" xfId="0" applyNumberFormat="1" applyFont="1"/>
    <xf numFmtId="1" fontId="1" fillId="2" borderId="26" xfId="0" applyNumberFormat="1" applyFont="1" applyFill="1" applyBorder="1"/>
    <xf numFmtId="1" fontId="1" fillId="2" borderId="26" xfId="0" applyNumberFormat="1" applyFont="1" applyFill="1" applyBorder="1" applyAlignment="1">
      <alignment horizontal="center" vertical="center"/>
    </xf>
    <xf numFmtId="0" fontId="19" fillId="5" borderId="12" xfId="0" applyFont="1" applyFill="1" applyBorder="1" applyAlignment="1">
      <alignment horizontal="center" vertical="center"/>
    </xf>
    <xf numFmtId="0" fontId="19" fillId="5" borderId="9" xfId="0" applyFont="1" applyFill="1" applyBorder="1" applyAlignment="1">
      <alignment horizontal="center" vertical="center"/>
    </xf>
    <xf numFmtId="0" fontId="46" fillId="4" borderId="13" xfId="0" applyFont="1" applyFill="1" applyBorder="1" applyAlignment="1">
      <alignment horizontal="center" vertical="center"/>
    </xf>
    <xf numFmtId="0" fontId="23" fillId="4" borderId="13" xfId="0" applyFont="1" applyFill="1" applyBorder="1" applyAlignment="1">
      <alignment horizontal="center" vertical="center"/>
    </xf>
    <xf numFmtId="0" fontId="47" fillId="4" borderId="13" xfId="0" applyFont="1" applyFill="1" applyBorder="1" applyAlignment="1">
      <alignment horizontal="center" vertical="center"/>
    </xf>
    <xf numFmtId="0" fontId="23" fillId="4" borderId="13" xfId="0" applyFont="1" applyFill="1" applyBorder="1" applyAlignment="1">
      <alignment horizontal="center" vertical="center" wrapText="1"/>
    </xf>
    <xf numFmtId="0" fontId="23" fillId="4" borderId="18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19" xfId="0" applyFont="1" applyFill="1" applyBorder="1" applyAlignment="1">
      <alignment horizontal="center" vertical="center" wrapText="1"/>
    </xf>
    <xf numFmtId="0" fontId="8" fillId="2" borderId="13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23" fillId="4" borderId="13" xfId="0" applyFont="1" applyFill="1" applyBorder="1" applyAlignment="1">
      <alignment horizontal="center" vertical="top" wrapText="1"/>
    </xf>
    <xf numFmtId="0" fontId="46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1" xfId="0" applyFont="1" applyFill="1" applyBorder="1" applyAlignment="1">
      <alignment horizontal="center" vertical="center" wrapText="1"/>
    </xf>
    <xf numFmtId="0" fontId="23" fillId="4" borderId="2" xfId="0" applyFont="1" applyFill="1" applyBorder="1" applyAlignment="1">
      <alignment horizontal="center" vertical="center" wrapText="1"/>
    </xf>
    <xf numFmtId="0" fontId="23" fillId="4" borderId="3" xfId="0" applyFont="1" applyFill="1" applyBorder="1" applyAlignment="1">
      <alignment horizontal="center" vertical="center" wrapText="1"/>
    </xf>
    <xf numFmtId="0" fontId="23" fillId="4" borderId="4" xfId="0" applyFont="1" applyFill="1" applyBorder="1" applyAlignment="1">
      <alignment horizontal="center" vertical="center" wrapText="1"/>
    </xf>
    <xf numFmtId="0" fontId="23" fillId="4" borderId="5" xfId="0" applyFont="1" applyFill="1" applyBorder="1" applyAlignment="1">
      <alignment horizontal="center" vertical="center" wrapText="1"/>
    </xf>
    <xf numFmtId="0" fontId="23" fillId="4" borderId="6" xfId="0" applyFont="1" applyFill="1" applyBorder="1" applyAlignment="1">
      <alignment horizontal="center" vertical="center" wrapText="1"/>
    </xf>
    <xf numFmtId="0" fontId="16" fillId="3" borderId="1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3" borderId="14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8" fillId="4" borderId="2" xfId="0" applyFont="1" applyFill="1" applyBorder="1" applyAlignment="1">
      <alignment horizontal="center" vertical="center"/>
    </xf>
    <xf numFmtId="0" fontId="18" fillId="4" borderId="3" xfId="0" applyFont="1" applyFill="1" applyBorder="1" applyAlignment="1">
      <alignment horizontal="center" vertical="center"/>
    </xf>
    <xf numFmtId="0" fontId="18" fillId="4" borderId="8" xfId="0" applyFont="1" applyFill="1" applyBorder="1" applyAlignment="1">
      <alignment horizontal="center" vertical="center"/>
    </xf>
    <xf numFmtId="0" fontId="18" fillId="4" borderId="15" xfId="0" applyFont="1" applyFill="1" applyBorder="1" applyAlignment="1">
      <alignment horizontal="center" vertical="center"/>
    </xf>
    <xf numFmtId="0" fontId="23" fillId="4" borderId="20" xfId="0" applyFont="1" applyFill="1" applyBorder="1" applyAlignment="1">
      <alignment horizontal="left" vertical="center"/>
    </xf>
    <xf numFmtId="0" fontId="23" fillId="4" borderId="21" xfId="0" applyFont="1" applyFill="1" applyBorder="1" applyAlignment="1">
      <alignment horizontal="left" vertical="center"/>
    </xf>
    <xf numFmtId="0" fontId="1" fillId="2" borderId="18" xfId="0" applyFont="1" applyFill="1" applyBorder="1" applyAlignment="1">
      <alignment horizontal="center" vertical="center"/>
    </xf>
    <xf numFmtId="0" fontId="1" fillId="2" borderId="23" xfId="0" applyFont="1" applyFill="1" applyBorder="1" applyAlignment="1">
      <alignment horizontal="center" vertical="center"/>
    </xf>
    <xf numFmtId="0" fontId="1" fillId="2" borderId="19" xfId="0" applyFont="1" applyFill="1" applyBorder="1" applyAlignment="1">
      <alignment horizontal="center" vertical="center"/>
    </xf>
    <xf numFmtId="0" fontId="15" fillId="2" borderId="19" xfId="0" applyFont="1" applyFill="1" applyBorder="1" applyAlignment="1">
      <alignment horizontal="center" vertical="center"/>
    </xf>
    <xf numFmtId="0" fontId="15" fillId="2" borderId="13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2" fillId="2" borderId="0" xfId="0" applyFont="1" applyFill="1" applyAlignment="1">
      <alignment horizontal="center" vertical="center"/>
    </xf>
    <xf numFmtId="0" fontId="10" fillId="2" borderId="13" xfId="0" applyFont="1" applyFill="1" applyBorder="1" applyAlignment="1">
      <alignment horizontal="center" vertical="top"/>
    </xf>
    <xf numFmtId="0" fontId="15" fillId="2" borderId="13" xfId="0" applyFont="1" applyFill="1" applyBorder="1" applyAlignment="1">
      <alignment horizontal="left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10" fillId="2" borderId="13" xfId="0" applyFont="1" applyFill="1" applyBorder="1" applyAlignment="1">
      <alignment horizontal="center" vertical="top" wrapText="1"/>
    </xf>
    <xf numFmtId="0" fontId="50" fillId="4" borderId="17" xfId="0" applyFont="1" applyFill="1" applyBorder="1" applyAlignment="1">
      <alignment horizontal="center"/>
    </xf>
    <xf numFmtId="0" fontId="50" fillId="4" borderId="0" xfId="0" applyFont="1" applyFill="1" applyAlignment="1">
      <alignment horizontal="center"/>
    </xf>
    <xf numFmtId="0" fontId="23" fillId="4" borderId="17" xfId="0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10" fillId="2" borderId="0" xfId="0" applyFont="1" applyFill="1" applyAlignment="1">
      <alignment horizontal="right"/>
    </xf>
    <xf numFmtId="0" fontId="10" fillId="2" borderId="0" xfId="0" applyFont="1" applyFill="1" applyAlignment="1">
      <alignment horizontal="center" vertical="center"/>
    </xf>
    <xf numFmtId="1" fontId="10" fillId="2" borderId="0" xfId="0" applyNumberFormat="1" applyFont="1" applyFill="1" applyAlignment="1">
      <alignment horizontal="center" vertical="center"/>
    </xf>
    <xf numFmtId="0" fontId="23" fillId="4" borderId="13" xfId="0" applyFont="1" applyFill="1" applyBorder="1" applyAlignment="1">
      <alignment horizontal="center" vertical="top"/>
    </xf>
    <xf numFmtId="0" fontId="23" fillId="4" borderId="2" xfId="0" applyFont="1" applyFill="1" applyBorder="1" applyAlignment="1">
      <alignment horizontal="center" vertical="center"/>
    </xf>
    <xf numFmtId="0" fontId="23" fillId="4" borderId="3" xfId="0" applyFont="1" applyFill="1" applyBorder="1" applyAlignment="1">
      <alignment horizontal="center" vertical="center"/>
    </xf>
    <xf numFmtId="0" fontId="23" fillId="4" borderId="5" xfId="0" applyFont="1" applyFill="1" applyBorder="1" applyAlignment="1">
      <alignment horizontal="center" vertical="center"/>
    </xf>
    <xf numFmtId="0" fontId="23" fillId="4" borderId="6" xfId="0" applyFont="1" applyFill="1" applyBorder="1" applyAlignment="1">
      <alignment horizontal="center" vertical="center"/>
    </xf>
    <xf numFmtId="2" fontId="23" fillId="4" borderId="13" xfId="0" applyNumberFormat="1" applyFont="1" applyFill="1" applyBorder="1" applyAlignment="1">
      <alignment horizontal="center" vertical="center" wrapText="1"/>
    </xf>
    <xf numFmtId="0" fontId="40" fillId="4" borderId="17" xfId="0" applyFont="1" applyFill="1" applyBorder="1" applyAlignment="1">
      <alignment horizontal="center"/>
    </xf>
    <xf numFmtId="0" fontId="40" fillId="4" borderId="0" xfId="0" applyFont="1" applyFill="1" applyAlignment="1">
      <alignment horizontal="center"/>
    </xf>
    <xf numFmtId="0" fontId="41" fillId="4" borderId="17" xfId="0" applyFont="1" applyFill="1" applyBorder="1" applyAlignment="1">
      <alignment horizontal="center"/>
    </xf>
    <xf numFmtId="0" fontId="41" fillId="4" borderId="0" xfId="0" applyFont="1" applyFill="1" applyAlignment="1">
      <alignment horizontal="center"/>
    </xf>
    <xf numFmtId="0" fontId="51" fillId="5" borderId="10" xfId="0" applyFont="1" applyFill="1" applyBorder="1" applyAlignment="1">
      <alignment horizontal="center"/>
    </xf>
    <xf numFmtId="0" fontId="19" fillId="5" borderId="0" xfId="0" applyFont="1" applyFill="1" applyAlignment="1">
      <alignment horizontal="center"/>
    </xf>
    <xf numFmtId="0" fontId="19" fillId="5" borderId="27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</cellXfs>
  <cellStyles count="3">
    <cellStyle name="Calculation" xfId="2" builtinId="22"/>
    <cellStyle name="Normal" xfId="0" builtinId="0"/>
    <cellStyle name="Normal 6" xfId="1" xr:uid="{00000000-0005-0000-0000-000002000000}"/>
  </cellStyles>
  <dxfs count="2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0000CC"/>
      <color rgb="FF006100"/>
      <color rgb="FF0066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33</xdr:row>
      <xdr:rowOff>138804</xdr:rowOff>
    </xdr:from>
    <xdr:to>
      <xdr:col>5</xdr:col>
      <xdr:colOff>143703</xdr:colOff>
      <xdr:row>38</xdr:row>
      <xdr:rowOff>98706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10FE519-29A9-470A-85EF-2508FFC613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7828" cy="820962"/>
        </a:xfrm>
        <a:prstGeom prst="rect">
          <a:avLst/>
        </a:prstGeom>
      </xdr:spPr>
    </xdr:pic>
    <xdr:clientData/>
  </xdr:twoCellAnchor>
  <xdr:oneCellAnchor>
    <xdr:from>
      <xdr:col>0</xdr:col>
      <xdr:colOff>0</xdr:colOff>
      <xdr:row>33</xdr:row>
      <xdr:rowOff>138804</xdr:rowOff>
    </xdr:from>
    <xdr:ext cx="2666739" cy="830760"/>
    <xdr:pic>
      <xdr:nvPicPr>
        <xdr:cNvPr id="3" name="Picture 2">
          <a:extLst>
            <a:ext uri="{FF2B5EF4-FFF2-40B4-BE49-F238E27FC236}">
              <a16:creationId xmlns:a16="http://schemas.microsoft.com/office/drawing/2014/main" id="{802BBCD6-70B8-4F43-B5C2-4CB9FA0BA3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059544"/>
          <a:ext cx="2666739" cy="83076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0</xdr:rowOff>
        </xdr:from>
        <xdr:to>
          <xdr:col>3</xdr:col>
          <xdr:colOff>251460</xdr:colOff>
          <xdr:row>9</xdr:row>
          <xdr:rowOff>289560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Hide bảng chi tiết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</xdr:colOff>
          <xdr:row>0</xdr:row>
          <xdr:rowOff>0</xdr:rowOff>
        </xdr:from>
        <xdr:to>
          <xdr:col>6</xdr:col>
          <xdr:colOff>388620</xdr:colOff>
          <xdr:row>9</xdr:row>
          <xdr:rowOff>289560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FF"/>
                  </a:solidFill>
                  <a:latin typeface="Calibri"/>
                  <a:ea typeface="Calibri"/>
                  <a:cs typeface="Calibri"/>
                </a:rPr>
                <a:t>Unhide bảng chi tiết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68416</xdr:colOff>
      <xdr:row>36</xdr:row>
      <xdr:rowOff>51563</xdr:rowOff>
    </xdr:from>
    <xdr:ext cx="3744615" cy="36894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E3672E8B-45CE-47E0-AD27-3A861C8EC6FA}"/>
                </a:ext>
              </a:extLst>
            </xdr:cNvPr>
            <xdr:cNvSpPr txBox="1"/>
          </xdr:nvSpPr>
          <xdr:spPr>
            <a:xfrm>
              <a:off x="654570" y="6001025"/>
              <a:ext cx="3744615" cy="3689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US" sz="1100" b="0" i="1">
                            <a:latin typeface="Cambria Math" panose="02040503050406030204" pitchFamily="18" charset="0"/>
                          </a:rPr>
                          <m:t>𝑁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𝐴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𝑛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±</m:t>
                    </m:r>
                    <m:f>
                      <m:fPr>
                        <m:ctrlPr>
                          <a:rPr lang="en-US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𝑛𝑥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𝑦</m:t>
                    </m:r>
                    <m:r>
                      <a:rPr lang="en-US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±</m:t>
                    </m:r>
                    <m:f>
                      <m:f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𝑛𝑦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𝑥</m:t>
                    </m:r>
                    <m:r>
                      <a:rPr lang="en-US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±</m:t>
                    </m:r>
                    <m:f>
                      <m:fPr>
                        <m:ctrlPr>
                          <a:rPr lang="en-US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num>
                      <m:den>
                        <m:sSub>
                          <m:sSubPr>
                            <m:ctrlP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𝐼</m:t>
                            </m:r>
                          </m:e>
                          <m:sub>
                            <m:r>
                              <a:rPr lang="en-US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𝜔</m:t>
                            </m:r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𝜔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≤1 (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𝐶𝑇</m:t>
                    </m:r>
                    <m:r>
                      <a:rPr lang="en-US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.105)</m:t>
                    </m:r>
                  </m:oMath>
                </m:oMathPara>
              </a14:m>
              <a:endParaRPr lang="en-US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E3672E8B-45CE-47E0-AD27-3A861C8EC6FA}"/>
                </a:ext>
              </a:extLst>
            </xdr:cNvPr>
            <xdr:cNvSpPr txBox="1"/>
          </xdr:nvSpPr>
          <xdr:spPr>
            <a:xfrm>
              <a:off x="654570" y="6001025"/>
              <a:ext cx="3744615" cy="36894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100" b="0" i="0">
                  <a:latin typeface="Cambria Math" panose="02040503050406030204" pitchFamily="18" charset="0"/>
                </a:rPr>
                <a:t>𝑁/(𝐴_𝑛 𝑓_𝑦𝑑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𝛾_𝑐 )</a:t>
              </a:r>
              <a:r>
                <a:rPr lang="en-US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±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𝑀_𝑥/(𝐼_𝑛𝑥 𝑓_𝑦𝑑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𝛾_𝑐 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 </a:t>
              </a:r>
              <a:r>
                <a:rPr lang="en-US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𝑦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±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𝑀_𝑦/(𝐼_𝑛𝑦 𝑓_𝑦𝑑 𝛾_𝑐 ) 𝑥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±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𝐵/(𝐼_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𝜔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𝑓_𝑦𝑑 𝛾_𝑐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n-US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𝜔</a:t>
              </a:r>
              <a:r>
                <a:rPr lang="en-US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≤1 (𝐶𝑇.105)</a:t>
              </a:r>
              <a:endParaRPr lang="en-US" sz="1100"/>
            </a:p>
          </xdr:txBody>
        </xdr:sp>
      </mc:Fallback>
    </mc:AlternateContent>
    <xdr:clientData/>
  </xdr:oneCellAnchor>
  <xdr:oneCellAnchor>
    <xdr:from>
      <xdr:col>1</xdr:col>
      <xdr:colOff>476616</xdr:colOff>
      <xdr:row>32</xdr:row>
      <xdr:rowOff>48633</xdr:rowOff>
    </xdr:from>
    <xdr:ext cx="4587859" cy="38510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D0557AFA-AE42-4B98-A9B3-E2E6B31474F6}"/>
                </a:ext>
              </a:extLst>
            </xdr:cNvPr>
            <xdr:cNvSpPr txBox="1"/>
          </xdr:nvSpPr>
          <xdr:spPr>
            <a:xfrm>
              <a:off x="579193" y="5331345"/>
              <a:ext cx="4587859" cy="3851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n-US" sz="105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sz="105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sz="105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r>
                                  <a:rPr lang="en-US" sz="105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𝑁</m:t>
                                </m:r>
                              </m:num>
                              <m:den>
                                <m:sSub>
                                  <m:sSubPr>
                                    <m:ctrlPr>
                                      <a:rPr lang="en-US" sz="105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05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𝐴</m:t>
                                    </m:r>
                                  </m:e>
                                  <m:sub>
                                    <m:r>
                                      <a:rPr lang="en-US" sz="105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𝑛</m:t>
                                    </m:r>
                                  </m:sub>
                                </m:sSub>
                                <m:sSub>
                                  <m:sSubPr>
                                    <m:ctrlPr>
                                      <a:rPr lang="en-US" sz="105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05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𝑓</m:t>
                                    </m:r>
                                  </m:e>
                                  <m:sub>
                                    <m:r>
                                      <a:rPr lang="en-US" sz="105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𝑦𝑑</m:t>
                                    </m:r>
                                  </m:sub>
                                </m:sSub>
                                <m:sSub>
                                  <m:sSubPr>
                                    <m:ctrlPr>
                                      <a:rPr lang="en-US" sz="105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sz="105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𝛾</m:t>
                                    </m:r>
                                  </m:e>
                                  <m:sub>
                                    <m:r>
                                      <a:rPr lang="en-US" sz="105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𝑐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sz="105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𝑛</m:t>
                        </m:r>
                      </m:sup>
                    </m:sSup>
                    <m:r>
                      <a:rPr lang="en-US" sz="1050" b="0" i="1">
                        <a:latin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n-US" sz="105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5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e>
                          <m:sub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sub>
                        </m:sSub>
                        <m:sSub>
                          <m:sSubPr>
                            <m:ctrlP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𝑊</m:t>
                            </m:r>
                          </m:e>
                          <m:sub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𝑛𝑥</m:t>
                            </m:r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,</m:t>
                            </m:r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𝑚𝑖𝑛</m:t>
                            </m:r>
                          </m:sub>
                        </m:sSub>
                        <m:sSub>
                          <m:sSubPr>
                            <m:ctrlP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05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05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f>
                      <m:fPr>
                        <m:ctrlPr>
                          <a:rPr lang="en-US" sz="105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sz="105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𝑀</m:t>
                            </m:r>
                          </m:e>
                          <m:sub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e>
                          <m:sub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sub>
                        </m:sSub>
                        <m:sSub>
                          <m:sSubPr>
                            <m:ctrlP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𝑊</m:t>
                            </m:r>
                          </m:e>
                          <m:sub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𝑦𝑛</m:t>
                            </m:r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𝑚𝑖𝑛</m:t>
                            </m:r>
                          </m:sub>
                        </m:sSub>
                        <m:sSub>
                          <m:sSubPr>
                            <m:ctrlP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</m:t>
                            </m:r>
                          </m:e>
                          <m:sub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05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f>
                      <m:fPr>
                        <m:ctrlPr>
                          <a:rPr lang="en-US" sz="105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sz="105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𝐵</m:t>
                        </m:r>
                      </m:num>
                      <m:den>
                        <m:sSub>
                          <m:sSubPr>
                            <m:ctrlP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𝑊</m:t>
                            </m:r>
                          </m:e>
                          <m:sub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𝜔</m:t>
                            </m:r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,</m:t>
                            </m:r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𝑚𝑖𝑛</m:t>
                            </m:r>
                          </m:sub>
                        </m:sSub>
                        <m:sSub>
                          <m:sSubPr>
                            <m:ctrlP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𝑓</m:t>
                            </m:r>
                          </m:e>
                          <m:sub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𝑦𝑑</m:t>
                            </m:r>
                          </m:sub>
                        </m:sSub>
                        <m:sSub>
                          <m:sSubPr>
                            <m:ctrlP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  <a:cs typeface="+mn-cs"/>
                              </a:rPr>
                              <m:t>𝛾</m:t>
                            </m:r>
                          </m:e>
                          <m:sub>
                            <m:r>
                              <a:rPr lang="en-US" sz="105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𝑐</m:t>
                            </m:r>
                          </m:sub>
                        </m:sSub>
                      </m:den>
                    </m:f>
                    <m:r>
                      <a:rPr lang="en-US" sz="105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≤1 (</m:t>
                    </m:r>
                    <m:r>
                      <a:rPr lang="en-US" sz="105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𝐶𝑇</m:t>
                    </m:r>
                    <m:r>
                      <a:rPr lang="en-US" sz="105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.104)</m:t>
                    </m:r>
                  </m:oMath>
                </m:oMathPara>
              </a14:m>
              <a:endParaRPr lang="en-US" sz="1050"/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D0557AFA-AE42-4B98-A9B3-E2E6B31474F6}"/>
                </a:ext>
              </a:extLst>
            </xdr:cNvPr>
            <xdr:cNvSpPr txBox="1"/>
          </xdr:nvSpPr>
          <xdr:spPr>
            <a:xfrm>
              <a:off x="579193" y="5331345"/>
              <a:ext cx="4587859" cy="38510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n-US" sz="105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𝑁/(𝐴_𝑛 𝑓_𝑦𝑑 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𝛾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_𝑐 ))^𝑛</a:t>
              </a:r>
              <a:r>
                <a:rPr lang="en-US" sz="1050" b="0" i="0">
                  <a:latin typeface="Cambria Math" panose="02040503050406030204" pitchFamily="18" charset="0"/>
                </a:rPr>
                <a:t>+</a:t>
              </a:r>
              <a:r>
                <a:rPr lang="en-US" sz="105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𝑀_𝑥/(𝑐_𝑥 𝑊_(𝑛𝑥,𝑚𝑖𝑛) 𝑓_𝑦𝑑 𝛾_𝑐 )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+𝑀_𝑦/(𝑐_𝑦 𝑊_(𝑦𝑛,𝑚𝑖𝑛) 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𝛾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_𝑦𝑑 𝑦_𝑐 )+𝐵/(𝑊_(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𝜔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𝑛,𝑚𝑖𝑛) 𝑓_𝑦𝑑 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𝛾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_𝑐 )</a:t>
              </a:r>
              <a:r>
                <a:rPr lang="en-US" sz="105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≤1 (𝐶𝑇.104)</a:t>
              </a:r>
              <a:endParaRPr lang="en-US" sz="1050"/>
            </a:p>
          </xdr:txBody>
        </xdr:sp>
      </mc:Fallback>
    </mc:AlternateContent>
    <xdr:clientData/>
  </xdr:oneCellAnchor>
  <xdr:twoCellAnchor editAs="oneCell">
    <xdr:from>
      <xdr:col>7</xdr:col>
      <xdr:colOff>139211</xdr:colOff>
      <xdr:row>12</xdr:row>
      <xdr:rowOff>85039</xdr:rowOff>
    </xdr:from>
    <xdr:to>
      <xdr:col>9</xdr:col>
      <xdr:colOff>172329</xdr:colOff>
      <xdr:row>18</xdr:row>
      <xdr:rowOff>135914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439ED2E-14B3-DD37-4048-C507F5B23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23846" y="876347"/>
          <a:ext cx="1113692" cy="115020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image" Target="../media/image3.p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M85"/>
  <sheetViews>
    <sheetView showGridLines="0" zoomScale="130" zoomScaleNormal="130" zoomScaleSheetLayoutView="100" workbookViewId="0">
      <selection activeCell="L11" sqref="L11"/>
    </sheetView>
  </sheetViews>
  <sheetFormatPr defaultColWidth="7.33203125" defaultRowHeight="13.8"/>
  <cols>
    <col min="1" max="1" width="9.88671875" style="1" customWidth="1"/>
    <col min="2" max="5" width="7.33203125" style="1"/>
    <col min="6" max="9" width="7.33203125" style="1" hidden="1" customWidth="1"/>
    <col min="10" max="10" width="3.33203125" style="29" customWidth="1"/>
    <col min="11" max="12" width="7.33203125" style="1"/>
    <col min="13" max="13" width="8.109375" style="1" bestFit="1" customWidth="1"/>
    <col min="14" max="16384" width="7.33203125" style="1"/>
  </cols>
  <sheetData>
    <row r="1" spans="1:9" ht="15">
      <c r="A1" s="132" t="s">
        <v>2</v>
      </c>
      <c r="B1" s="18" t="s">
        <v>18</v>
      </c>
      <c r="C1" s="18" t="s">
        <v>42</v>
      </c>
      <c r="D1" s="18" t="s">
        <v>43</v>
      </c>
      <c r="E1" s="194" t="s">
        <v>221</v>
      </c>
      <c r="F1" s="195"/>
      <c r="G1" s="195"/>
      <c r="H1" s="195"/>
      <c r="I1" s="195"/>
    </row>
    <row r="2" spans="1:9">
      <c r="A2" s="133"/>
      <c r="B2" s="18" t="s">
        <v>19</v>
      </c>
      <c r="C2" s="18" t="s">
        <v>19</v>
      </c>
      <c r="D2" s="18" t="s">
        <v>19</v>
      </c>
      <c r="E2" s="196"/>
      <c r="F2" s="195"/>
      <c r="G2" s="195"/>
      <c r="H2" s="195"/>
      <c r="I2" s="195"/>
    </row>
    <row r="3" spans="1:9" ht="12.75" customHeight="1">
      <c r="A3" s="23" t="s">
        <v>47</v>
      </c>
      <c r="B3" s="5">
        <f>2.06*10^5</f>
        <v>206000</v>
      </c>
      <c r="C3" s="5">
        <v>235</v>
      </c>
      <c r="D3" s="197">
        <v>370</v>
      </c>
      <c r="E3" s="14">
        <v>1.1000000000000001</v>
      </c>
      <c r="F3" s="54"/>
      <c r="G3" s="54"/>
      <c r="H3" s="54"/>
      <c r="I3" s="54"/>
    </row>
    <row r="4" spans="1:9">
      <c r="A4" s="23" t="s">
        <v>48</v>
      </c>
      <c r="B4" s="5">
        <f t="shared" ref="B4:B33" si="0">2.06*10^5</f>
        <v>206000</v>
      </c>
      <c r="C4" s="5">
        <v>345</v>
      </c>
      <c r="D4" s="197">
        <v>510</v>
      </c>
      <c r="E4" s="14">
        <v>1.1000000000000001</v>
      </c>
      <c r="F4" s="54"/>
      <c r="G4" s="54"/>
      <c r="H4" s="54"/>
      <c r="I4" s="54"/>
    </row>
    <row r="5" spans="1:9">
      <c r="A5" s="23" t="s">
        <v>222</v>
      </c>
      <c r="B5" s="5">
        <f t="shared" si="0"/>
        <v>206000</v>
      </c>
      <c r="C5" s="5">
        <v>355</v>
      </c>
      <c r="D5" s="197">
        <v>510</v>
      </c>
      <c r="E5" s="14">
        <v>1.1000000000000001</v>
      </c>
      <c r="F5" s="54"/>
      <c r="G5" s="54"/>
      <c r="H5" s="54"/>
      <c r="I5" s="54"/>
    </row>
    <row r="6" spans="1:9">
      <c r="A6" s="23" t="s">
        <v>50</v>
      </c>
      <c r="B6" s="5">
        <f t="shared" si="0"/>
        <v>206000</v>
      </c>
      <c r="C6" s="5">
        <v>250</v>
      </c>
      <c r="D6" s="197">
        <v>400</v>
      </c>
      <c r="E6" s="14">
        <v>1.1000000000000001</v>
      </c>
      <c r="F6" s="54"/>
      <c r="G6" s="54"/>
      <c r="H6" s="54"/>
      <c r="I6" s="54"/>
    </row>
    <row r="7" spans="1:9">
      <c r="A7" s="23" t="s">
        <v>49</v>
      </c>
      <c r="B7" s="5">
        <f t="shared" si="0"/>
        <v>206000</v>
      </c>
      <c r="C7" s="5">
        <v>345</v>
      </c>
      <c r="D7" s="197">
        <v>450</v>
      </c>
      <c r="E7" s="14">
        <v>1.1000000000000001</v>
      </c>
      <c r="F7" s="54"/>
      <c r="G7" s="54"/>
      <c r="H7" s="54"/>
      <c r="I7" s="54"/>
    </row>
    <row r="8" spans="1:9">
      <c r="A8" s="23" t="s">
        <v>4</v>
      </c>
      <c r="B8" s="5">
        <f t="shared" si="0"/>
        <v>206000</v>
      </c>
      <c r="C8" s="5">
        <v>235</v>
      </c>
      <c r="D8" s="197">
        <v>360</v>
      </c>
      <c r="E8" s="14">
        <v>1.05</v>
      </c>
      <c r="F8" s="54"/>
      <c r="G8" s="54"/>
      <c r="H8" s="54"/>
      <c r="I8" s="54"/>
    </row>
    <row r="9" spans="1:9">
      <c r="A9" s="23" t="s">
        <v>3</v>
      </c>
      <c r="B9" s="5">
        <f t="shared" si="0"/>
        <v>206000</v>
      </c>
      <c r="C9" s="5">
        <v>225</v>
      </c>
      <c r="D9" s="197">
        <v>360</v>
      </c>
      <c r="E9" s="14">
        <v>1.05</v>
      </c>
      <c r="F9" s="54"/>
      <c r="G9" s="54"/>
      <c r="H9" s="54"/>
      <c r="I9" s="54"/>
    </row>
    <row r="10" spans="1:9">
      <c r="A10" s="23" t="s">
        <v>5</v>
      </c>
      <c r="B10" s="5">
        <f t="shared" si="0"/>
        <v>206000</v>
      </c>
      <c r="C10" s="5">
        <v>215</v>
      </c>
      <c r="D10" s="197">
        <v>360</v>
      </c>
      <c r="E10" s="14">
        <v>1.05</v>
      </c>
      <c r="F10" s="54"/>
      <c r="G10" s="54"/>
      <c r="H10" s="54"/>
      <c r="I10" s="54"/>
    </row>
    <row r="11" spans="1:9">
      <c r="A11" s="23" t="s">
        <v>6</v>
      </c>
      <c r="B11" s="5">
        <f t="shared" si="0"/>
        <v>206000</v>
      </c>
      <c r="C11" s="5">
        <v>215</v>
      </c>
      <c r="D11" s="197">
        <v>360</v>
      </c>
      <c r="E11" s="14">
        <v>1.05</v>
      </c>
      <c r="F11" s="54"/>
      <c r="G11" s="54"/>
      <c r="H11" s="54"/>
      <c r="I11" s="54"/>
    </row>
    <row r="12" spans="1:9">
      <c r="A12" s="23" t="s">
        <v>7</v>
      </c>
      <c r="B12" s="5">
        <f t="shared" si="0"/>
        <v>206000</v>
      </c>
      <c r="C12" s="5">
        <v>215</v>
      </c>
      <c r="D12" s="197">
        <v>360</v>
      </c>
      <c r="E12" s="14">
        <v>1.05</v>
      </c>
      <c r="F12" s="54"/>
      <c r="G12" s="54"/>
      <c r="H12" s="54"/>
      <c r="I12" s="54"/>
    </row>
    <row r="13" spans="1:9">
      <c r="A13" s="23" t="s">
        <v>8</v>
      </c>
      <c r="B13" s="5">
        <f t="shared" si="0"/>
        <v>206000</v>
      </c>
      <c r="C13" s="5">
        <v>275</v>
      </c>
      <c r="D13" s="197">
        <v>410</v>
      </c>
      <c r="E13" s="14">
        <v>1.05</v>
      </c>
      <c r="F13" s="54"/>
      <c r="G13" s="54"/>
      <c r="H13" s="54"/>
      <c r="I13" s="54"/>
    </row>
    <row r="14" spans="1:9">
      <c r="A14" s="23" t="s">
        <v>9</v>
      </c>
      <c r="B14" s="5">
        <f t="shared" si="0"/>
        <v>206000</v>
      </c>
      <c r="C14" s="5">
        <v>265</v>
      </c>
      <c r="D14" s="197">
        <v>410</v>
      </c>
      <c r="E14" s="14">
        <v>1.05</v>
      </c>
      <c r="F14" s="54"/>
      <c r="G14" s="54"/>
      <c r="H14" s="54"/>
      <c r="I14" s="54"/>
    </row>
    <row r="15" spans="1:9">
      <c r="A15" s="23" t="s">
        <v>10</v>
      </c>
      <c r="B15" s="5">
        <f t="shared" si="0"/>
        <v>206000</v>
      </c>
      <c r="C15" s="5">
        <v>255</v>
      </c>
      <c r="D15" s="197">
        <v>410</v>
      </c>
      <c r="E15" s="14">
        <v>1.05</v>
      </c>
      <c r="F15" s="54"/>
      <c r="G15" s="54"/>
      <c r="H15" s="54"/>
      <c r="I15" s="54"/>
    </row>
    <row r="16" spans="1:9">
      <c r="A16" s="23" t="s">
        <v>11</v>
      </c>
      <c r="B16" s="5">
        <f t="shared" si="0"/>
        <v>206000</v>
      </c>
      <c r="C16" s="5">
        <v>245</v>
      </c>
      <c r="D16" s="197">
        <v>410</v>
      </c>
      <c r="E16" s="14">
        <v>1.05</v>
      </c>
      <c r="F16" s="54"/>
      <c r="G16" s="54"/>
      <c r="H16" s="54"/>
      <c r="I16" s="54"/>
    </row>
    <row r="17" spans="1:9">
      <c r="A17" s="23" t="s">
        <v>12</v>
      </c>
      <c r="B17" s="5">
        <f t="shared" si="0"/>
        <v>206000</v>
      </c>
      <c r="C17" s="5">
        <v>235</v>
      </c>
      <c r="D17" s="197">
        <v>410</v>
      </c>
      <c r="E17" s="14">
        <v>1.05</v>
      </c>
      <c r="F17" s="54"/>
      <c r="G17" s="54"/>
      <c r="H17" s="54"/>
      <c r="I17" s="54"/>
    </row>
    <row r="18" spans="1:9">
      <c r="A18" s="23" t="s">
        <v>13</v>
      </c>
      <c r="B18" s="5">
        <f t="shared" si="0"/>
        <v>206000</v>
      </c>
      <c r="C18" s="5">
        <v>355</v>
      </c>
      <c r="D18" s="197">
        <v>470</v>
      </c>
      <c r="E18" s="14">
        <v>1.05</v>
      </c>
      <c r="F18" s="54"/>
      <c r="G18" s="54"/>
      <c r="H18" s="54"/>
      <c r="I18" s="54"/>
    </row>
    <row r="19" spans="1:9">
      <c r="A19" s="23" t="s">
        <v>14</v>
      </c>
      <c r="B19" s="5">
        <f t="shared" si="0"/>
        <v>206000</v>
      </c>
      <c r="C19" s="5">
        <v>345</v>
      </c>
      <c r="D19" s="197">
        <v>470</v>
      </c>
      <c r="E19" s="14">
        <v>1.05</v>
      </c>
      <c r="F19" s="54"/>
      <c r="G19" s="54"/>
      <c r="H19" s="54"/>
      <c r="I19" s="54"/>
    </row>
    <row r="20" spans="1:9">
      <c r="A20" s="23" t="s">
        <v>15</v>
      </c>
      <c r="B20" s="5">
        <f t="shared" si="0"/>
        <v>206000</v>
      </c>
      <c r="C20" s="5">
        <v>335</v>
      </c>
      <c r="D20" s="197">
        <v>470</v>
      </c>
      <c r="E20" s="14">
        <v>1.05</v>
      </c>
      <c r="F20" s="54"/>
      <c r="G20" s="54"/>
      <c r="H20" s="54"/>
      <c r="I20" s="54"/>
    </row>
    <row r="21" spans="1:9">
      <c r="A21" s="23" t="s">
        <v>16</v>
      </c>
      <c r="B21" s="5">
        <f t="shared" si="0"/>
        <v>206000</v>
      </c>
      <c r="C21" s="5">
        <v>325</v>
      </c>
      <c r="D21" s="197">
        <v>470</v>
      </c>
      <c r="E21" s="14">
        <v>1.05</v>
      </c>
      <c r="F21" s="54"/>
      <c r="G21" s="54"/>
      <c r="H21" s="54"/>
      <c r="I21" s="54"/>
    </row>
    <row r="22" spans="1:9">
      <c r="A22" s="23" t="s">
        <v>17</v>
      </c>
      <c r="B22" s="5">
        <f t="shared" si="0"/>
        <v>206000</v>
      </c>
      <c r="C22" s="5">
        <v>315</v>
      </c>
      <c r="D22" s="197">
        <v>470</v>
      </c>
      <c r="E22" s="14">
        <v>1.05</v>
      </c>
      <c r="F22" s="54"/>
      <c r="G22" s="54"/>
      <c r="H22" s="54"/>
      <c r="I22" s="54"/>
    </row>
    <row r="23" spans="1:9">
      <c r="A23" s="23" t="s">
        <v>119</v>
      </c>
      <c r="B23" s="5">
        <f t="shared" si="0"/>
        <v>206000</v>
      </c>
      <c r="C23" s="5">
        <v>205</v>
      </c>
      <c r="D23" s="197">
        <v>330</v>
      </c>
      <c r="E23" s="14">
        <v>1.05</v>
      </c>
      <c r="F23" s="54"/>
      <c r="G23" s="54"/>
      <c r="H23" s="54"/>
      <c r="I23" s="54"/>
    </row>
    <row r="24" spans="1:9">
      <c r="A24" s="23" t="s">
        <v>120</v>
      </c>
      <c r="B24" s="5">
        <f t="shared" si="0"/>
        <v>206000</v>
      </c>
      <c r="C24" s="5">
        <v>195</v>
      </c>
      <c r="D24" s="197">
        <v>330</v>
      </c>
      <c r="E24" s="14">
        <v>1.05</v>
      </c>
      <c r="F24" s="54"/>
      <c r="G24" s="54"/>
      <c r="H24" s="54"/>
      <c r="I24" s="54"/>
    </row>
    <row r="25" spans="1:9">
      <c r="A25" s="23" t="s">
        <v>121</v>
      </c>
      <c r="B25" s="5">
        <f t="shared" si="0"/>
        <v>206000</v>
      </c>
      <c r="C25" s="5">
        <v>245</v>
      </c>
      <c r="D25" s="197">
        <v>400</v>
      </c>
      <c r="E25" s="14">
        <v>1.05</v>
      </c>
      <c r="F25" s="54"/>
      <c r="G25" s="54"/>
      <c r="H25" s="54"/>
      <c r="I25" s="54"/>
    </row>
    <row r="26" spans="1:9">
      <c r="A26" s="23" t="s">
        <v>122</v>
      </c>
      <c r="B26" s="5">
        <f t="shared" si="0"/>
        <v>206000</v>
      </c>
      <c r="C26" s="5">
        <v>235</v>
      </c>
      <c r="D26" s="197">
        <v>400</v>
      </c>
      <c r="E26" s="14">
        <v>1.05</v>
      </c>
      <c r="F26" s="54"/>
      <c r="G26" s="54"/>
      <c r="H26" s="54"/>
      <c r="I26" s="54"/>
    </row>
    <row r="27" spans="1:9">
      <c r="A27" s="23" t="s">
        <v>123</v>
      </c>
      <c r="B27" s="5">
        <f t="shared" si="0"/>
        <v>206000</v>
      </c>
      <c r="C27" s="5">
        <v>285</v>
      </c>
      <c r="D27" s="197">
        <v>490</v>
      </c>
      <c r="E27" s="14">
        <v>1.05</v>
      </c>
      <c r="F27" s="54"/>
      <c r="G27" s="54"/>
      <c r="H27" s="54"/>
      <c r="I27" s="54"/>
    </row>
    <row r="28" spans="1:9">
      <c r="A28" s="23" t="s">
        <v>124</v>
      </c>
      <c r="B28" s="5">
        <f t="shared" si="0"/>
        <v>206000</v>
      </c>
      <c r="C28" s="5">
        <v>275</v>
      </c>
      <c r="D28" s="197">
        <v>490</v>
      </c>
      <c r="E28" s="14">
        <v>1.05</v>
      </c>
      <c r="F28" s="54"/>
      <c r="G28" s="54"/>
      <c r="H28" s="54"/>
      <c r="I28" s="54"/>
    </row>
    <row r="29" spans="1:9">
      <c r="A29" s="23" t="s">
        <v>125</v>
      </c>
      <c r="B29" s="5">
        <f t="shared" si="0"/>
        <v>206000</v>
      </c>
      <c r="C29" s="5">
        <v>400</v>
      </c>
      <c r="D29" s="197">
        <v>540</v>
      </c>
      <c r="E29" s="14">
        <v>1.05</v>
      </c>
      <c r="F29" s="54"/>
      <c r="G29" s="54"/>
      <c r="H29" s="54"/>
      <c r="I29" s="54"/>
    </row>
    <row r="30" spans="1:9">
      <c r="A30" s="23" t="s">
        <v>126</v>
      </c>
      <c r="B30" s="5">
        <f t="shared" si="0"/>
        <v>206000</v>
      </c>
      <c r="C30" s="5">
        <v>390</v>
      </c>
      <c r="D30" s="197">
        <v>540</v>
      </c>
      <c r="E30" s="14">
        <v>1.05</v>
      </c>
    </row>
    <row r="31" spans="1:9">
      <c r="A31" s="23" t="s">
        <v>223</v>
      </c>
      <c r="B31" s="5">
        <f t="shared" si="0"/>
        <v>206000</v>
      </c>
      <c r="C31" s="5">
        <v>220</v>
      </c>
      <c r="D31" s="197">
        <v>340</v>
      </c>
      <c r="E31" s="14">
        <v>1.05</v>
      </c>
    </row>
    <row r="32" spans="1:9">
      <c r="A32" s="23" t="s">
        <v>224</v>
      </c>
      <c r="B32" s="5">
        <f t="shared" si="0"/>
        <v>206000</v>
      </c>
      <c r="C32" s="5">
        <v>240</v>
      </c>
      <c r="D32" s="197">
        <v>380</v>
      </c>
      <c r="E32" s="14">
        <v>1.05</v>
      </c>
    </row>
    <row r="33" spans="1:5">
      <c r="A33" s="23" t="s">
        <v>225</v>
      </c>
      <c r="B33" s="5">
        <f t="shared" si="0"/>
        <v>206000</v>
      </c>
      <c r="C33" s="5">
        <v>260</v>
      </c>
      <c r="D33" s="197">
        <v>420</v>
      </c>
      <c r="E33" s="14">
        <v>1.05</v>
      </c>
    </row>
    <row r="62" spans="11:13" ht="14.4">
      <c r="K62"/>
      <c r="L62"/>
    </row>
    <row r="63" spans="11:13" ht="14.4">
      <c r="K63" s="32">
        <v>17</v>
      </c>
      <c r="L63" s="32">
        <v>20</v>
      </c>
      <c r="M63" s="37">
        <v>1000</v>
      </c>
    </row>
    <row r="64" spans="11:13" ht="14.4">
      <c r="K64" s="33">
        <v>0.09</v>
      </c>
      <c r="L64" s="33">
        <v>7.6999999999999999E-2</v>
      </c>
      <c r="M64" s="33">
        <v>7.6999999999999999E-2</v>
      </c>
    </row>
    <row r="65" spans="11:13" ht="14.4">
      <c r="K65" s="33">
        <v>8.5999999999999993E-2</v>
      </c>
      <c r="L65" s="33">
        <v>7.3999999999999996E-2</v>
      </c>
      <c r="M65" s="33">
        <v>7.3999999999999996E-2</v>
      </c>
    </row>
    <row r="66" spans="11:13" ht="14.4">
      <c r="K66" s="33">
        <v>8.2000000000000003E-2</v>
      </c>
      <c r="L66" s="33">
        <v>7.0000000000000007E-2</v>
      </c>
      <c r="M66" s="33">
        <v>7.0000000000000007E-2</v>
      </c>
    </row>
    <row r="67" spans="11:13" ht="14.4">
      <c r="K67" s="33">
        <v>7.9000000000000001E-2</v>
      </c>
      <c r="L67" s="33">
        <v>6.7000000000000004E-2</v>
      </c>
      <c r="M67" s="33">
        <v>6.7000000000000004E-2</v>
      </c>
    </row>
    <row r="68" spans="11:13" ht="14.4">
      <c r="K68" s="33">
        <v>7.5999999999999998E-2</v>
      </c>
      <c r="L68" s="33">
        <v>6.5000000000000002E-2</v>
      </c>
      <c r="M68" s="33">
        <v>6.5000000000000002E-2</v>
      </c>
    </row>
    <row r="69" spans="11:13" ht="14.4">
      <c r="K69" s="33">
        <v>7.2999999999999995E-2</v>
      </c>
      <c r="L69" s="33">
        <v>6.3E-2</v>
      </c>
      <c r="M69" s="33">
        <v>6.3E-2</v>
      </c>
    </row>
    <row r="70" spans="11:13" ht="14.4">
      <c r="K70" s="33">
        <v>6.9000000000000006E-2</v>
      </c>
      <c r="L70" s="33">
        <v>0.06</v>
      </c>
      <c r="M70" s="33">
        <v>0.06</v>
      </c>
    </row>
    <row r="71" spans="11:13" ht="14.4">
      <c r="K71" s="33">
        <v>6.6000000000000003E-2</v>
      </c>
      <c r="L71" s="33">
        <v>5.7000000000000002E-2</v>
      </c>
      <c r="M71" s="33">
        <v>5.7000000000000002E-2</v>
      </c>
    </row>
    <row r="72" spans="11:13" ht="14.4">
      <c r="K72" s="33">
        <v>6.4000000000000001E-2</v>
      </c>
      <c r="L72" s="33">
        <v>5.5E-2</v>
      </c>
      <c r="M72" s="33">
        <v>5.5E-2</v>
      </c>
    </row>
    <row r="73" spans="11:13" ht="14.4">
      <c r="K73" s="33">
        <v>6.2E-2</v>
      </c>
      <c r="L73" s="33">
        <v>5.2999999999999999E-2</v>
      </c>
      <c r="M73" s="33">
        <v>5.2999999999999999E-2</v>
      </c>
    </row>
    <row r="74" spans="11:13" ht="14.4">
      <c r="K74" s="33">
        <v>0.06</v>
      </c>
      <c r="L74" s="33">
        <v>5.0999999999999997E-2</v>
      </c>
      <c r="M74" s="33">
        <v>5.0999999999999997E-2</v>
      </c>
    </row>
    <row r="75" spans="11:13" ht="14.4">
      <c r="K75" s="33">
        <v>5.7000000000000002E-2</v>
      </c>
      <c r="L75" s="33">
        <v>4.9000000000000002E-2</v>
      </c>
      <c r="M75" s="33">
        <v>4.9000000000000002E-2</v>
      </c>
    </row>
    <row r="76" spans="11:13" ht="14.4">
      <c r="K76" s="33">
        <v>5.3999999999999999E-2</v>
      </c>
      <c r="L76" s="33">
        <v>4.7E-2</v>
      </c>
      <c r="M76" s="33">
        <v>4.7E-2</v>
      </c>
    </row>
    <row r="77" spans="11:13" ht="14.4">
      <c r="K77" s="33">
        <v>5.1999999999999998E-2</v>
      </c>
      <c r="L77" s="33">
        <v>4.4999999999999998E-2</v>
      </c>
      <c r="M77" s="33">
        <v>4.4999999999999998E-2</v>
      </c>
    </row>
    <row r="78" spans="11:13" ht="14.4">
      <c r="K78" s="33">
        <v>4.7E-2</v>
      </c>
      <c r="L78" s="33">
        <v>4.1000000000000002E-2</v>
      </c>
      <c r="M78" s="33">
        <v>4.1000000000000002E-2</v>
      </c>
    </row>
    <row r="79" spans="11:13" ht="14.4">
      <c r="K79" s="33">
        <v>4.2999999999999997E-2</v>
      </c>
      <c r="L79" s="33">
        <v>3.7999999999999999E-2</v>
      </c>
      <c r="M79" s="33">
        <v>3.7999999999999999E-2</v>
      </c>
    </row>
    <row r="80" spans="11:13" ht="14.4">
      <c r="K80" s="33">
        <v>3.9E-2</v>
      </c>
      <c r="L80" s="33">
        <v>3.5000000000000003E-2</v>
      </c>
      <c r="M80" s="33">
        <v>3.5000000000000003E-2</v>
      </c>
    </row>
    <row r="81" spans="11:13" ht="14.4">
      <c r="K81" s="33">
        <v>3.5000000000000003E-2</v>
      </c>
      <c r="L81" s="33">
        <v>3.2000000000000001E-2</v>
      </c>
      <c r="M81" s="33">
        <v>3.2000000000000001E-2</v>
      </c>
    </row>
    <row r="82" spans="11:13" ht="14.4">
      <c r="K82" s="33">
        <v>3.2000000000000001E-2</v>
      </c>
      <c r="L82" s="33">
        <v>2.9000000000000001E-2</v>
      </c>
      <c r="M82" s="33">
        <v>2.9000000000000001E-2</v>
      </c>
    </row>
    <row r="83" spans="11:13" ht="14.4">
      <c r="K83" s="33">
        <v>0.03</v>
      </c>
      <c r="L83" s="33">
        <v>2.7E-2</v>
      </c>
      <c r="M83" s="33">
        <v>2.7E-2</v>
      </c>
    </row>
    <row r="84" spans="11:13" ht="14.4">
      <c r="K84" s="33">
        <v>2.9000000000000001E-2</v>
      </c>
      <c r="L84" s="33">
        <v>2.5999999999999999E-2</v>
      </c>
      <c r="M84" s="33">
        <v>2.5999999999999999E-2</v>
      </c>
    </row>
    <row r="85" spans="11:13" ht="14.4">
      <c r="K85" s="33">
        <v>2.9000000000000001E-2</v>
      </c>
      <c r="L85" s="33">
        <v>2.5999999999999999E-2</v>
      </c>
      <c r="M85" s="33">
        <v>2.5999999999999999E-2</v>
      </c>
    </row>
  </sheetData>
  <pageMargins left="0.59055118110236227" right="0.31496062992125984" top="0.59055118110236227" bottom="0.59055118110236227" header="0.31496062992125984" footer="0.31496062992125984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C00000"/>
  </sheetPr>
  <dimension ref="B1:FZ568"/>
  <sheetViews>
    <sheetView showGridLines="0" tabSelected="1" topLeftCell="A14" zoomScale="145" zoomScaleNormal="145" zoomScaleSheetLayoutView="100" workbookViewId="0">
      <selection activeCell="H31" sqref="H31"/>
    </sheetView>
  </sheetViews>
  <sheetFormatPr defaultColWidth="7.33203125" defaultRowHeight="13.8"/>
  <cols>
    <col min="1" max="1" width="1.5546875" style="1" customWidth="1"/>
    <col min="2" max="3" width="7.33203125" style="1"/>
    <col min="4" max="4" width="8.44140625" style="1" bestFit="1" customWidth="1"/>
    <col min="5" max="7" width="7.33203125" style="1"/>
    <col min="8" max="8" width="8.5546875" style="1" customWidth="1"/>
    <col min="9" max="11" width="7.6640625" style="1" customWidth="1"/>
    <col min="12" max="12" width="8.109375" style="1" customWidth="1"/>
    <col min="13" max="14" width="7.6640625" style="1" customWidth="1"/>
    <col min="15" max="25" width="7.33203125" style="1" hidden="1" customWidth="1"/>
    <col min="26" max="26" width="2.88671875" style="29" customWidth="1"/>
    <col min="27" max="27" width="5.5546875" style="79" customWidth="1"/>
    <col min="28" max="28" width="5.44140625" style="80" customWidth="1"/>
    <col min="29" max="30" width="5.44140625" style="81" customWidth="1"/>
    <col min="31" max="32" width="5.44140625" style="80" customWidth="1"/>
    <col min="33" max="33" width="5.44140625" style="79" customWidth="1"/>
    <col min="34" max="34" width="6.6640625" style="79" customWidth="1"/>
    <col min="35" max="35" width="6" style="79" customWidth="1"/>
    <col min="36" max="36" width="5.44140625" style="79" customWidth="1"/>
    <col min="37" max="37" width="7.6640625" style="80" customWidth="1"/>
    <col min="38" max="38" width="7.109375" style="82" customWidth="1"/>
    <col min="39" max="40" width="6" style="82" bestFit="1" customWidth="1"/>
    <col min="41" max="42" width="5.44140625" style="82" customWidth="1"/>
    <col min="43" max="43" width="6" style="82" customWidth="1"/>
    <col min="44" max="45" width="6" style="72" customWidth="1"/>
    <col min="46" max="48" width="6" style="82" customWidth="1"/>
    <col min="49" max="49" width="6.33203125" style="82" customWidth="1"/>
    <col min="50" max="52" width="4.6640625" style="81" customWidth="1"/>
    <col min="53" max="58" width="6" style="82" customWidth="1"/>
    <col min="59" max="64" width="4.6640625" style="82" hidden="1" customWidth="1"/>
    <col min="65" max="78" width="4.6640625" style="82" customWidth="1"/>
    <col min="79" max="79" width="5.44140625" style="4" customWidth="1"/>
    <col min="80" max="80" width="6.44140625" style="4" customWidth="1"/>
    <col min="81" max="81" width="5.44140625" style="4" customWidth="1"/>
    <col min="82" max="103" width="0" style="1" hidden="1" customWidth="1"/>
    <col min="104" max="104" width="2.88671875" style="29" customWidth="1"/>
    <col min="105" max="105" width="5.5546875" style="79" customWidth="1"/>
    <col min="106" max="106" width="5.44140625" style="80" customWidth="1"/>
    <col min="107" max="108" width="5.44140625" style="81" customWidth="1"/>
    <col min="109" max="110" width="5.44140625" style="80" customWidth="1"/>
    <col min="111" max="111" width="5.44140625" style="79" customWidth="1"/>
    <col min="112" max="112" width="6.6640625" style="79" customWidth="1"/>
    <col min="113" max="113" width="6" style="79" customWidth="1"/>
    <col min="114" max="114" width="5.44140625" style="79" customWidth="1"/>
    <col min="115" max="115" width="7.6640625" style="80" customWidth="1"/>
    <col min="116" max="116" width="7.109375" style="82" customWidth="1"/>
    <col min="117" max="118" width="6" style="82" bestFit="1" customWidth="1"/>
    <col min="119" max="120" width="5.44140625" style="82" customWidth="1"/>
    <col min="121" max="121" width="6" style="82" customWidth="1"/>
    <col min="122" max="122" width="6" style="72" hidden="1" customWidth="1"/>
    <col min="123" max="123" width="6" style="72" customWidth="1"/>
    <col min="124" max="124" width="6" style="82" hidden="1" customWidth="1"/>
    <col min="125" max="126" width="6" style="82" customWidth="1"/>
    <col min="127" max="127" width="6.33203125" style="82" customWidth="1"/>
    <col min="128" max="130" width="4.6640625" style="81" customWidth="1"/>
    <col min="131" max="136" width="6" style="82" customWidth="1"/>
    <col min="137" max="141" width="4.6640625" style="82" hidden="1" customWidth="1"/>
    <col min="142" max="143" width="5.44140625" style="82" hidden="1" customWidth="1"/>
    <col min="144" max="145" width="5.44140625" style="81" bestFit="1" customWidth="1"/>
    <col min="146" max="146" width="4.6640625" style="82" customWidth="1"/>
    <col min="147" max="153" width="4.6640625" style="82" hidden="1" customWidth="1"/>
    <col min="154" max="155" width="4.6640625" style="81" customWidth="1"/>
    <col min="156" max="156" width="4.6640625" style="82" customWidth="1"/>
    <col min="157" max="157" width="5.44140625" style="4" customWidth="1"/>
    <col min="158" max="158" width="6.44140625" style="4" customWidth="1"/>
    <col min="159" max="159" width="5.44140625" style="4" customWidth="1"/>
    <col min="160" max="181" width="0" style="1" hidden="1" customWidth="1"/>
    <col min="182" max="182" width="2.88671875" style="29" customWidth="1"/>
    <col min="183" max="16384" width="7.33203125" style="1"/>
  </cols>
  <sheetData>
    <row r="1" spans="2:182" ht="12.75" hidden="1" customHeight="1"/>
    <row r="2" spans="2:182" ht="12.75" hidden="1" customHeight="1"/>
    <row r="3" spans="2:182" ht="12.75" hidden="1" customHeight="1"/>
    <row r="4" spans="2:182" ht="12.75" hidden="1" customHeight="1"/>
    <row r="5" spans="2:182" ht="12.75" hidden="1" customHeight="1"/>
    <row r="6" spans="2:182" ht="12.75" hidden="1" customHeight="1"/>
    <row r="7" spans="2:182" ht="12.75" hidden="1" customHeight="1"/>
    <row r="8" spans="2:182" ht="12.75" hidden="1" customHeight="1"/>
    <row r="9" spans="2:182" ht="12.75" hidden="1" customHeight="1"/>
    <row r="10" spans="2:182" ht="29.25" customHeight="1"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26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29"/>
      <c r="EO10" s="129"/>
      <c r="EP10" s="1"/>
      <c r="EQ10" s="1"/>
      <c r="ER10" s="1"/>
      <c r="ES10" s="1"/>
      <c r="ET10" s="1"/>
      <c r="EU10" s="1"/>
      <c r="EV10" s="1"/>
      <c r="EW10" s="1"/>
      <c r="EX10" s="129"/>
      <c r="EY10" s="129"/>
      <c r="EZ10" s="1"/>
      <c r="FA10" s="1"/>
      <c r="FB10" s="1"/>
      <c r="FC10" s="1"/>
    </row>
    <row r="11" spans="2:182" ht="20.25" customHeight="1">
      <c r="B11" s="153" t="s">
        <v>94</v>
      </c>
      <c r="C11" s="154"/>
      <c r="D11" s="154"/>
      <c r="E11" s="154"/>
      <c r="F11" s="154"/>
      <c r="G11" s="154"/>
      <c r="H11" s="154"/>
      <c r="I11" s="154"/>
      <c r="J11" s="154"/>
      <c r="K11" s="157" t="str">
        <f>F15&amp;"x"&amp;F16</f>
        <v>273x6.35</v>
      </c>
      <c r="L11" s="157"/>
      <c r="M11" s="157"/>
      <c r="N11" s="158"/>
      <c r="O11" s="2"/>
      <c r="Z11" s="38">
        <f>MAX(COUNTA(#REF!)+21,23)</f>
        <v>23</v>
      </c>
      <c r="AA11" s="177" t="s">
        <v>190</v>
      </c>
      <c r="AB11" s="178"/>
      <c r="AC11" s="178"/>
      <c r="AD11" s="178"/>
      <c r="AE11" s="178"/>
      <c r="AF11" s="178"/>
      <c r="AG11" s="178"/>
      <c r="AH11" s="178"/>
      <c r="AI11" s="178"/>
      <c r="AJ11" s="178"/>
      <c r="AK11" s="178"/>
      <c r="AL11" s="178"/>
      <c r="AM11" s="178"/>
      <c r="AN11" s="178"/>
      <c r="AO11" s="178"/>
      <c r="AP11" s="178"/>
      <c r="AQ11" s="178"/>
      <c r="AR11" s="178"/>
      <c r="AS11" s="178"/>
      <c r="AT11" s="178"/>
      <c r="AU11" s="178"/>
      <c r="AV11" s="178"/>
      <c r="AW11" s="178"/>
      <c r="AX11" s="178"/>
      <c r="AY11" s="178"/>
      <c r="AZ11" s="178"/>
      <c r="BA11" s="178"/>
      <c r="BB11" s="178"/>
      <c r="BC11" s="178"/>
      <c r="BD11" s="178"/>
      <c r="BE11" s="178"/>
      <c r="BF11" s="178"/>
      <c r="BG11" s="178"/>
      <c r="BH11" s="178"/>
      <c r="BI11" s="178"/>
      <c r="BJ11" s="178"/>
      <c r="BK11" s="178"/>
      <c r="BL11" s="178"/>
      <c r="BM11" s="178"/>
      <c r="BN11" s="178"/>
      <c r="BO11" s="178"/>
      <c r="BP11" s="178"/>
      <c r="BQ11" s="178"/>
      <c r="BR11" s="178"/>
      <c r="BS11" s="178"/>
      <c r="BT11" s="178"/>
      <c r="BU11" s="178"/>
      <c r="BV11" s="178"/>
      <c r="BW11" s="178"/>
      <c r="BX11" s="178"/>
      <c r="BY11" s="178"/>
      <c r="BZ11" s="178"/>
      <c r="CA11" s="178"/>
      <c r="CB11" s="178"/>
      <c r="CC11" s="178"/>
      <c r="CZ11" s="38">
        <f>MAX(COUNTA(#REF!)+21,23)</f>
        <v>23</v>
      </c>
      <c r="DA11" s="190" t="s">
        <v>190</v>
      </c>
      <c r="DB11" s="191"/>
      <c r="DC11" s="191"/>
      <c r="DD11" s="191"/>
      <c r="DE11" s="191"/>
      <c r="DF11" s="191"/>
      <c r="DG11" s="191"/>
      <c r="DH11" s="191"/>
      <c r="DI11" s="191"/>
      <c r="DJ11" s="191"/>
      <c r="DK11" s="191"/>
      <c r="DL11" s="191"/>
      <c r="DM11" s="191"/>
      <c r="DN11" s="191"/>
      <c r="DO11" s="191"/>
      <c r="DP11" s="191"/>
      <c r="DQ11" s="191"/>
      <c r="DR11" s="191"/>
      <c r="DS11" s="191"/>
      <c r="DT11" s="191"/>
      <c r="DU11" s="191"/>
      <c r="DV11" s="191"/>
      <c r="DW11" s="191"/>
      <c r="DX11" s="191"/>
      <c r="DY11" s="191"/>
      <c r="DZ11" s="191"/>
      <c r="EA11" s="191"/>
      <c r="EB11" s="191"/>
      <c r="EC11" s="191"/>
      <c r="ED11" s="191"/>
      <c r="EE11" s="191"/>
      <c r="EF11" s="191"/>
      <c r="EG11" s="191"/>
      <c r="EH11" s="191"/>
      <c r="EI11" s="191"/>
      <c r="EJ11" s="191"/>
      <c r="EK11" s="191"/>
      <c r="EL11" s="191"/>
      <c r="EM11" s="191"/>
      <c r="EN11" s="191"/>
      <c r="EO11" s="191"/>
      <c r="EP11" s="191"/>
      <c r="EQ11" s="191"/>
      <c r="ER11" s="191"/>
      <c r="ES11" s="191"/>
      <c r="ET11" s="191"/>
      <c r="EU11" s="191"/>
      <c r="EV11" s="191"/>
      <c r="EW11" s="191"/>
      <c r="EX11" s="191"/>
      <c r="EY11" s="191"/>
      <c r="EZ11" s="191"/>
      <c r="FA11" s="191"/>
      <c r="FB11" s="191"/>
      <c r="FC11" s="191"/>
      <c r="FZ11" s="38">
        <f>MAX(COUNTA(#REF!)+21,23)</f>
        <v>23</v>
      </c>
    </row>
    <row r="12" spans="2:182" ht="12.75" customHeight="1">
      <c r="B12" s="155"/>
      <c r="C12" s="156"/>
      <c r="D12" s="156"/>
      <c r="E12" s="156"/>
      <c r="F12" s="156"/>
      <c r="G12" s="156"/>
      <c r="H12" s="156"/>
      <c r="I12" s="156"/>
      <c r="J12" s="156"/>
      <c r="K12" s="159"/>
      <c r="L12" s="159"/>
      <c r="M12" s="159"/>
      <c r="N12" s="160"/>
      <c r="Z12" s="39"/>
      <c r="AA12" s="179" t="s">
        <v>130</v>
      </c>
      <c r="AB12" s="180"/>
      <c r="AC12" s="180"/>
      <c r="AD12" s="180"/>
      <c r="AE12" s="180"/>
      <c r="AF12" s="180"/>
      <c r="AG12" s="180"/>
      <c r="AH12" s="180"/>
      <c r="AI12" s="180"/>
      <c r="AJ12" s="180"/>
      <c r="AK12" s="180"/>
      <c r="AL12" s="180"/>
      <c r="AM12" s="180"/>
      <c r="AN12" s="180"/>
      <c r="AO12" s="180"/>
      <c r="AP12" s="180"/>
      <c r="AQ12" s="180"/>
      <c r="AR12" s="180"/>
      <c r="AS12" s="180"/>
      <c r="AT12" s="180"/>
      <c r="AU12" s="180"/>
      <c r="AV12" s="180"/>
      <c r="AW12" s="180"/>
      <c r="AX12" s="180"/>
      <c r="AY12" s="180"/>
      <c r="AZ12" s="180"/>
      <c r="BA12" s="180"/>
      <c r="BB12" s="180"/>
      <c r="BC12" s="180"/>
      <c r="BD12" s="180"/>
      <c r="BE12" s="180"/>
      <c r="BF12" s="180"/>
      <c r="BG12" s="180"/>
      <c r="BH12" s="180"/>
      <c r="BI12" s="180"/>
      <c r="BJ12" s="180"/>
      <c r="BK12" s="180"/>
      <c r="BL12" s="180"/>
      <c r="BM12" s="180"/>
      <c r="BN12" s="180"/>
      <c r="BO12" s="180"/>
      <c r="BP12" s="180"/>
      <c r="BQ12" s="180"/>
      <c r="BR12" s="180"/>
      <c r="BS12" s="180"/>
      <c r="BT12" s="180"/>
      <c r="BU12" s="180"/>
      <c r="BV12" s="180"/>
      <c r="BW12" s="180"/>
      <c r="BX12" s="180"/>
      <c r="BY12" s="180"/>
      <c r="BZ12" s="180"/>
      <c r="CA12" s="180"/>
      <c r="CB12" s="180"/>
      <c r="CC12" s="180"/>
      <c r="CZ12" s="39"/>
      <c r="DA12" s="192" t="s">
        <v>130</v>
      </c>
      <c r="DB12" s="193"/>
      <c r="DC12" s="193"/>
      <c r="DD12" s="193"/>
      <c r="DE12" s="193"/>
      <c r="DF12" s="193"/>
      <c r="DG12" s="193"/>
      <c r="DH12" s="193"/>
      <c r="DI12" s="193"/>
      <c r="DJ12" s="193"/>
      <c r="DK12" s="193"/>
      <c r="DL12" s="193"/>
      <c r="DM12" s="193"/>
      <c r="DN12" s="193"/>
      <c r="DO12" s="193"/>
      <c r="DP12" s="193"/>
      <c r="DQ12" s="193"/>
      <c r="DR12" s="193"/>
      <c r="DS12" s="193"/>
      <c r="DT12" s="193"/>
      <c r="DU12" s="193"/>
      <c r="DV12" s="193"/>
      <c r="DW12" s="193"/>
      <c r="DX12" s="193"/>
      <c r="DY12" s="193"/>
      <c r="DZ12" s="193"/>
      <c r="EA12" s="193"/>
      <c r="EB12" s="193"/>
      <c r="EC12" s="193"/>
      <c r="ED12" s="193"/>
      <c r="EE12" s="193"/>
      <c r="EF12" s="193"/>
      <c r="EG12" s="193"/>
      <c r="EH12" s="193"/>
      <c r="EI12" s="193"/>
      <c r="EJ12" s="193"/>
      <c r="EK12" s="193"/>
      <c r="EL12" s="193"/>
      <c r="EM12" s="193"/>
      <c r="EN12" s="193"/>
      <c r="EO12" s="193"/>
      <c r="EP12" s="193"/>
      <c r="EQ12" s="193"/>
      <c r="ER12" s="193"/>
      <c r="ES12" s="193"/>
      <c r="ET12" s="193"/>
      <c r="EU12" s="193"/>
      <c r="EV12" s="193"/>
      <c r="EW12" s="193"/>
      <c r="EX12" s="193"/>
      <c r="EY12" s="193"/>
      <c r="EZ12" s="193"/>
      <c r="FA12" s="193"/>
      <c r="FB12" s="193"/>
      <c r="FC12" s="193"/>
      <c r="FZ12" s="39"/>
    </row>
    <row r="13" spans="2:182" ht="15" customHeight="1">
      <c r="B13" s="161" t="s">
        <v>0</v>
      </c>
      <c r="C13" s="162"/>
      <c r="D13" s="162"/>
      <c r="E13" s="43"/>
      <c r="F13" s="43"/>
      <c r="G13" s="43"/>
      <c r="H13" s="43"/>
      <c r="I13" s="43"/>
      <c r="J13" s="43"/>
      <c r="K13" s="43"/>
      <c r="L13" s="43"/>
      <c r="M13" s="43"/>
      <c r="N13" s="8"/>
      <c r="AA13" s="9" t="s">
        <v>131</v>
      </c>
      <c r="AB13" s="84"/>
      <c r="AC13" s="85"/>
      <c r="AD13" s="85"/>
      <c r="AE13" s="86"/>
      <c r="AF13" s="86"/>
      <c r="AG13" s="4"/>
      <c r="AH13" s="4"/>
      <c r="AI13" s="4"/>
      <c r="AJ13" s="4"/>
      <c r="AK13" s="86"/>
      <c r="AL13" s="83"/>
      <c r="AM13" s="83"/>
      <c r="AN13" s="83"/>
      <c r="AO13" s="83"/>
      <c r="AP13" s="83"/>
      <c r="AQ13" s="83"/>
      <c r="AR13" s="88"/>
      <c r="AS13" s="88"/>
      <c r="AT13" s="83"/>
      <c r="AU13" s="83"/>
      <c r="AV13" s="83"/>
      <c r="AW13" s="83"/>
      <c r="AX13" s="85"/>
      <c r="AY13" s="85"/>
      <c r="AZ13" s="85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83"/>
      <c r="BU13" s="83"/>
      <c r="BV13" s="83"/>
      <c r="BW13" s="83"/>
      <c r="BX13" s="83"/>
      <c r="BY13" s="83"/>
      <c r="BZ13" s="83"/>
      <c r="DA13" s="9" t="s">
        <v>131</v>
      </c>
      <c r="DB13" s="84"/>
      <c r="DC13" s="85"/>
      <c r="DD13" s="85"/>
      <c r="DE13" s="86"/>
      <c r="DF13" s="86"/>
      <c r="DG13" s="4"/>
      <c r="DH13" s="4"/>
      <c r="DI13" s="4"/>
      <c r="DJ13" s="4"/>
      <c r="DK13" s="86"/>
      <c r="DL13" s="83"/>
      <c r="DM13" s="83"/>
      <c r="DN13" s="83"/>
      <c r="DO13" s="83"/>
      <c r="DP13" s="83"/>
      <c r="DQ13" s="83"/>
      <c r="DR13" s="88"/>
      <c r="DS13" s="88"/>
      <c r="DT13" s="83"/>
      <c r="DU13" s="83"/>
      <c r="DV13" s="83"/>
      <c r="DW13" s="83"/>
      <c r="DX13" s="85"/>
      <c r="DY13" s="85"/>
      <c r="DZ13" s="85"/>
      <c r="EA13" s="83"/>
      <c r="EB13" s="83"/>
      <c r="EC13" s="83"/>
      <c r="ED13" s="83"/>
      <c r="EE13" s="83"/>
      <c r="EF13" s="83"/>
      <c r="EG13" s="83"/>
      <c r="EH13" s="83"/>
      <c r="EI13" s="83"/>
      <c r="EJ13" s="83"/>
      <c r="EK13" s="83"/>
      <c r="EL13" s="83"/>
      <c r="EM13" s="83"/>
      <c r="EN13" s="85"/>
      <c r="EO13" s="85"/>
      <c r="EP13" s="83"/>
      <c r="EQ13" s="83"/>
      <c r="ER13" s="83"/>
      <c r="ES13" s="83"/>
      <c r="ET13" s="83"/>
      <c r="EU13" s="83"/>
      <c r="EV13" s="83"/>
      <c r="EW13" s="83"/>
      <c r="EX13" s="85"/>
      <c r="EY13" s="85"/>
      <c r="EZ13" s="83"/>
    </row>
    <row r="14" spans="2:182">
      <c r="B14" s="9" t="s">
        <v>24</v>
      </c>
      <c r="C14" s="43"/>
      <c r="D14" s="43"/>
      <c r="E14" s="43"/>
      <c r="F14" s="43"/>
      <c r="G14" s="43"/>
      <c r="H14" s="44"/>
      <c r="I14" s="45"/>
      <c r="J14" s="43"/>
      <c r="K14" s="4"/>
      <c r="L14" s="4"/>
      <c r="M14" s="4"/>
      <c r="N14" s="8"/>
      <c r="AA14" s="12"/>
      <c r="AB14" s="86"/>
      <c r="AC14" s="181" t="s">
        <v>132</v>
      </c>
      <c r="AD14" s="181"/>
      <c r="AE14" s="86"/>
      <c r="AF14" s="86"/>
      <c r="AG14" s="4"/>
      <c r="AH14" s="4"/>
      <c r="AI14" s="4"/>
      <c r="AJ14" s="4"/>
      <c r="AK14" s="90"/>
      <c r="AL14" s="89" t="s">
        <v>133</v>
      </c>
      <c r="AM14" s="182">
        <f>D23</f>
        <v>206000</v>
      </c>
      <c r="AN14" s="182"/>
      <c r="AO14" s="87" t="s">
        <v>40</v>
      </c>
      <c r="AP14" s="91"/>
      <c r="AQ14" s="92"/>
      <c r="AR14" s="87"/>
      <c r="AS14" s="87"/>
      <c r="AT14" s="86"/>
      <c r="AU14" s="92"/>
      <c r="AV14" s="92"/>
      <c r="AW14" s="92"/>
      <c r="AX14" s="93"/>
      <c r="AY14" s="93"/>
      <c r="AZ14" s="93"/>
      <c r="BA14" s="92"/>
      <c r="BB14" s="92"/>
      <c r="BC14" s="92"/>
      <c r="BD14" s="92"/>
      <c r="BE14" s="92"/>
      <c r="BF14" s="92"/>
      <c r="BG14" s="92"/>
      <c r="BH14" s="92"/>
      <c r="BI14" s="92"/>
      <c r="BJ14" s="92"/>
      <c r="BK14" s="92"/>
      <c r="BL14" s="92"/>
      <c r="BM14" s="92"/>
      <c r="BN14" s="92"/>
      <c r="BO14" s="92"/>
      <c r="BP14" s="92"/>
      <c r="BQ14" s="92"/>
      <c r="BR14" s="92"/>
      <c r="BS14" s="92"/>
      <c r="BT14" s="92"/>
      <c r="BU14" s="92"/>
      <c r="BV14" s="92"/>
      <c r="BW14" s="92"/>
      <c r="BX14" s="92"/>
      <c r="BY14" s="92"/>
      <c r="BZ14" s="92"/>
      <c r="DA14" s="12"/>
      <c r="DB14" s="86"/>
      <c r="DC14" s="181" t="s">
        <v>132</v>
      </c>
      <c r="DD14" s="181"/>
      <c r="DE14" s="86"/>
      <c r="DF14" s="86"/>
      <c r="DG14" s="4"/>
      <c r="DH14" s="4"/>
      <c r="DI14" s="4"/>
      <c r="DJ14" s="4"/>
      <c r="DK14" s="90"/>
      <c r="DL14" s="89" t="s">
        <v>133</v>
      </c>
      <c r="DM14" s="182">
        <f>AM14</f>
        <v>206000</v>
      </c>
      <c r="DN14" s="182"/>
      <c r="DO14" s="87" t="s">
        <v>40</v>
      </c>
      <c r="DP14" s="91"/>
      <c r="DQ14" s="92"/>
      <c r="DR14" s="87"/>
      <c r="DS14" s="87"/>
      <c r="DT14" s="92"/>
      <c r="DU14" s="92"/>
      <c r="DV14" s="92"/>
      <c r="DW14" s="92"/>
      <c r="DX14" s="93"/>
      <c r="DY14" s="93"/>
      <c r="DZ14" s="93"/>
      <c r="EA14" s="92"/>
      <c r="EB14" s="92"/>
      <c r="EC14" s="92"/>
      <c r="ED14" s="92"/>
      <c r="EE14" s="92"/>
      <c r="EF14" s="92"/>
      <c r="EG14" s="92"/>
      <c r="EH14" s="92"/>
      <c r="EI14" s="92"/>
      <c r="EJ14" s="92"/>
      <c r="EK14" s="92"/>
      <c r="EL14" s="92"/>
      <c r="EM14" s="92"/>
      <c r="EN14" s="93"/>
      <c r="EO14" s="93"/>
      <c r="EP14" s="92"/>
      <c r="EQ14" s="92"/>
      <c r="ER14" s="92"/>
      <c r="ES14" s="92"/>
      <c r="ET14" s="92"/>
      <c r="EU14" s="92"/>
      <c r="EV14" s="92"/>
      <c r="EW14" s="92"/>
      <c r="EX14" s="93"/>
      <c r="EY14" s="93"/>
      <c r="EZ14" s="92"/>
    </row>
    <row r="15" spans="2:182" ht="15">
      <c r="B15" s="10" t="s">
        <v>95</v>
      </c>
      <c r="C15" s="43"/>
      <c r="D15" s="43"/>
      <c r="E15" s="44" t="s">
        <v>97</v>
      </c>
      <c r="F15" s="46">
        <v>273</v>
      </c>
      <c r="G15" s="43" t="s">
        <v>1</v>
      </c>
      <c r="H15" s="4"/>
      <c r="I15" s="4"/>
      <c r="J15" s="4"/>
      <c r="K15" s="4"/>
      <c r="L15" s="4"/>
      <c r="M15" s="4"/>
      <c r="N15" s="11"/>
      <c r="AA15" s="12"/>
      <c r="AB15" s="86"/>
      <c r="AC15" s="182" t="str">
        <f>F20</f>
        <v>CCT38</v>
      </c>
      <c r="AD15" s="182"/>
      <c r="AE15" s="86"/>
      <c r="AF15" s="86"/>
      <c r="AG15" s="4"/>
      <c r="AH15" s="4"/>
      <c r="AI15" s="4"/>
      <c r="AJ15" s="4"/>
      <c r="AK15" s="90"/>
      <c r="AL15" s="89" t="s">
        <v>134</v>
      </c>
      <c r="AM15" s="182">
        <f>E23</f>
        <v>240</v>
      </c>
      <c r="AN15" s="182"/>
      <c r="AO15" s="87" t="s">
        <v>40</v>
      </c>
      <c r="AP15" s="91"/>
      <c r="AQ15" s="92"/>
      <c r="AR15" s="87"/>
      <c r="AS15" s="87"/>
      <c r="AT15" s="86"/>
      <c r="AU15" s="92"/>
      <c r="AV15" s="92"/>
      <c r="AW15" s="92"/>
      <c r="AX15" s="93"/>
      <c r="AY15" s="93"/>
      <c r="AZ15" s="93"/>
      <c r="BA15" s="92"/>
      <c r="BB15" s="92"/>
      <c r="BC15" s="92"/>
      <c r="BD15" s="92"/>
      <c r="BE15" s="92"/>
      <c r="BF15" s="92"/>
      <c r="BG15" s="92"/>
      <c r="BH15" s="92"/>
      <c r="BI15" s="92"/>
      <c r="BJ15" s="92"/>
      <c r="BK15" s="92"/>
      <c r="BL15" s="92"/>
      <c r="BM15" s="92"/>
      <c r="BN15" s="92"/>
      <c r="BO15" s="92"/>
      <c r="BP15" s="92"/>
      <c r="BQ15" s="92"/>
      <c r="BR15" s="92"/>
      <c r="BS15" s="92"/>
      <c r="BT15" s="92"/>
      <c r="BU15" s="92"/>
      <c r="BV15" s="92"/>
      <c r="BW15" s="92"/>
      <c r="BX15" s="92"/>
      <c r="BY15" s="92"/>
      <c r="BZ15" s="92"/>
      <c r="DA15" s="12"/>
      <c r="DB15" s="86"/>
      <c r="DC15" s="182" t="str">
        <f>AC15</f>
        <v>CCT38</v>
      </c>
      <c r="DD15" s="182"/>
      <c r="DE15" s="86"/>
      <c r="DF15" s="86"/>
      <c r="DG15" s="4"/>
      <c r="DH15" s="4"/>
      <c r="DI15" s="4"/>
      <c r="DJ15" s="4"/>
      <c r="DK15" s="90"/>
      <c r="DL15" s="89" t="s">
        <v>134</v>
      </c>
      <c r="DM15" s="182">
        <f t="shared" ref="DM15:DM17" si="0">AM15</f>
        <v>240</v>
      </c>
      <c r="DN15" s="182"/>
      <c r="DO15" s="87" t="s">
        <v>40</v>
      </c>
      <c r="DP15" s="91"/>
      <c r="DQ15" s="92"/>
      <c r="DR15" s="87"/>
      <c r="DS15" s="87"/>
      <c r="DT15" s="92"/>
      <c r="DU15" s="92"/>
      <c r="DV15" s="92"/>
      <c r="DW15" s="92"/>
      <c r="DX15" s="93"/>
      <c r="DY15" s="93"/>
      <c r="DZ15" s="93"/>
      <c r="EA15" s="92"/>
      <c r="EB15" s="92"/>
      <c r="EC15" s="92"/>
      <c r="ED15" s="92"/>
      <c r="EE15" s="92"/>
      <c r="EF15" s="92"/>
      <c r="EG15" s="92"/>
      <c r="EH15" s="92"/>
      <c r="EI15" s="92"/>
      <c r="EJ15" s="92"/>
      <c r="EK15" s="92"/>
      <c r="EL15" s="92"/>
      <c r="EM15" s="92"/>
      <c r="EN15" s="93"/>
      <c r="EO15" s="93"/>
      <c r="EP15" s="92"/>
      <c r="EQ15" s="92"/>
      <c r="ER15" s="92"/>
      <c r="ES15" s="92"/>
      <c r="ET15" s="92"/>
      <c r="EU15" s="92"/>
      <c r="EV15" s="92"/>
      <c r="EW15" s="92"/>
      <c r="EX15" s="93"/>
      <c r="EY15" s="93"/>
      <c r="EZ15" s="92"/>
    </row>
    <row r="16" spans="2:182" ht="15" customHeight="1">
      <c r="B16" s="10" t="s">
        <v>96</v>
      </c>
      <c r="C16" s="43"/>
      <c r="D16" s="43"/>
      <c r="E16" s="44" t="s">
        <v>98</v>
      </c>
      <c r="F16" s="46">
        <v>6.35</v>
      </c>
      <c r="G16" s="43" t="s">
        <v>1</v>
      </c>
      <c r="H16" s="4"/>
      <c r="I16" s="4"/>
      <c r="J16" s="4"/>
      <c r="K16" s="4"/>
      <c r="L16" s="4"/>
      <c r="M16" s="4"/>
      <c r="N16" s="11"/>
      <c r="AA16" s="12"/>
      <c r="AB16" s="86"/>
      <c r="AC16" s="94" t="s">
        <v>135</v>
      </c>
      <c r="AD16" s="92">
        <f>I23</f>
        <v>0.95</v>
      </c>
      <c r="AE16" s="86"/>
      <c r="AF16" s="86"/>
      <c r="AG16" s="4"/>
      <c r="AH16" s="4"/>
      <c r="AI16" s="4"/>
      <c r="AJ16" s="4"/>
      <c r="AK16" s="90"/>
      <c r="AL16" s="89" t="s">
        <v>136</v>
      </c>
      <c r="AM16" s="183">
        <f>AM15/AD17</f>
        <v>228.57142857142856</v>
      </c>
      <c r="AN16" s="183"/>
      <c r="AO16" s="87" t="s">
        <v>40</v>
      </c>
      <c r="AP16" s="91"/>
      <c r="AQ16" s="92"/>
      <c r="AR16" s="87"/>
      <c r="AS16" s="87"/>
      <c r="AT16" s="86"/>
      <c r="AU16" s="92"/>
      <c r="AV16" s="92"/>
      <c r="AW16" s="92"/>
      <c r="AX16" s="93"/>
      <c r="AY16" s="93"/>
      <c r="AZ16" s="93"/>
      <c r="BA16" s="92"/>
      <c r="BB16" s="92"/>
      <c r="BC16" s="92"/>
      <c r="BD16" s="92"/>
      <c r="BE16" s="92"/>
      <c r="BF16" s="92"/>
      <c r="BG16" s="92"/>
      <c r="BH16" s="92"/>
      <c r="BI16" s="92"/>
      <c r="BK16" s="92"/>
      <c r="BL16" s="92"/>
      <c r="BM16" s="92"/>
      <c r="BN16" s="92"/>
      <c r="BO16" s="92"/>
      <c r="BP16" s="92"/>
      <c r="BQ16" s="92"/>
      <c r="BR16" s="92"/>
      <c r="BS16" s="92"/>
      <c r="BT16" s="92"/>
      <c r="BU16" s="92"/>
      <c r="BV16" s="92"/>
      <c r="BW16" s="92"/>
      <c r="BX16" s="92"/>
      <c r="BY16" s="92"/>
      <c r="BZ16" s="92"/>
      <c r="DA16" s="12"/>
      <c r="DB16" s="86"/>
      <c r="DC16" s="94" t="s">
        <v>135</v>
      </c>
      <c r="DD16" s="92">
        <f>AD16</f>
        <v>0.95</v>
      </c>
      <c r="DE16" s="86"/>
      <c r="DF16" s="86"/>
      <c r="DG16" s="4"/>
      <c r="DH16" s="4"/>
      <c r="DI16" s="4"/>
      <c r="DJ16" s="4"/>
      <c r="DK16" s="90"/>
      <c r="DL16" s="89" t="s">
        <v>136</v>
      </c>
      <c r="DM16" s="183">
        <f t="shared" si="0"/>
        <v>228.57142857142856</v>
      </c>
      <c r="DN16" s="183"/>
      <c r="DO16" s="87" t="s">
        <v>40</v>
      </c>
      <c r="DP16" s="91"/>
      <c r="DQ16" s="92"/>
      <c r="DR16" s="87"/>
      <c r="DS16" s="87"/>
      <c r="DT16" s="92"/>
      <c r="DU16" s="92"/>
      <c r="DV16" s="92"/>
      <c r="DW16" s="92"/>
      <c r="DX16" s="93"/>
      <c r="DY16" s="93"/>
      <c r="DZ16" s="93"/>
      <c r="EA16" s="92"/>
      <c r="EB16" s="92"/>
      <c r="EC16" s="92"/>
      <c r="ED16" s="92"/>
      <c r="EE16" s="92"/>
      <c r="EF16" s="92"/>
      <c r="EG16" s="92"/>
      <c r="EH16" s="92"/>
      <c r="EI16" s="92"/>
      <c r="EJ16" s="92"/>
      <c r="EK16" s="92"/>
      <c r="EL16" s="92"/>
      <c r="EM16" s="92"/>
      <c r="EN16" s="93"/>
      <c r="EO16" s="93"/>
      <c r="EP16" s="92"/>
      <c r="EQ16" s="92"/>
      <c r="ER16" s="92"/>
      <c r="ES16" s="92"/>
      <c r="ET16" s="92"/>
      <c r="EU16" s="92"/>
      <c r="EV16" s="92"/>
      <c r="EW16" s="92"/>
      <c r="EX16" s="93"/>
      <c r="EY16" s="93"/>
      <c r="EZ16" s="92"/>
    </row>
    <row r="17" spans="2:159" ht="15">
      <c r="B17" s="10" t="s">
        <v>53</v>
      </c>
      <c r="C17" s="4"/>
      <c r="D17" s="4"/>
      <c r="E17" s="47" t="s">
        <v>60</v>
      </c>
      <c r="F17" s="48">
        <v>6</v>
      </c>
      <c r="G17" s="49" t="s">
        <v>44</v>
      </c>
      <c r="H17" s="4"/>
      <c r="I17" s="4"/>
      <c r="J17" s="4"/>
      <c r="K17" s="4"/>
      <c r="L17" s="4"/>
      <c r="M17" s="4"/>
      <c r="N17" s="11"/>
      <c r="AA17" s="12"/>
      <c r="AB17" s="86"/>
      <c r="AC17" s="94" t="s">
        <v>137</v>
      </c>
      <c r="AD17" s="92">
        <f>H23</f>
        <v>1.05</v>
      </c>
      <c r="AE17" s="86"/>
      <c r="AF17" s="86"/>
      <c r="AG17" s="4"/>
      <c r="AH17" s="4"/>
      <c r="AI17" s="4"/>
      <c r="AJ17" s="4"/>
      <c r="AK17" s="86"/>
      <c r="AL17" s="89" t="s">
        <v>138</v>
      </c>
      <c r="AM17" s="183">
        <f>0.58*AM15/AD17</f>
        <v>132.57142857142856</v>
      </c>
      <c r="AN17" s="183"/>
      <c r="AO17" s="87" t="s">
        <v>40</v>
      </c>
      <c r="AP17" s="83"/>
      <c r="AQ17" s="83"/>
      <c r="AR17" s="88"/>
      <c r="AS17" s="88"/>
      <c r="AT17" s="83"/>
      <c r="AU17" s="83"/>
      <c r="AV17" s="83"/>
      <c r="AW17" s="83"/>
      <c r="AX17" s="85"/>
      <c r="AY17" s="85"/>
      <c r="AZ17" s="85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83"/>
      <c r="BU17" s="83"/>
      <c r="BV17" s="83"/>
      <c r="BW17" s="83"/>
      <c r="BX17" s="83"/>
      <c r="BY17" s="83"/>
      <c r="BZ17" s="83"/>
      <c r="DA17" s="12"/>
      <c r="DB17" s="86"/>
      <c r="DC17" s="94" t="s">
        <v>137</v>
      </c>
      <c r="DD17" s="92">
        <f>AD17</f>
        <v>1.05</v>
      </c>
      <c r="DE17" s="86"/>
      <c r="DF17" s="86"/>
      <c r="DG17" s="4"/>
      <c r="DH17" s="4"/>
      <c r="DI17" s="4"/>
      <c r="DJ17" s="4"/>
      <c r="DK17" s="86"/>
      <c r="DL17" s="89" t="s">
        <v>138</v>
      </c>
      <c r="DM17" s="183">
        <f t="shared" si="0"/>
        <v>132.57142857142856</v>
      </c>
      <c r="DN17" s="183"/>
      <c r="DO17" s="87" t="s">
        <v>40</v>
      </c>
      <c r="DP17" s="83"/>
      <c r="DQ17" s="83"/>
      <c r="DR17" s="88"/>
      <c r="DS17" s="88"/>
      <c r="DT17" s="83"/>
      <c r="DU17" s="83"/>
      <c r="DV17" s="83"/>
      <c r="DW17" s="83"/>
      <c r="DX17" s="85"/>
      <c r="DY17" s="85"/>
      <c r="DZ17" s="85"/>
      <c r="EA17" s="83"/>
      <c r="EB17" s="83"/>
      <c r="EC17" s="83"/>
      <c r="ED17" s="83"/>
      <c r="EE17" s="83"/>
      <c r="EF17" s="83"/>
      <c r="EG17" s="83"/>
      <c r="EH17" s="83"/>
      <c r="EI17" s="83"/>
      <c r="EJ17" s="83"/>
      <c r="EK17" s="83"/>
      <c r="EL17" s="83"/>
      <c r="EM17" s="83"/>
      <c r="EN17" s="85"/>
      <c r="EO17" s="85"/>
      <c r="EP17" s="83"/>
      <c r="EQ17" s="83"/>
      <c r="ER17" s="83"/>
      <c r="ES17" s="83"/>
      <c r="ET17" s="83"/>
      <c r="EU17" s="83"/>
      <c r="EV17" s="83"/>
      <c r="EW17" s="83"/>
      <c r="EX17" s="85"/>
      <c r="EY17" s="85"/>
      <c r="EZ17" s="83"/>
    </row>
    <row r="18" spans="2:159" ht="15">
      <c r="B18" s="10" t="s">
        <v>53</v>
      </c>
      <c r="C18" s="4"/>
      <c r="D18" s="4"/>
      <c r="E18" s="47" t="s">
        <v>61</v>
      </c>
      <c r="F18" s="48">
        <v>12</v>
      </c>
      <c r="G18" s="49" t="s">
        <v>44</v>
      </c>
      <c r="H18" s="4"/>
      <c r="I18" s="4"/>
      <c r="J18" s="4"/>
      <c r="K18" s="4"/>
      <c r="L18" s="4"/>
      <c r="M18" s="4"/>
      <c r="N18" s="11"/>
      <c r="O18" s="3"/>
      <c r="AA18" s="95" t="s">
        <v>139</v>
      </c>
      <c r="AB18" s="96"/>
      <c r="AC18" s="97"/>
      <c r="AD18" s="97"/>
      <c r="AE18" s="98"/>
      <c r="AF18" s="98"/>
      <c r="AG18" s="13"/>
      <c r="AH18" s="13"/>
      <c r="AI18" s="13"/>
      <c r="AJ18" s="13"/>
      <c r="AK18" s="98"/>
      <c r="AL18" s="99"/>
      <c r="AM18" s="99"/>
      <c r="AN18" s="99"/>
      <c r="AO18" s="99"/>
      <c r="AP18" s="99"/>
      <c r="AQ18" s="99"/>
      <c r="AR18" s="100"/>
      <c r="AS18" s="100"/>
      <c r="AT18" s="99"/>
      <c r="AU18" s="99"/>
      <c r="AV18" s="99"/>
      <c r="AW18" s="99"/>
      <c r="AX18" s="97"/>
      <c r="AY18" s="97"/>
      <c r="AZ18" s="97"/>
      <c r="BA18" s="99"/>
      <c r="BB18" s="99"/>
      <c r="BC18" s="99"/>
      <c r="BD18" s="99"/>
      <c r="BE18" s="99"/>
      <c r="BF18" s="99"/>
      <c r="BG18" s="99"/>
      <c r="BH18" s="99"/>
      <c r="BI18" s="99"/>
      <c r="BJ18" s="99"/>
      <c r="BK18" s="99"/>
      <c r="BL18" s="99"/>
      <c r="BM18" s="99"/>
      <c r="BN18" s="99"/>
      <c r="BO18" s="99"/>
      <c r="BP18" s="99"/>
      <c r="BQ18" s="99"/>
      <c r="BR18" s="99"/>
      <c r="BS18" s="99"/>
      <c r="BT18" s="99"/>
      <c r="BU18" s="99"/>
      <c r="BV18" s="99"/>
      <c r="BW18" s="99"/>
      <c r="BX18" s="99"/>
      <c r="BY18" s="99"/>
      <c r="BZ18" s="99"/>
      <c r="DA18" s="95" t="s">
        <v>139</v>
      </c>
      <c r="DB18" s="96"/>
      <c r="DC18" s="97"/>
      <c r="DD18" s="97"/>
      <c r="DE18" s="98"/>
      <c r="DF18" s="98"/>
      <c r="DG18" s="13"/>
      <c r="DH18" s="13"/>
      <c r="DI18" s="13"/>
      <c r="DJ18" s="13"/>
      <c r="DK18" s="98"/>
      <c r="DL18" s="99"/>
      <c r="DM18" s="99"/>
      <c r="DN18" s="99"/>
      <c r="DO18" s="99"/>
      <c r="DP18" s="99"/>
      <c r="DQ18" s="99"/>
      <c r="DR18" s="100"/>
      <c r="DS18" s="100"/>
      <c r="DT18" s="99"/>
      <c r="DU18" s="99"/>
      <c r="DV18" s="99"/>
      <c r="DW18" s="99"/>
      <c r="DX18" s="97"/>
      <c r="DY18" s="97"/>
      <c r="DZ18" s="97"/>
      <c r="EA18" s="99"/>
      <c r="EB18" s="99"/>
      <c r="EC18" s="99"/>
      <c r="ED18" s="99"/>
      <c r="EE18" s="99"/>
      <c r="EF18" s="99"/>
      <c r="EG18" s="99"/>
      <c r="EH18" s="99"/>
      <c r="EI18" s="99"/>
      <c r="EJ18" s="99"/>
      <c r="EK18" s="99"/>
      <c r="EL18" s="99"/>
      <c r="EM18" s="99"/>
      <c r="EN18" s="97"/>
      <c r="EO18" s="97"/>
      <c r="EP18" s="99"/>
      <c r="EQ18" s="99"/>
      <c r="ER18" s="99"/>
      <c r="ES18" s="99"/>
      <c r="ET18" s="99"/>
      <c r="EU18" s="99"/>
      <c r="EV18" s="99"/>
      <c r="EW18" s="99"/>
      <c r="EX18" s="97"/>
      <c r="EY18" s="97"/>
      <c r="EZ18" s="99"/>
    </row>
    <row r="19" spans="2:159" ht="15" customHeight="1">
      <c r="B19" s="9" t="s">
        <v>38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8"/>
      <c r="O19" s="3"/>
      <c r="AA19" s="135" t="s">
        <v>140</v>
      </c>
      <c r="AB19" s="135"/>
      <c r="AC19" s="135"/>
      <c r="AD19" s="135"/>
      <c r="AE19" s="135"/>
      <c r="AF19" s="135"/>
      <c r="AG19" s="135"/>
      <c r="AH19" s="135"/>
      <c r="AI19" s="135"/>
      <c r="AJ19" s="135"/>
      <c r="AK19" s="135"/>
      <c r="AL19" s="135"/>
      <c r="AM19" s="135"/>
      <c r="AN19" s="135"/>
      <c r="AO19" s="135"/>
      <c r="AP19" s="135"/>
      <c r="AQ19" s="135"/>
      <c r="AR19" s="147" t="s">
        <v>141</v>
      </c>
      <c r="AS19" s="148"/>
      <c r="AT19" s="148"/>
      <c r="AU19" s="149"/>
      <c r="AV19" s="185" t="s">
        <v>191</v>
      </c>
      <c r="AW19" s="185"/>
      <c r="AX19" s="185"/>
      <c r="AY19" s="185"/>
      <c r="AZ19" s="185"/>
      <c r="BA19" s="185"/>
      <c r="BB19" s="185"/>
      <c r="BC19" s="185"/>
      <c r="BD19" s="185"/>
      <c r="BE19" s="185"/>
      <c r="BF19" s="186"/>
      <c r="BG19" s="148" t="s">
        <v>142</v>
      </c>
      <c r="BH19" s="148"/>
      <c r="BI19" s="148"/>
      <c r="BJ19" s="148"/>
      <c r="BK19" s="148"/>
      <c r="BL19" s="148"/>
      <c r="BM19" s="148"/>
      <c r="BN19" s="148"/>
      <c r="BO19" s="148"/>
      <c r="BP19" s="148"/>
      <c r="BQ19" s="148"/>
      <c r="BR19" s="148"/>
      <c r="BS19" s="148"/>
      <c r="BT19" s="148"/>
      <c r="BU19" s="148"/>
      <c r="BV19" s="148"/>
      <c r="BW19" s="148"/>
      <c r="BX19" s="148"/>
      <c r="BY19" s="148"/>
      <c r="BZ19" s="149"/>
      <c r="CA19" s="147" t="s">
        <v>143</v>
      </c>
      <c r="CB19" s="148"/>
      <c r="CC19" s="149"/>
      <c r="DA19" s="135" t="s">
        <v>140</v>
      </c>
      <c r="DB19" s="135"/>
      <c r="DC19" s="135"/>
      <c r="DD19" s="135"/>
      <c r="DE19" s="135"/>
      <c r="DF19" s="135"/>
      <c r="DG19" s="135"/>
      <c r="DH19" s="135"/>
      <c r="DI19" s="135"/>
      <c r="DJ19" s="135"/>
      <c r="DK19" s="135"/>
      <c r="DL19" s="135"/>
      <c r="DM19" s="135"/>
      <c r="DN19" s="135"/>
      <c r="DO19" s="135"/>
      <c r="DP19" s="135"/>
      <c r="DQ19" s="135"/>
      <c r="DR19" s="147" t="s">
        <v>141</v>
      </c>
      <c r="DS19" s="148"/>
      <c r="DT19" s="148"/>
      <c r="DU19" s="149"/>
      <c r="DV19" s="185" t="s">
        <v>191</v>
      </c>
      <c r="DW19" s="185"/>
      <c r="DX19" s="185"/>
      <c r="DY19" s="185"/>
      <c r="DZ19" s="185"/>
      <c r="EA19" s="185"/>
      <c r="EB19" s="185"/>
      <c r="EC19" s="185"/>
      <c r="ED19" s="185"/>
      <c r="EE19" s="185"/>
      <c r="EF19" s="186"/>
      <c r="EG19" s="148" t="s">
        <v>142</v>
      </c>
      <c r="EH19" s="148"/>
      <c r="EI19" s="148"/>
      <c r="EJ19" s="148"/>
      <c r="EK19" s="148"/>
      <c r="EL19" s="148"/>
      <c r="EM19" s="148"/>
      <c r="EN19" s="148"/>
      <c r="EO19" s="148"/>
      <c r="EP19" s="148"/>
      <c r="EQ19" s="148"/>
      <c r="ER19" s="148"/>
      <c r="ES19" s="148"/>
      <c r="ET19" s="148"/>
      <c r="EU19" s="148"/>
      <c r="EV19" s="148"/>
      <c r="EW19" s="148"/>
      <c r="EX19" s="148"/>
      <c r="EY19" s="148"/>
      <c r="EZ19" s="149"/>
      <c r="FA19" s="147" t="s">
        <v>143</v>
      </c>
      <c r="FB19" s="148"/>
      <c r="FC19" s="149"/>
    </row>
    <row r="20" spans="2:159">
      <c r="B20" s="12"/>
      <c r="C20" s="4"/>
      <c r="D20" s="142" t="s">
        <v>21</v>
      </c>
      <c r="E20" s="163"/>
      <c r="F20" s="166" t="s">
        <v>224</v>
      </c>
      <c r="G20" s="167"/>
      <c r="H20" s="168" t="s">
        <v>30</v>
      </c>
      <c r="I20" s="168"/>
      <c r="J20" s="163" t="s">
        <v>26</v>
      </c>
      <c r="K20" s="164"/>
      <c r="L20" s="164"/>
      <c r="M20" s="165"/>
      <c r="N20" s="73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35"/>
      <c r="AL20" s="135"/>
      <c r="AM20" s="135"/>
      <c r="AN20" s="135"/>
      <c r="AO20" s="135"/>
      <c r="AP20" s="135"/>
      <c r="AQ20" s="135"/>
      <c r="AR20" s="150"/>
      <c r="AS20" s="151"/>
      <c r="AT20" s="151"/>
      <c r="AU20" s="152"/>
      <c r="AV20" s="187"/>
      <c r="AW20" s="187"/>
      <c r="AX20" s="187"/>
      <c r="AY20" s="187"/>
      <c r="AZ20" s="187"/>
      <c r="BA20" s="187"/>
      <c r="BB20" s="187"/>
      <c r="BC20" s="187"/>
      <c r="BD20" s="187"/>
      <c r="BE20" s="187"/>
      <c r="BF20" s="188"/>
      <c r="BG20" s="151"/>
      <c r="BH20" s="151"/>
      <c r="BI20" s="151"/>
      <c r="BJ20" s="151"/>
      <c r="BK20" s="151"/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  <c r="BV20" s="151"/>
      <c r="BW20" s="151"/>
      <c r="BX20" s="151"/>
      <c r="BY20" s="151"/>
      <c r="BZ20" s="152"/>
      <c r="CA20" s="150"/>
      <c r="CB20" s="151"/>
      <c r="CC20" s="152"/>
      <c r="DA20" s="135"/>
      <c r="DB20" s="135"/>
      <c r="DC20" s="135"/>
      <c r="DD20" s="135"/>
      <c r="DE20" s="135"/>
      <c r="DF20" s="135"/>
      <c r="DG20" s="135"/>
      <c r="DH20" s="135"/>
      <c r="DI20" s="135"/>
      <c r="DJ20" s="135"/>
      <c r="DK20" s="135"/>
      <c r="DL20" s="135"/>
      <c r="DM20" s="135"/>
      <c r="DN20" s="135"/>
      <c r="DO20" s="135"/>
      <c r="DP20" s="135"/>
      <c r="DQ20" s="135"/>
      <c r="DR20" s="150"/>
      <c r="DS20" s="151"/>
      <c r="DT20" s="151"/>
      <c r="DU20" s="152"/>
      <c r="DV20" s="187"/>
      <c r="DW20" s="187"/>
      <c r="DX20" s="187"/>
      <c r="DY20" s="187"/>
      <c r="DZ20" s="187"/>
      <c r="EA20" s="187"/>
      <c r="EB20" s="187"/>
      <c r="EC20" s="187"/>
      <c r="ED20" s="187"/>
      <c r="EE20" s="187"/>
      <c r="EF20" s="188"/>
      <c r="EG20" s="151"/>
      <c r="EH20" s="151"/>
      <c r="EI20" s="151"/>
      <c r="EJ20" s="151"/>
      <c r="EK20" s="151"/>
      <c r="EL20" s="151"/>
      <c r="EM20" s="151"/>
      <c r="EN20" s="151"/>
      <c r="EO20" s="151"/>
      <c r="EP20" s="151"/>
      <c r="EQ20" s="151"/>
      <c r="ER20" s="151"/>
      <c r="ES20" s="151"/>
      <c r="ET20" s="151"/>
      <c r="EU20" s="151"/>
      <c r="EV20" s="151"/>
      <c r="EW20" s="151"/>
      <c r="EX20" s="151"/>
      <c r="EY20" s="151"/>
      <c r="EZ20" s="152"/>
      <c r="FA20" s="150"/>
      <c r="FB20" s="151"/>
      <c r="FC20" s="152"/>
    </row>
    <row r="21" spans="2:159" ht="15" customHeight="1">
      <c r="B21" s="12"/>
      <c r="C21" s="4"/>
      <c r="D21" s="6" t="s">
        <v>18</v>
      </c>
      <c r="E21" s="6" t="s">
        <v>20</v>
      </c>
      <c r="F21" s="6" t="s">
        <v>62</v>
      </c>
      <c r="G21" s="6" t="s">
        <v>23</v>
      </c>
      <c r="H21" s="141" t="s">
        <v>22</v>
      </c>
      <c r="I21" s="141" t="s">
        <v>31</v>
      </c>
      <c r="J21" s="6" t="s">
        <v>25</v>
      </c>
      <c r="K21" s="78" t="s">
        <v>127</v>
      </c>
      <c r="L21" s="6" t="s">
        <v>128</v>
      </c>
      <c r="M21" s="6" t="s">
        <v>129</v>
      </c>
      <c r="N21" s="74"/>
      <c r="AA21" s="184" t="s">
        <v>144</v>
      </c>
      <c r="AB21" s="143" t="s">
        <v>45</v>
      </c>
      <c r="AC21" s="103" t="s">
        <v>33</v>
      </c>
      <c r="AD21" s="103" t="s">
        <v>145</v>
      </c>
      <c r="AE21" s="104" t="s">
        <v>177</v>
      </c>
      <c r="AF21" s="104" t="s">
        <v>178</v>
      </c>
      <c r="AG21" s="101" t="s">
        <v>25</v>
      </c>
      <c r="AH21" s="101" t="s">
        <v>127</v>
      </c>
      <c r="AI21" s="101" t="s">
        <v>128</v>
      </c>
      <c r="AJ21" s="101" t="s">
        <v>129</v>
      </c>
      <c r="AK21" s="143" t="s">
        <v>46</v>
      </c>
      <c r="AL21" s="105" t="s">
        <v>36</v>
      </c>
      <c r="AM21" s="105" t="s">
        <v>147</v>
      </c>
      <c r="AN21" s="105" t="s">
        <v>146</v>
      </c>
      <c r="AO21" s="105" t="s">
        <v>149</v>
      </c>
      <c r="AP21" s="105" t="s">
        <v>148</v>
      </c>
      <c r="AQ21" s="105" t="s">
        <v>37</v>
      </c>
      <c r="AR21" s="144" t="s">
        <v>164</v>
      </c>
      <c r="AS21" s="146" t="s">
        <v>151</v>
      </c>
      <c r="AT21" s="144" t="s">
        <v>179</v>
      </c>
      <c r="AU21" s="146" t="s">
        <v>150</v>
      </c>
      <c r="AV21" s="137" t="s">
        <v>153</v>
      </c>
      <c r="AW21" s="137" t="s">
        <v>154</v>
      </c>
      <c r="AX21" s="189" t="s">
        <v>155</v>
      </c>
      <c r="AY21" s="189" t="s">
        <v>156</v>
      </c>
      <c r="AZ21" s="189" t="s">
        <v>157</v>
      </c>
      <c r="BA21" s="137" t="s">
        <v>158</v>
      </c>
      <c r="BB21" s="137"/>
      <c r="BC21" s="137"/>
      <c r="BD21" s="137"/>
      <c r="BE21" s="137"/>
      <c r="BF21" s="137" t="s">
        <v>159</v>
      </c>
      <c r="BG21" s="138" t="s">
        <v>108</v>
      </c>
      <c r="BH21" s="139"/>
      <c r="BI21" s="139"/>
      <c r="BJ21" s="139"/>
      <c r="BK21" s="139"/>
      <c r="BL21" s="139"/>
      <c r="BM21" s="139"/>
      <c r="BN21" s="139"/>
      <c r="BO21" s="140"/>
      <c r="BP21" s="137" t="s">
        <v>159</v>
      </c>
      <c r="BQ21" s="138" t="s">
        <v>109</v>
      </c>
      <c r="BR21" s="139"/>
      <c r="BS21" s="139"/>
      <c r="BT21" s="139"/>
      <c r="BU21" s="139"/>
      <c r="BV21" s="139"/>
      <c r="BW21" s="139"/>
      <c r="BX21" s="139"/>
      <c r="BY21" s="140"/>
      <c r="BZ21" s="137" t="s">
        <v>159</v>
      </c>
      <c r="CA21" s="134" t="s">
        <v>166</v>
      </c>
      <c r="CB21" s="136" t="s">
        <v>167</v>
      </c>
      <c r="CC21" s="137" t="s">
        <v>159</v>
      </c>
      <c r="DA21" s="184" t="s">
        <v>144</v>
      </c>
      <c r="DB21" s="143" t="s">
        <v>45</v>
      </c>
      <c r="DC21" s="103" t="s">
        <v>33</v>
      </c>
      <c r="DD21" s="103" t="s">
        <v>145</v>
      </c>
      <c r="DE21" s="104" t="s">
        <v>177</v>
      </c>
      <c r="DF21" s="104" t="s">
        <v>178</v>
      </c>
      <c r="DG21" s="101" t="s">
        <v>25</v>
      </c>
      <c r="DH21" s="101" t="s">
        <v>127</v>
      </c>
      <c r="DI21" s="101" t="s">
        <v>128</v>
      </c>
      <c r="DJ21" s="101" t="s">
        <v>129</v>
      </c>
      <c r="DK21" s="143" t="s">
        <v>46</v>
      </c>
      <c r="DL21" s="105" t="s">
        <v>36</v>
      </c>
      <c r="DM21" s="105" t="s">
        <v>147</v>
      </c>
      <c r="DN21" s="105" t="s">
        <v>146</v>
      </c>
      <c r="DO21" s="105" t="s">
        <v>149</v>
      </c>
      <c r="DP21" s="105" t="s">
        <v>148</v>
      </c>
      <c r="DQ21" s="105" t="s">
        <v>37</v>
      </c>
      <c r="DR21" s="144" t="s">
        <v>164</v>
      </c>
      <c r="DS21" s="146" t="s">
        <v>151</v>
      </c>
      <c r="DT21" s="144" t="s">
        <v>179</v>
      </c>
      <c r="DU21" s="146" t="s">
        <v>150</v>
      </c>
      <c r="DV21" s="137" t="s">
        <v>153</v>
      </c>
      <c r="DW21" s="137" t="s">
        <v>154</v>
      </c>
      <c r="DX21" s="189" t="s">
        <v>155</v>
      </c>
      <c r="DY21" s="189" t="s">
        <v>156</v>
      </c>
      <c r="DZ21" s="189" t="s">
        <v>157</v>
      </c>
      <c r="EA21" s="137" t="s">
        <v>158</v>
      </c>
      <c r="EB21" s="137"/>
      <c r="EC21" s="137"/>
      <c r="ED21" s="137"/>
      <c r="EE21" s="137"/>
      <c r="EF21" s="137" t="s">
        <v>159</v>
      </c>
      <c r="EG21" s="138" t="s">
        <v>108</v>
      </c>
      <c r="EH21" s="139"/>
      <c r="EI21" s="139"/>
      <c r="EJ21" s="139"/>
      <c r="EK21" s="139"/>
      <c r="EL21" s="139"/>
      <c r="EM21" s="139"/>
      <c r="EN21" s="139"/>
      <c r="EO21" s="140"/>
      <c r="EP21" s="137" t="s">
        <v>159</v>
      </c>
      <c r="EQ21" s="138" t="s">
        <v>109</v>
      </c>
      <c r="ER21" s="139"/>
      <c r="ES21" s="139"/>
      <c r="ET21" s="139"/>
      <c r="EU21" s="139"/>
      <c r="EV21" s="139"/>
      <c r="EW21" s="139"/>
      <c r="EX21" s="139"/>
      <c r="EY21" s="140"/>
      <c r="EZ21" s="137" t="s">
        <v>159</v>
      </c>
      <c r="FA21" s="134" t="s">
        <v>166</v>
      </c>
      <c r="FB21" s="136" t="s">
        <v>167</v>
      </c>
      <c r="FC21" s="137" t="s">
        <v>159</v>
      </c>
    </row>
    <row r="22" spans="2:159" ht="15">
      <c r="B22" s="12"/>
      <c r="C22" s="4"/>
      <c r="D22" s="6" t="s">
        <v>40</v>
      </c>
      <c r="E22" s="6" t="s">
        <v>40</v>
      </c>
      <c r="F22" s="6" t="s">
        <v>40</v>
      </c>
      <c r="G22" s="6" t="s">
        <v>40</v>
      </c>
      <c r="H22" s="142"/>
      <c r="I22" s="142"/>
      <c r="J22" s="14" t="s">
        <v>41</v>
      </c>
      <c r="K22" s="15" t="s">
        <v>27</v>
      </c>
      <c r="L22" s="15" t="s">
        <v>28</v>
      </c>
      <c r="M22" s="15" t="s">
        <v>52</v>
      </c>
      <c r="N22" s="75"/>
      <c r="AA22" s="184"/>
      <c r="AB22" s="143"/>
      <c r="AC22" s="107" t="s">
        <v>44</v>
      </c>
      <c r="AD22" s="107" t="s">
        <v>44</v>
      </c>
      <c r="AE22" s="101" t="s">
        <v>168</v>
      </c>
      <c r="AF22" s="101" t="s">
        <v>168</v>
      </c>
      <c r="AG22" s="104" t="s">
        <v>169</v>
      </c>
      <c r="AH22" s="102" t="s">
        <v>170</v>
      </c>
      <c r="AI22" s="102" t="s">
        <v>170</v>
      </c>
      <c r="AJ22" s="102" t="s">
        <v>52</v>
      </c>
      <c r="AK22" s="143"/>
      <c r="AL22" s="105" t="s">
        <v>171</v>
      </c>
      <c r="AM22" s="105" t="s">
        <v>171</v>
      </c>
      <c r="AN22" s="105" t="s">
        <v>171</v>
      </c>
      <c r="AO22" s="105" t="s">
        <v>172</v>
      </c>
      <c r="AP22" s="105" t="s">
        <v>172</v>
      </c>
      <c r="AQ22" s="105" t="s">
        <v>172</v>
      </c>
      <c r="AR22" s="145"/>
      <c r="AS22" s="145"/>
      <c r="AT22" s="145"/>
      <c r="AU22" s="145"/>
      <c r="AV22" s="137"/>
      <c r="AW22" s="137"/>
      <c r="AX22" s="189"/>
      <c r="AY22" s="189"/>
      <c r="AZ22" s="189"/>
      <c r="BA22" s="106" t="s">
        <v>36</v>
      </c>
      <c r="BB22" s="106" t="s">
        <v>173</v>
      </c>
      <c r="BC22" s="106" t="s">
        <v>174</v>
      </c>
      <c r="BD22" s="106" t="s">
        <v>152</v>
      </c>
      <c r="BE22" s="106" t="s">
        <v>165</v>
      </c>
      <c r="BF22" s="137"/>
      <c r="BG22" s="125" t="s">
        <v>160</v>
      </c>
      <c r="BH22" s="119" t="s">
        <v>162</v>
      </c>
      <c r="BI22" s="123" t="s">
        <v>164</v>
      </c>
      <c r="BJ22" s="124" t="s">
        <v>182</v>
      </c>
      <c r="BK22" s="123" t="s">
        <v>184</v>
      </c>
      <c r="BL22" s="122" t="s">
        <v>186</v>
      </c>
      <c r="BM22" s="121" t="s">
        <v>156</v>
      </c>
      <c r="BN22" s="120" t="s">
        <v>188</v>
      </c>
      <c r="BO22" s="106" t="s">
        <v>165</v>
      </c>
      <c r="BP22" s="137"/>
      <c r="BQ22" s="125" t="s">
        <v>161</v>
      </c>
      <c r="BR22" s="119" t="s">
        <v>163</v>
      </c>
      <c r="BS22" s="123" t="s">
        <v>179</v>
      </c>
      <c r="BT22" s="124" t="s">
        <v>183</v>
      </c>
      <c r="BU22" s="123" t="s">
        <v>185</v>
      </c>
      <c r="BV22" s="122" t="s">
        <v>187</v>
      </c>
      <c r="BW22" s="121" t="s">
        <v>157</v>
      </c>
      <c r="BX22" s="120" t="s">
        <v>189</v>
      </c>
      <c r="BY22" s="128" t="s">
        <v>165</v>
      </c>
      <c r="BZ22" s="137"/>
      <c r="CA22" s="135"/>
      <c r="CB22" s="135"/>
      <c r="CC22" s="137"/>
      <c r="DA22" s="184"/>
      <c r="DB22" s="143"/>
      <c r="DC22" s="107" t="s">
        <v>44</v>
      </c>
      <c r="DD22" s="107" t="s">
        <v>44</v>
      </c>
      <c r="DE22" s="101" t="s">
        <v>168</v>
      </c>
      <c r="DF22" s="101" t="s">
        <v>168</v>
      </c>
      <c r="DG22" s="104" t="s">
        <v>169</v>
      </c>
      <c r="DH22" s="102" t="s">
        <v>170</v>
      </c>
      <c r="DI22" s="102" t="s">
        <v>170</v>
      </c>
      <c r="DJ22" s="102" t="s">
        <v>52</v>
      </c>
      <c r="DK22" s="143"/>
      <c r="DL22" s="105" t="s">
        <v>171</v>
      </c>
      <c r="DM22" s="105" t="s">
        <v>171</v>
      </c>
      <c r="DN22" s="105" t="s">
        <v>171</v>
      </c>
      <c r="DO22" s="105" t="s">
        <v>172</v>
      </c>
      <c r="DP22" s="105" t="s">
        <v>172</v>
      </c>
      <c r="DQ22" s="105" t="s">
        <v>172</v>
      </c>
      <c r="DR22" s="145"/>
      <c r="DS22" s="145"/>
      <c r="DT22" s="145"/>
      <c r="DU22" s="145"/>
      <c r="DV22" s="137"/>
      <c r="DW22" s="137"/>
      <c r="DX22" s="189"/>
      <c r="DY22" s="189"/>
      <c r="DZ22" s="189"/>
      <c r="EA22" s="106" t="s">
        <v>36</v>
      </c>
      <c r="EB22" s="106" t="s">
        <v>173</v>
      </c>
      <c r="EC22" s="106" t="s">
        <v>174</v>
      </c>
      <c r="ED22" s="106" t="s">
        <v>152</v>
      </c>
      <c r="EE22" s="106" t="s">
        <v>165</v>
      </c>
      <c r="EF22" s="137"/>
      <c r="EG22" s="125" t="s">
        <v>160</v>
      </c>
      <c r="EH22" s="119" t="s">
        <v>162</v>
      </c>
      <c r="EI22" s="123" t="s">
        <v>164</v>
      </c>
      <c r="EJ22" s="124" t="s">
        <v>182</v>
      </c>
      <c r="EK22" s="123" t="s">
        <v>184</v>
      </c>
      <c r="EL22" s="122" t="s">
        <v>186</v>
      </c>
      <c r="EM22" s="121" t="s">
        <v>156</v>
      </c>
      <c r="EN22" s="120" t="s">
        <v>188</v>
      </c>
      <c r="EO22" s="127" t="s">
        <v>165</v>
      </c>
      <c r="EP22" s="137"/>
      <c r="EQ22" s="125" t="s">
        <v>161</v>
      </c>
      <c r="ER22" s="119" t="s">
        <v>163</v>
      </c>
      <c r="ES22" s="123" t="s">
        <v>179</v>
      </c>
      <c r="ET22" s="124" t="s">
        <v>183</v>
      </c>
      <c r="EU22" s="123" t="s">
        <v>185</v>
      </c>
      <c r="EV22" s="122" t="s">
        <v>187</v>
      </c>
      <c r="EW22" s="121" t="s">
        <v>157</v>
      </c>
      <c r="EX22" s="120" t="s">
        <v>189</v>
      </c>
      <c r="EY22" s="128" t="s">
        <v>165</v>
      </c>
      <c r="EZ22" s="137"/>
      <c r="FA22" s="135"/>
      <c r="FB22" s="135"/>
      <c r="FC22" s="137"/>
    </row>
    <row r="23" spans="2:159">
      <c r="B23" s="12"/>
      <c r="C23" s="4"/>
      <c r="D23" s="22">
        <f>VLOOKUP(F20,Data!$A$3:$E$99,2,FALSE)</f>
        <v>206000</v>
      </c>
      <c r="E23" s="6">
        <f>VLOOKUP(F20,Data!$A$3:$E$99,3,FALSE)</f>
        <v>240</v>
      </c>
      <c r="F23" s="30">
        <f>E23/H23</f>
        <v>228.57142857142856</v>
      </c>
      <c r="G23" s="16">
        <f>0.58*E23/H23</f>
        <v>132.57142857142856</v>
      </c>
      <c r="H23" s="22">
        <f>VLOOKUP(F20,Data!$A$3:$E$99,5,FALSE)</f>
        <v>1.05</v>
      </c>
      <c r="I23" s="7">
        <v>0.95</v>
      </c>
      <c r="J23" s="19">
        <f>PI()*(F15^2-(F15-2*F16)^2)/400</f>
        <v>53.194310748562032</v>
      </c>
      <c r="K23" s="20">
        <f>PI()/64*(F15^4-(F15-2*F16)^4)/10000</f>
        <v>4730.4733077169476</v>
      </c>
      <c r="L23" s="17">
        <f>K23/(F15/20)</f>
        <v>346.55482107816465</v>
      </c>
      <c r="M23" s="17">
        <f>SQRT(K23/J23)</f>
        <v>9.4301739777164233</v>
      </c>
      <c r="N23" s="76"/>
      <c r="AA23" s="79" t="s">
        <v>175</v>
      </c>
      <c r="AB23" s="80" t="s">
        <v>192</v>
      </c>
      <c r="AC23" s="81">
        <v>0</v>
      </c>
      <c r="AD23" s="81">
        <v>6</v>
      </c>
      <c r="AE23" s="80">
        <v>273</v>
      </c>
      <c r="AF23" s="80">
        <v>6.35</v>
      </c>
      <c r="AG23" s="108" cm="1">
        <f t="array" ref="AG23">_xll.DCEPropSectPipe(AE23, AF23, "Area")/100</f>
        <v>53.19431074856206</v>
      </c>
      <c r="AH23" s="16" cm="1">
        <f t="array" ref="AH23">_xll.DCEPropSectPipe(AE23, AF23, "Ix")/10000</f>
        <v>4730.4733077169503</v>
      </c>
      <c r="AI23" s="16" cm="1">
        <f t="array" ref="AI23">_xll.DCEPropSectPipe(AE23, AF23, "Wx")/1000</f>
        <v>346.55482107816493</v>
      </c>
      <c r="AJ23" s="108">
        <f>SQRT(AH23/AG23)</f>
        <v>9.4301739777164251</v>
      </c>
      <c r="AK23" s="80" t="s">
        <v>206</v>
      </c>
      <c r="AL23" s="82">
        <v>-26.999950680555763</v>
      </c>
      <c r="AM23" s="82">
        <v>4.0343696448804733</v>
      </c>
      <c r="AN23" s="82">
        <v>1.1818443427216452</v>
      </c>
      <c r="AO23" s="82">
        <v>0</v>
      </c>
      <c r="AP23" s="82">
        <v>0</v>
      </c>
      <c r="AQ23" s="82">
        <v>0.11365940233522918</v>
      </c>
      <c r="AR23" s="110">
        <v>1</v>
      </c>
      <c r="AS23" s="116">
        <f>AR23*AD23</f>
        <v>6</v>
      </c>
      <c r="AT23" s="109">
        <v>2</v>
      </c>
      <c r="AU23" s="6">
        <f>AT23*AD23</f>
        <v>12</v>
      </c>
      <c r="AV23" s="111">
        <f>ABS(AL23)/(AG23*$F$23)*10</f>
        <v>2.2206281567549894E-2</v>
      </c>
      <c r="AW23" s="117">
        <f>IF(AV23&gt;0.1,104,105)</f>
        <v>105</v>
      </c>
      <c r="AX23" s="111">
        <f>IF(AW23=104,1.5,1)</f>
        <v>1</v>
      </c>
      <c r="AY23" s="111">
        <f>IF(AW23=104,1.26,1)</f>
        <v>1</v>
      </c>
      <c r="AZ23" s="111">
        <f>IF(AW23=104,1.26,1)</f>
        <v>1</v>
      </c>
      <c r="BA23" s="111">
        <f>(ABS(AL23)/(AG23*$F$23*$I$23)*10)^AX23</f>
        <v>2.3375033228999888E-2</v>
      </c>
      <c r="BB23" s="111">
        <f>ABS(AO23)/(AY23*AI23*$F$23*$I$23)*1000</f>
        <v>0</v>
      </c>
      <c r="BC23" s="111">
        <f>ABS(AP23)/(AZ23*AI23*$F$23*$I$23)*1000</f>
        <v>0</v>
      </c>
      <c r="BD23" s="111">
        <v>0</v>
      </c>
      <c r="BE23" s="111">
        <f>BA23+BB23+BC23+BD23</f>
        <v>2.3375033228999888E-2</v>
      </c>
      <c r="BF23" s="6" t="str">
        <f>IF(BE23&lt;=1,"OK","Check")</f>
        <v>OK</v>
      </c>
      <c r="BG23" s="16">
        <f>AS23*100/AJ23</f>
        <v>63.625549371390676</v>
      </c>
      <c r="BH23" s="118">
        <f>BG23*SQRT($F$23/$D$23)</f>
        <v>2.1193803644775273</v>
      </c>
      <c r="BI23" s="108">
        <f>ABS((AO23/AL23)*100*AG23/AI23)</f>
        <v>0</v>
      </c>
      <c r="BJ23" s="6">
        <f>IF(AND(BH23&lt;=5,BI23&lt;=5),(1.35-0.05*BI23)-0.01*(5-BI23)*BH23,1.1)</f>
        <v>1.2440309817761237</v>
      </c>
      <c r="BK23" s="108">
        <f>BI23*BJ23</f>
        <v>0</v>
      </c>
      <c r="BL23" s="118" cm="1">
        <f t="array" ref="BL23">IF(AO23=0,FactorPhi7121(BH23,"a"),noisuy2chieu(BK23,BH23,Data!$A$63:$M$85))</f>
        <v>0.86214274110469236</v>
      </c>
      <c r="BM23" s="111">
        <v>1.26</v>
      </c>
      <c r="BN23" s="118">
        <f>IF(BH23&lt;=1,1,1-0.1*ABS(AL23)*BH23^2/(AG23*$F$23)*10)</f>
        <v>0.9900254421152479</v>
      </c>
      <c r="BO23" s="108">
        <f>ABS(AL23)/(BV23*AG23*$F$23*$I$23)*10+ABS(AO23)*1000/(BM23*BN23*AI23*$F$23*$I$23)</f>
        <v>5.5260714218881575E-2</v>
      </c>
      <c r="BP23" s="6" t="str">
        <f>IF(BO23&lt;=1,"OK","Check")</f>
        <v>OK</v>
      </c>
      <c r="BQ23" s="16">
        <f>AU23*100/AJ23</f>
        <v>127.25109874278135</v>
      </c>
      <c r="BR23" s="118">
        <f>BQ23*SQRT($F$23/$D$23)</f>
        <v>4.2387607289550546</v>
      </c>
      <c r="BS23" s="108">
        <f>ABS((AP23/AL23)*100*AG23/AI23)</f>
        <v>0</v>
      </c>
      <c r="BT23" s="118">
        <f>IF(AND(BR23&lt;=5,BS23&lt;=5),(1.35-0.05*BS23)-0.01*(5-BS23)*BR23,1.1)</f>
        <v>1.1380619635522473</v>
      </c>
      <c r="BU23" s="108">
        <f>BS23*BT23</f>
        <v>0</v>
      </c>
      <c r="BV23" s="6" cm="1">
        <f t="array" ref="BV23">IF(AP23=0,FactorPhi7121(BR23,"a"),noisuy2chieu(BU23,BR23,Data!$A$63:$M$85))</f>
        <v>0.42299549615688942</v>
      </c>
      <c r="BW23" s="111">
        <v>1.26</v>
      </c>
      <c r="BX23" s="111">
        <f>IF(BR23&lt;=1,1,1-0.1*ABS(AL23)*BR23^2/(AG23*$F$23)*10)</f>
        <v>0.9601017684609916</v>
      </c>
      <c r="BY23" s="113">
        <f>ABS(AL23)/(BL23*AG23*$F$23*$I$23)*10+ABS(AP23)*1000/(BW23*BX23*AI23*$F$23*$I$23)</f>
        <v>2.7112718247849159E-2</v>
      </c>
      <c r="BZ23" s="6" t="str">
        <f>IF(BY23&lt;=1,"OK","Check")</f>
        <v>OK</v>
      </c>
      <c r="CA23" s="114">
        <f>MAX(BG23,BQ23)</f>
        <v>127.25109874278135</v>
      </c>
      <c r="CB23" s="115">
        <f>180-60*MAX(ABS(AL23)/(BV23*AG23*$F$23*$I$23)*10,ABS(AL23)/(BL23*AG23*$F$23*$I$23)*10,0.5)</f>
        <v>150</v>
      </c>
      <c r="CC23" s="6" t="str">
        <f>IF(CA23&lt;=CB23,"OK","Check")</f>
        <v>OK</v>
      </c>
      <c r="DA23" s="79" t="s">
        <v>175</v>
      </c>
      <c r="DB23" s="80" t="s">
        <v>192</v>
      </c>
      <c r="DC23" s="81">
        <v>5.48</v>
      </c>
      <c r="DD23" s="81">
        <v>6</v>
      </c>
      <c r="DE23" s="80">
        <v>273</v>
      </c>
      <c r="DF23" s="80">
        <v>6.35</v>
      </c>
      <c r="DG23" s="108">
        <v>53.19431074856206</v>
      </c>
      <c r="DH23" s="16">
        <v>4730.4733077169503</v>
      </c>
      <c r="DI23" s="16">
        <v>346.55482107816493</v>
      </c>
      <c r="DJ23" s="108">
        <v>9.4301739777164251</v>
      </c>
      <c r="DK23" s="80" t="s">
        <v>216</v>
      </c>
      <c r="DL23" s="82">
        <v>-49.838765697802984</v>
      </c>
      <c r="DM23" s="82">
        <v>7.6801675491450991</v>
      </c>
      <c r="DN23" s="82">
        <v>2.5503186986521955</v>
      </c>
      <c r="DO23" s="82">
        <v>-13.985947743408639</v>
      </c>
      <c r="DP23" s="82">
        <v>-42.118038839511726</v>
      </c>
      <c r="DQ23" s="82">
        <v>0.24270063368963435</v>
      </c>
      <c r="DR23" s="110">
        <v>1</v>
      </c>
      <c r="DS23" s="116">
        <v>6</v>
      </c>
      <c r="DT23" s="109">
        <v>2</v>
      </c>
      <c r="DU23" s="6">
        <v>12</v>
      </c>
      <c r="DV23" s="111">
        <v>4.0153675670892154E-2</v>
      </c>
      <c r="DW23" s="117">
        <v>105</v>
      </c>
      <c r="DX23" s="111">
        <v>1</v>
      </c>
      <c r="DY23" s="111">
        <v>1</v>
      </c>
      <c r="DZ23" s="111">
        <v>1</v>
      </c>
      <c r="EA23" s="111">
        <v>4.226702702199174E-2</v>
      </c>
      <c r="EB23" s="111">
        <v>0.18206210752397303</v>
      </c>
      <c r="EC23" s="111">
        <v>0.54827166929119353</v>
      </c>
      <c r="ED23" s="111">
        <v>0</v>
      </c>
      <c r="EE23" s="113">
        <v>0.77260080383715835</v>
      </c>
      <c r="EF23" s="6" t="s">
        <v>219</v>
      </c>
      <c r="EG23" s="16">
        <v>63.625549371390676</v>
      </c>
      <c r="EH23" s="118">
        <v>2.141343441906038</v>
      </c>
      <c r="EI23" s="108">
        <v>4.3074263876956662</v>
      </c>
      <c r="EJ23" s="6">
        <v>1.1197983009877661</v>
      </c>
      <c r="EK23" s="108">
        <v>4.8234487505714778</v>
      </c>
      <c r="EL23" s="118">
        <v>0.22306784987449646</v>
      </c>
      <c r="EM23" s="111">
        <v>1.26</v>
      </c>
      <c r="EN23" s="118">
        <v>0.9815881273547904</v>
      </c>
      <c r="EO23" s="113">
        <v>0.70867257548980267</v>
      </c>
      <c r="EP23" s="6" t="s">
        <v>219</v>
      </c>
      <c r="EQ23" s="16">
        <v>127.25109874278135</v>
      </c>
      <c r="ER23" s="118">
        <v>4.282686883812076</v>
      </c>
      <c r="ES23" s="108">
        <v>12.971616598582271</v>
      </c>
      <c r="ET23" s="118">
        <v>1.1000000000000001</v>
      </c>
      <c r="EU23" s="108">
        <v>14.268778258440499</v>
      </c>
      <c r="EV23" s="6">
        <v>7.5279422104358673E-2</v>
      </c>
      <c r="EW23" s="111">
        <v>1.26</v>
      </c>
      <c r="EX23" s="111">
        <v>0.92635250941916158</v>
      </c>
      <c r="EY23" s="113">
        <v>0.65921132187169906</v>
      </c>
      <c r="EZ23" s="6" t="s">
        <v>219</v>
      </c>
      <c r="FA23" s="130">
        <v>127.25109874278135</v>
      </c>
      <c r="FB23" s="131">
        <v>146.31188775859812</v>
      </c>
      <c r="FC23" s="6" t="s">
        <v>219</v>
      </c>
    </row>
    <row r="24" spans="2:159">
      <c r="B24" s="9" t="s">
        <v>39</v>
      </c>
      <c r="C24" s="4"/>
      <c r="D24" s="4"/>
      <c r="E24" s="4"/>
      <c r="F24" s="4"/>
      <c r="G24" s="4"/>
      <c r="H24" s="4"/>
      <c r="I24" s="4"/>
      <c r="J24" s="4"/>
      <c r="K24" s="4"/>
      <c r="L24" s="50"/>
      <c r="M24" s="4"/>
      <c r="N24" s="11"/>
      <c r="AA24" s="79" t="s">
        <v>175</v>
      </c>
      <c r="AB24" s="80" t="s">
        <v>192</v>
      </c>
      <c r="AC24" s="81">
        <v>2.74</v>
      </c>
      <c r="AD24" s="81">
        <v>6</v>
      </c>
      <c r="AE24" s="80">
        <v>273</v>
      </c>
      <c r="AF24" s="80">
        <v>6.35</v>
      </c>
      <c r="AG24" s="108" cm="1">
        <f t="array" ref="AG24">_xll.DCEPropSectPipe(AE24, AF24, "Area")/100</f>
        <v>53.19431074856206</v>
      </c>
      <c r="AH24" s="16" cm="1">
        <f t="array" ref="AH24">_xll.DCEPropSectPipe(AE24, AF24, "Ix")/10000</f>
        <v>4730.4733077169503</v>
      </c>
      <c r="AI24" s="16" cm="1">
        <f t="array" ref="AI24">_xll.DCEPropSectPipe(AE24, AF24, "Wx")/1000</f>
        <v>346.55482107816493</v>
      </c>
      <c r="AJ24" s="108">
        <f t="shared" ref="AJ24:AJ87" si="1">SQRT(AH24/AG24)</f>
        <v>9.4301739777164251</v>
      </c>
      <c r="AK24" s="80" t="s">
        <v>206</v>
      </c>
      <c r="AL24" s="82">
        <v>-25.652690331823734</v>
      </c>
      <c r="AM24" s="82">
        <v>4.0343696448804733</v>
      </c>
      <c r="AN24" s="82">
        <v>1.1818443427216452</v>
      </c>
      <c r="AO24" s="82">
        <v>-3.240617187742751</v>
      </c>
      <c r="AP24" s="82">
        <v>-11.062241566262257</v>
      </c>
      <c r="AQ24" s="82">
        <v>0.11365940233522918</v>
      </c>
      <c r="AR24" s="109">
        <v>1</v>
      </c>
      <c r="AS24" s="116">
        <f t="shared" ref="AS24:AS87" si="2">AR24*AD24</f>
        <v>6</v>
      </c>
      <c r="AT24" s="109">
        <v>2</v>
      </c>
      <c r="AU24" s="6">
        <f t="shared" ref="AU24:AU87" si="3">AT24*AD24</f>
        <v>12</v>
      </c>
      <c r="AV24" s="111">
        <f t="shared" ref="AV24:AV87" si="4">ABS(AL24)/(AG24*$F$23)*10</f>
        <v>2.1098218704669019E-2</v>
      </c>
      <c r="AW24" s="117">
        <f t="shared" ref="AW24:AW87" si="5">IF(AV24&gt;0.1,104,105)</f>
        <v>105</v>
      </c>
      <c r="AX24" s="111">
        <f t="shared" ref="AX24:AX87" si="6">IF(AW24=104,1.5,1)</f>
        <v>1</v>
      </c>
      <c r="AY24" s="111">
        <f t="shared" ref="AY24:AY87" si="7">IF(AW24=104,1.26,1)</f>
        <v>1</v>
      </c>
      <c r="AZ24" s="111">
        <f t="shared" ref="AZ24:AZ87" si="8">IF(AW24=104,1.26,1)</f>
        <v>1</v>
      </c>
      <c r="BA24" s="111">
        <f t="shared" ref="BA24:BA87" si="9">(ABS(AL24)/(AG24*$F$23*$I$23)*10)^AX24</f>
        <v>2.2208651268072657E-2</v>
      </c>
      <c r="BB24" s="111">
        <f t="shared" ref="BB24:BB87" si="10">ABS(AO24)/(AY24*AI24*$F$23*$I$23)*1000</f>
        <v>4.3063590623620501E-2</v>
      </c>
      <c r="BC24" s="111">
        <f t="shared" ref="BC24:BC87" si="11">ABS(AP24)/(AZ24*AI24*$F$23*$I$23)*1000</f>
        <v>0.14700281291815842</v>
      </c>
      <c r="BD24" s="111">
        <v>0</v>
      </c>
      <c r="BE24" s="111">
        <f t="shared" ref="BE24:BE87" si="12">BA24+BB24+BC24+BD24</f>
        <v>0.21227505480985159</v>
      </c>
      <c r="BF24" s="6" t="str">
        <f t="shared" ref="BF24:BF87" si="13">IF(BE24&lt;=1,"OK","Check")</f>
        <v>OK</v>
      </c>
      <c r="BG24" s="16">
        <f t="shared" ref="BG24:BG87" si="14">AS24*100/AJ24</f>
        <v>63.625549371390676</v>
      </c>
      <c r="BH24" s="118">
        <f t="shared" ref="BH24:BH87" si="15">BG24*SQRT($F$23/$D$23)</f>
        <v>2.1193803644775273</v>
      </c>
      <c r="BI24" s="108">
        <f t="shared" ref="BI24:BI87" si="16">ABS((AO24/AL24)*100*AG24/AI24)</f>
        <v>1.939045739600094</v>
      </c>
      <c r="BJ24" s="6">
        <f t="shared" ref="BJ24:BJ87" si="17">IF(AND(BH24&lt;=5,BI24&lt;=5),(1.35-0.05*BI24)-0.01*(5-BI24)*BH24,1.1)</f>
        <v>1.1881744494594413</v>
      </c>
      <c r="BK24" s="108">
        <f t="shared" ref="BK24:BK87" si="18">BI24*BJ24</f>
        <v>2.3039246041260166</v>
      </c>
      <c r="BL24" s="118" cm="1">
        <f t="array" ref="BL24">IF(AO24=0,FactorPhi7121(BH24,"a"),noisuy2chieu(BK24,BH24,Data!$A$63:$M$85))</f>
        <v>0</v>
      </c>
      <c r="BM24" s="111">
        <v>1.26</v>
      </c>
      <c r="BN24" s="118">
        <f t="shared" ref="BN24:BN87" si="19">IF(BH24&lt;=1,1,1-0.1*ABS(AL24)*BH24^2/(AG24*$F$23)*10)</f>
        <v>0.99052315881455788</v>
      </c>
      <c r="BO24" s="108" t="e">
        <f t="shared" ref="BO24:BO87" si="20">ABS(AL24)/(BV24*AG24*$F$23*$I$23)*10+ABS(AO24)*1000/(BM24*BN24*AI24*$F$23*$I$23)</f>
        <v>#DIV/0!</v>
      </c>
      <c r="BP24" s="6" t="e">
        <f t="shared" ref="BP24:BP87" si="21">IF(BO24&lt;=1,"OK","Check")</f>
        <v>#DIV/0!</v>
      </c>
      <c r="BQ24" s="16">
        <f t="shared" ref="BQ24:BQ87" si="22">AU24*100/AJ24</f>
        <v>127.25109874278135</v>
      </c>
      <c r="BR24" s="118">
        <f t="shared" ref="BR24:BR87" si="23">BQ24*SQRT($F$23/$D$23)</f>
        <v>4.2387607289550546</v>
      </c>
      <c r="BS24" s="108">
        <f t="shared" ref="BS24:BS87" si="24">ABS((AP24/AL24)*100*AG24/AI24)</f>
        <v>6.6191688609875605</v>
      </c>
      <c r="BT24" s="118">
        <f t="shared" ref="BT24:BT87" si="25">IF(AND(BR24&lt;=5,BS24&lt;=5),(1.35-0.05*BS24)-0.01*(5-BS24)*BR24,1.1)</f>
        <v>1.1000000000000001</v>
      </c>
      <c r="BU24" s="108">
        <f t="shared" ref="BU24:BU87" si="26">BS24*BT24</f>
        <v>7.2810857470863173</v>
      </c>
      <c r="BV24" s="6" cm="1">
        <f t="array" ref="BV24">IF(AP24=0,FactorPhi7121(BR24,"a"),noisuy2chieu(BU24,BR24,Data!$A$63:$M$85))</f>
        <v>0</v>
      </c>
      <c r="BW24" s="111">
        <v>1.26</v>
      </c>
      <c r="BX24" s="111">
        <f t="shared" ref="BX24:BX87" si="27">IF(BR24&lt;=1,1,1-0.1*ABS(AL24)*BR24^2/(AG24*$F$23)*10)</f>
        <v>0.96209263525823163</v>
      </c>
      <c r="BY24" s="113" t="e">
        <f t="shared" ref="BY24:BY87" si="28">ABS(AL24)/(BL24*AG24*$F$23*$I$23)*10+ABS(AP24)*1000/(BW24*BX24*AI24*$F$23*$I$23)</f>
        <v>#DIV/0!</v>
      </c>
      <c r="BZ24" s="6" t="e">
        <f t="shared" ref="BZ24:BZ87" si="29">IF(BY24&lt;=1,"OK","Check")</f>
        <v>#DIV/0!</v>
      </c>
      <c r="CA24" s="114">
        <f t="shared" ref="CA24:CA87" si="30">MAX(BG24,BQ24)</f>
        <v>127.25109874278135</v>
      </c>
      <c r="CB24" s="115" t="e">
        <f t="shared" ref="CB24:CB87" si="31">180-60*MAX(ABS(AL24)/(BV24*AG24*$F$23*$I$23)*10,ABS(AL24)/(BL24*AG24*$F$23*$I$23)*10,0.5)</f>
        <v>#DIV/0!</v>
      </c>
      <c r="CC24" s="6" t="e">
        <f t="shared" ref="CC24:CC87" si="32">IF(CA24&lt;=CB24,"OK","Check")</f>
        <v>#DIV/0!</v>
      </c>
      <c r="DA24" s="79" t="s">
        <v>175</v>
      </c>
      <c r="DB24" s="80" t="s">
        <v>193</v>
      </c>
      <c r="DC24" s="81">
        <v>5.48</v>
      </c>
      <c r="DD24" s="81">
        <v>6</v>
      </c>
      <c r="DE24" s="80">
        <v>273</v>
      </c>
      <c r="DF24" s="80">
        <v>6.35</v>
      </c>
      <c r="DG24" s="108">
        <v>53.19431074856206</v>
      </c>
      <c r="DH24" s="16">
        <v>4730.4733077169503</v>
      </c>
      <c r="DI24" s="16">
        <v>346.55482107816493</v>
      </c>
      <c r="DJ24" s="108">
        <v>9.4301739777164251</v>
      </c>
      <c r="DK24" s="80" t="s">
        <v>216</v>
      </c>
      <c r="DL24" s="82">
        <v>-88.970249001651368</v>
      </c>
      <c r="DM24" s="82">
        <v>10.026764900555589</v>
      </c>
      <c r="DN24" s="82">
        <v>4.1082519285202173</v>
      </c>
      <c r="DO24" s="82">
        <v>-22.529653576004872</v>
      </c>
      <c r="DP24" s="82">
        <v>-54.986778714646832</v>
      </c>
      <c r="DQ24" s="82">
        <v>0.23233249486421656</v>
      </c>
      <c r="DR24" s="109">
        <v>1</v>
      </c>
      <c r="DS24" s="116">
        <v>6</v>
      </c>
      <c r="DT24" s="109">
        <v>2</v>
      </c>
      <c r="DU24" s="6">
        <v>12</v>
      </c>
      <c r="DV24" s="111">
        <v>7.168079852604195E-2</v>
      </c>
      <c r="DW24" s="111">
        <v>105</v>
      </c>
      <c r="DX24" s="111">
        <v>1</v>
      </c>
      <c r="DY24" s="111">
        <v>1</v>
      </c>
      <c r="DZ24" s="111">
        <v>1</v>
      </c>
      <c r="EA24" s="111">
        <v>7.5453472132675725E-2</v>
      </c>
      <c r="EB24" s="111">
        <v>0.29327981822079779</v>
      </c>
      <c r="EC24" s="111">
        <v>0.71579052077189231</v>
      </c>
      <c r="ED24" s="111">
        <v>0</v>
      </c>
      <c r="EE24" s="113">
        <v>1.0845238111253659</v>
      </c>
      <c r="EF24" s="6" t="s">
        <v>220</v>
      </c>
      <c r="EG24" s="6">
        <v>63.625549371390676</v>
      </c>
      <c r="EH24" s="6">
        <v>2.141343441906038</v>
      </c>
      <c r="EI24" s="6">
        <v>3.8868962544904617</v>
      </c>
      <c r="EJ24" s="6">
        <v>1.131819813219398</v>
      </c>
      <c r="EK24" s="6">
        <v>4.3992661927605718</v>
      </c>
      <c r="EL24" s="112">
        <v>0.23826171457767487</v>
      </c>
      <c r="EM24" s="112">
        <v>1.26</v>
      </c>
      <c r="EN24" s="118">
        <v>0.96713183260268409</v>
      </c>
      <c r="EO24" s="113">
        <v>1.0520234483959143</v>
      </c>
      <c r="EP24" s="112" t="s">
        <v>220</v>
      </c>
      <c r="EQ24" s="112">
        <v>127.25109874278135</v>
      </c>
      <c r="ER24" s="112">
        <v>4.282686883812076</v>
      </c>
      <c r="ES24" s="112">
        <v>9.4865153390590429</v>
      </c>
      <c r="ET24" s="112">
        <v>1.1000000000000001</v>
      </c>
      <c r="EU24" s="112">
        <v>10.435166872964947</v>
      </c>
      <c r="EV24" s="6">
        <v>9.2997297644615173E-2</v>
      </c>
      <c r="EW24" s="6">
        <v>1.26</v>
      </c>
      <c r="EX24" s="118">
        <v>0.8685273304107366</v>
      </c>
      <c r="EY24" s="113">
        <v>0.97076472198888886</v>
      </c>
      <c r="EZ24" s="6" t="s">
        <v>219</v>
      </c>
      <c r="FA24" s="130">
        <v>127.25109874278135</v>
      </c>
      <c r="FB24" s="131">
        <v>131.3189260051291</v>
      </c>
      <c r="FC24" s="6" t="s">
        <v>219</v>
      </c>
    </row>
    <row r="25" spans="2:159" ht="15">
      <c r="B25" s="12"/>
      <c r="C25" s="4"/>
      <c r="D25" s="176" t="s">
        <v>45</v>
      </c>
      <c r="E25" s="26" t="s">
        <v>33</v>
      </c>
      <c r="F25" s="170" t="s">
        <v>46</v>
      </c>
      <c r="G25" s="170"/>
      <c r="H25" s="6" t="s">
        <v>36</v>
      </c>
      <c r="I25" s="6" t="s">
        <v>64</v>
      </c>
      <c r="J25" s="6" t="s">
        <v>63</v>
      </c>
      <c r="K25" s="6" t="s">
        <v>66</v>
      </c>
      <c r="L25" s="6" t="s">
        <v>65</v>
      </c>
      <c r="M25" s="6" t="s">
        <v>37</v>
      </c>
      <c r="N25" s="4"/>
      <c r="AA25" s="79" t="s">
        <v>175</v>
      </c>
      <c r="AB25" s="80" t="s">
        <v>192</v>
      </c>
      <c r="AC25" s="81">
        <v>5.48</v>
      </c>
      <c r="AD25" s="81">
        <v>6</v>
      </c>
      <c r="AE25" s="80">
        <v>273</v>
      </c>
      <c r="AF25" s="80">
        <v>6.35</v>
      </c>
      <c r="AG25" s="108" cm="1">
        <f t="array" ref="AG25">_xll.DCEPropSectPipe(AE25, AF25, "Area")/100</f>
        <v>53.19431074856206</v>
      </c>
      <c r="AH25" s="16" cm="1">
        <f t="array" ref="AH25">_xll.DCEPropSectPipe(AE25, AF25, "Ix")/10000</f>
        <v>4730.4733077169503</v>
      </c>
      <c r="AI25" s="16" cm="1">
        <f t="array" ref="AI25">_xll.DCEPropSectPipe(AE25, AF25, "Wx")/1000</f>
        <v>346.55482107816493</v>
      </c>
      <c r="AJ25" s="108">
        <f t="shared" si="1"/>
        <v>9.4301739777164251</v>
      </c>
      <c r="AK25" s="80" t="s">
        <v>206</v>
      </c>
      <c r="AL25" s="82">
        <v>-24.305429983091699</v>
      </c>
      <c r="AM25" s="82">
        <v>4.0343696448804733</v>
      </c>
      <c r="AN25" s="82">
        <v>1.1818443427216452</v>
      </c>
      <c r="AO25" s="82">
        <v>-6.481234375485502</v>
      </c>
      <c r="AP25" s="82">
        <v>-22.124483132524514</v>
      </c>
      <c r="AQ25" s="82">
        <v>0.11365940233522918</v>
      </c>
      <c r="AR25" s="109">
        <v>1</v>
      </c>
      <c r="AS25" s="116">
        <f t="shared" si="2"/>
        <v>6</v>
      </c>
      <c r="AT25" s="109">
        <v>2</v>
      </c>
      <c r="AU25" s="6">
        <f t="shared" si="3"/>
        <v>12</v>
      </c>
      <c r="AV25" s="111">
        <f t="shared" si="4"/>
        <v>1.9990155841788149E-2</v>
      </c>
      <c r="AW25" s="117">
        <f t="shared" si="5"/>
        <v>105</v>
      </c>
      <c r="AX25" s="111">
        <f t="shared" si="6"/>
        <v>1</v>
      </c>
      <c r="AY25" s="111">
        <f t="shared" si="7"/>
        <v>1</v>
      </c>
      <c r="AZ25" s="111">
        <f t="shared" si="8"/>
        <v>1</v>
      </c>
      <c r="BA25" s="111">
        <f t="shared" si="9"/>
        <v>2.1042269307145423E-2</v>
      </c>
      <c r="BB25" s="111">
        <f t="shared" si="10"/>
        <v>8.6127181247241003E-2</v>
      </c>
      <c r="BC25" s="111">
        <f t="shared" si="11"/>
        <v>0.29400562583631684</v>
      </c>
      <c r="BD25" s="111">
        <v>0</v>
      </c>
      <c r="BE25" s="111">
        <f t="shared" si="12"/>
        <v>0.40117507639070327</v>
      </c>
      <c r="BF25" s="6" t="str">
        <f t="shared" si="13"/>
        <v>OK</v>
      </c>
      <c r="BG25" s="16">
        <f t="shared" si="14"/>
        <v>63.625549371390676</v>
      </c>
      <c r="BH25" s="118">
        <f t="shared" si="15"/>
        <v>2.1193803644775273</v>
      </c>
      <c r="BI25" s="108">
        <f t="shared" si="16"/>
        <v>4.0930557436594741</v>
      </c>
      <c r="BJ25" s="6">
        <f t="shared" si="17"/>
        <v>1.1261256143313885</v>
      </c>
      <c r="BK25" s="108">
        <f t="shared" si="18"/>
        <v>4.6092949138211434</v>
      </c>
      <c r="BL25" s="118" cm="1">
        <f t="array" ref="BL25">IF(AO25=0,FactorPhi7121(BH25,"a"),noisuy2chieu(BK25,BH25,Data!$A$63:$M$85))</f>
        <v>0</v>
      </c>
      <c r="BM25" s="111">
        <v>1.26</v>
      </c>
      <c r="BN25" s="118">
        <f t="shared" si="19"/>
        <v>0.99102087551386786</v>
      </c>
      <c r="BO25" s="108" t="e">
        <f t="shared" si="20"/>
        <v>#DIV/0!</v>
      </c>
      <c r="BP25" s="6" t="e">
        <f t="shared" si="21"/>
        <v>#DIV/0!</v>
      </c>
      <c r="BQ25" s="16">
        <f t="shared" si="22"/>
        <v>127.25109874278135</v>
      </c>
      <c r="BR25" s="118">
        <f t="shared" si="23"/>
        <v>4.2387607289550546</v>
      </c>
      <c r="BS25" s="108">
        <f t="shared" si="24"/>
        <v>13.97214442724008</v>
      </c>
      <c r="BT25" s="118">
        <f t="shared" si="25"/>
        <v>1.1000000000000001</v>
      </c>
      <c r="BU25" s="108">
        <f t="shared" si="26"/>
        <v>15.369358869964088</v>
      </c>
      <c r="BV25" s="6" cm="1">
        <f t="array" ref="BV25">IF(AP25=0,FactorPhi7121(BR25,"a"),noisuy2chieu(BU25,BR25,Data!$A$63:$M$85))</f>
        <v>0</v>
      </c>
      <c r="BW25" s="111">
        <v>1.26</v>
      </c>
      <c r="BX25" s="111">
        <f t="shared" si="27"/>
        <v>0.96408350205547155</v>
      </c>
      <c r="BY25" s="113" t="e">
        <f t="shared" si="28"/>
        <v>#DIV/0!</v>
      </c>
      <c r="BZ25" s="6" t="e">
        <f t="shared" si="29"/>
        <v>#DIV/0!</v>
      </c>
      <c r="CA25" s="114">
        <f t="shared" si="30"/>
        <v>127.25109874278135</v>
      </c>
      <c r="CB25" s="115" t="e">
        <f t="shared" si="31"/>
        <v>#DIV/0!</v>
      </c>
      <c r="CC25" s="6" t="e">
        <f t="shared" si="32"/>
        <v>#DIV/0!</v>
      </c>
      <c r="DA25" s="79" t="s">
        <v>175</v>
      </c>
      <c r="DB25" s="80" t="s">
        <v>194</v>
      </c>
      <c r="DC25" s="81">
        <v>5.48</v>
      </c>
      <c r="DD25" s="81">
        <v>6</v>
      </c>
      <c r="DE25" s="80">
        <v>273</v>
      </c>
      <c r="DF25" s="80">
        <v>6.35</v>
      </c>
      <c r="DG25" s="108">
        <v>53.19431074856206</v>
      </c>
      <c r="DH25" s="16">
        <v>4730.4733077169503</v>
      </c>
      <c r="DI25" s="16">
        <v>346.55482107816493</v>
      </c>
      <c r="DJ25" s="108">
        <v>9.4301739777164251</v>
      </c>
      <c r="DK25" s="80" t="s">
        <v>216</v>
      </c>
      <c r="DL25" s="82">
        <v>-84.464109710032432</v>
      </c>
      <c r="DM25" s="82">
        <v>9.7550701642147679</v>
      </c>
      <c r="DN25" s="82">
        <v>2.0063537471743094</v>
      </c>
      <c r="DO25" s="82">
        <v>-11.002843949503911</v>
      </c>
      <c r="DP25" s="82">
        <v>-53.496804780553781</v>
      </c>
      <c r="DQ25" s="82">
        <v>0.15807978780081752</v>
      </c>
      <c r="DR25" s="109">
        <v>1</v>
      </c>
      <c r="DS25" s="116">
        <v>6</v>
      </c>
      <c r="DT25" s="109">
        <v>2</v>
      </c>
      <c r="DU25" s="6">
        <v>12</v>
      </c>
      <c r="DV25" s="111">
        <v>6.8050330292927036E-2</v>
      </c>
      <c r="DW25" s="111">
        <v>105</v>
      </c>
      <c r="DX25" s="111">
        <v>1</v>
      </c>
      <c r="DY25" s="111">
        <v>1</v>
      </c>
      <c r="DZ25" s="111">
        <v>1</v>
      </c>
      <c r="EA25" s="111">
        <v>7.1631926624133729E-2</v>
      </c>
      <c r="EB25" s="111">
        <v>0.14322954689632345</v>
      </c>
      <c r="EC25" s="111">
        <v>0.69639478159328638</v>
      </c>
      <c r="ED25" s="111">
        <v>0</v>
      </c>
      <c r="EE25" s="113">
        <v>0.91125625511374353</v>
      </c>
      <c r="EF25" s="6" t="s">
        <v>219</v>
      </c>
      <c r="EG25" s="6">
        <v>63.625549371390676</v>
      </c>
      <c r="EH25" s="6">
        <v>2.141343441906038</v>
      </c>
      <c r="EI25" s="6">
        <v>1.9995210745604537</v>
      </c>
      <c r="EJ25" s="6">
        <v>1.1857733875763048</v>
      </c>
      <c r="EK25" s="6">
        <v>2.3709788781117624</v>
      </c>
      <c r="EL25" s="112">
        <v>0.35335314273834229</v>
      </c>
      <c r="EM25" s="112">
        <v>1.26</v>
      </c>
      <c r="EN25" s="118">
        <v>0.96879652998427523</v>
      </c>
      <c r="EO25" s="113">
        <v>0.89846538066780235</v>
      </c>
      <c r="EP25" s="112" t="s">
        <v>219</v>
      </c>
      <c r="EQ25" s="112">
        <v>127.25109874278135</v>
      </c>
      <c r="ER25" s="112">
        <v>4.282686883812076</v>
      </c>
      <c r="ES25" s="112">
        <v>9.7218491029482088</v>
      </c>
      <c r="ET25" s="112">
        <v>1.1000000000000001</v>
      </c>
      <c r="EU25" s="112">
        <v>10.69403401324303</v>
      </c>
      <c r="EV25" s="6">
        <v>9.1702967882156372E-2</v>
      </c>
      <c r="EW25" s="6">
        <v>1.26</v>
      </c>
      <c r="EX25" s="118">
        <v>0.87518611993710083</v>
      </c>
      <c r="EY25" s="113">
        <v>0.83423676908212752</v>
      </c>
      <c r="EZ25" s="6" t="s">
        <v>219</v>
      </c>
      <c r="FA25" s="130">
        <v>127.25109874278135</v>
      </c>
      <c r="FB25" s="131">
        <v>133.13220829481665</v>
      </c>
      <c r="FC25" s="6" t="s">
        <v>219</v>
      </c>
    </row>
    <row r="26" spans="2:159">
      <c r="B26" s="12"/>
      <c r="C26" s="4"/>
      <c r="D26" s="176"/>
      <c r="E26" s="22" t="s">
        <v>44</v>
      </c>
      <c r="F26" s="170"/>
      <c r="G26" s="170"/>
      <c r="H26" s="6" t="s">
        <v>35</v>
      </c>
      <c r="I26" s="6" t="s">
        <v>35</v>
      </c>
      <c r="J26" s="6" t="s">
        <v>35</v>
      </c>
      <c r="K26" s="6" t="s">
        <v>34</v>
      </c>
      <c r="L26" s="6" t="s">
        <v>34</v>
      </c>
      <c r="M26" s="6" t="s">
        <v>34</v>
      </c>
      <c r="N26" s="4"/>
      <c r="AA26" s="79" t="s">
        <v>175</v>
      </c>
      <c r="AB26" s="80" t="s">
        <v>192</v>
      </c>
      <c r="AC26" s="81">
        <v>0</v>
      </c>
      <c r="AD26" s="81">
        <v>6</v>
      </c>
      <c r="AE26" s="80">
        <v>273</v>
      </c>
      <c r="AF26" s="80">
        <v>6.35</v>
      </c>
      <c r="AG26" s="108" cm="1">
        <f t="array" ref="AG26">_xll.DCEPropSectPipe(AE26, AF26, "Area")/100</f>
        <v>53.19431074856206</v>
      </c>
      <c r="AH26" s="16" cm="1">
        <f t="array" ref="AH26">_xll.DCEPropSectPipe(AE26, AF26, "Ix")/10000</f>
        <v>4730.4733077169503</v>
      </c>
      <c r="AI26" s="16" cm="1">
        <f t="array" ref="AI26">_xll.DCEPropSectPipe(AE26, AF26, "Wx")/1000</f>
        <v>346.55482107816493</v>
      </c>
      <c r="AJ26" s="108">
        <f t="shared" si="1"/>
        <v>9.4301739777164251</v>
      </c>
      <c r="AK26" s="80" t="s">
        <v>207</v>
      </c>
      <c r="AL26" s="82">
        <v>-34.007490218843465</v>
      </c>
      <c r="AM26" s="82">
        <v>6.0682891739080151</v>
      </c>
      <c r="AN26" s="82">
        <v>1.7938616431007404</v>
      </c>
      <c r="AO26" s="82">
        <v>0</v>
      </c>
      <c r="AP26" s="82">
        <v>0</v>
      </c>
      <c r="AQ26" s="82">
        <v>0.20458463289054069</v>
      </c>
      <c r="AR26" s="109">
        <v>1</v>
      </c>
      <c r="AS26" s="116">
        <f t="shared" si="2"/>
        <v>6</v>
      </c>
      <c r="AT26" s="109">
        <v>2</v>
      </c>
      <c r="AU26" s="6">
        <f t="shared" si="3"/>
        <v>12</v>
      </c>
      <c r="AV26" s="111">
        <f t="shared" si="4"/>
        <v>2.7969677135343284E-2</v>
      </c>
      <c r="AW26" s="117">
        <f t="shared" si="5"/>
        <v>105</v>
      </c>
      <c r="AX26" s="111">
        <f t="shared" si="6"/>
        <v>1</v>
      </c>
      <c r="AY26" s="111">
        <f t="shared" si="7"/>
        <v>1</v>
      </c>
      <c r="AZ26" s="111">
        <f t="shared" si="8"/>
        <v>1</v>
      </c>
      <c r="BA26" s="111">
        <f t="shared" si="9"/>
        <v>2.9441765405624515E-2</v>
      </c>
      <c r="BB26" s="111">
        <f t="shared" si="10"/>
        <v>0</v>
      </c>
      <c r="BC26" s="111">
        <f t="shared" si="11"/>
        <v>0</v>
      </c>
      <c r="BD26" s="111">
        <v>0</v>
      </c>
      <c r="BE26" s="111">
        <f t="shared" si="12"/>
        <v>2.9441765405624515E-2</v>
      </c>
      <c r="BF26" s="6" t="str">
        <f t="shared" si="13"/>
        <v>OK</v>
      </c>
      <c r="BG26" s="16">
        <f t="shared" si="14"/>
        <v>63.625549371390676</v>
      </c>
      <c r="BH26" s="118">
        <f t="shared" si="15"/>
        <v>2.1193803644775273</v>
      </c>
      <c r="BI26" s="108">
        <f t="shared" si="16"/>
        <v>0</v>
      </c>
      <c r="BJ26" s="6">
        <f t="shared" si="17"/>
        <v>1.2440309817761237</v>
      </c>
      <c r="BK26" s="108">
        <f t="shared" si="18"/>
        <v>0</v>
      </c>
      <c r="BL26" s="118" cm="1">
        <f t="array" ref="BL26">IF(AO26=0,FactorPhi7121(BH26,"a"),noisuy2chieu(BK26,BH26,Data!$A$63:$M$85))</f>
        <v>0.86214274110469236</v>
      </c>
      <c r="BM26" s="111">
        <v>1.26</v>
      </c>
      <c r="BN26" s="118">
        <f t="shared" si="19"/>
        <v>0.98743665558073479</v>
      </c>
      <c r="BO26" s="108">
        <f t="shared" si="20"/>
        <v>6.9603023372864781E-2</v>
      </c>
      <c r="BP26" s="6" t="str">
        <f t="shared" si="21"/>
        <v>OK</v>
      </c>
      <c r="BQ26" s="16">
        <f t="shared" si="22"/>
        <v>127.25109874278135</v>
      </c>
      <c r="BR26" s="118">
        <f t="shared" si="23"/>
        <v>4.2387607289550546</v>
      </c>
      <c r="BS26" s="108">
        <f t="shared" si="24"/>
        <v>0</v>
      </c>
      <c r="BT26" s="118">
        <f t="shared" si="25"/>
        <v>1.1380619635522473</v>
      </c>
      <c r="BU26" s="108">
        <f t="shared" si="26"/>
        <v>0</v>
      </c>
      <c r="BV26" s="6" cm="1">
        <f t="array" ref="BV26">IF(AP26=0,FactorPhi7121(BR26,"a"),noisuy2chieu(BU26,BR26,Data!$A$63:$M$85))</f>
        <v>0.42299549615688942</v>
      </c>
      <c r="BW26" s="111">
        <v>1.26</v>
      </c>
      <c r="BX26" s="111">
        <f t="shared" si="27"/>
        <v>0.94974662232293938</v>
      </c>
      <c r="BY26" s="113">
        <f t="shared" si="28"/>
        <v>3.4149525365022262E-2</v>
      </c>
      <c r="BZ26" s="6" t="str">
        <f t="shared" si="29"/>
        <v>OK</v>
      </c>
      <c r="CA26" s="114">
        <f t="shared" si="30"/>
        <v>127.25109874278135</v>
      </c>
      <c r="CB26" s="115">
        <f t="shared" si="31"/>
        <v>150</v>
      </c>
      <c r="CC26" s="6" t="str">
        <f t="shared" si="32"/>
        <v>OK</v>
      </c>
      <c r="DA26" s="79" t="s">
        <v>175</v>
      </c>
      <c r="DB26" s="80" t="s">
        <v>195</v>
      </c>
      <c r="DC26" s="81">
        <v>5.48</v>
      </c>
      <c r="DD26" s="81">
        <v>6</v>
      </c>
      <c r="DE26" s="80">
        <v>273</v>
      </c>
      <c r="DF26" s="80">
        <v>6.35</v>
      </c>
      <c r="DG26" s="108">
        <v>53.19431074856206</v>
      </c>
      <c r="DH26" s="16">
        <v>4730.4733077169503</v>
      </c>
      <c r="DI26" s="16">
        <v>346.55482107816493</v>
      </c>
      <c r="DJ26" s="108">
        <v>9.4301739777164251</v>
      </c>
      <c r="DK26" s="80" t="s">
        <v>216</v>
      </c>
      <c r="DL26" s="82">
        <v>-80.53518932109462</v>
      </c>
      <c r="DM26" s="82">
        <v>9.5723190503254756</v>
      </c>
      <c r="DN26" s="82">
        <v>1.2104885281503375E-2</v>
      </c>
      <c r="DO26" s="82">
        <v>-6.6383190883764515E-2</v>
      </c>
      <c r="DP26" s="82">
        <v>-52.494597671984899</v>
      </c>
      <c r="DQ26" s="82">
        <v>1.2872062733960358E-3</v>
      </c>
      <c r="DR26" s="109">
        <v>1</v>
      </c>
      <c r="DS26" s="116">
        <v>6</v>
      </c>
      <c r="DT26" s="109">
        <v>2</v>
      </c>
      <c r="DU26" s="6">
        <v>12</v>
      </c>
      <c r="DV26" s="111">
        <v>6.4884910908531684E-2</v>
      </c>
      <c r="DW26" s="111">
        <v>105</v>
      </c>
      <c r="DX26" s="111">
        <v>1</v>
      </c>
      <c r="DY26" s="111">
        <v>1</v>
      </c>
      <c r="DZ26" s="111">
        <v>1</v>
      </c>
      <c r="EA26" s="111">
        <v>6.8299906219507031E-2</v>
      </c>
      <c r="EB26" s="111">
        <v>8.6414334288931118E-4</v>
      </c>
      <c r="EC26" s="111">
        <v>0.68334854820895607</v>
      </c>
      <c r="ED26" s="111">
        <v>0</v>
      </c>
      <c r="EE26" s="113">
        <v>0.75251259777135238</v>
      </c>
      <c r="EF26" s="6" t="s">
        <v>219</v>
      </c>
      <c r="EG26" s="6">
        <v>63.625549371390676</v>
      </c>
      <c r="EH26" s="6">
        <v>2.141343441906038</v>
      </c>
      <c r="EI26" s="6">
        <v>1.265218930333618E-2</v>
      </c>
      <c r="EJ26" s="6">
        <v>1.242571145265436</v>
      </c>
      <c r="EK26" s="6">
        <v>1.5721245352761537E-2</v>
      </c>
      <c r="EL26" s="112">
        <v>1.9293558597564697</v>
      </c>
      <c r="EM26" s="112">
        <v>1.26</v>
      </c>
      <c r="EN26" s="118">
        <v>0.97024798611127716</v>
      </c>
      <c r="EO26" s="113">
        <v>0.75837408770925896</v>
      </c>
      <c r="EP26" s="112" t="s">
        <v>219</v>
      </c>
      <c r="EQ26" s="112">
        <v>127.25109874278135</v>
      </c>
      <c r="ER26" s="112">
        <v>4.282686883812076</v>
      </c>
      <c r="ES26" s="112">
        <v>10.005116932558627</v>
      </c>
      <c r="ET26" s="112">
        <v>1.1000000000000001</v>
      </c>
      <c r="EU26" s="112">
        <v>11.00562862581449</v>
      </c>
      <c r="EV26" s="6">
        <v>9.0144991874694824E-2</v>
      </c>
      <c r="EW26" s="6">
        <v>1.26</v>
      </c>
      <c r="EX26" s="118">
        <v>0.88099194444510864</v>
      </c>
      <c r="EY26" s="113">
        <v>0.65100204346276513</v>
      </c>
      <c r="EZ26" s="6" t="s">
        <v>219</v>
      </c>
      <c r="FA26" s="130">
        <v>127.25109874278135</v>
      </c>
      <c r="FB26" s="131">
        <v>134.53996624829918</v>
      </c>
      <c r="FC26" s="6" t="s">
        <v>219</v>
      </c>
    </row>
    <row r="27" spans="2:159">
      <c r="B27" s="12"/>
      <c r="C27" s="4"/>
      <c r="D27" s="7">
        <v>69</v>
      </c>
      <c r="E27" s="31">
        <v>5.48</v>
      </c>
      <c r="F27" s="171" t="s">
        <v>216</v>
      </c>
      <c r="G27" s="171"/>
      <c r="H27" s="31">
        <v>-88.970249001651368</v>
      </c>
      <c r="I27" s="31">
        <v>10.026764900555589</v>
      </c>
      <c r="J27" s="31">
        <v>4.1082519285202173</v>
      </c>
      <c r="K27" s="72">
        <v>-22.529653576004872</v>
      </c>
      <c r="L27" s="31">
        <v>-54.986778714646832</v>
      </c>
      <c r="M27" s="31">
        <v>0.23233249486421656</v>
      </c>
      <c r="N27" s="4"/>
      <c r="AA27" s="79" t="s">
        <v>175</v>
      </c>
      <c r="AB27" s="80" t="s">
        <v>192</v>
      </c>
      <c r="AC27" s="81">
        <v>2.74</v>
      </c>
      <c r="AD27" s="81">
        <v>6</v>
      </c>
      <c r="AE27" s="80">
        <v>273</v>
      </c>
      <c r="AF27" s="80">
        <v>6.35</v>
      </c>
      <c r="AG27" s="108" cm="1">
        <f t="array" ref="AG27">_xll.DCEPropSectPipe(AE27, AF27, "Area")/100</f>
        <v>53.19431074856206</v>
      </c>
      <c r="AH27" s="16" cm="1">
        <f t="array" ref="AH27">_xll.DCEPropSectPipe(AE27, AF27, "Ix")/10000</f>
        <v>4730.4733077169503</v>
      </c>
      <c r="AI27" s="16" cm="1">
        <f t="array" ref="AI27">_xll.DCEPropSectPipe(AE27, AF27, "Wx")/1000</f>
        <v>346.55482107816493</v>
      </c>
      <c r="AJ27" s="108">
        <f t="shared" si="1"/>
        <v>9.4301739777164251</v>
      </c>
      <c r="AK27" s="80" t="s">
        <v>207</v>
      </c>
      <c r="AL27" s="82">
        <v>-32.660229870111429</v>
      </c>
      <c r="AM27" s="82">
        <v>6.0682891739080151</v>
      </c>
      <c r="AN27" s="82">
        <v>1.7938616431007404</v>
      </c>
      <c r="AO27" s="82">
        <v>-4.9187686253822305</v>
      </c>
      <c r="AP27" s="82">
        <v>-16.639248914855777</v>
      </c>
      <c r="AQ27" s="82">
        <v>0.20458463289054069</v>
      </c>
      <c r="AR27" s="109">
        <v>1</v>
      </c>
      <c r="AS27" s="116">
        <f t="shared" si="2"/>
        <v>6</v>
      </c>
      <c r="AT27" s="109">
        <v>2</v>
      </c>
      <c r="AU27" s="6">
        <f t="shared" si="3"/>
        <v>12</v>
      </c>
      <c r="AV27" s="111">
        <f t="shared" si="4"/>
        <v>2.6861614272462409E-2</v>
      </c>
      <c r="AW27" s="117">
        <f t="shared" si="5"/>
        <v>105</v>
      </c>
      <c r="AX27" s="111">
        <f t="shared" si="6"/>
        <v>1</v>
      </c>
      <c r="AY27" s="111">
        <f t="shared" si="7"/>
        <v>1</v>
      </c>
      <c r="AZ27" s="111">
        <f t="shared" si="8"/>
        <v>1</v>
      </c>
      <c r="BA27" s="111">
        <f t="shared" si="9"/>
        <v>2.8275383444697277E-2</v>
      </c>
      <c r="BB27" s="111">
        <f t="shared" si="10"/>
        <v>6.5364042151276697E-2</v>
      </c>
      <c r="BC27" s="111">
        <f t="shared" si="11"/>
        <v>0.22111399219386979</v>
      </c>
      <c r="BD27" s="111">
        <v>0</v>
      </c>
      <c r="BE27" s="111">
        <f t="shared" si="12"/>
        <v>0.31475341778984378</v>
      </c>
      <c r="BF27" s="6" t="str">
        <f t="shared" si="13"/>
        <v>OK</v>
      </c>
      <c r="BG27" s="16">
        <f t="shared" si="14"/>
        <v>63.625549371390676</v>
      </c>
      <c r="BH27" s="118">
        <f t="shared" si="15"/>
        <v>2.1193803644775273</v>
      </c>
      <c r="BI27" s="108">
        <f t="shared" si="16"/>
        <v>2.3116942791994211</v>
      </c>
      <c r="BJ27" s="6">
        <f t="shared" si="17"/>
        <v>1.1774398624562554</v>
      </c>
      <c r="BK27" s="108">
        <f t="shared" si="18"/>
        <v>2.721880994141479</v>
      </c>
      <c r="BL27" s="118" cm="1">
        <f t="array" ref="BL27">IF(AO27=0,FactorPhi7121(BH27,"a"),noisuy2chieu(BK27,BH27,Data!$A$63:$M$85))</f>
        <v>0</v>
      </c>
      <c r="BM27" s="111">
        <v>1.26</v>
      </c>
      <c r="BN27" s="118">
        <f t="shared" si="19"/>
        <v>0.98793437228004488</v>
      </c>
      <c r="BO27" s="108" t="e">
        <f t="shared" si="20"/>
        <v>#DIV/0!</v>
      </c>
      <c r="BP27" s="6" t="e">
        <f t="shared" si="21"/>
        <v>#DIV/0!</v>
      </c>
      <c r="BQ27" s="16">
        <f t="shared" si="22"/>
        <v>127.25109874278135</v>
      </c>
      <c r="BR27" s="118">
        <f t="shared" si="23"/>
        <v>4.2387607289550546</v>
      </c>
      <c r="BS27" s="108">
        <f t="shared" si="24"/>
        <v>7.8200174588733011</v>
      </c>
      <c r="BT27" s="118">
        <f t="shared" si="25"/>
        <v>1.1000000000000001</v>
      </c>
      <c r="BU27" s="108">
        <f t="shared" si="26"/>
        <v>8.6020192047606319</v>
      </c>
      <c r="BV27" s="6" cm="1">
        <f t="array" ref="BV27">IF(AP27=0,FactorPhi7121(BR27,"a"),noisuy2chieu(BU27,BR27,Data!$A$63:$M$85))</f>
        <v>0</v>
      </c>
      <c r="BW27" s="111">
        <v>1.26</v>
      </c>
      <c r="BX27" s="111">
        <f t="shared" si="27"/>
        <v>0.9517374891201793</v>
      </c>
      <c r="BY27" s="113" t="e">
        <f t="shared" si="28"/>
        <v>#DIV/0!</v>
      </c>
      <c r="BZ27" s="6" t="e">
        <f t="shared" si="29"/>
        <v>#DIV/0!</v>
      </c>
      <c r="CA27" s="114">
        <f t="shared" si="30"/>
        <v>127.25109874278135</v>
      </c>
      <c r="CB27" s="115" t="e">
        <f t="shared" si="31"/>
        <v>#DIV/0!</v>
      </c>
      <c r="CC27" s="6" t="e">
        <f t="shared" si="32"/>
        <v>#DIV/0!</v>
      </c>
      <c r="DA27" s="79" t="s">
        <v>175</v>
      </c>
      <c r="DB27" s="80" t="s">
        <v>196</v>
      </c>
      <c r="DC27" s="81">
        <v>5.48</v>
      </c>
      <c r="DD27" s="81">
        <v>6</v>
      </c>
      <c r="DE27" s="80">
        <v>273</v>
      </c>
      <c r="DF27" s="80">
        <v>6.35</v>
      </c>
      <c r="DG27" s="108">
        <v>53.19431074856206</v>
      </c>
      <c r="DH27" s="16">
        <v>4730.4733077169503</v>
      </c>
      <c r="DI27" s="16">
        <v>346.55482107816493</v>
      </c>
      <c r="DJ27" s="108">
        <v>9.4301739777164251</v>
      </c>
      <c r="DK27" s="80" t="s">
        <v>216</v>
      </c>
      <c r="DL27" s="82">
        <v>-84.48793006830023</v>
      </c>
      <c r="DM27" s="82">
        <v>9.7571275703563831</v>
      </c>
      <c r="DN27" s="82">
        <v>-1.9910746761999334</v>
      </c>
      <c r="DO27" s="82">
        <v>10.919053524280434</v>
      </c>
      <c r="DP27" s="82">
        <v>-53.508087595834397</v>
      </c>
      <c r="DQ27" s="82">
        <v>-0.15474294071681671</v>
      </c>
      <c r="DR27" s="109">
        <v>1</v>
      </c>
      <c r="DS27" s="116">
        <v>6</v>
      </c>
      <c r="DT27" s="109">
        <v>2</v>
      </c>
      <c r="DU27" s="6">
        <v>12</v>
      </c>
      <c r="DV27" s="111">
        <v>6.8069521677923392E-2</v>
      </c>
      <c r="DW27" s="111">
        <v>105</v>
      </c>
      <c r="DX27" s="111">
        <v>1</v>
      </c>
      <c r="DY27" s="111">
        <v>1</v>
      </c>
      <c r="DZ27" s="111">
        <v>1</v>
      </c>
      <c r="EA27" s="111">
        <v>7.1652128082024633E-2</v>
      </c>
      <c r="EB27" s="111">
        <v>0.14213880483962549</v>
      </c>
      <c r="EC27" s="111">
        <v>0.69654165566764159</v>
      </c>
      <c r="ED27" s="111">
        <v>0</v>
      </c>
      <c r="EE27" s="113">
        <v>0.91033258858929167</v>
      </c>
      <c r="EF27" s="6" t="s">
        <v>219</v>
      </c>
      <c r="EG27" s="6">
        <v>63.625549371390676</v>
      </c>
      <c r="EH27" s="6">
        <v>2.141343441906038</v>
      </c>
      <c r="EI27" s="6">
        <v>1.9837345888305</v>
      </c>
      <c r="EJ27" s="6">
        <v>1.1862246689859168</v>
      </c>
      <c r="EK27" s="6">
        <v>2.3531549059913739</v>
      </c>
      <c r="EL27" s="112">
        <v>0.35490691661834717</v>
      </c>
      <c r="EM27" s="112">
        <v>1.26</v>
      </c>
      <c r="EN27" s="118">
        <v>0.96878773005922392</v>
      </c>
      <c r="EO27" s="113">
        <v>0.89776080588390617</v>
      </c>
      <c r="EP27" s="112" t="s">
        <v>219</v>
      </c>
      <c r="EQ27" s="112">
        <v>127.25109874278135</v>
      </c>
      <c r="ER27" s="112">
        <v>4.282686883812076</v>
      </c>
      <c r="ES27" s="112">
        <v>9.7211579657517948</v>
      </c>
      <c r="ET27" s="112">
        <v>1.1000000000000001</v>
      </c>
      <c r="EU27" s="112">
        <v>10.693273762326974</v>
      </c>
      <c r="EV27" s="6">
        <v>9.1706767678260803E-2</v>
      </c>
      <c r="EW27" s="6">
        <v>1.26</v>
      </c>
      <c r="EX27" s="118">
        <v>0.87515092023689567</v>
      </c>
      <c r="EY27" s="113">
        <v>0.83356478061664618</v>
      </c>
      <c r="EZ27" s="6" t="s">
        <v>219</v>
      </c>
      <c r="FA27" s="130">
        <v>127.25109874278135</v>
      </c>
      <c r="FB27" s="131">
        <v>133.12093323358303</v>
      </c>
      <c r="FC27" s="6" t="s">
        <v>219</v>
      </c>
    </row>
    <row r="28" spans="2:159">
      <c r="B28" s="12"/>
      <c r="C28" s="4"/>
      <c r="D28" s="4"/>
      <c r="E28" s="4"/>
      <c r="F28" s="44"/>
      <c r="G28" s="4"/>
      <c r="H28" s="4"/>
      <c r="I28" s="4"/>
      <c r="J28" s="4"/>
      <c r="K28" s="4"/>
      <c r="L28" s="4"/>
      <c r="M28" s="4"/>
      <c r="N28" s="11"/>
      <c r="AA28" s="79" t="s">
        <v>175</v>
      </c>
      <c r="AB28" s="80" t="s">
        <v>192</v>
      </c>
      <c r="AC28" s="81">
        <v>5.48</v>
      </c>
      <c r="AD28" s="81">
        <v>6</v>
      </c>
      <c r="AE28" s="80">
        <v>273</v>
      </c>
      <c r="AF28" s="80">
        <v>6.35</v>
      </c>
      <c r="AG28" s="108" cm="1">
        <f t="array" ref="AG28">_xll.DCEPropSectPipe(AE28, AF28, "Area")/100</f>
        <v>53.19431074856206</v>
      </c>
      <c r="AH28" s="16" cm="1">
        <f t="array" ref="AH28">_xll.DCEPropSectPipe(AE28, AF28, "Ix")/10000</f>
        <v>4730.4733077169503</v>
      </c>
      <c r="AI28" s="16" cm="1">
        <f t="array" ref="AI28">_xll.DCEPropSectPipe(AE28, AF28, "Wx")/1000</f>
        <v>346.55482107816493</v>
      </c>
      <c r="AJ28" s="108">
        <f t="shared" si="1"/>
        <v>9.4301739777164251</v>
      </c>
      <c r="AK28" s="80" t="s">
        <v>207</v>
      </c>
      <c r="AL28" s="82">
        <v>-31.312969521379397</v>
      </c>
      <c r="AM28" s="82">
        <v>6.0682891739080151</v>
      </c>
      <c r="AN28" s="82">
        <v>1.7938616431007404</v>
      </c>
      <c r="AO28" s="82">
        <v>-9.8375372507644609</v>
      </c>
      <c r="AP28" s="82">
        <v>-33.278497829711554</v>
      </c>
      <c r="AQ28" s="82">
        <v>0.20458463289054069</v>
      </c>
      <c r="AR28" s="109">
        <v>1</v>
      </c>
      <c r="AS28" s="116">
        <f t="shared" si="2"/>
        <v>6</v>
      </c>
      <c r="AT28" s="109">
        <v>2</v>
      </c>
      <c r="AU28" s="6">
        <f t="shared" si="3"/>
        <v>12</v>
      </c>
      <c r="AV28" s="111">
        <f t="shared" si="4"/>
        <v>2.5753551409581535E-2</v>
      </c>
      <c r="AW28" s="117">
        <f t="shared" si="5"/>
        <v>105</v>
      </c>
      <c r="AX28" s="111">
        <f t="shared" si="6"/>
        <v>1</v>
      </c>
      <c r="AY28" s="111">
        <f t="shared" si="7"/>
        <v>1</v>
      </c>
      <c r="AZ28" s="111">
        <f t="shared" si="8"/>
        <v>1</v>
      </c>
      <c r="BA28" s="111">
        <f t="shared" si="9"/>
        <v>2.7109001483770042E-2</v>
      </c>
      <c r="BB28" s="111">
        <f t="shared" si="10"/>
        <v>0.13072808430255339</v>
      </c>
      <c r="BC28" s="111">
        <f t="shared" si="11"/>
        <v>0.44222798438773958</v>
      </c>
      <c r="BD28" s="111">
        <v>0</v>
      </c>
      <c r="BE28" s="111">
        <f t="shared" si="12"/>
        <v>0.60006507017406308</v>
      </c>
      <c r="BF28" s="6" t="str">
        <f t="shared" si="13"/>
        <v>OK</v>
      </c>
      <c r="BG28" s="16">
        <f t="shared" si="14"/>
        <v>63.625549371390676</v>
      </c>
      <c r="BH28" s="118">
        <f t="shared" si="15"/>
        <v>2.1193803644775273</v>
      </c>
      <c r="BI28" s="108">
        <f t="shared" si="16"/>
        <v>4.8223127797908507</v>
      </c>
      <c r="BJ28" s="6">
        <f t="shared" si="17"/>
        <v>1.105118492955159</v>
      </c>
      <c r="BK28" s="108">
        <f t="shared" si="18"/>
        <v>5.3292270317608681</v>
      </c>
      <c r="BL28" s="118" cm="1">
        <f t="array" ref="BL28">IF(AO28=0,FactorPhi7121(BH28,"a"),noisuy2chieu(BK28,BH28,Data!$A$63:$M$85))</f>
        <v>0</v>
      </c>
      <c r="BM28" s="111">
        <v>1.26</v>
      </c>
      <c r="BN28" s="118">
        <f t="shared" si="19"/>
        <v>0.98843208897935486</v>
      </c>
      <c r="BO28" s="108" t="e">
        <f t="shared" si="20"/>
        <v>#DIV/0!</v>
      </c>
      <c r="BP28" s="6" t="e">
        <f t="shared" si="21"/>
        <v>#DIV/0!</v>
      </c>
      <c r="BQ28" s="16">
        <f t="shared" si="22"/>
        <v>127.25109874278135</v>
      </c>
      <c r="BR28" s="118">
        <f t="shared" si="23"/>
        <v>4.2387607289550546</v>
      </c>
      <c r="BS28" s="108">
        <f t="shared" si="24"/>
        <v>16.312957327199904</v>
      </c>
      <c r="BT28" s="118">
        <f t="shared" si="25"/>
        <v>1.1000000000000001</v>
      </c>
      <c r="BU28" s="108">
        <f t="shared" si="26"/>
        <v>17.944253059919895</v>
      </c>
      <c r="BV28" s="6" cm="1">
        <f t="array" ref="BV28">IF(AP28=0,FactorPhi7121(BR28,"a"),noisuy2chieu(BU28,BR28,Data!$A$63:$M$85))</f>
        <v>0</v>
      </c>
      <c r="BW28" s="111">
        <v>1.26</v>
      </c>
      <c r="BX28" s="111">
        <f t="shared" si="27"/>
        <v>0.95372835591741933</v>
      </c>
      <c r="BY28" s="113" t="e">
        <f t="shared" si="28"/>
        <v>#DIV/0!</v>
      </c>
      <c r="BZ28" s="6" t="e">
        <f t="shared" si="29"/>
        <v>#DIV/0!</v>
      </c>
      <c r="CA28" s="114">
        <f t="shared" si="30"/>
        <v>127.25109874278135</v>
      </c>
      <c r="CB28" s="115" t="e">
        <f t="shared" si="31"/>
        <v>#DIV/0!</v>
      </c>
      <c r="CC28" s="6" t="e">
        <f t="shared" si="32"/>
        <v>#DIV/0!</v>
      </c>
      <c r="DA28" s="79" t="s">
        <v>175</v>
      </c>
      <c r="DB28" s="80" t="s">
        <v>197</v>
      </c>
      <c r="DC28" s="81">
        <v>5.48</v>
      </c>
      <c r="DD28" s="81">
        <v>6</v>
      </c>
      <c r="DE28" s="80">
        <v>273</v>
      </c>
      <c r="DF28" s="80">
        <v>6.35</v>
      </c>
      <c r="DG28" s="108">
        <v>53.19431074856206</v>
      </c>
      <c r="DH28" s="16">
        <v>4730.4733077169503</v>
      </c>
      <c r="DI28" s="16">
        <v>346.55482107816493</v>
      </c>
      <c r="DJ28" s="108">
        <v>9.4301739777164251</v>
      </c>
      <c r="DK28" s="80" t="s">
        <v>216</v>
      </c>
      <c r="DL28" s="82">
        <v>-89.019978579082007</v>
      </c>
      <c r="DM28" s="82">
        <v>10.0246754184588</v>
      </c>
      <c r="DN28" s="82">
        <v>-4.1195413586146188</v>
      </c>
      <c r="DO28" s="82">
        <v>22.591564810642563</v>
      </c>
      <c r="DP28" s="82">
        <v>-54.975319994828055</v>
      </c>
      <c r="DQ28" s="82">
        <v>-0.23184894283775781</v>
      </c>
      <c r="DR28" s="109">
        <v>1</v>
      </c>
      <c r="DS28" s="116">
        <v>6</v>
      </c>
      <c r="DT28" s="109">
        <v>2</v>
      </c>
      <c r="DU28" s="6">
        <v>12</v>
      </c>
      <c r="DV28" s="111">
        <v>7.1720864231832257E-2</v>
      </c>
      <c r="DW28" s="111">
        <v>105</v>
      </c>
      <c r="DX28" s="111">
        <v>1</v>
      </c>
      <c r="DY28" s="111">
        <v>1</v>
      </c>
      <c r="DZ28" s="111">
        <v>1</v>
      </c>
      <c r="EA28" s="111">
        <v>7.5495646559823437E-2</v>
      </c>
      <c r="EB28" s="111">
        <v>0.29408574786277442</v>
      </c>
      <c r="EC28" s="111">
        <v>0.71564135685979946</v>
      </c>
      <c r="ED28" s="111">
        <v>0</v>
      </c>
      <c r="EE28" s="113">
        <v>1.0852227512823973</v>
      </c>
      <c r="EF28" s="6" t="s">
        <v>220</v>
      </c>
      <c r="EG28" s="6">
        <v>63.625549371390676</v>
      </c>
      <c r="EH28" s="6">
        <v>2.141343441906038</v>
      </c>
      <c r="EI28" s="6">
        <v>3.8954000828344206</v>
      </c>
      <c r="EJ28" s="6">
        <v>1.1315767179727543</v>
      </c>
      <c r="EK28" s="6">
        <v>4.4079440409245692</v>
      </c>
      <c r="EL28" s="112">
        <v>0.23792439699172974</v>
      </c>
      <c r="EM28" s="112">
        <v>1.26</v>
      </c>
      <c r="EN28" s="118">
        <v>0.96711346106732343</v>
      </c>
      <c r="EO28" s="113">
        <v>1.052793726793902</v>
      </c>
      <c r="EP28" s="112" t="s">
        <v>220</v>
      </c>
      <c r="EQ28" s="112">
        <v>127.25109874278135</v>
      </c>
      <c r="ER28" s="112">
        <v>4.282686883812076</v>
      </c>
      <c r="ES28" s="112">
        <v>9.4792400551562768</v>
      </c>
      <c r="ET28" s="112">
        <v>1.1000000000000001</v>
      </c>
      <c r="EU28" s="112">
        <v>10.427164060671906</v>
      </c>
      <c r="EV28" s="6">
        <v>9.3037314713001251E-2</v>
      </c>
      <c r="EW28" s="6">
        <v>1.26</v>
      </c>
      <c r="EX28" s="118">
        <v>0.86845384426929362</v>
      </c>
      <c r="EY28" s="113">
        <v>0.97130999035050258</v>
      </c>
      <c r="EZ28" s="6" t="s">
        <v>219</v>
      </c>
      <c r="FA28" s="130">
        <v>127.25109874278135</v>
      </c>
      <c r="FB28" s="131">
        <v>131.31266623974898</v>
      </c>
      <c r="FC28" s="6" t="s">
        <v>219</v>
      </c>
    </row>
    <row r="29" spans="2:159">
      <c r="B29" s="161" t="s">
        <v>29</v>
      </c>
      <c r="C29" s="162"/>
      <c r="D29" s="162"/>
      <c r="E29" s="4"/>
      <c r="F29" s="4"/>
      <c r="G29" s="4"/>
      <c r="H29" s="4"/>
      <c r="I29" s="4"/>
      <c r="J29" s="4"/>
      <c r="K29" s="4"/>
      <c r="L29" s="4"/>
      <c r="M29" s="4"/>
      <c r="N29" s="8"/>
      <c r="AA29" s="79" t="s">
        <v>175</v>
      </c>
      <c r="AB29" s="80" t="s">
        <v>192</v>
      </c>
      <c r="AC29" s="81">
        <v>0</v>
      </c>
      <c r="AD29" s="81">
        <v>6</v>
      </c>
      <c r="AE29" s="80">
        <v>273</v>
      </c>
      <c r="AF29" s="80">
        <v>6.35</v>
      </c>
      <c r="AG29" s="108" cm="1">
        <f t="array" ref="AG29">_xll.DCEPropSectPipe(AE29, AF29, "Area")/100</f>
        <v>53.19431074856206</v>
      </c>
      <c r="AH29" s="16" cm="1">
        <f t="array" ref="AH29">_xll.DCEPropSectPipe(AE29, AF29, "Ix")/10000</f>
        <v>4730.4733077169503</v>
      </c>
      <c r="AI29" s="16" cm="1">
        <f t="array" ref="AI29">_xll.DCEPropSectPipe(AE29, AF29, "Wx")/1000</f>
        <v>346.55482107816493</v>
      </c>
      <c r="AJ29" s="108">
        <f t="shared" si="1"/>
        <v>9.4301739777164251</v>
      </c>
      <c r="AK29" s="80" t="s">
        <v>208</v>
      </c>
      <c r="AL29" s="82">
        <v>-42.770523164842714</v>
      </c>
      <c r="AM29" s="82">
        <v>5.9761649344079739</v>
      </c>
      <c r="AN29" s="82">
        <v>1.9561407310942986</v>
      </c>
      <c r="AO29" s="82">
        <v>0</v>
      </c>
      <c r="AP29" s="82">
        <v>0</v>
      </c>
      <c r="AQ29" s="82">
        <v>0.17670731084375305</v>
      </c>
      <c r="AR29" s="109">
        <v>1</v>
      </c>
      <c r="AS29" s="116">
        <f t="shared" si="2"/>
        <v>6</v>
      </c>
      <c r="AT29" s="109">
        <v>2</v>
      </c>
      <c r="AU29" s="6">
        <f t="shared" si="3"/>
        <v>12</v>
      </c>
      <c r="AV29" s="111">
        <f t="shared" si="4"/>
        <v>3.5176889447946294E-2</v>
      </c>
      <c r="AW29" s="117">
        <f t="shared" si="5"/>
        <v>105</v>
      </c>
      <c r="AX29" s="111">
        <f t="shared" si="6"/>
        <v>1</v>
      </c>
      <c r="AY29" s="111">
        <f t="shared" si="7"/>
        <v>1</v>
      </c>
      <c r="AZ29" s="111">
        <f t="shared" si="8"/>
        <v>1</v>
      </c>
      <c r="BA29" s="111">
        <f t="shared" si="9"/>
        <v>3.7028304682048735E-2</v>
      </c>
      <c r="BB29" s="111">
        <f t="shared" si="10"/>
        <v>0</v>
      </c>
      <c r="BC29" s="111">
        <f t="shared" si="11"/>
        <v>0</v>
      </c>
      <c r="BD29" s="111">
        <v>0</v>
      </c>
      <c r="BE29" s="111">
        <f t="shared" si="12"/>
        <v>3.7028304682048735E-2</v>
      </c>
      <c r="BF29" s="6" t="str">
        <f t="shared" si="13"/>
        <v>OK</v>
      </c>
      <c r="BG29" s="16">
        <f t="shared" si="14"/>
        <v>63.625549371390676</v>
      </c>
      <c r="BH29" s="118">
        <f t="shared" si="15"/>
        <v>2.1193803644775273</v>
      </c>
      <c r="BI29" s="108">
        <f t="shared" si="16"/>
        <v>0</v>
      </c>
      <c r="BJ29" s="6">
        <f t="shared" si="17"/>
        <v>1.2440309817761237</v>
      </c>
      <c r="BK29" s="108">
        <f t="shared" si="18"/>
        <v>0</v>
      </c>
      <c r="BL29" s="118" cm="1">
        <f t="array" ref="BL29">IF(AO29=0,FactorPhi7121(BH29,"a"),noisuy2chieu(BK29,BH29,Data!$A$63:$M$85))</f>
        <v>0.86214274110469236</v>
      </c>
      <c r="BM29" s="111">
        <v>1.26</v>
      </c>
      <c r="BN29" s="118">
        <f t="shared" si="19"/>
        <v>0.98419933932042014</v>
      </c>
      <c r="BO29" s="108">
        <f t="shared" si="20"/>
        <v>8.7538295368314992E-2</v>
      </c>
      <c r="BP29" s="6" t="str">
        <f t="shared" si="21"/>
        <v>OK</v>
      </c>
      <c r="BQ29" s="16">
        <f t="shared" si="22"/>
        <v>127.25109874278135</v>
      </c>
      <c r="BR29" s="118">
        <f t="shared" si="23"/>
        <v>4.2387607289550546</v>
      </c>
      <c r="BS29" s="108">
        <f t="shared" si="24"/>
        <v>0</v>
      </c>
      <c r="BT29" s="118">
        <f t="shared" si="25"/>
        <v>1.1380619635522473</v>
      </c>
      <c r="BU29" s="108">
        <f t="shared" si="26"/>
        <v>0</v>
      </c>
      <c r="BV29" s="6" cm="1">
        <f t="array" ref="BV29">IF(AP29=0,FactorPhi7121(BR29,"a"),noisuy2chieu(BU29,BR29,Data!$A$63:$M$85))</f>
        <v>0.42299549615688942</v>
      </c>
      <c r="BW29" s="111">
        <v>1.26</v>
      </c>
      <c r="BX29" s="111">
        <f t="shared" si="27"/>
        <v>0.93679735728168034</v>
      </c>
      <c r="BY29" s="113">
        <f t="shared" si="28"/>
        <v>4.2949157855928968E-2</v>
      </c>
      <c r="BZ29" s="6" t="str">
        <f t="shared" si="29"/>
        <v>OK</v>
      </c>
      <c r="CA29" s="114">
        <f t="shared" si="30"/>
        <v>127.25109874278135</v>
      </c>
      <c r="CB29" s="115">
        <f t="shared" si="31"/>
        <v>150</v>
      </c>
      <c r="CC29" s="6" t="str">
        <f t="shared" si="32"/>
        <v>OK</v>
      </c>
      <c r="DA29" s="79" t="s">
        <v>175</v>
      </c>
      <c r="DB29" s="80" t="s">
        <v>198</v>
      </c>
      <c r="DC29" s="81">
        <v>5.48</v>
      </c>
      <c r="DD29" s="81">
        <v>6</v>
      </c>
      <c r="DE29" s="80">
        <v>273</v>
      </c>
      <c r="DF29" s="80">
        <v>6.35</v>
      </c>
      <c r="DG29" s="108">
        <v>53.19431074856206</v>
      </c>
      <c r="DH29" s="16">
        <v>4730.4733077169503</v>
      </c>
      <c r="DI29" s="16">
        <v>346.55482107816493</v>
      </c>
      <c r="DJ29" s="108">
        <v>9.4301739777164251</v>
      </c>
      <c r="DK29" s="80" t="s">
        <v>216</v>
      </c>
      <c r="DL29" s="82">
        <v>-49.812371131858285</v>
      </c>
      <c r="DM29" s="82">
        <v>7.6719360271935066</v>
      </c>
      <c r="DN29" s="82">
        <v>-2.5652736503505089</v>
      </c>
      <c r="DO29" s="82">
        <v>14.067960698522191</v>
      </c>
      <c r="DP29" s="82">
        <v>-42.072897173129192</v>
      </c>
      <c r="DQ29" s="82">
        <v>-0.24458939361424054</v>
      </c>
      <c r="DR29" s="109">
        <v>1</v>
      </c>
      <c r="DS29" s="116">
        <v>6</v>
      </c>
      <c r="DT29" s="109">
        <v>2</v>
      </c>
      <c r="DU29" s="6">
        <v>12</v>
      </c>
      <c r="DV29" s="111">
        <v>4.0132410320003579E-2</v>
      </c>
      <c r="DW29" s="111">
        <v>105</v>
      </c>
      <c r="DX29" s="111">
        <v>1</v>
      </c>
      <c r="DY29" s="111">
        <v>1</v>
      </c>
      <c r="DZ29" s="111">
        <v>1</v>
      </c>
      <c r="EA29" s="111">
        <v>4.2244642442109029E-2</v>
      </c>
      <c r="EB29" s="111">
        <v>0.1831297113593498</v>
      </c>
      <c r="EC29" s="111">
        <v>0.54768403754327555</v>
      </c>
      <c r="ED29" s="111">
        <v>0</v>
      </c>
      <c r="EE29" s="113">
        <v>0.77305839134473442</v>
      </c>
      <c r="EF29" s="6" t="s">
        <v>219</v>
      </c>
      <c r="EG29" s="6">
        <v>63.625549371390676</v>
      </c>
      <c r="EH29" s="6">
        <v>2.141343441906038</v>
      </c>
      <c r="EI29" s="6">
        <v>4.3349807401093763</v>
      </c>
      <c r="EJ29" s="6">
        <v>1.1190106166854514</v>
      </c>
      <c r="EK29" s="6">
        <v>4.8508894713093476</v>
      </c>
      <c r="EL29" s="112">
        <v>0.22211100161075592</v>
      </c>
      <c r="EM29" s="112">
        <v>1.26</v>
      </c>
      <c r="EN29" s="118">
        <v>0.98159787826615219</v>
      </c>
      <c r="EO29" s="113">
        <v>0.70901709519499556</v>
      </c>
      <c r="EP29" s="112" t="s">
        <v>219</v>
      </c>
      <c r="EQ29" s="112">
        <v>127.25109874278135</v>
      </c>
      <c r="ER29" s="112">
        <v>4.282686883812076</v>
      </c>
      <c r="ES29" s="112">
        <v>12.964579787692786</v>
      </c>
      <c r="ET29" s="112">
        <v>1.1000000000000001</v>
      </c>
      <c r="EU29" s="112">
        <v>14.261037766462065</v>
      </c>
      <c r="EV29" s="6">
        <v>7.5308926403522491E-2</v>
      </c>
      <c r="EW29" s="6">
        <v>1.26</v>
      </c>
      <c r="EX29" s="118">
        <v>0.92639151306460865</v>
      </c>
      <c r="EY29" s="113">
        <v>0.65940360995242708</v>
      </c>
      <c r="EZ29" s="6" t="s">
        <v>219</v>
      </c>
      <c r="FA29" s="130">
        <v>127.25109874278135</v>
      </c>
      <c r="FB29" s="131">
        <v>146.34292018790504</v>
      </c>
      <c r="FC29" s="6" t="s">
        <v>219</v>
      </c>
    </row>
    <row r="30" spans="2:159">
      <c r="B30" s="34" t="s">
        <v>67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11"/>
      <c r="AA30" s="79" t="s">
        <v>175</v>
      </c>
      <c r="AB30" s="80" t="s">
        <v>192</v>
      </c>
      <c r="AC30" s="81">
        <v>2.74</v>
      </c>
      <c r="AD30" s="81">
        <v>6</v>
      </c>
      <c r="AE30" s="80">
        <v>273</v>
      </c>
      <c r="AF30" s="80">
        <v>6.35</v>
      </c>
      <c r="AG30" s="108" cm="1">
        <f t="array" ref="AG30">_xll.DCEPropSectPipe(AE30, AF30, "Area")/100</f>
        <v>53.19431074856206</v>
      </c>
      <c r="AH30" s="16" cm="1">
        <f t="array" ref="AH30">_xll.DCEPropSectPipe(AE30, AF30, "Ix")/10000</f>
        <v>4730.4733077169503</v>
      </c>
      <c r="AI30" s="16" cm="1">
        <f t="array" ref="AI30">_xll.DCEPropSectPipe(AE30, AF30, "Wx")/1000</f>
        <v>346.55482107816493</v>
      </c>
      <c r="AJ30" s="108">
        <f t="shared" si="1"/>
        <v>9.4301739777164251</v>
      </c>
      <c r="AK30" s="80" t="s">
        <v>208</v>
      </c>
      <c r="AL30" s="82">
        <v>-41.423262816110679</v>
      </c>
      <c r="AM30" s="82">
        <v>5.9761649344079739</v>
      </c>
      <c r="AN30" s="82">
        <v>1.9561407310942986</v>
      </c>
      <c r="AO30" s="82">
        <v>-5.3637378846605674</v>
      </c>
      <c r="AP30" s="82">
        <v>-16.386644250146663</v>
      </c>
      <c r="AQ30" s="82">
        <v>0.17670731084375305</v>
      </c>
      <c r="AR30" s="109">
        <v>1</v>
      </c>
      <c r="AS30" s="116">
        <f t="shared" si="2"/>
        <v>6</v>
      </c>
      <c r="AT30" s="109">
        <v>2</v>
      </c>
      <c r="AU30" s="6">
        <f t="shared" si="3"/>
        <v>12</v>
      </c>
      <c r="AV30" s="111">
        <f t="shared" si="4"/>
        <v>3.4068826585065423E-2</v>
      </c>
      <c r="AW30" s="117">
        <f t="shared" si="5"/>
        <v>105</v>
      </c>
      <c r="AX30" s="111">
        <f t="shared" si="6"/>
        <v>1</v>
      </c>
      <c r="AY30" s="111">
        <f t="shared" si="7"/>
        <v>1</v>
      </c>
      <c r="AZ30" s="111">
        <f t="shared" si="8"/>
        <v>1</v>
      </c>
      <c r="BA30" s="111">
        <f t="shared" si="9"/>
        <v>3.58619227211215E-2</v>
      </c>
      <c r="BB30" s="111">
        <f t="shared" si="10"/>
        <v>7.1277105284477324E-2</v>
      </c>
      <c r="BC30" s="111">
        <f t="shared" si="11"/>
        <v>0.21775720450793293</v>
      </c>
      <c r="BD30" s="111">
        <v>0</v>
      </c>
      <c r="BE30" s="111">
        <f t="shared" si="12"/>
        <v>0.32489623251353172</v>
      </c>
      <c r="BF30" s="6" t="str">
        <f t="shared" si="13"/>
        <v>OK</v>
      </c>
      <c r="BG30" s="16">
        <f t="shared" si="14"/>
        <v>63.625549371390676</v>
      </c>
      <c r="BH30" s="118">
        <f t="shared" si="15"/>
        <v>2.1193803644775273</v>
      </c>
      <c r="BI30" s="108">
        <f t="shared" si="16"/>
        <v>1.9875427717236545</v>
      </c>
      <c r="BJ30" s="6">
        <f t="shared" si="17"/>
        <v>1.1867774344294444</v>
      </c>
      <c r="BK30" s="108">
        <f t="shared" si="18"/>
        <v>2.3587709114449855</v>
      </c>
      <c r="BL30" s="118" cm="1">
        <f t="array" ref="BL30">IF(AO30=0,FactorPhi7121(BH30,"a"),noisuy2chieu(BK30,BH30,Data!$A$63:$M$85))</f>
        <v>0</v>
      </c>
      <c r="BM30" s="111">
        <v>1.26</v>
      </c>
      <c r="BN30" s="118">
        <f t="shared" si="19"/>
        <v>0.98469705601973012</v>
      </c>
      <c r="BO30" s="108" t="e">
        <f t="shared" si="20"/>
        <v>#DIV/0!</v>
      </c>
      <c r="BP30" s="6" t="e">
        <f t="shared" si="21"/>
        <v>#DIV/0!</v>
      </c>
      <c r="BQ30" s="16">
        <f t="shared" si="22"/>
        <v>127.25109874278135</v>
      </c>
      <c r="BR30" s="118">
        <f t="shared" si="23"/>
        <v>4.2387607289550546</v>
      </c>
      <c r="BS30" s="108">
        <f t="shared" si="24"/>
        <v>6.0721006567693339</v>
      </c>
      <c r="BT30" s="118">
        <f t="shared" si="25"/>
        <v>1.1000000000000001</v>
      </c>
      <c r="BU30" s="108">
        <f t="shared" si="26"/>
        <v>6.6793107224462682</v>
      </c>
      <c r="BV30" s="6" cm="1">
        <f t="array" ref="BV30">IF(AP30=0,FactorPhi7121(BR30,"a"),noisuy2chieu(BU30,BR30,Data!$A$63:$M$85))</f>
        <v>0</v>
      </c>
      <c r="BW30" s="111">
        <v>1.26</v>
      </c>
      <c r="BX30" s="111">
        <f t="shared" si="27"/>
        <v>0.93878822407892037</v>
      </c>
      <c r="BY30" s="113" t="e">
        <f t="shared" si="28"/>
        <v>#DIV/0!</v>
      </c>
      <c r="BZ30" s="6" t="e">
        <f t="shared" si="29"/>
        <v>#DIV/0!</v>
      </c>
      <c r="CA30" s="114">
        <f t="shared" si="30"/>
        <v>127.25109874278135</v>
      </c>
      <c r="CB30" s="115" t="e">
        <f t="shared" si="31"/>
        <v>#DIV/0!</v>
      </c>
      <c r="CC30" s="6" t="e">
        <f t="shared" si="32"/>
        <v>#DIV/0!</v>
      </c>
      <c r="DA30" s="79" t="s">
        <v>175</v>
      </c>
      <c r="DB30" s="80" t="s">
        <v>199</v>
      </c>
      <c r="DC30" s="81">
        <v>5.48</v>
      </c>
      <c r="DD30" s="81">
        <v>6</v>
      </c>
      <c r="DE30" s="80">
        <v>273</v>
      </c>
      <c r="DF30" s="80">
        <v>6.35</v>
      </c>
      <c r="DG30" s="108">
        <v>53.19431074856206</v>
      </c>
      <c r="DH30" s="16">
        <v>4730.4733077169503</v>
      </c>
      <c r="DI30" s="16">
        <v>346.55482107816493</v>
      </c>
      <c r="DJ30" s="108">
        <v>9.4301739777164251</v>
      </c>
      <c r="DK30" s="80" t="s">
        <v>215</v>
      </c>
      <c r="DL30" s="82">
        <v>-56.08965018970148</v>
      </c>
      <c r="DM30" s="82">
        <v>-8.4145305397030654</v>
      </c>
      <c r="DN30" s="82">
        <v>1.9236077697064393</v>
      </c>
      <c r="DO30" s="82">
        <v>-10.549065009070111</v>
      </c>
      <c r="DP30" s="82">
        <v>46.145285479731612</v>
      </c>
      <c r="DQ30" s="82">
        <v>-0.29217627635281423</v>
      </c>
      <c r="DR30" s="109">
        <v>1</v>
      </c>
      <c r="DS30" s="116">
        <v>6</v>
      </c>
      <c r="DT30" s="109">
        <v>2</v>
      </c>
      <c r="DU30" s="6">
        <v>12</v>
      </c>
      <c r="DV30" s="111">
        <v>4.5189835476008799E-2</v>
      </c>
      <c r="DW30" s="111">
        <v>105</v>
      </c>
      <c r="DX30" s="111">
        <v>1</v>
      </c>
      <c r="DY30" s="111">
        <v>1</v>
      </c>
      <c r="DZ30" s="111">
        <v>1</v>
      </c>
      <c r="EA30" s="111">
        <v>4.7568247869482952E-2</v>
      </c>
      <c r="EB30" s="111">
        <v>0.13732247847585774</v>
      </c>
      <c r="EC30" s="111">
        <v>0.60069636186755626</v>
      </c>
      <c r="ED30" s="111">
        <v>0</v>
      </c>
      <c r="EE30" s="113">
        <v>0.78558708821289702</v>
      </c>
      <c r="EF30" s="6" t="s">
        <v>219</v>
      </c>
      <c r="EG30" s="6">
        <v>63.625549371390676</v>
      </c>
      <c r="EH30" s="6">
        <v>2.141343441906038</v>
      </c>
      <c r="EI30" s="6">
        <v>2.8868517262321935</v>
      </c>
      <c r="EJ30" s="6">
        <v>1.1604076517103128</v>
      </c>
      <c r="EK30" s="6">
        <v>3.3499248324729627</v>
      </c>
      <c r="EL30" s="112">
        <v>0.28758049011230469</v>
      </c>
      <c r="EM30" s="112">
        <v>1.26</v>
      </c>
      <c r="EN30" s="118">
        <v>0.97927887094417621</v>
      </c>
      <c r="EO30" s="113">
        <v>0.73076979281515431</v>
      </c>
      <c r="EP30" s="112" t="s">
        <v>219</v>
      </c>
      <c r="EQ30" s="112">
        <v>127.25109874278135</v>
      </c>
      <c r="ER30" s="112">
        <v>4.282686883812076</v>
      </c>
      <c r="ES30" s="112">
        <v>12.628095184748821</v>
      </c>
      <c r="ET30" s="112">
        <v>1.1000000000000001</v>
      </c>
      <c r="EU30" s="112">
        <v>13.890904703223704</v>
      </c>
      <c r="EV30" s="6">
        <v>7.6787680387496948E-2</v>
      </c>
      <c r="EW30" s="6">
        <v>1.26</v>
      </c>
      <c r="EX30" s="118">
        <v>0.91711548377670482</v>
      </c>
      <c r="EY30" s="113">
        <v>0.68523737876636037</v>
      </c>
      <c r="EZ30" s="6" t="s">
        <v>219</v>
      </c>
      <c r="FA30" s="130">
        <v>127.25109874278135</v>
      </c>
      <c r="FB30" s="131">
        <v>142.83134406761297</v>
      </c>
      <c r="FC30" s="6" t="s">
        <v>219</v>
      </c>
    </row>
    <row r="31" spans="2:159" ht="15">
      <c r="B31" s="10"/>
      <c r="C31" s="49"/>
      <c r="D31" s="52"/>
      <c r="E31" s="4"/>
      <c r="F31" s="4"/>
      <c r="G31" s="4"/>
      <c r="H31" s="4"/>
      <c r="I31" s="4"/>
      <c r="J31" s="4"/>
      <c r="K31" s="53" t="s">
        <v>70</v>
      </c>
      <c r="L31" s="51">
        <f>ABS(H27)/(J23*F23)*10</f>
        <v>7.3174148495334532E-2</v>
      </c>
      <c r="M31" s="54" t="str">
        <f>IF(L31&gt;0.1,"&gt; 0.1","≤ 0.1")</f>
        <v>≤ 0.1</v>
      </c>
      <c r="N31" s="8"/>
      <c r="AA31" s="79" t="s">
        <v>175</v>
      </c>
      <c r="AB31" s="80" t="s">
        <v>192</v>
      </c>
      <c r="AC31" s="81">
        <v>5.48</v>
      </c>
      <c r="AD31" s="81">
        <v>6</v>
      </c>
      <c r="AE31" s="80">
        <v>273</v>
      </c>
      <c r="AF31" s="80">
        <v>6.35</v>
      </c>
      <c r="AG31" s="108" cm="1">
        <f t="array" ref="AG31">_xll.DCEPropSectPipe(AE31, AF31, "Area")/100</f>
        <v>53.19431074856206</v>
      </c>
      <c r="AH31" s="16" cm="1">
        <f t="array" ref="AH31">_xll.DCEPropSectPipe(AE31, AF31, "Ix")/10000</f>
        <v>4730.4733077169503</v>
      </c>
      <c r="AI31" s="16" cm="1">
        <f t="array" ref="AI31">_xll.DCEPropSectPipe(AE31, AF31, "Wx")/1000</f>
        <v>346.55482107816493</v>
      </c>
      <c r="AJ31" s="108">
        <f t="shared" si="1"/>
        <v>9.4301739777164251</v>
      </c>
      <c r="AK31" s="80" t="s">
        <v>208</v>
      </c>
      <c r="AL31" s="82">
        <v>-40.076002467378643</v>
      </c>
      <c r="AM31" s="82">
        <v>5.9761649344079739</v>
      </c>
      <c r="AN31" s="82">
        <v>1.9561407310942986</v>
      </c>
      <c r="AO31" s="82">
        <v>-10.727475769321135</v>
      </c>
      <c r="AP31" s="82">
        <v>-32.773288500293326</v>
      </c>
      <c r="AQ31" s="82">
        <v>0.17670731084375305</v>
      </c>
      <c r="AR31" s="109">
        <v>1</v>
      </c>
      <c r="AS31" s="116">
        <f t="shared" si="2"/>
        <v>6</v>
      </c>
      <c r="AT31" s="109">
        <v>2</v>
      </c>
      <c r="AU31" s="6">
        <f t="shared" si="3"/>
        <v>12</v>
      </c>
      <c r="AV31" s="111">
        <f t="shared" si="4"/>
        <v>3.2960763722184545E-2</v>
      </c>
      <c r="AW31" s="117">
        <f t="shared" si="5"/>
        <v>105</v>
      </c>
      <c r="AX31" s="111">
        <f t="shared" si="6"/>
        <v>1</v>
      </c>
      <c r="AY31" s="111">
        <f t="shared" si="7"/>
        <v>1</v>
      </c>
      <c r="AZ31" s="111">
        <f t="shared" si="8"/>
        <v>1</v>
      </c>
      <c r="BA31" s="111">
        <f t="shared" si="9"/>
        <v>3.4695540760194259E-2</v>
      </c>
      <c r="BB31" s="111">
        <f t="shared" si="10"/>
        <v>0.14255421056895465</v>
      </c>
      <c r="BC31" s="111">
        <f t="shared" si="11"/>
        <v>0.43551440901586586</v>
      </c>
      <c r="BD31" s="111">
        <v>0</v>
      </c>
      <c r="BE31" s="111">
        <f t="shared" si="12"/>
        <v>0.6127641603450148</v>
      </c>
      <c r="BF31" s="6" t="str">
        <f t="shared" si="13"/>
        <v>OK</v>
      </c>
      <c r="BG31" s="16">
        <f t="shared" si="14"/>
        <v>63.625549371390676</v>
      </c>
      <c r="BH31" s="118">
        <f t="shared" si="15"/>
        <v>2.1193803644775273</v>
      </c>
      <c r="BI31" s="108">
        <f t="shared" si="16"/>
        <v>4.1087185109535813</v>
      </c>
      <c r="BJ31" s="6">
        <f t="shared" si="17"/>
        <v>1.1256744295812484</v>
      </c>
      <c r="BK31" s="108">
        <f t="shared" si="18"/>
        <v>4.6250793661275891</v>
      </c>
      <c r="BL31" s="118" cm="1">
        <f t="array" ref="BL31">IF(AO31=0,FactorPhi7121(BH31,"a"),noisuy2chieu(BK31,BH31,Data!$A$63:$M$85))</f>
        <v>0</v>
      </c>
      <c r="BM31" s="111">
        <v>1.26</v>
      </c>
      <c r="BN31" s="118">
        <f t="shared" si="19"/>
        <v>0.9851947727190401</v>
      </c>
      <c r="BO31" s="108" t="e">
        <f t="shared" si="20"/>
        <v>#DIV/0!</v>
      </c>
      <c r="BP31" s="6" t="e">
        <f t="shared" si="21"/>
        <v>#DIV/0!</v>
      </c>
      <c r="BQ31" s="16">
        <f t="shared" si="22"/>
        <v>127.25109874278135</v>
      </c>
      <c r="BR31" s="118">
        <f t="shared" si="23"/>
        <v>4.2387607289550546</v>
      </c>
      <c r="BS31" s="108">
        <f t="shared" si="24"/>
        <v>12.552460618095504</v>
      </c>
      <c r="BT31" s="118">
        <f t="shared" si="25"/>
        <v>1.1000000000000001</v>
      </c>
      <c r="BU31" s="108">
        <f t="shared" si="26"/>
        <v>13.807706679905055</v>
      </c>
      <c r="BV31" s="6" cm="1">
        <f t="array" ref="BV31">IF(AP31=0,FactorPhi7121(BR31,"a"),noisuy2chieu(BU31,BR31,Data!$A$63:$M$85))</f>
        <v>0</v>
      </c>
      <c r="BW31" s="111">
        <v>1.26</v>
      </c>
      <c r="BX31" s="111">
        <f t="shared" si="27"/>
        <v>0.94077909087616041</v>
      </c>
      <c r="BY31" s="113" t="e">
        <f t="shared" si="28"/>
        <v>#DIV/0!</v>
      </c>
      <c r="BZ31" s="6" t="e">
        <f t="shared" si="29"/>
        <v>#DIV/0!</v>
      </c>
      <c r="CA31" s="114">
        <f t="shared" si="30"/>
        <v>127.25109874278135</v>
      </c>
      <c r="CB31" s="115" t="e">
        <f t="shared" si="31"/>
        <v>#DIV/0!</v>
      </c>
      <c r="CC31" s="6" t="e">
        <f t="shared" si="32"/>
        <v>#DIV/0!</v>
      </c>
      <c r="DA31" s="79" t="s">
        <v>175</v>
      </c>
      <c r="DB31" s="80" t="s">
        <v>200</v>
      </c>
      <c r="DC31" s="81">
        <v>5.48</v>
      </c>
      <c r="DD31" s="81">
        <v>6</v>
      </c>
      <c r="DE31" s="80">
        <v>273</v>
      </c>
      <c r="DF31" s="80">
        <v>6.35</v>
      </c>
      <c r="DG31" s="108">
        <v>53.19431074856206</v>
      </c>
      <c r="DH31" s="16">
        <v>4730.4733077169503</v>
      </c>
      <c r="DI31" s="16">
        <v>346.55482107816493</v>
      </c>
      <c r="DJ31" s="108">
        <v>9.4301739777164251</v>
      </c>
      <c r="DK31" s="80" t="s">
        <v>215</v>
      </c>
      <c r="DL31" s="82">
        <v>-88.522432740565193</v>
      </c>
      <c r="DM31" s="82">
        <v>-9.9886161920282426</v>
      </c>
      <c r="DN31" s="82">
        <v>3.2842336920282365</v>
      </c>
      <c r="DO31" s="82">
        <v>-18.010737567082845</v>
      </c>
      <c r="DP31" s="82">
        <v>54.777571197082878</v>
      </c>
      <c r="DQ31" s="82">
        <v>-0.19847926534642801</v>
      </c>
      <c r="DR31" s="109">
        <v>1</v>
      </c>
      <c r="DS31" s="116">
        <v>6</v>
      </c>
      <c r="DT31" s="109">
        <v>2</v>
      </c>
      <c r="DU31" s="6">
        <v>12</v>
      </c>
      <c r="DV31" s="111">
        <v>7.1320005704308839E-2</v>
      </c>
      <c r="DW31" s="111">
        <v>105</v>
      </c>
      <c r="DX31" s="111">
        <v>1</v>
      </c>
      <c r="DY31" s="111">
        <v>1</v>
      </c>
      <c r="DZ31" s="111">
        <v>1</v>
      </c>
      <c r="EA31" s="111">
        <v>7.5073690215061925E-2</v>
      </c>
      <c r="EB31" s="111">
        <v>0.23445481848519517</v>
      </c>
      <c r="EC31" s="111">
        <v>0.71306716142175453</v>
      </c>
      <c r="ED31" s="111">
        <v>0</v>
      </c>
      <c r="EE31" s="113">
        <v>1.0225956701220116</v>
      </c>
      <c r="EF31" s="6" t="s">
        <v>220</v>
      </c>
      <c r="EG31" s="6">
        <v>63.625549371390676</v>
      </c>
      <c r="EH31" s="6">
        <v>2.141343441906038</v>
      </c>
      <c r="EI31" s="6">
        <v>3.1229957900505179</v>
      </c>
      <c r="EJ31" s="6">
        <v>1.1536571039434207</v>
      </c>
      <c r="EK31" s="6">
        <v>3.6028662787771757</v>
      </c>
      <c r="EL31" s="112">
        <v>0.27398279309272766</v>
      </c>
      <c r="EM31" s="112">
        <v>1.26</v>
      </c>
      <c r="EN31" s="118">
        <v>0.96729726880183819</v>
      </c>
      <c r="EO31" s="113">
        <v>1.0001932227838446</v>
      </c>
      <c r="EP31" s="112" t="s">
        <v>220</v>
      </c>
      <c r="EQ31" s="112">
        <v>127.25109874278135</v>
      </c>
      <c r="ER31" s="112">
        <v>4.282686883812076</v>
      </c>
      <c r="ES31" s="112">
        <v>9.4982297976700867</v>
      </c>
      <c r="ET31" s="112">
        <v>1.1000000000000001</v>
      </c>
      <c r="EU31" s="112">
        <v>10.448052777437097</v>
      </c>
      <c r="EV31" s="6">
        <v>9.2932872474193573E-2</v>
      </c>
      <c r="EW31" s="6">
        <v>1.26</v>
      </c>
      <c r="EX31" s="118">
        <v>0.86918907520735267</v>
      </c>
      <c r="EY31" s="113">
        <v>0.9251056847279655</v>
      </c>
      <c r="EZ31" s="6" t="s">
        <v>219</v>
      </c>
      <c r="FA31" s="130">
        <v>127.25109874278135</v>
      </c>
      <c r="FB31" s="131">
        <v>131.53037571119364</v>
      </c>
      <c r="FC31" s="6" t="s">
        <v>219</v>
      </c>
    </row>
    <row r="32" spans="2:159" ht="15">
      <c r="B32" s="40" t="s">
        <v>71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11"/>
      <c r="AA32" s="79" t="s">
        <v>175</v>
      </c>
      <c r="AB32" s="80" t="s">
        <v>192</v>
      </c>
      <c r="AC32" s="81">
        <v>0</v>
      </c>
      <c r="AD32" s="81">
        <v>6</v>
      </c>
      <c r="AE32" s="80">
        <v>273</v>
      </c>
      <c r="AF32" s="80">
        <v>6.35</v>
      </c>
      <c r="AG32" s="108" cm="1">
        <f t="array" ref="AG32">_xll.DCEPropSectPipe(AE32, AF32, "Area")/100</f>
        <v>53.19431074856206</v>
      </c>
      <c r="AH32" s="16" cm="1">
        <f t="array" ref="AH32">_xll.DCEPropSectPipe(AE32, AF32, "Ix")/10000</f>
        <v>4730.4733077169503</v>
      </c>
      <c r="AI32" s="16" cm="1">
        <f t="array" ref="AI32">_xll.DCEPropSectPipe(AE32, AF32, "Wx")/1000</f>
        <v>346.55482107816493</v>
      </c>
      <c r="AJ32" s="108">
        <f t="shared" si="1"/>
        <v>9.4301739777164251</v>
      </c>
      <c r="AK32" s="80" t="s">
        <v>209</v>
      </c>
      <c r="AL32" s="82">
        <v>-2.4416285072515254</v>
      </c>
      <c r="AM32" s="82">
        <v>-1.1439629653366294</v>
      </c>
      <c r="AN32" s="82">
        <v>-0.5168953890352862</v>
      </c>
      <c r="AO32" s="82">
        <v>0</v>
      </c>
      <c r="AP32" s="82">
        <v>0</v>
      </c>
      <c r="AQ32" s="82">
        <v>-0.10025944223463769</v>
      </c>
      <c r="AR32" s="109">
        <v>1</v>
      </c>
      <c r="AS32" s="116">
        <f t="shared" si="2"/>
        <v>6</v>
      </c>
      <c r="AT32" s="109">
        <v>2</v>
      </c>
      <c r="AU32" s="6">
        <f t="shared" si="3"/>
        <v>12</v>
      </c>
      <c r="AV32" s="111">
        <f t="shared" si="4"/>
        <v>2.0081329316808906E-3</v>
      </c>
      <c r="AW32" s="117">
        <f t="shared" si="5"/>
        <v>105</v>
      </c>
      <c r="AX32" s="111">
        <f t="shared" si="6"/>
        <v>1</v>
      </c>
      <c r="AY32" s="111">
        <f t="shared" si="7"/>
        <v>1</v>
      </c>
      <c r="AZ32" s="111">
        <f t="shared" si="8"/>
        <v>1</v>
      </c>
      <c r="BA32" s="111">
        <f t="shared" si="9"/>
        <v>2.1138241386114641E-3</v>
      </c>
      <c r="BB32" s="111">
        <f t="shared" si="10"/>
        <v>0</v>
      </c>
      <c r="BC32" s="111">
        <f t="shared" si="11"/>
        <v>0</v>
      </c>
      <c r="BD32" s="111">
        <v>0</v>
      </c>
      <c r="BE32" s="111">
        <f t="shared" si="12"/>
        <v>2.1138241386114641E-3</v>
      </c>
      <c r="BF32" s="6" t="str">
        <f t="shared" si="13"/>
        <v>OK</v>
      </c>
      <c r="BG32" s="16">
        <f t="shared" si="14"/>
        <v>63.625549371390676</v>
      </c>
      <c r="BH32" s="118">
        <f t="shared" si="15"/>
        <v>2.1193803644775273</v>
      </c>
      <c r="BI32" s="108">
        <f t="shared" si="16"/>
        <v>0</v>
      </c>
      <c r="BJ32" s="6">
        <f t="shared" si="17"/>
        <v>1.2440309817761237</v>
      </c>
      <c r="BK32" s="108">
        <f t="shared" si="18"/>
        <v>0</v>
      </c>
      <c r="BL32" s="118" cm="1">
        <f t="array" ref="BL32">IF(AO32=0,FactorPhi7121(BH32,"a"),noisuy2chieu(BK32,BH32,Data!$A$63:$M$85))</f>
        <v>0.86214274110469236</v>
      </c>
      <c r="BM32" s="111">
        <v>1.26</v>
      </c>
      <c r="BN32" s="118">
        <f t="shared" si="19"/>
        <v>0.9990979922457347</v>
      </c>
      <c r="BO32" s="108">
        <f t="shared" si="20"/>
        <v>4.9972733937276833E-3</v>
      </c>
      <c r="BP32" s="6" t="str">
        <f t="shared" si="21"/>
        <v>OK</v>
      </c>
      <c r="BQ32" s="16">
        <f t="shared" si="22"/>
        <v>127.25109874278135</v>
      </c>
      <c r="BR32" s="118">
        <f t="shared" si="23"/>
        <v>4.2387607289550546</v>
      </c>
      <c r="BS32" s="108">
        <f t="shared" si="24"/>
        <v>0</v>
      </c>
      <c r="BT32" s="118">
        <f t="shared" si="25"/>
        <v>1.1380619635522473</v>
      </c>
      <c r="BU32" s="108">
        <f t="shared" si="26"/>
        <v>0</v>
      </c>
      <c r="BV32" s="6" cm="1">
        <f t="array" ref="BV32">IF(AP32=0,FactorPhi7121(BR32,"a"),noisuy2chieu(BU32,BR32,Data!$A$63:$M$85))</f>
        <v>0.42299549615688942</v>
      </c>
      <c r="BW32" s="111">
        <v>1.26</v>
      </c>
      <c r="BX32" s="111">
        <f t="shared" si="27"/>
        <v>0.99639196898293891</v>
      </c>
      <c r="BY32" s="113">
        <f t="shared" si="28"/>
        <v>2.4518261742863491E-3</v>
      </c>
      <c r="BZ32" s="6" t="str">
        <f t="shared" si="29"/>
        <v>OK</v>
      </c>
      <c r="CA32" s="114">
        <f t="shared" si="30"/>
        <v>127.25109874278135</v>
      </c>
      <c r="CB32" s="115">
        <f t="shared" si="31"/>
        <v>150</v>
      </c>
      <c r="CC32" s="6" t="str">
        <f t="shared" si="32"/>
        <v>OK</v>
      </c>
      <c r="DA32" s="79" t="s">
        <v>175</v>
      </c>
      <c r="DB32" s="80" t="s">
        <v>201</v>
      </c>
      <c r="DC32" s="81">
        <v>5.48</v>
      </c>
      <c r="DD32" s="81">
        <v>6</v>
      </c>
      <c r="DE32" s="80">
        <v>273</v>
      </c>
      <c r="DF32" s="80">
        <v>6.35</v>
      </c>
      <c r="DG32" s="108">
        <v>53.19431074856206</v>
      </c>
      <c r="DH32" s="16">
        <v>4730.4733077169503</v>
      </c>
      <c r="DI32" s="16">
        <v>346.55482107816493</v>
      </c>
      <c r="DJ32" s="108">
        <v>9.4301739777164251</v>
      </c>
      <c r="DK32" s="80" t="s">
        <v>215</v>
      </c>
      <c r="DL32" s="82">
        <v>-76.885881600463577</v>
      </c>
      <c r="DM32" s="82">
        <v>-9.3774425560912658</v>
      </c>
      <c r="DN32" s="82">
        <v>1.898120304640472</v>
      </c>
      <c r="DO32" s="82">
        <v>-10.409291750648347</v>
      </c>
      <c r="DP32" s="82">
        <v>51.425894977604486</v>
      </c>
      <c r="DQ32" s="82">
        <v>-6.463647726482516E-2</v>
      </c>
      <c r="DR32" s="109">
        <v>1</v>
      </c>
      <c r="DS32" s="116">
        <v>6</v>
      </c>
      <c r="DT32" s="109">
        <v>2</v>
      </c>
      <c r="DU32" s="6">
        <v>12</v>
      </c>
      <c r="DV32" s="111">
        <v>6.1944767496353206E-2</v>
      </c>
      <c r="DW32" s="111">
        <v>105</v>
      </c>
      <c r="DX32" s="111">
        <v>1</v>
      </c>
      <c r="DY32" s="111">
        <v>1</v>
      </c>
      <c r="DZ32" s="111">
        <v>1</v>
      </c>
      <c r="EA32" s="111">
        <v>6.5205018417213906E-2</v>
      </c>
      <c r="EB32" s="111">
        <v>0.13550297975681294</v>
      </c>
      <c r="EC32" s="111">
        <v>0.66943670838050073</v>
      </c>
      <c r="ED32" s="111">
        <v>0</v>
      </c>
      <c r="EE32" s="113">
        <v>0.87014470655452758</v>
      </c>
      <c r="EF32" s="6" t="s">
        <v>219</v>
      </c>
      <c r="EG32" s="6">
        <v>63.625549371390676</v>
      </c>
      <c r="EH32" s="6">
        <v>2.141343441906038</v>
      </c>
      <c r="EI32" s="6">
        <v>2.078106609675316</v>
      </c>
      <c r="EJ32" s="6">
        <v>1.1835268970230306</v>
      </c>
      <c r="EK32" s="6">
        <v>2.4594950674320768</v>
      </c>
      <c r="EL32" s="112">
        <v>0.34563690423965454</v>
      </c>
      <c r="EM32" s="112">
        <v>1.26</v>
      </c>
      <c r="EN32" s="118">
        <v>0.97159614528124638</v>
      </c>
      <c r="EO32" s="113">
        <v>0.84574992559780071</v>
      </c>
      <c r="EP32" s="112" t="s">
        <v>219</v>
      </c>
      <c r="EQ32" s="112">
        <v>127.25109874278135</v>
      </c>
      <c r="ER32" s="112">
        <v>4.282686883812076</v>
      </c>
      <c r="ES32" s="112">
        <v>10.266643958247419</v>
      </c>
      <c r="ET32" s="112">
        <v>1.1000000000000001</v>
      </c>
      <c r="EU32" s="112">
        <v>11.293308354072161</v>
      </c>
      <c r="EV32" s="6">
        <v>8.8706590235233307E-2</v>
      </c>
      <c r="EW32" s="6">
        <v>1.26</v>
      </c>
      <c r="EX32" s="118">
        <v>0.8863845811249853</v>
      </c>
      <c r="EY32" s="113">
        <v>0.78805184775043347</v>
      </c>
      <c r="EZ32" s="6" t="s">
        <v>219</v>
      </c>
      <c r="FA32" s="130">
        <v>127.25109874278135</v>
      </c>
      <c r="FB32" s="131">
        <v>135.89616177717863</v>
      </c>
      <c r="FC32" s="6" t="s">
        <v>219</v>
      </c>
    </row>
    <row r="33" spans="2:159">
      <c r="B33" s="41"/>
      <c r="C33" s="4"/>
      <c r="D33" s="4"/>
      <c r="E33" s="4"/>
      <c r="F33" s="47"/>
      <c r="G33" s="51"/>
      <c r="H33" s="4"/>
      <c r="I33" s="4"/>
      <c r="J33" s="4"/>
      <c r="K33" s="4"/>
      <c r="L33" s="4"/>
      <c r="M33" s="4"/>
      <c r="N33" s="11"/>
      <c r="AA33" s="79" t="s">
        <v>175</v>
      </c>
      <c r="AB33" s="80" t="s">
        <v>192</v>
      </c>
      <c r="AC33" s="81">
        <v>2.74</v>
      </c>
      <c r="AD33" s="81">
        <v>6</v>
      </c>
      <c r="AE33" s="80">
        <v>273</v>
      </c>
      <c r="AF33" s="80">
        <v>6.35</v>
      </c>
      <c r="AG33" s="108" cm="1">
        <f t="array" ref="AG33">_xll.DCEPropSectPipe(AE33, AF33, "Area")/100</f>
        <v>53.19431074856206</v>
      </c>
      <c r="AH33" s="16" cm="1">
        <f t="array" ref="AH33">_xll.DCEPropSectPipe(AE33, AF33, "Ix")/10000</f>
        <v>4730.4733077169503</v>
      </c>
      <c r="AI33" s="16" cm="1">
        <f t="array" ref="AI33">_xll.DCEPropSectPipe(AE33, AF33, "Wx")/1000</f>
        <v>346.55482107816493</v>
      </c>
      <c r="AJ33" s="108">
        <f t="shared" si="1"/>
        <v>9.4301739777164251</v>
      </c>
      <c r="AK33" s="80" t="s">
        <v>209</v>
      </c>
      <c r="AL33" s="82">
        <v>-1.0943681585194915</v>
      </c>
      <c r="AM33" s="82">
        <v>-1.1439629653366294</v>
      </c>
      <c r="AN33" s="82">
        <v>-0.5168953890352862</v>
      </c>
      <c r="AO33" s="82">
        <v>1.4173271567347545</v>
      </c>
      <c r="AP33" s="82">
        <v>3.1367464509530376</v>
      </c>
      <c r="AQ33" s="82">
        <v>-0.10025944223463769</v>
      </c>
      <c r="AR33" s="109">
        <v>1</v>
      </c>
      <c r="AS33" s="116">
        <f t="shared" si="2"/>
        <v>6</v>
      </c>
      <c r="AT33" s="109">
        <v>2</v>
      </c>
      <c r="AU33" s="6">
        <f t="shared" si="3"/>
        <v>12</v>
      </c>
      <c r="AV33" s="111">
        <f t="shared" si="4"/>
        <v>9.0007006880001743E-4</v>
      </c>
      <c r="AW33" s="117">
        <f t="shared" si="5"/>
        <v>105</v>
      </c>
      <c r="AX33" s="111">
        <f t="shared" si="6"/>
        <v>1</v>
      </c>
      <c r="AY33" s="111">
        <f t="shared" si="7"/>
        <v>1</v>
      </c>
      <c r="AZ33" s="111">
        <f t="shared" si="8"/>
        <v>1</v>
      </c>
      <c r="BA33" s="111">
        <f t="shared" si="9"/>
        <v>9.4744217768422893E-4</v>
      </c>
      <c r="BB33" s="111">
        <f t="shared" si="10"/>
        <v>1.8834435825442093E-2</v>
      </c>
      <c r="BC33" s="111">
        <f t="shared" si="11"/>
        <v>4.1683283531562601E-2</v>
      </c>
      <c r="BD33" s="111">
        <v>0</v>
      </c>
      <c r="BE33" s="111">
        <f t="shared" si="12"/>
        <v>6.1465161534688922E-2</v>
      </c>
      <c r="BF33" s="6" t="str">
        <f t="shared" si="13"/>
        <v>OK</v>
      </c>
      <c r="BG33" s="16">
        <f t="shared" si="14"/>
        <v>63.625549371390676</v>
      </c>
      <c r="BH33" s="118">
        <f t="shared" si="15"/>
        <v>2.1193803644775273</v>
      </c>
      <c r="BI33" s="108">
        <f t="shared" si="16"/>
        <v>19.879245688088194</v>
      </c>
      <c r="BJ33" s="6">
        <f t="shared" si="17"/>
        <v>1.1000000000000001</v>
      </c>
      <c r="BK33" s="108">
        <f t="shared" si="18"/>
        <v>21.867170256897015</v>
      </c>
      <c r="BL33" s="118" cm="1">
        <f t="array" ref="BL33">IF(AO33=0,FactorPhi7121(BH33,"a"),noisuy2chieu(BK33,BH33,Data!$A$63:$M$85))</f>
        <v>0</v>
      </c>
      <c r="BM33" s="111">
        <v>1.26</v>
      </c>
      <c r="BN33" s="118">
        <f t="shared" si="19"/>
        <v>0.99959570894504468</v>
      </c>
      <c r="BO33" s="108" t="e">
        <f t="shared" si="20"/>
        <v>#DIV/0!</v>
      </c>
      <c r="BP33" s="6" t="e">
        <f t="shared" si="21"/>
        <v>#DIV/0!</v>
      </c>
      <c r="BQ33" s="16">
        <f t="shared" si="22"/>
        <v>127.25109874278135</v>
      </c>
      <c r="BR33" s="118">
        <f t="shared" si="23"/>
        <v>4.2387607289550546</v>
      </c>
      <c r="BS33" s="108">
        <f t="shared" si="24"/>
        <v>43.995596262609219</v>
      </c>
      <c r="BT33" s="118">
        <f t="shared" si="25"/>
        <v>1.1000000000000001</v>
      </c>
      <c r="BU33" s="108">
        <f t="shared" si="26"/>
        <v>48.395155888870143</v>
      </c>
      <c r="BV33" s="6" cm="1">
        <f t="array" ref="BV33">IF(AP33=0,FactorPhi7121(BR33,"a"),noisuy2chieu(BU33,BR33,Data!$A$63:$M$85))</f>
        <v>0</v>
      </c>
      <c r="BW33" s="111">
        <v>1.26</v>
      </c>
      <c r="BX33" s="111">
        <f t="shared" si="27"/>
        <v>0.99838283578017895</v>
      </c>
      <c r="BY33" s="113" t="e">
        <f t="shared" si="28"/>
        <v>#DIV/0!</v>
      </c>
      <c r="BZ33" s="6" t="e">
        <f t="shared" si="29"/>
        <v>#DIV/0!</v>
      </c>
      <c r="CA33" s="114">
        <f t="shared" si="30"/>
        <v>127.25109874278135</v>
      </c>
      <c r="CB33" s="115" t="e">
        <f t="shared" si="31"/>
        <v>#DIV/0!</v>
      </c>
      <c r="CC33" s="6" t="e">
        <f t="shared" si="32"/>
        <v>#DIV/0!</v>
      </c>
      <c r="DA33" s="79" t="s">
        <v>175</v>
      </c>
      <c r="DB33" s="80" t="s">
        <v>202</v>
      </c>
      <c r="DC33" s="81">
        <v>5.48</v>
      </c>
      <c r="DD33" s="81">
        <v>6</v>
      </c>
      <c r="DE33" s="80">
        <v>273</v>
      </c>
      <c r="DF33" s="80">
        <v>6.35</v>
      </c>
      <c r="DG33" s="108">
        <v>53.19431074856206</v>
      </c>
      <c r="DH33" s="16">
        <v>4730.4733077169503</v>
      </c>
      <c r="DI33" s="16">
        <v>346.55482107816493</v>
      </c>
      <c r="DJ33" s="108">
        <v>9.4301739777164251</v>
      </c>
      <c r="DK33" s="80" t="s">
        <v>215</v>
      </c>
      <c r="DL33" s="82">
        <v>-79.499443720697613</v>
      </c>
      <c r="DM33" s="82">
        <v>-8.9649039749972417</v>
      </c>
      <c r="DN33" s="82">
        <v>-1.4945196997236503E-2</v>
      </c>
      <c r="DO33" s="82">
        <v>8.1959460332844972E-2</v>
      </c>
      <c r="DP33" s="82">
        <v>49.163533398884866</v>
      </c>
      <c r="DQ33" s="82">
        <v>4.9217072392796803E-4</v>
      </c>
      <c r="DR33" s="109">
        <v>1</v>
      </c>
      <c r="DS33" s="116">
        <v>6</v>
      </c>
      <c r="DT33" s="109">
        <v>2</v>
      </c>
      <c r="DU33" s="6">
        <v>12</v>
      </c>
      <c r="DV33" s="111">
        <v>6.4050440143985268E-2</v>
      </c>
      <c r="DW33" s="111">
        <v>105</v>
      </c>
      <c r="DX33" s="111">
        <v>1</v>
      </c>
      <c r="DY33" s="111">
        <v>1</v>
      </c>
      <c r="DZ33" s="111">
        <v>1</v>
      </c>
      <c r="EA33" s="111">
        <v>6.7421515941037125E-2</v>
      </c>
      <c r="EB33" s="111">
        <v>1.0669074669435682E-3</v>
      </c>
      <c r="EC33" s="111">
        <v>0.63998641122798394</v>
      </c>
      <c r="ED33" s="111">
        <v>0</v>
      </c>
      <c r="EE33" s="113">
        <v>0.70847483463596461</v>
      </c>
      <c r="EF33" s="6" t="s">
        <v>219</v>
      </c>
      <c r="EG33" s="6">
        <v>63.625549371390676</v>
      </c>
      <c r="EH33" s="6">
        <v>2.141343441906038</v>
      </c>
      <c r="EI33" s="6">
        <v>1.5824436043185709E-2</v>
      </c>
      <c r="EJ33" s="6">
        <v>1.2424804616259684</v>
      </c>
      <c r="EK33" s="6">
        <v>1.9661552599907994E-2</v>
      </c>
      <c r="EL33" s="112">
        <v>1.876224160194397</v>
      </c>
      <c r="EM33" s="112">
        <v>1.26</v>
      </c>
      <c r="EN33" s="118">
        <v>0.9706306203081787</v>
      </c>
      <c r="EO33" s="113">
        <v>0.72610483055398545</v>
      </c>
      <c r="EP33" s="112" t="s">
        <v>219</v>
      </c>
      <c r="EQ33" s="112">
        <v>127.25109874278135</v>
      </c>
      <c r="ER33" s="112">
        <v>4.282686883812076</v>
      </c>
      <c r="ES33" s="112">
        <v>9.4923171378655766</v>
      </c>
      <c r="ET33" s="112">
        <v>1.1000000000000001</v>
      </c>
      <c r="EU33" s="112">
        <v>10.441548851652135</v>
      </c>
      <c r="EV33" s="6">
        <v>9.2965386807918549E-2</v>
      </c>
      <c r="EW33" s="6">
        <v>1.26</v>
      </c>
      <c r="EX33" s="118">
        <v>0.88252248123271493</v>
      </c>
      <c r="EY33" s="113">
        <v>0.61147324647568424</v>
      </c>
      <c r="EZ33" s="6" t="s">
        <v>219</v>
      </c>
      <c r="FA33" s="130">
        <v>127.25109874278135</v>
      </c>
      <c r="FB33" s="131">
        <v>136.48605254748793</v>
      </c>
      <c r="FC33" s="6" t="s">
        <v>219</v>
      </c>
    </row>
    <row r="34" spans="2:159">
      <c r="B34" s="12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11"/>
      <c r="AA34" s="79" t="s">
        <v>175</v>
      </c>
      <c r="AB34" s="80" t="s">
        <v>192</v>
      </c>
      <c r="AC34" s="81">
        <v>5.48</v>
      </c>
      <c r="AD34" s="81">
        <v>6</v>
      </c>
      <c r="AE34" s="80">
        <v>273</v>
      </c>
      <c r="AF34" s="80">
        <v>6.35</v>
      </c>
      <c r="AG34" s="108" cm="1">
        <f t="array" ref="AG34">_xll.DCEPropSectPipe(AE34, AF34, "Area")/100</f>
        <v>53.19431074856206</v>
      </c>
      <c r="AH34" s="16" cm="1">
        <f t="array" ref="AH34">_xll.DCEPropSectPipe(AE34, AF34, "Ix")/10000</f>
        <v>4730.4733077169503</v>
      </c>
      <c r="AI34" s="16" cm="1">
        <f t="array" ref="AI34">_xll.DCEPropSectPipe(AE34, AF34, "Wx")/1000</f>
        <v>346.55482107816493</v>
      </c>
      <c r="AJ34" s="108">
        <f t="shared" si="1"/>
        <v>9.4301739777164251</v>
      </c>
      <c r="AK34" s="80" t="s">
        <v>209</v>
      </c>
      <c r="AL34" s="82">
        <v>0.25289219021254022</v>
      </c>
      <c r="AM34" s="82">
        <v>-1.1439629653366294</v>
      </c>
      <c r="AN34" s="82">
        <v>-0.5168953890352862</v>
      </c>
      <c r="AO34" s="82">
        <v>2.834654313469509</v>
      </c>
      <c r="AP34" s="82">
        <v>6.2734929019060752</v>
      </c>
      <c r="AQ34" s="82">
        <v>-0.10025944223463769</v>
      </c>
      <c r="AR34" s="109">
        <v>1</v>
      </c>
      <c r="AS34" s="116">
        <f t="shared" si="2"/>
        <v>6</v>
      </c>
      <c r="AT34" s="109">
        <v>2</v>
      </c>
      <c r="AU34" s="6">
        <f t="shared" si="3"/>
        <v>12</v>
      </c>
      <c r="AV34" s="111">
        <f t="shared" si="4"/>
        <v>2.0799279408085416E-4</v>
      </c>
      <c r="AW34" s="117">
        <f t="shared" si="5"/>
        <v>105</v>
      </c>
      <c r="AX34" s="111">
        <f t="shared" si="6"/>
        <v>1</v>
      </c>
      <c r="AY34" s="111">
        <f t="shared" si="7"/>
        <v>1</v>
      </c>
      <c r="AZ34" s="111">
        <f t="shared" si="8"/>
        <v>1</v>
      </c>
      <c r="BA34" s="111">
        <f t="shared" si="9"/>
        <v>2.1893978324300439E-4</v>
      </c>
      <c r="BB34" s="111">
        <f t="shared" si="10"/>
        <v>3.7668871650884186E-2</v>
      </c>
      <c r="BC34" s="111">
        <f t="shared" si="11"/>
        <v>8.3366567063125202E-2</v>
      </c>
      <c r="BD34" s="111">
        <v>0</v>
      </c>
      <c r="BE34" s="111">
        <f t="shared" si="12"/>
        <v>0.1212543784972524</v>
      </c>
      <c r="BF34" s="6" t="str">
        <f t="shared" si="13"/>
        <v>OK</v>
      </c>
      <c r="BG34" s="16">
        <f t="shared" si="14"/>
        <v>63.625549371390676</v>
      </c>
      <c r="BH34" s="118">
        <f t="shared" si="15"/>
        <v>2.1193803644775273</v>
      </c>
      <c r="BI34" s="108">
        <f t="shared" si="16"/>
        <v>172.05128776927205</v>
      </c>
      <c r="BJ34" s="6">
        <f t="shared" si="17"/>
        <v>1.1000000000000001</v>
      </c>
      <c r="BK34" s="108">
        <f t="shared" si="18"/>
        <v>189.25641654619926</v>
      </c>
      <c r="BL34" s="118" cm="1">
        <f t="array" ref="BL34">IF(AO34=0,FactorPhi7121(BH34,"a"),noisuy2chieu(BK34,BH34,Data!$A$63:$M$85))</f>
        <v>0</v>
      </c>
      <c r="BM34" s="111">
        <v>1.26</v>
      </c>
      <c r="BN34" s="118">
        <f t="shared" si="19"/>
        <v>0.99990657435564523</v>
      </c>
      <c r="BO34" s="108" t="e">
        <f t="shared" si="20"/>
        <v>#DIV/0!</v>
      </c>
      <c r="BP34" s="6" t="e">
        <f t="shared" si="21"/>
        <v>#DIV/0!</v>
      </c>
      <c r="BQ34" s="16">
        <f t="shared" si="22"/>
        <v>127.25109874278135</v>
      </c>
      <c r="BR34" s="118">
        <f t="shared" si="23"/>
        <v>4.2387607289550546</v>
      </c>
      <c r="BS34" s="108">
        <f t="shared" si="24"/>
        <v>380.77395450143229</v>
      </c>
      <c r="BT34" s="118">
        <f t="shared" si="25"/>
        <v>1.1000000000000001</v>
      </c>
      <c r="BU34" s="108">
        <f t="shared" si="26"/>
        <v>418.85134995157557</v>
      </c>
      <c r="BV34" s="6" cm="1">
        <f t="array" ref="BV34">IF(AP34=0,FactorPhi7121(BR34,"a"),noisuy2chieu(BU34,BR34,Data!$A$63:$M$85))</f>
        <v>0</v>
      </c>
      <c r="BW34" s="111">
        <v>1.26</v>
      </c>
      <c r="BX34" s="111">
        <f t="shared" si="27"/>
        <v>0.99962629742258113</v>
      </c>
      <c r="BY34" s="113" t="e">
        <f t="shared" si="28"/>
        <v>#DIV/0!</v>
      </c>
      <c r="BZ34" s="6" t="e">
        <f t="shared" si="29"/>
        <v>#DIV/0!</v>
      </c>
      <c r="CA34" s="114">
        <f t="shared" si="30"/>
        <v>127.25109874278135</v>
      </c>
      <c r="CB34" s="115" t="e">
        <f t="shared" si="31"/>
        <v>#DIV/0!</v>
      </c>
      <c r="CC34" s="6" t="e">
        <f t="shared" si="32"/>
        <v>#DIV/0!</v>
      </c>
      <c r="DA34" s="79" t="s">
        <v>175</v>
      </c>
      <c r="DB34" s="80" t="s">
        <v>203</v>
      </c>
      <c r="DC34" s="81">
        <v>5.48</v>
      </c>
      <c r="DD34" s="81">
        <v>6</v>
      </c>
      <c r="DE34" s="80">
        <v>273</v>
      </c>
      <c r="DF34" s="80">
        <v>6.35</v>
      </c>
      <c r="DG34" s="108">
        <v>53.19431074856206</v>
      </c>
      <c r="DH34" s="16">
        <v>4730.4733077169503</v>
      </c>
      <c r="DI34" s="16">
        <v>346.55482107816493</v>
      </c>
      <c r="DJ34" s="108">
        <v>9.4301739777164251</v>
      </c>
      <c r="DK34" s="80" t="s">
        <v>215</v>
      </c>
      <c r="DL34" s="82">
        <v>-76.900926144738023</v>
      </c>
      <c r="DM34" s="82">
        <v>-9.3772897538702829</v>
      </c>
      <c r="DN34" s="82">
        <v>-1.9207580302074732</v>
      </c>
      <c r="DO34" s="82">
        <v>10.53343703765778</v>
      </c>
      <c r="DP34" s="82">
        <v>51.425057010224634</v>
      </c>
      <c r="DQ34" s="82">
        <v>6.7520184208314987E-2</v>
      </c>
      <c r="DR34" s="109">
        <v>1</v>
      </c>
      <c r="DS34" s="116">
        <v>6</v>
      </c>
      <c r="DT34" s="109">
        <v>2</v>
      </c>
      <c r="DU34" s="6">
        <v>12</v>
      </c>
      <c r="DV34" s="111">
        <v>6.1956888457676274E-2</v>
      </c>
      <c r="DW34" s="111">
        <v>105</v>
      </c>
      <c r="DX34" s="111">
        <v>1</v>
      </c>
      <c r="DY34" s="111">
        <v>1</v>
      </c>
      <c r="DZ34" s="111">
        <v>1</v>
      </c>
      <c r="EA34" s="111">
        <v>6.5217777323869755E-2</v>
      </c>
      <c r="EB34" s="111">
        <v>0.1371190413213757</v>
      </c>
      <c r="EC34" s="111">
        <v>0.66942580013816988</v>
      </c>
      <c r="ED34" s="111">
        <v>0</v>
      </c>
      <c r="EE34" s="113">
        <v>0.87176261878341532</v>
      </c>
      <c r="EF34" s="6" t="s">
        <v>219</v>
      </c>
      <c r="EG34" s="6">
        <v>63.625549371390676</v>
      </c>
      <c r="EH34" s="6">
        <v>2.141343441906038</v>
      </c>
      <c r="EI34" s="6">
        <v>2.1024795224229456</v>
      </c>
      <c r="EJ34" s="6">
        <v>1.182830159154372</v>
      </c>
      <c r="EK34" s="6">
        <v>2.4868761881263408</v>
      </c>
      <c r="EL34" s="112">
        <v>0.34325000643730164</v>
      </c>
      <c r="EM34" s="112">
        <v>1.26</v>
      </c>
      <c r="EN34" s="118">
        <v>0.97159058739414161</v>
      </c>
      <c r="EO34" s="113">
        <v>0.84711532420668223</v>
      </c>
      <c r="EP34" s="112" t="s">
        <v>219</v>
      </c>
      <c r="EQ34" s="112">
        <v>127.25109874278135</v>
      </c>
      <c r="ER34" s="112">
        <v>4.282686883812076</v>
      </c>
      <c r="ES34" s="112">
        <v>10.264468180413736</v>
      </c>
      <c r="ET34" s="112">
        <v>1.1000000000000001</v>
      </c>
      <c r="EU34" s="112">
        <v>11.290914998455111</v>
      </c>
      <c r="EV34" s="6">
        <v>8.8718555867671967E-2</v>
      </c>
      <c r="EW34" s="6">
        <v>1.26</v>
      </c>
      <c r="EX34" s="118">
        <v>0.88636234957656646</v>
      </c>
      <c r="EY34" s="113">
        <v>0.78940613541298144</v>
      </c>
      <c r="EZ34" s="6" t="s">
        <v>219</v>
      </c>
      <c r="FA34" s="130">
        <v>127.25109874278135</v>
      </c>
      <c r="FB34" s="131">
        <v>135.89348134488671</v>
      </c>
      <c r="FC34" s="6" t="s">
        <v>219</v>
      </c>
    </row>
    <row r="35" spans="2:159">
      <c r="B35" s="12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11"/>
      <c r="AA35" s="79" t="s">
        <v>175</v>
      </c>
      <c r="AB35" s="80" t="s">
        <v>192</v>
      </c>
      <c r="AC35" s="81">
        <v>0</v>
      </c>
      <c r="AD35" s="81">
        <v>6</v>
      </c>
      <c r="AE35" s="80">
        <v>273</v>
      </c>
      <c r="AF35" s="80">
        <v>6.35</v>
      </c>
      <c r="AG35" s="108" cm="1">
        <f t="array" ref="AG35">_xll.DCEPropSectPipe(AE35, AF35, "Area")/100</f>
        <v>53.19431074856206</v>
      </c>
      <c r="AH35" s="16" cm="1">
        <f t="array" ref="AH35">_xll.DCEPropSectPipe(AE35, AF35, "Ix")/10000</f>
        <v>4730.4733077169503</v>
      </c>
      <c r="AI35" s="16" cm="1">
        <f t="array" ref="AI35">_xll.DCEPropSectPipe(AE35, AF35, "Wx")/1000</f>
        <v>346.55482107816493</v>
      </c>
      <c r="AJ35" s="108">
        <f t="shared" si="1"/>
        <v>9.4301739777164251</v>
      </c>
      <c r="AK35" s="80" t="s">
        <v>210</v>
      </c>
      <c r="AL35" s="82">
        <v>7.1977077333476362</v>
      </c>
      <c r="AM35" s="82">
        <v>-1.0426263018865813</v>
      </c>
      <c r="AN35" s="82">
        <v>-0.69540238582820002</v>
      </c>
      <c r="AO35" s="82">
        <v>0</v>
      </c>
      <c r="AP35" s="82">
        <v>0</v>
      </c>
      <c r="AQ35" s="82">
        <v>-6.9594387983170289E-2</v>
      </c>
      <c r="AR35" s="109">
        <v>1</v>
      </c>
      <c r="AS35" s="116">
        <f t="shared" si="2"/>
        <v>6</v>
      </c>
      <c r="AT35" s="109">
        <v>2</v>
      </c>
      <c r="AU35" s="6">
        <f t="shared" si="3"/>
        <v>12</v>
      </c>
      <c r="AV35" s="111">
        <f t="shared" si="4"/>
        <v>5.9198006121824118E-3</v>
      </c>
      <c r="AW35" s="117">
        <f t="shared" si="5"/>
        <v>105</v>
      </c>
      <c r="AX35" s="111">
        <f t="shared" si="6"/>
        <v>1</v>
      </c>
      <c r="AY35" s="111">
        <f t="shared" si="7"/>
        <v>1</v>
      </c>
      <c r="AZ35" s="111">
        <f t="shared" si="8"/>
        <v>1</v>
      </c>
      <c r="BA35" s="111">
        <f t="shared" si="9"/>
        <v>6.2313690654551713E-3</v>
      </c>
      <c r="BB35" s="111">
        <f t="shared" si="10"/>
        <v>0</v>
      </c>
      <c r="BC35" s="111">
        <f t="shared" si="11"/>
        <v>0</v>
      </c>
      <c r="BD35" s="111">
        <v>0</v>
      </c>
      <c r="BE35" s="111">
        <f t="shared" si="12"/>
        <v>6.2313690654551713E-3</v>
      </c>
      <c r="BF35" s="6" t="str">
        <f t="shared" si="13"/>
        <v>OK</v>
      </c>
      <c r="BG35" s="16">
        <f t="shared" si="14"/>
        <v>63.625549371390676</v>
      </c>
      <c r="BH35" s="118">
        <f t="shared" si="15"/>
        <v>2.1193803644775273</v>
      </c>
      <c r="BI35" s="108">
        <f t="shared" si="16"/>
        <v>0</v>
      </c>
      <c r="BJ35" s="6">
        <f t="shared" si="17"/>
        <v>1.2440309817761237</v>
      </c>
      <c r="BK35" s="108">
        <f t="shared" si="18"/>
        <v>0</v>
      </c>
      <c r="BL35" s="118" cm="1">
        <f t="array" ref="BL35">IF(AO35=0,FactorPhi7121(BH35,"a"),noisuy2chieu(BK35,BH35,Data!$A$63:$M$85))</f>
        <v>0.86214274110469236</v>
      </c>
      <c r="BM35" s="111">
        <v>1.26</v>
      </c>
      <c r="BN35" s="118">
        <f t="shared" si="19"/>
        <v>0.99734095986791904</v>
      </c>
      <c r="BO35" s="108">
        <f t="shared" si="20"/>
        <v>1.4731525801267515E-2</v>
      </c>
      <c r="BP35" s="6" t="str">
        <f t="shared" si="21"/>
        <v>OK</v>
      </c>
      <c r="BQ35" s="16">
        <f t="shared" si="22"/>
        <v>127.25109874278135</v>
      </c>
      <c r="BR35" s="118">
        <f t="shared" si="23"/>
        <v>4.2387607289550546</v>
      </c>
      <c r="BS35" s="108">
        <f t="shared" si="24"/>
        <v>0</v>
      </c>
      <c r="BT35" s="118">
        <f t="shared" si="25"/>
        <v>1.1380619635522473</v>
      </c>
      <c r="BU35" s="108">
        <f t="shared" si="26"/>
        <v>0</v>
      </c>
      <c r="BV35" s="6" cm="1">
        <f t="array" ref="BV35">IF(AP35=0,FactorPhi7121(BR35,"a"),noisuy2chieu(BU35,BR35,Data!$A$63:$M$85))</f>
        <v>0.42299549615688942</v>
      </c>
      <c r="BW35" s="111">
        <v>1.26</v>
      </c>
      <c r="BX35" s="111">
        <f t="shared" si="27"/>
        <v>0.98936383947167628</v>
      </c>
      <c r="BY35" s="113">
        <f t="shared" si="28"/>
        <v>7.2277695657110199E-3</v>
      </c>
      <c r="BZ35" s="6" t="str">
        <f t="shared" si="29"/>
        <v>OK</v>
      </c>
      <c r="CA35" s="114">
        <f t="shared" si="30"/>
        <v>127.25109874278135</v>
      </c>
      <c r="CB35" s="115">
        <f t="shared" si="31"/>
        <v>150</v>
      </c>
      <c r="CC35" s="6" t="str">
        <f t="shared" si="32"/>
        <v>OK</v>
      </c>
      <c r="DA35" s="79" t="s">
        <v>175</v>
      </c>
      <c r="DB35" s="80" t="s">
        <v>204</v>
      </c>
      <c r="DC35" s="81">
        <v>5.48</v>
      </c>
      <c r="DD35" s="81">
        <v>6</v>
      </c>
      <c r="DE35" s="80">
        <v>273</v>
      </c>
      <c r="DF35" s="80">
        <v>6.35</v>
      </c>
      <c r="DG35" s="108">
        <v>53.19431074856206</v>
      </c>
      <c r="DH35" s="16">
        <v>4730.4733077169503</v>
      </c>
      <c r="DI35" s="16">
        <v>346.55482107816493</v>
      </c>
      <c r="DJ35" s="108">
        <v>9.4301739777164251</v>
      </c>
      <c r="DK35" s="80" t="s">
        <v>215</v>
      </c>
      <c r="DL35" s="82">
        <v>-88.597974902898315</v>
      </c>
      <c r="DM35" s="82">
        <v>-9.9952220730781214</v>
      </c>
      <c r="DN35" s="82">
        <v>-3.2718805214128821</v>
      </c>
      <c r="DO35" s="82">
        <v>17.942992779428245</v>
      </c>
      <c r="DP35" s="82">
        <v>54.813797848760402</v>
      </c>
      <c r="DQ35" s="82">
        <v>0.19960644612441975</v>
      </c>
      <c r="DR35" s="109">
        <v>1</v>
      </c>
      <c r="DS35" s="116">
        <v>6</v>
      </c>
      <c r="DT35" s="109">
        <v>2</v>
      </c>
      <c r="DU35" s="6">
        <v>12</v>
      </c>
      <c r="DV35" s="111">
        <v>7.1380867875418655E-2</v>
      </c>
      <c r="DW35" s="111">
        <v>105</v>
      </c>
      <c r="DX35" s="111">
        <v>1</v>
      </c>
      <c r="DY35" s="111">
        <v>1</v>
      </c>
      <c r="DZ35" s="111">
        <v>1</v>
      </c>
      <c r="EA35" s="111">
        <v>7.5137755658335428E-2</v>
      </c>
      <c r="EB35" s="111">
        <v>0.23357295055315078</v>
      </c>
      <c r="EC35" s="111">
        <v>0.71353874194485889</v>
      </c>
      <c r="ED35" s="111">
        <v>0</v>
      </c>
      <c r="EE35" s="113">
        <v>1.0222494481563451</v>
      </c>
      <c r="EF35" s="6" t="s">
        <v>220</v>
      </c>
      <c r="EG35" s="6">
        <v>63.625549371390676</v>
      </c>
      <c r="EH35" s="6">
        <v>2.141343441906038</v>
      </c>
      <c r="EI35" s="6">
        <v>3.1085963176122533</v>
      </c>
      <c r="EJ35" s="6">
        <v>1.1540687354066081</v>
      </c>
      <c r="EK35" s="6">
        <v>3.5875338211564118</v>
      </c>
      <c r="EL35" s="112">
        <v>0.27476274967193604</v>
      </c>
      <c r="EM35" s="112">
        <v>1.26</v>
      </c>
      <c r="EN35" s="118">
        <v>0.96726936135564145</v>
      </c>
      <c r="EO35" s="113">
        <v>1.0000773942310845</v>
      </c>
      <c r="EP35" s="112" t="s">
        <v>220</v>
      </c>
      <c r="EQ35" s="112">
        <v>127.25109874278135</v>
      </c>
      <c r="ER35" s="112">
        <v>4.282686883812076</v>
      </c>
      <c r="ES35" s="112">
        <v>9.4964074411464292</v>
      </c>
      <c r="ET35" s="112">
        <v>1.1000000000000001</v>
      </c>
      <c r="EU35" s="112">
        <v>10.446048185261073</v>
      </c>
      <c r="EV35" s="6">
        <v>9.2942893505096436E-2</v>
      </c>
      <c r="EW35" s="6">
        <v>1.26</v>
      </c>
      <c r="EX35" s="118">
        <v>0.86907744542256582</v>
      </c>
      <c r="EY35" s="113">
        <v>0.92507531817736333</v>
      </c>
      <c r="EZ35" s="6" t="s">
        <v>219</v>
      </c>
      <c r="FA35" s="130">
        <v>127.25109874278135</v>
      </c>
      <c r="FB35" s="131">
        <v>131.49424372878042</v>
      </c>
      <c r="FC35" s="6" t="s">
        <v>219</v>
      </c>
    </row>
    <row r="36" spans="2:159" ht="15">
      <c r="B36" s="40" t="s">
        <v>72</v>
      </c>
      <c r="C36" s="55"/>
      <c r="D36" s="53"/>
      <c r="E36" s="56"/>
      <c r="F36" s="53"/>
      <c r="G36" s="56"/>
      <c r="H36" s="4"/>
      <c r="I36" s="4"/>
      <c r="J36" s="4"/>
      <c r="K36" s="4"/>
      <c r="L36" s="4"/>
      <c r="M36" s="4"/>
      <c r="N36" s="11"/>
      <c r="AA36" s="79" t="s">
        <v>175</v>
      </c>
      <c r="AB36" s="80" t="s">
        <v>192</v>
      </c>
      <c r="AC36" s="81">
        <v>2.74</v>
      </c>
      <c r="AD36" s="81">
        <v>6</v>
      </c>
      <c r="AE36" s="80">
        <v>273</v>
      </c>
      <c r="AF36" s="80">
        <v>6.35</v>
      </c>
      <c r="AG36" s="108" cm="1">
        <f t="array" ref="AG36">_xll.DCEPropSectPipe(AE36, AF36, "Area")/100</f>
        <v>53.19431074856206</v>
      </c>
      <c r="AH36" s="16" cm="1">
        <f t="array" ref="AH36">_xll.DCEPropSectPipe(AE36, AF36, "Ix")/10000</f>
        <v>4730.4733077169503</v>
      </c>
      <c r="AI36" s="16" cm="1">
        <f t="array" ref="AI36">_xll.DCEPropSectPipe(AE36, AF36, "Wx")/1000</f>
        <v>346.55482107816493</v>
      </c>
      <c r="AJ36" s="108">
        <f t="shared" si="1"/>
        <v>9.4301739777164251</v>
      </c>
      <c r="AK36" s="80" t="s">
        <v>210</v>
      </c>
      <c r="AL36" s="82">
        <v>8.5449680820796701</v>
      </c>
      <c r="AM36" s="82">
        <v>-1.0426263018865813</v>
      </c>
      <c r="AN36" s="82">
        <v>-0.69540238582820002</v>
      </c>
      <c r="AO36" s="82">
        <v>1.9067933419409244</v>
      </c>
      <c r="AP36" s="82">
        <v>2.8588813197730047</v>
      </c>
      <c r="AQ36" s="82">
        <v>-6.9594387983170289E-2</v>
      </c>
      <c r="AR36" s="109">
        <v>1</v>
      </c>
      <c r="AS36" s="116">
        <f t="shared" si="2"/>
        <v>6</v>
      </c>
      <c r="AT36" s="109">
        <v>2</v>
      </c>
      <c r="AU36" s="6">
        <f t="shared" si="3"/>
        <v>12</v>
      </c>
      <c r="AV36" s="111">
        <f t="shared" si="4"/>
        <v>7.0278634750632844E-3</v>
      </c>
      <c r="AW36" s="117">
        <f t="shared" si="5"/>
        <v>105</v>
      </c>
      <c r="AX36" s="111">
        <f t="shared" si="6"/>
        <v>1</v>
      </c>
      <c r="AY36" s="111">
        <f t="shared" si="7"/>
        <v>1</v>
      </c>
      <c r="AZ36" s="111">
        <f t="shared" si="8"/>
        <v>1</v>
      </c>
      <c r="BA36" s="111">
        <f t="shared" si="9"/>
        <v>7.397751026382406E-3</v>
      </c>
      <c r="BB36" s="111">
        <f t="shared" si="10"/>
        <v>2.5338805271962774E-2</v>
      </c>
      <c r="BC36" s="111">
        <f t="shared" si="11"/>
        <v>3.7990817077031953E-2</v>
      </c>
      <c r="BD36" s="111">
        <v>0</v>
      </c>
      <c r="BE36" s="111">
        <f t="shared" si="12"/>
        <v>7.0727373375377128E-2</v>
      </c>
      <c r="BF36" s="6" t="str">
        <f t="shared" si="13"/>
        <v>OK</v>
      </c>
      <c r="BG36" s="16">
        <f t="shared" si="14"/>
        <v>63.625549371390676</v>
      </c>
      <c r="BH36" s="118">
        <f t="shared" si="15"/>
        <v>2.1193803644775273</v>
      </c>
      <c r="BI36" s="108">
        <f t="shared" si="16"/>
        <v>3.4252038466282064</v>
      </c>
      <c r="BJ36" s="6">
        <f t="shared" si="17"/>
        <v>1.1453638872134806</v>
      </c>
      <c r="BK36" s="108">
        <f t="shared" si="18"/>
        <v>3.9231047922726487</v>
      </c>
      <c r="BL36" s="118" cm="1">
        <f t="array" ref="BL36">IF(AO36=0,FactorPhi7121(BH36,"a"),noisuy2chieu(BK36,BH36,Data!$A$63:$M$85))</f>
        <v>0</v>
      </c>
      <c r="BM36" s="111">
        <v>1.26</v>
      </c>
      <c r="BN36" s="118">
        <f t="shared" si="19"/>
        <v>0.99684324316860906</v>
      </c>
      <c r="BO36" s="108" t="e">
        <f t="shared" si="20"/>
        <v>#DIV/0!</v>
      </c>
      <c r="BP36" s="6" t="e">
        <f t="shared" si="21"/>
        <v>#DIV/0!</v>
      </c>
      <c r="BQ36" s="16">
        <f t="shared" si="22"/>
        <v>127.25109874278135</v>
      </c>
      <c r="BR36" s="118">
        <f t="shared" si="23"/>
        <v>4.2387607289550546</v>
      </c>
      <c r="BS36" s="108">
        <f t="shared" si="24"/>
        <v>5.1354549432045369</v>
      </c>
      <c r="BT36" s="118">
        <f t="shared" si="25"/>
        <v>1.1000000000000001</v>
      </c>
      <c r="BU36" s="108">
        <f t="shared" si="26"/>
        <v>5.6490004375249914</v>
      </c>
      <c r="BV36" s="6" cm="1">
        <f t="array" ref="BV36">IF(AP36=0,FactorPhi7121(BR36,"a"),noisuy2chieu(BU36,BR36,Data!$A$63:$M$85))</f>
        <v>0</v>
      </c>
      <c r="BW36" s="111">
        <v>1.26</v>
      </c>
      <c r="BX36" s="111">
        <f t="shared" si="27"/>
        <v>0.98737297267443624</v>
      </c>
      <c r="BY36" s="113" t="e">
        <f t="shared" si="28"/>
        <v>#DIV/0!</v>
      </c>
      <c r="BZ36" s="6" t="e">
        <f t="shared" si="29"/>
        <v>#DIV/0!</v>
      </c>
      <c r="CA36" s="114">
        <f t="shared" si="30"/>
        <v>127.25109874278135</v>
      </c>
      <c r="CB36" s="115" t="e">
        <f t="shared" si="31"/>
        <v>#DIV/0!</v>
      </c>
      <c r="CC36" s="6" t="e">
        <f t="shared" si="32"/>
        <v>#DIV/0!</v>
      </c>
      <c r="DA36" s="79" t="s">
        <v>175</v>
      </c>
      <c r="DB36" s="80" t="s">
        <v>205</v>
      </c>
      <c r="DC36" s="81">
        <v>5.48</v>
      </c>
      <c r="DD36" s="81">
        <v>6</v>
      </c>
      <c r="DE36" s="80">
        <v>273</v>
      </c>
      <c r="DF36" s="80">
        <v>6.35</v>
      </c>
      <c r="DG36" s="108">
        <v>53.19431074856206</v>
      </c>
      <c r="DH36" s="16">
        <v>4730.4733077169503</v>
      </c>
      <c r="DI36" s="16">
        <v>346.55482107816493</v>
      </c>
      <c r="DJ36" s="108">
        <v>9.4301739777164251</v>
      </c>
      <c r="DK36" s="80" t="s">
        <v>215</v>
      </c>
      <c r="DL36" s="82">
        <v>-56.041123547955024</v>
      </c>
      <c r="DM36" s="82">
        <v>-8.4214228320981306</v>
      </c>
      <c r="DN36" s="82">
        <v>-1.8994130421139142</v>
      </c>
      <c r="DO36" s="82">
        <v>10.416381122952705</v>
      </c>
      <c r="DP36" s="82">
        <v>46.18308281122615</v>
      </c>
      <c r="DQ36" s="82">
        <v>0.29068688991737651</v>
      </c>
      <c r="DR36" s="109">
        <v>1</v>
      </c>
      <c r="DS36" s="116">
        <v>6</v>
      </c>
      <c r="DT36" s="109">
        <v>2</v>
      </c>
      <c r="DU36" s="6">
        <v>12</v>
      </c>
      <c r="DV36" s="111">
        <v>4.5150738941277191E-2</v>
      </c>
      <c r="DW36" s="111">
        <v>105</v>
      </c>
      <c r="DX36" s="111">
        <v>1</v>
      </c>
      <c r="DY36" s="111">
        <v>1</v>
      </c>
      <c r="DZ36" s="111">
        <v>1</v>
      </c>
      <c r="EA36" s="111">
        <v>4.752709362239705E-2</v>
      </c>
      <c r="EB36" s="111">
        <v>0.13559526567739791</v>
      </c>
      <c r="EC36" s="111">
        <v>0.60118838871885927</v>
      </c>
      <c r="ED36" s="111">
        <v>0</v>
      </c>
      <c r="EE36" s="113">
        <v>0.78431074801865419</v>
      </c>
      <c r="EF36" s="6" t="s">
        <v>219</v>
      </c>
      <c r="EG36" s="6">
        <v>63.625549371390676</v>
      </c>
      <c r="EH36" s="6">
        <v>2.141343441906038</v>
      </c>
      <c r="EI36" s="6">
        <v>2.8530098380242404</v>
      </c>
      <c r="EJ36" s="6">
        <v>1.1613750750669525</v>
      </c>
      <c r="EK36" s="6">
        <v>3.3134145148021559</v>
      </c>
      <c r="EL36" s="112">
        <v>0.28961551189422607</v>
      </c>
      <c r="EM36" s="112">
        <v>1.26</v>
      </c>
      <c r="EN36" s="118">
        <v>0.97929679808051728</v>
      </c>
      <c r="EO36" s="113">
        <v>0.72967020150860551</v>
      </c>
      <c r="EP36" s="112" t="s">
        <v>219</v>
      </c>
      <c r="EQ36" s="112">
        <v>127.25109874278135</v>
      </c>
      <c r="ER36" s="112">
        <v>4.282686883812076</v>
      </c>
      <c r="ES36" s="112">
        <v>12.649382549989346</v>
      </c>
      <c r="ET36" s="112">
        <v>1.1000000000000001</v>
      </c>
      <c r="EU36" s="112">
        <v>13.914320804988282</v>
      </c>
      <c r="EV36" s="6">
        <v>7.6683834195137024E-2</v>
      </c>
      <c r="EW36" s="6">
        <v>1.26</v>
      </c>
      <c r="EX36" s="118">
        <v>0.91718719232206902</v>
      </c>
      <c r="EY36" s="113">
        <v>0.68431812832674765</v>
      </c>
      <c r="EZ36" s="6" t="s">
        <v>219</v>
      </c>
      <c r="FA36" s="130">
        <v>127.25109874278135</v>
      </c>
      <c r="FB36" s="131">
        <v>142.81321027731474</v>
      </c>
      <c r="FC36" s="6" t="s">
        <v>219</v>
      </c>
    </row>
    <row r="37" spans="2:159">
      <c r="B37" s="34"/>
      <c r="C37" s="4"/>
      <c r="D37" s="4"/>
      <c r="E37" s="4"/>
      <c r="F37" s="4"/>
      <c r="G37" s="4"/>
      <c r="H37" s="4"/>
      <c r="I37" s="4"/>
      <c r="J37" s="4"/>
      <c r="K37" s="4" t="s">
        <v>79</v>
      </c>
      <c r="L37" s="4"/>
      <c r="M37" s="4"/>
      <c r="N37" s="11"/>
      <c r="AA37" s="79" t="s">
        <v>175</v>
      </c>
      <c r="AB37" s="80" t="s">
        <v>192</v>
      </c>
      <c r="AC37" s="81">
        <v>5.48</v>
      </c>
      <c r="AD37" s="81">
        <v>6</v>
      </c>
      <c r="AE37" s="80">
        <v>273</v>
      </c>
      <c r="AF37" s="80">
        <v>6.35</v>
      </c>
      <c r="AG37" s="108" cm="1">
        <f t="array" ref="AG37">_xll.DCEPropSectPipe(AE37, AF37, "Area")/100</f>
        <v>53.19431074856206</v>
      </c>
      <c r="AH37" s="16" cm="1">
        <f t="array" ref="AH37">_xll.DCEPropSectPipe(AE37, AF37, "Ix")/10000</f>
        <v>4730.4733077169503</v>
      </c>
      <c r="AI37" s="16" cm="1">
        <f t="array" ref="AI37">_xll.DCEPropSectPipe(AE37, AF37, "Wx")/1000</f>
        <v>346.55482107816493</v>
      </c>
      <c r="AJ37" s="108">
        <f t="shared" si="1"/>
        <v>9.4301739777164251</v>
      </c>
      <c r="AK37" s="80" t="s">
        <v>210</v>
      </c>
      <c r="AL37" s="82">
        <v>9.8922284308117021</v>
      </c>
      <c r="AM37" s="82">
        <v>-1.0426263018865813</v>
      </c>
      <c r="AN37" s="82">
        <v>-0.69540238582820002</v>
      </c>
      <c r="AO37" s="82">
        <v>3.8135866838818488</v>
      </c>
      <c r="AP37" s="82">
        <v>5.7177626395460095</v>
      </c>
      <c r="AQ37" s="82">
        <v>-6.9594387983170289E-2</v>
      </c>
      <c r="AR37" s="109">
        <v>1</v>
      </c>
      <c r="AS37" s="116">
        <f t="shared" si="2"/>
        <v>6</v>
      </c>
      <c r="AT37" s="109">
        <v>2</v>
      </c>
      <c r="AU37" s="6">
        <f t="shared" si="3"/>
        <v>12</v>
      </c>
      <c r="AV37" s="111">
        <f t="shared" si="4"/>
        <v>8.135926337944157E-3</v>
      </c>
      <c r="AW37" s="117">
        <f t="shared" si="5"/>
        <v>105</v>
      </c>
      <c r="AX37" s="111">
        <f t="shared" si="6"/>
        <v>1</v>
      </c>
      <c r="AY37" s="111">
        <f t="shared" si="7"/>
        <v>1</v>
      </c>
      <c r="AZ37" s="111">
        <f t="shared" si="8"/>
        <v>1</v>
      </c>
      <c r="BA37" s="111">
        <f t="shared" si="9"/>
        <v>8.5641329873096389E-3</v>
      </c>
      <c r="BB37" s="111">
        <f t="shared" si="10"/>
        <v>5.0677610543925548E-2</v>
      </c>
      <c r="BC37" s="111">
        <f t="shared" si="11"/>
        <v>7.5981634154063907E-2</v>
      </c>
      <c r="BD37" s="111">
        <v>0</v>
      </c>
      <c r="BE37" s="111">
        <f t="shared" si="12"/>
        <v>0.1352233776852991</v>
      </c>
      <c r="BF37" s="6" t="str">
        <f t="shared" si="13"/>
        <v>OK</v>
      </c>
      <c r="BG37" s="16">
        <f t="shared" si="14"/>
        <v>63.625549371390676</v>
      </c>
      <c r="BH37" s="118">
        <f t="shared" si="15"/>
        <v>2.1193803644775273</v>
      </c>
      <c r="BI37" s="108">
        <f t="shared" si="16"/>
        <v>5.9174245214337287</v>
      </c>
      <c r="BJ37" s="6">
        <f t="shared" si="17"/>
        <v>1.1000000000000001</v>
      </c>
      <c r="BK37" s="108">
        <f t="shared" si="18"/>
        <v>6.5091669735771021</v>
      </c>
      <c r="BL37" s="118" cm="1">
        <f t="array" ref="BL37">IF(AO37=0,FactorPhi7121(BH37,"a"),noisuy2chieu(BK37,BH37,Data!$A$63:$M$85))</f>
        <v>0</v>
      </c>
      <c r="BM37" s="111">
        <v>1.26</v>
      </c>
      <c r="BN37" s="118">
        <f t="shared" si="19"/>
        <v>0.99634552646929908</v>
      </c>
      <c r="BO37" s="108" t="e">
        <f t="shared" si="20"/>
        <v>#DIV/0!</v>
      </c>
      <c r="BP37" s="6" t="e">
        <f t="shared" si="21"/>
        <v>#DIV/0!</v>
      </c>
      <c r="BQ37" s="16">
        <f t="shared" si="22"/>
        <v>127.25109874278135</v>
      </c>
      <c r="BR37" s="118">
        <f t="shared" si="23"/>
        <v>4.2387607289550546</v>
      </c>
      <c r="BS37" s="108">
        <f t="shared" si="24"/>
        <v>8.8720754648081446</v>
      </c>
      <c r="BT37" s="118">
        <f t="shared" si="25"/>
        <v>1.1000000000000001</v>
      </c>
      <c r="BU37" s="108">
        <f t="shared" si="26"/>
        <v>9.759283011288959</v>
      </c>
      <c r="BV37" s="6" cm="1">
        <f t="array" ref="BV37">IF(AP37=0,FactorPhi7121(BR37,"a"),noisuy2chieu(BU37,BR37,Data!$A$63:$M$85))</f>
        <v>0</v>
      </c>
      <c r="BW37" s="111">
        <v>1.26</v>
      </c>
      <c r="BX37" s="111">
        <f t="shared" si="27"/>
        <v>0.98538210587719621</v>
      </c>
      <c r="BY37" s="113" t="e">
        <f t="shared" si="28"/>
        <v>#DIV/0!</v>
      </c>
      <c r="BZ37" s="6" t="e">
        <f t="shared" si="29"/>
        <v>#DIV/0!</v>
      </c>
      <c r="CA37" s="114">
        <f t="shared" si="30"/>
        <v>127.25109874278135</v>
      </c>
      <c r="CB37" s="115" t="e">
        <f t="shared" si="31"/>
        <v>#DIV/0!</v>
      </c>
      <c r="CC37" s="6" t="e">
        <f t="shared" si="32"/>
        <v>#DIV/0!</v>
      </c>
      <c r="DG37" s="108"/>
      <c r="DH37" s="16"/>
      <c r="DI37" s="16"/>
      <c r="DJ37" s="108"/>
      <c r="DR37" s="109"/>
      <c r="DS37" s="116"/>
      <c r="DT37" s="109"/>
      <c r="DU37" s="6"/>
      <c r="DV37" s="111"/>
      <c r="DW37" s="111"/>
      <c r="DX37" s="111"/>
      <c r="DY37" s="111"/>
      <c r="DZ37" s="111"/>
      <c r="EA37" s="111"/>
      <c r="EB37" s="111"/>
      <c r="EC37" s="111"/>
      <c r="ED37" s="111"/>
      <c r="EE37" s="113"/>
      <c r="EF37" s="6"/>
      <c r="EG37" s="6"/>
      <c r="EH37" s="6"/>
      <c r="EI37" s="6"/>
      <c r="EJ37" s="6"/>
      <c r="EK37" s="6"/>
      <c r="EL37" s="112"/>
      <c r="EM37" s="112"/>
      <c r="EN37" s="118"/>
      <c r="EO37" s="113"/>
      <c r="EP37" s="112"/>
      <c r="EQ37" s="112"/>
      <c r="ER37" s="112"/>
      <c r="ES37" s="112"/>
      <c r="ET37" s="112"/>
      <c r="EU37" s="112"/>
      <c r="EV37" s="6"/>
      <c r="EW37" s="6"/>
      <c r="EX37" s="118"/>
      <c r="EY37" s="113"/>
      <c r="EZ37" s="6"/>
      <c r="FA37" s="114"/>
      <c r="FB37" s="115"/>
      <c r="FC37" s="6"/>
    </row>
    <row r="38" spans="2:159">
      <c r="B38" s="34"/>
      <c r="C38" s="4"/>
      <c r="D38" s="4"/>
      <c r="E38" s="4"/>
      <c r="F38" s="4"/>
      <c r="G38" s="4"/>
      <c r="H38" s="4"/>
      <c r="I38" s="4"/>
      <c r="J38" s="4"/>
      <c r="K38" s="4"/>
      <c r="L38" s="4"/>
      <c r="M38" s="57"/>
      <c r="N38" s="11"/>
      <c r="AA38" s="79" t="s">
        <v>175</v>
      </c>
      <c r="AB38" s="80" t="s">
        <v>192</v>
      </c>
      <c r="AC38" s="81">
        <v>0</v>
      </c>
      <c r="AD38" s="81">
        <v>6</v>
      </c>
      <c r="AE38" s="80">
        <v>273</v>
      </c>
      <c r="AF38" s="80">
        <v>6.35</v>
      </c>
      <c r="AG38" s="108" cm="1">
        <f t="array" ref="AG38">_xll.DCEPropSectPipe(AE38, AF38, "Area")/100</f>
        <v>53.19431074856206</v>
      </c>
      <c r="AH38" s="16" cm="1">
        <f t="array" ref="AH38">_xll.DCEPropSectPipe(AE38, AF38, "Ix")/10000</f>
        <v>4730.4733077169503</v>
      </c>
      <c r="AI38" s="16" cm="1">
        <f t="array" ref="AI38">_xll.DCEPropSectPipe(AE38, AF38, "Wx")/1000</f>
        <v>346.55482107816493</v>
      </c>
      <c r="AJ38" s="108">
        <f t="shared" si="1"/>
        <v>9.4301739777164251</v>
      </c>
      <c r="AK38" s="80" t="s">
        <v>211</v>
      </c>
      <c r="AL38" s="82">
        <v>-43.069499495439025</v>
      </c>
      <c r="AM38" s="82">
        <v>7.5688998357423865</v>
      </c>
      <c r="AN38" s="82">
        <v>2.3268378806207268</v>
      </c>
      <c r="AO38" s="82">
        <v>0</v>
      </c>
      <c r="AP38" s="82">
        <v>0</v>
      </c>
      <c r="AQ38" s="82">
        <v>0.26148543268089081</v>
      </c>
      <c r="AR38" s="109">
        <v>1</v>
      </c>
      <c r="AS38" s="116">
        <f t="shared" si="2"/>
        <v>6</v>
      </c>
      <c r="AT38" s="109">
        <v>2</v>
      </c>
      <c r="AU38" s="6">
        <f t="shared" si="3"/>
        <v>12</v>
      </c>
      <c r="AV38" s="111">
        <f t="shared" si="4"/>
        <v>3.5422784437081807E-2</v>
      </c>
      <c r="AW38" s="117">
        <f t="shared" si="5"/>
        <v>105</v>
      </c>
      <c r="AX38" s="111">
        <f t="shared" si="6"/>
        <v>1</v>
      </c>
      <c r="AY38" s="111">
        <f t="shared" si="7"/>
        <v>1</v>
      </c>
      <c r="AZ38" s="111">
        <f t="shared" si="8"/>
        <v>1</v>
      </c>
      <c r="BA38" s="111">
        <f t="shared" si="9"/>
        <v>3.7287141512717691E-2</v>
      </c>
      <c r="BB38" s="111">
        <f t="shared" si="10"/>
        <v>0</v>
      </c>
      <c r="BC38" s="111">
        <f t="shared" si="11"/>
        <v>0</v>
      </c>
      <c r="BD38" s="111">
        <v>0</v>
      </c>
      <c r="BE38" s="111">
        <f t="shared" si="12"/>
        <v>3.7287141512717691E-2</v>
      </c>
      <c r="BF38" s="6" t="str">
        <f t="shared" si="13"/>
        <v>OK</v>
      </c>
      <c r="BG38" s="16">
        <f t="shared" si="14"/>
        <v>63.625549371390676</v>
      </c>
      <c r="BH38" s="118">
        <f t="shared" si="15"/>
        <v>2.1193803644775273</v>
      </c>
      <c r="BI38" s="108">
        <f t="shared" si="16"/>
        <v>0</v>
      </c>
      <c r="BJ38" s="6">
        <f t="shared" si="17"/>
        <v>1.2440309817761237</v>
      </c>
      <c r="BK38" s="108">
        <f t="shared" si="18"/>
        <v>0</v>
      </c>
      <c r="BL38" s="118" cm="1">
        <f t="array" ref="BL38">IF(AO38=0,FactorPhi7121(BH38,"a"),noisuy2chieu(BK38,BH38,Data!$A$63:$M$85))</f>
        <v>0.86214274110469236</v>
      </c>
      <c r="BM38" s="111">
        <v>1.26</v>
      </c>
      <c r="BN38" s="118">
        <f t="shared" si="19"/>
        <v>0.9840888888699364</v>
      </c>
      <c r="BO38" s="108">
        <f t="shared" si="20"/>
        <v>8.81502092847056E-2</v>
      </c>
      <c r="BP38" s="6" t="str">
        <f t="shared" si="21"/>
        <v>OK</v>
      </c>
      <c r="BQ38" s="16">
        <f t="shared" si="22"/>
        <v>127.25109874278135</v>
      </c>
      <c r="BR38" s="118">
        <f t="shared" si="23"/>
        <v>4.2387607289550546</v>
      </c>
      <c r="BS38" s="108">
        <f t="shared" si="24"/>
        <v>0</v>
      </c>
      <c r="BT38" s="118">
        <f t="shared" si="25"/>
        <v>1.1380619635522473</v>
      </c>
      <c r="BU38" s="108">
        <f t="shared" si="26"/>
        <v>0</v>
      </c>
      <c r="BV38" s="6" cm="1">
        <f t="array" ref="BV38">IF(AP38=0,FactorPhi7121(BR38,"a"),noisuy2chieu(BU38,BR38,Data!$A$63:$M$85))</f>
        <v>0.42299549615688942</v>
      </c>
      <c r="BW38" s="111">
        <v>1.26</v>
      </c>
      <c r="BX38" s="111">
        <f t="shared" si="27"/>
        <v>0.9363555554797458</v>
      </c>
      <c r="BY38" s="113">
        <f t="shared" si="28"/>
        <v>4.3249382886342495E-2</v>
      </c>
      <c r="BZ38" s="6" t="str">
        <f t="shared" si="29"/>
        <v>OK</v>
      </c>
      <c r="CA38" s="114">
        <f t="shared" si="30"/>
        <v>127.25109874278135</v>
      </c>
      <c r="CB38" s="115">
        <f t="shared" si="31"/>
        <v>150</v>
      </c>
      <c r="CC38" s="6" t="str">
        <f t="shared" si="32"/>
        <v>OK</v>
      </c>
      <c r="DG38" s="108"/>
      <c r="DH38" s="16"/>
      <c r="DI38" s="16"/>
      <c r="DJ38" s="108"/>
      <c r="DR38" s="109"/>
      <c r="DS38" s="116"/>
      <c r="DT38" s="109"/>
      <c r="DU38" s="6"/>
      <c r="DV38" s="111"/>
      <c r="DW38" s="111"/>
      <c r="DX38" s="111"/>
      <c r="DY38" s="111"/>
      <c r="DZ38" s="111"/>
      <c r="EA38" s="111"/>
      <c r="EB38" s="111"/>
      <c r="EC38" s="111"/>
      <c r="ED38" s="111"/>
      <c r="EE38" s="113"/>
      <c r="EF38" s="6"/>
      <c r="EG38" s="6"/>
      <c r="EH38" s="6"/>
      <c r="EI38" s="6"/>
      <c r="EJ38" s="6"/>
      <c r="EK38" s="6"/>
      <c r="EL38" s="112"/>
      <c r="EM38" s="112"/>
      <c r="EN38" s="118"/>
      <c r="EO38" s="113"/>
      <c r="EP38" s="112"/>
      <c r="EQ38" s="112"/>
      <c r="ER38" s="112"/>
      <c r="ES38" s="112"/>
      <c r="ET38" s="112"/>
      <c r="EU38" s="112"/>
      <c r="EV38" s="6"/>
      <c r="EW38" s="6"/>
      <c r="EX38" s="118"/>
      <c r="EY38" s="113"/>
      <c r="EZ38" s="6"/>
      <c r="FA38" s="114"/>
      <c r="FB38" s="115"/>
      <c r="FC38" s="6"/>
    </row>
    <row r="39" spans="2:159">
      <c r="B39" s="3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11"/>
      <c r="AA39" s="79" t="s">
        <v>175</v>
      </c>
      <c r="AB39" s="80" t="s">
        <v>192</v>
      </c>
      <c r="AC39" s="81">
        <v>2.74</v>
      </c>
      <c r="AD39" s="81">
        <v>6</v>
      </c>
      <c r="AE39" s="80">
        <v>273</v>
      </c>
      <c r="AF39" s="80">
        <v>6.35</v>
      </c>
      <c r="AG39" s="108" cm="1">
        <f t="array" ref="AG39">_xll.DCEPropSectPipe(AE39, AF39, "Area")/100</f>
        <v>53.19431074856206</v>
      </c>
      <c r="AH39" s="16" cm="1">
        <f t="array" ref="AH39">_xll.DCEPropSectPipe(AE39, AF39, "Ix")/10000</f>
        <v>4730.4733077169503</v>
      </c>
      <c r="AI39" s="16" cm="1">
        <f t="array" ref="AI39">_xll.DCEPropSectPipe(AE39, AF39, "Wx")/1000</f>
        <v>346.55482107816493</v>
      </c>
      <c r="AJ39" s="108">
        <f t="shared" si="1"/>
        <v>9.4301739777164251</v>
      </c>
      <c r="AK39" s="80" t="s">
        <v>211</v>
      </c>
      <c r="AL39" s="82">
        <v>-41.722239146706997</v>
      </c>
      <c r="AM39" s="82">
        <v>7.5688998357423865</v>
      </c>
      <c r="AN39" s="82">
        <v>2.3268378806207268</v>
      </c>
      <c r="AO39" s="82">
        <v>-6.3801894686620351</v>
      </c>
      <c r="AP39" s="82">
        <v>-20.753923349605621</v>
      </c>
      <c r="AQ39" s="82">
        <v>0.26148543268089081</v>
      </c>
      <c r="AR39" s="109">
        <v>1</v>
      </c>
      <c r="AS39" s="116">
        <f t="shared" si="2"/>
        <v>6</v>
      </c>
      <c r="AT39" s="109">
        <v>2</v>
      </c>
      <c r="AU39" s="6">
        <f t="shared" si="3"/>
        <v>12</v>
      </c>
      <c r="AV39" s="111">
        <f t="shared" si="4"/>
        <v>3.4314721574200936E-2</v>
      </c>
      <c r="AW39" s="117">
        <f t="shared" si="5"/>
        <v>105</v>
      </c>
      <c r="AX39" s="111">
        <f t="shared" si="6"/>
        <v>1</v>
      </c>
      <c r="AY39" s="111">
        <f t="shared" si="7"/>
        <v>1</v>
      </c>
      <c r="AZ39" s="111">
        <f t="shared" si="8"/>
        <v>1</v>
      </c>
      <c r="BA39" s="111">
        <f t="shared" si="9"/>
        <v>3.6120759551790463E-2</v>
      </c>
      <c r="BB39" s="111">
        <f t="shared" si="10"/>
        <v>8.4784425762728322E-2</v>
      </c>
      <c r="BC39" s="111">
        <f t="shared" si="11"/>
        <v>0.27579266762574567</v>
      </c>
      <c r="BD39" s="111">
        <v>0</v>
      </c>
      <c r="BE39" s="111">
        <f t="shared" si="12"/>
        <v>0.39669785294026444</v>
      </c>
      <c r="BF39" s="6" t="str">
        <f t="shared" si="13"/>
        <v>OK</v>
      </c>
      <c r="BG39" s="16">
        <f t="shared" si="14"/>
        <v>63.625549371390676</v>
      </c>
      <c r="BH39" s="118">
        <f t="shared" si="15"/>
        <v>2.1193803644775273</v>
      </c>
      <c r="BI39" s="108">
        <f t="shared" si="16"/>
        <v>2.3472492498714814</v>
      </c>
      <c r="BJ39" s="6">
        <f t="shared" si="17"/>
        <v>1.1764156589896719</v>
      </c>
      <c r="BK39" s="108">
        <f t="shared" si="18"/>
        <v>2.7613407731005721</v>
      </c>
      <c r="BL39" s="118" cm="1">
        <f t="array" ref="BL39">IF(AO39=0,FactorPhi7121(BH39,"a"),noisuy2chieu(BK39,BH39,Data!$A$63:$M$85))</f>
        <v>0</v>
      </c>
      <c r="BM39" s="111">
        <v>1.26</v>
      </c>
      <c r="BN39" s="118">
        <f t="shared" si="19"/>
        <v>0.98458660556924649</v>
      </c>
      <c r="BO39" s="108" t="e">
        <f t="shared" si="20"/>
        <v>#DIV/0!</v>
      </c>
      <c r="BP39" s="6" t="e">
        <f t="shared" si="21"/>
        <v>#DIV/0!</v>
      </c>
      <c r="BQ39" s="16">
        <f t="shared" si="22"/>
        <v>127.25109874278135</v>
      </c>
      <c r="BR39" s="118">
        <f t="shared" si="23"/>
        <v>4.2387607289550546</v>
      </c>
      <c r="BS39" s="108">
        <f t="shared" si="24"/>
        <v>7.6352953550245868</v>
      </c>
      <c r="BT39" s="118">
        <f t="shared" si="25"/>
        <v>1.1000000000000001</v>
      </c>
      <c r="BU39" s="108">
        <f t="shared" si="26"/>
        <v>8.3988248905270453</v>
      </c>
      <c r="BV39" s="6" cm="1">
        <f t="array" ref="BV39">IF(AP39=0,FactorPhi7121(BR39,"a"),noisuy2chieu(BU39,BR39,Data!$A$63:$M$85))</f>
        <v>0</v>
      </c>
      <c r="BW39" s="111">
        <v>1.26</v>
      </c>
      <c r="BX39" s="111">
        <f t="shared" si="27"/>
        <v>0.93834642227698573</v>
      </c>
      <c r="BY39" s="113" t="e">
        <f t="shared" si="28"/>
        <v>#DIV/0!</v>
      </c>
      <c r="BZ39" s="6" t="e">
        <f t="shared" si="29"/>
        <v>#DIV/0!</v>
      </c>
      <c r="CA39" s="114">
        <f t="shared" si="30"/>
        <v>127.25109874278135</v>
      </c>
      <c r="CB39" s="115" t="e">
        <f t="shared" si="31"/>
        <v>#DIV/0!</v>
      </c>
      <c r="CC39" s="6" t="e">
        <f t="shared" si="32"/>
        <v>#DIV/0!</v>
      </c>
      <c r="DG39" s="108"/>
      <c r="DH39" s="16"/>
      <c r="DI39" s="16"/>
      <c r="DJ39" s="108"/>
      <c r="DR39" s="109"/>
      <c r="DS39" s="116"/>
      <c r="DT39" s="109"/>
      <c r="DU39" s="6"/>
      <c r="DV39" s="111"/>
      <c r="DW39" s="111"/>
      <c r="DX39" s="111"/>
      <c r="DY39" s="111"/>
      <c r="DZ39" s="111"/>
      <c r="EA39" s="111"/>
      <c r="EB39" s="111"/>
      <c r="EC39" s="111"/>
      <c r="ED39" s="111"/>
      <c r="EE39" s="113"/>
      <c r="EF39" s="6"/>
      <c r="EG39" s="6"/>
      <c r="EH39" s="6"/>
      <c r="EI39" s="6"/>
      <c r="EJ39" s="6"/>
      <c r="EK39" s="6"/>
      <c r="EL39" s="112"/>
      <c r="EM39" s="112"/>
      <c r="EN39" s="118"/>
      <c r="EO39" s="113"/>
      <c r="EP39" s="112"/>
      <c r="EQ39" s="112"/>
      <c r="ER39" s="112"/>
      <c r="ES39" s="112"/>
      <c r="ET39" s="112"/>
      <c r="EU39" s="112"/>
      <c r="EV39" s="6"/>
      <c r="EW39" s="6"/>
      <c r="EX39" s="118"/>
      <c r="EY39" s="113"/>
      <c r="EZ39" s="6"/>
      <c r="FA39" s="114"/>
      <c r="FB39" s="115"/>
      <c r="FC39" s="6"/>
    </row>
    <row r="40" spans="2:159" ht="14.25" customHeight="1">
      <c r="B40" s="10" t="s">
        <v>78</v>
      </c>
      <c r="C40" s="4"/>
      <c r="D40" s="4"/>
      <c r="E40" s="4"/>
      <c r="F40" s="4"/>
      <c r="G40" s="47" t="s">
        <v>68</v>
      </c>
      <c r="H40" s="24">
        <v>1.5</v>
      </c>
      <c r="I40" s="47" t="s">
        <v>69</v>
      </c>
      <c r="J40" s="52">
        <v>1.26</v>
      </c>
      <c r="K40" s="47" t="s">
        <v>73</v>
      </c>
      <c r="L40" s="24">
        <v>1.26</v>
      </c>
      <c r="M40" s="4"/>
      <c r="N40" s="11"/>
      <c r="AA40" s="79" t="s">
        <v>175</v>
      </c>
      <c r="AB40" s="80" t="s">
        <v>192</v>
      </c>
      <c r="AC40" s="81">
        <v>5.48</v>
      </c>
      <c r="AD40" s="81">
        <v>6</v>
      </c>
      <c r="AE40" s="80">
        <v>273</v>
      </c>
      <c r="AF40" s="80">
        <v>6.35</v>
      </c>
      <c r="AG40" s="108" cm="1">
        <f t="array" ref="AG40">_xll.DCEPropSectPipe(AE40, AF40, "Area")/100</f>
        <v>53.19431074856206</v>
      </c>
      <c r="AH40" s="16" cm="1">
        <f t="array" ref="AH40">_xll.DCEPropSectPipe(AE40, AF40, "Ix")/10000</f>
        <v>4730.4733077169503</v>
      </c>
      <c r="AI40" s="16" cm="1">
        <f t="array" ref="AI40">_xll.DCEPropSectPipe(AE40, AF40, "Wx")/1000</f>
        <v>346.55482107816493</v>
      </c>
      <c r="AJ40" s="108">
        <f t="shared" si="1"/>
        <v>9.4301739777164251</v>
      </c>
      <c r="AK40" s="80" t="s">
        <v>211</v>
      </c>
      <c r="AL40" s="82">
        <v>-40.374978797974961</v>
      </c>
      <c r="AM40" s="82">
        <v>7.5688998357423865</v>
      </c>
      <c r="AN40" s="82">
        <v>2.3268378806207268</v>
      </c>
      <c r="AO40" s="82">
        <v>-12.76037893732407</v>
      </c>
      <c r="AP40" s="82">
        <v>-41.507846699211242</v>
      </c>
      <c r="AQ40" s="82">
        <v>0.26148543268089081</v>
      </c>
      <c r="AR40" s="109">
        <v>1</v>
      </c>
      <c r="AS40" s="116">
        <f t="shared" si="2"/>
        <v>6</v>
      </c>
      <c r="AT40" s="109">
        <v>2</v>
      </c>
      <c r="AU40" s="6">
        <f t="shared" si="3"/>
        <v>12</v>
      </c>
      <c r="AV40" s="111">
        <f t="shared" si="4"/>
        <v>3.3206658711320065E-2</v>
      </c>
      <c r="AW40" s="117">
        <f t="shared" si="5"/>
        <v>105</v>
      </c>
      <c r="AX40" s="111">
        <f t="shared" si="6"/>
        <v>1</v>
      </c>
      <c r="AY40" s="111">
        <f t="shared" si="7"/>
        <v>1</v>
      </c>
      <c r="AZ40" s="111">
        <f t="shared" si="8"/>
        <v>1</v>
      </c>
      <c r="BA40" s="111">
        <f t="shared" si="9"/>
        <v>3.4954377590863228E-2</v>
      </c>
      <c r="BB40" s="111">
        <f t="shared" si="10"/>
        <v>0.16956885152545664</v>
      </c>
      <c r="BC40" s="111">
        <f t="shared" si="11"/>
        <v>0.55158533525149134</v>
      </c>
      <c r="BD40" s="111">
        <v>0</v>
      </c>
      <c r="BE40" s="111">
        <f t="shared" si="12"/>
        <v>0.75610856436781115</v>
      </c>
      <c r="BF40" s="6" t="str">
        <f t="shared" si="13"/>
        <v>OK</v>
      </c>
      <c r="BG40" s="16">
        <f t="shared" si="14"/>
        <v>63.625549371390676</v>
      </c>
      <c r="BH40" s="118">
        <f t="shared" si="15"/>
        <v>2.1193803644775273</v>
      </c>
      <c r="BI40" s="108">
        <f t="shared" si="16"/>
        <v>4.8511477878461928</v>
      </c>
      <c r="BJ40" s="6">
        <f t="shared" si="17"/>
        <v>1.1042878660512123</v>
      </c>
      <c r="BK40" s="108">
        <f t="shared" si="18"/>
        <v>5.3570636385397314</v>
      </c>
      <c r="BL40" s="118" cm="1">
        <f t="array" ref="BL40">IF(AO40=0,FactorPhi7121(BH40,"a"),noisuy2chieu(BK40,BH40,Data!$A$63:$M$85))</f>
        <v>0</v>
      </c>
      <c r="BM40" s="111">
        <v>1.26</v>
      </c>
      <c r="BN40" s="118">
        <f t="shared" si="19"/>
        <v>0.98508432226855647</v>
      </c>
      <c r="BO40" s="108" t="e">
        <f t="shared" si="20"/>
        <v>#DIV/0!</v>
      </c>
      <c r="BP40" s="6" t="e">
        <f t="shared" si="21"/>
        <v>#DIV/0!</v>
      </c>
      <c r="BQ40" s="16">
        <f t="shared" si="22"/>
        <v>127.25109874278135</v>
      </c>
      <c r="BR40" s="118">
        <f t="shared" si="23"/>
        <v>4.2387607289550546</v>
      </c>
      <c r="BS40" s="108">
        <f t="shared" si="24"/>
        <v>15.780150392255049</v>
      </c>
      <c r="BT40" s="118">
        <f t="shared" si="25"/>
        <v>1.1000000000000001</v>
      </c>
      <c r="BU40" s="108">
        <f t="shared" si="26"/>
        <v>17.358165431480554</v>
      </c>
      <c r="BV40" s="6" cm="1">
        <f t="array" ref="BV40">IF(AP40=0,FactorPhi7121(BR40,"a"),noisuy2chieu(BU40,BR40,Data!$A$63:$M$85))</f>
        <v>0</v>
      </c>
      <c r="BW40" s="111">
        <v>1.26</v>
      </c>
      <c r="BX40" s="111">
        <f t="shared" si="27"/>
        <v>0.94033728907422576</v>
      </c>
      <c r="BY40" s="113" t="e">
        <f t="shared" si="28"/>
        <v>#DIV/0!</v>
      </c>
      <c r="BZ40" s="6" t="e">
        <f t="shared" si="29"/>
        <v>#DIV/0!</v>
      </c>
      <c r="CA40" s="114">
        <f t="shared" si="30"/>
        <v>127.25109874278135</v>
      </c>
      <c r="CB40" s="115" t="e">
        <f t="shared" si="31"/>
        <v>#DIV/0!</v>
      </c>
      <c r="CC40" s="6" t="e">
        <f t="shared" si="32"/>
        <v>#DIV/0!</v>
      </c>
      <c r="DG40" s="108"/>
      <c r="DH40" s="16"/>
      <c r="DI40" s="16"/>
      <c r="DJ40" s="108"/>
      <c r="DR40" s="109"/>
      <c r="DS40" s="116"/>
      <c r="DT40" s="109"/>
      <c r="DU40" s="6"/>
      <c r="DV40" s="111"/>
      <c r="DW40" s="111"/>
      <c r="DX40" s="111"/>
      <c r="DY40" s="111"/>
      <c r="DZ40" s="111"/>
      <c r="EA40" s="111"/>
      <c r="EB40" s="111"/>
      <c r="EC40" s="111"/>
      <c r="ED40" s="111"/>
      <c r="EE40" s="111"/>
      <c r="EF40" s="6"/>
      <c r="EG40" s="6"/>
      <c r="EH40" s="6"/>
      <c r="EI40" s="6"/>
      <c r="EJ40" s="6"/>
      <c r="EK40" s="6"/>
      <c r="EL40" s="112"/>
      <c r="EM40" s="112"/>
      <c r="EN40" s="118"/>
      <c r="EO40" s="118"/>
      <c r="EP40" s="112"/>
      <c r="EQ40" s="112"/>
      <c r="ER40" s="112"/>
      <c r="ES40" s="112"/>
      <c r="ET40" s="112"/>
      <c r="EU40" s="112"/>
      <c r="EV40" s="6"/>
      <c r="EW40" s="6"/>
      <c r="EX40" s="118"/>
      <c r="EY40" s="113"/>
      <c r="EZ40" s="6"/>
      <c r="FA40" s="114"/>
      <c r="FB40" s="115"/>
      <c r="FC40" s="6"/>
    </row>
    <row r="41" spans="2:159" ht="14.25" customHeight="1">
      <c r="B41" s="10" t="s">
        <v>74</v>
      </c>
      <c r="C41" s="4"/>
      <c r="D41" s="4"/>
      <c r="E41" s="4"/>
      <c r="F41" s="4"/>
      <c r="G41" s="4"/>
      <c r="H41" s="4"/>
      <c r="I41" s="4"/>
      <c r="J41" s="4"/>
      <c r="K41" s="58" t="s">
        <v>90</v>
      </c>
      <c r="L41" s="51">
        <f>(ABS(H27)/(J23*F23*I23)*10)^IF(L31&gt;0.1,H40,1)</f>
        <v>7.7025419468773185E-2</v>
      </c>
      <c r="M41" s="43" t="s">
        <v>40</v>
      </c>
      <c r="N41" s="8"/>
      <c r="P41" s="172"/>
      <c r="Q41" s="173"/>
      <c r="AA41" s="79" t="s">
        <v>175</v>
      </c>
      <c r="AB41" s="80" t="s">
        <v>192</v>
      </c>
      <c r="AC41" s="81">
        <v>0</v>
      </c>
      <c r="AD41" s="81">
        <v>6</v>
      </c>
      <c r="AE41" s="80">
        <v>273</v>
      </c>
      <c r="AF41" s="80">
        <v>6.35</v>
      </c>
      <c r="AG41" s="108" cm="1">
        <f t="array" ref="AG41">_xll.DCEPropSectPipe(AE41, AF41, "Area")/100</f>
        <v>53.19431074856206</v>
      </c>
      <c r="AH41" s="16" cm="1">
        <f t="array" ref="AH41">_xll.DCEPropSectPipe(AE41, AF41, "Ix")/10000</f>
        <v>4730.4733077169503</v>
      </c>
      <c r="AI41" s="16" cm="1">
        <f t="array" ref="AI41">_xll.DCEPropSectPipe(AE41, AF41, "Wx")/1000</f>
        <v>346.55482107816493</v>
      </c>
      <c r="AJ41" s="108">
        <f t="shared" si="1"/>
        <v>9.4301739777164251</v>
      </c>
      <c r="AK41" s="80" t="s">
        <v>212</v>
      </c>
      <c r="AL41" s="82">
        <v>-50.956229146838353</v>
      </c>
      <c r="AM41" s="82">
        <v>7.485988020192349</v>
      </c>
      <c r="AN41" s="82">
        <v>2.4728890598149302</v>
      </c>
      <c r="AO41" s="82">
        <v>0</v>
      </c>
      <c r="AP41" s="82">
        <v>0</v>
      </c>
      <c r="AQ41" s="82">
        <v>0.23639584283878193</v>
      </c>
      <c r="AR41" s="109">
        <v>1</v>
      </c>
      <c r="AS41" s="116">
        <f t="shared" si="2"/>
        <v>6</v>
      </c>
      <c r="AT41" s="109">
        <v>2</v>
      </c>
      <c r="AU41" s="6">
        <f t="shared" si="3"/>
        <v>12</v>
      </c>
      <c r="AV41" s="111">
        <f t="shared" si="4"/>
        <v>4.1909275518424514E-2</v>
      </c>
      <c r="AW41" s="117">
        <f t="shared" si="5"/>
        <v>105</v>
      </c>
      <c r="AX41" s="111">
        <f t="shared" si="6"/>
        <v>1</v>
      </c>
      <c r="AY41" s="111">
        <f t="shared" si="7"/>
        <v>1</v>
      </c>
      <c r="AZ41" s="111">
        <f t="shared" si="8"/>
        <v>1</v>
      </c>
      <c r="BA41" s="111">
        <f t="shared" si="9"/>
        <v>4.4115026861499498E-2</v>
      </c>
      <c r="BB41" s="111">
        <f t="shared" si="10"/>
        <v>0</v>
      </c>
      <c r="BC41" s="111">
        <f t="shared" si="11"/>
        <v>0</v>
      </c>
      <c r="BD41" s="111">
        <v>0</v>
      </c>
      <c r="BE41" s="111">
        <f t="shared" si="12"/>
        <v>4.4115026861499498E-2</v>
      </c>
      <c r="BF41" s="6" t="str">
        <f t="shared" si="13"/>
        <v>OK</v>
      </c>
      <c r="BG41" s="16">
        <f t="shared" si="14"/>
        <v>63.625549371390676</v>
      </c>
      <c r="BH41" s="118">
        <f t="shared" si="15"/>
        <v>2.1193803644775273</v>
      </c>
      <c r="BI41" s="108">
        <f t="shared" si="16"/>
        <v>0</v>
      </c>
      <c r="BJ41" s="6">
        <f t="shared" si="17"/>
        <v>1.2440309817761237</v>
      </c>
      <c r="BK41" s="108">
        <f t="shared" si="18"/>
        <v>0</v>
      </c>
      <c r="BL41" s="118" cm="1">
        <f t="array" ref="BL41">IF(AO41=0,FactorPhi7121(BH41,"a"),noisuy2chieu(BK41,BH41,Data!$A$63:$M$85))</f>
        <v>0.86214274110469236</v>
      </c>
      <c r="BM41" s="111">
        <v>1.26</v>
      </c>
      <c r="BN41" s="118">
        <f t="shared" si="19"/>
        <v>0.98117530423565313</v>
      </c>
      <c r="BO41" s="108">
        <f t="shared" si="20"/>
        <v>0.1042919540806108</v>
      </c>
      <c r="BP41" s="6" t="str">
        <f t="shared" si="21"/>
        <v>OK</v>
      </c>
      <c r="BQ41" s="16">
        <f t="shared" si="22"/>
        <v>127.25109874278135</v>
      </c>
      <c r="BR41" s="118">
        <f t="shared" si="23"/>
        <v>4.2387607289550546</v>
      </c>
      <c r="BS41" s="108">
        <f t="shared" si="24"/>
        <v>0</v>
      </c>
      <c r="BT41" s="118">
        <f t="shared" si="25"/>
        <v>1.1380619635522473</v>
      </c>
      <c r="BU41" s="108">
        <f t="shared" si="26"/>
        <v>0</v>
      </c>
      <c r="BV41" s="6" cm="1">
        <f t="array" ref="BV41">IF(AP41=0,FactorPhi7121(BR41,"a"),noisuy2chieu(BU41,BR41,Data!$A$63:$M$85))</f>
        <v>0.42299549615688942</v>
      </c>
      <c r="BW41" s="111">
        <v>1.26</v>
      </c>
      <c r="BX41" s="111">
        <f t="shared" si="27"/>
        <v>0.92470121694261265</v>
      </c>
      <c r="BY41" s="113">
        <f t="shared" si="28"/>
        <v>5.1169052128158539E-2</v>
      </c>
      <c r="BZ41" s="6" t="str">
        <f t="shared" si="29"/>
        <v>OK</v>
      </c>
      <c r="CA41" s="114">
        <f t="shared" si="30"/>
        <v>127.25109874278135</v>
      </c>
      <c r="CB41" s="115">
        <f t="shared" si="31"/>
        <v>150</v>
      </c>
      <c r="CC41" s="6" t="str">
        <f t="shared" si="32"/>
        <v>OK</v>
      </c>
      <c r="DG41" s="108"/>
      <c r="DH41" s="16"/>
      <c r="DI41" s="16"/>
      <c r="DJ41" s="108"/>
      <c r="DR41" s="109"/>
      <c r="DS41" s="116"/>
      <c r="DT41" s="109"/>
      <c r="DU41" s="6"/>
      <c r="DV41" s="111"/>
      <c r="DW41" s="111"/>
      <c r="DX41" s="111"/>
      <c r="DY41" s="111"/>
      <c r="DZ41" s="111"/>
      <c r="EA41" s="111"/>
      <c r="EB41" s="111"/>
      <c r="EC41" s="111"/>
      <c r="ED41" s="111"/>
      <c r="EE41" s="111"/>
      <c r="EF41" s="6"/>
      <c r="EG41" s="6"/>
      <c r="EH41" s="6"/>
      <c r="EI41" s="6"/>
      <c r="EJ41" s="6"/>
      <c r="EK41" s="6"/>
      <c r="EL41" s="112"/>
      <c r="EM41" s="112"/>
      <c r="EN41" s="118"/>
      <c r="EO41" s="118"/>
      <c r="EP41" s="112"/>
      <c r="EQ41" s="112"/>
      <c r="ER41" s="112"/>
      <c r="ES41" s="112"/>
      <c r="ET41" s="112"/>
      <c r="EU41" s="112"/>
      <c r="EV41" s="6"/>
      <c r="EW41" s="6"/>
      <c r="EX41" s="118"/>
      <c r="EY41" s="113"/>
      <c r="EZ41" s="6"/>
      <c r="FA41" s="114"/>
      <c r="FB41" s="115"/>
      <c r="FC41" s="6"/>
    </row>
    <row r="42" spans="2:159" ht="14.25" customHeight="1">
      <c r="B42" s="10" t="s">
        <v>75</v>
      </c>
      <c r="C42" s="4"/>
      <c r="D42" s="4"/>
      <c r="E42" s="4"/>
      <c r="F42" s="4"/>
      <c r="G42" s="4"/>
      <c r="H42" s="4"/>
      <c r="I42" s="4"/>
      <c r="J42" s="4"/>
      <c r="K42" s="58" t="s">
        <v>91</v>
      </c>
      <c r="L42" s="51">
        <f>ABS(K27)/(IF(L31&gt;0.1,J40,1)*L23*F23*I23)*1000</f>
        <v>0.2993898144337313</v>
      </c>
      <c r="M42" s="43" t="s">
        <v>40</v>
      </c>
      <c r="N42" s="8"/>
      <c r="P42" s="174"/>
      <c r="Q42" s="175"/>
      <c r="AA42" s="79" t="s">
        <v>175</v>
      </c>
      <c r="AB42" s="80" t="s">
        <v>192</v>
      </c>
      <c r="AC42" s="81">
        <v>2.74</v>
      </c>
      <c r="AD42" s="81">
        <v>6</v>
      </c>
      <c r="AE42" s="80">
        <v>273</v>
      </c>
      <c r="AF42" s="80">
        <v>6.35</v>
      </c>
      <c r="AG42" s="108" cm="1">
        <f t="array" ref="AG42">_xll.DCEPropSectPipe(AE42, AF42, "Area")/100</f>
        <v>53.19431074856206</v>
      </c>
      <c r="AH42" s="16" cm="1">
        <f t="array" ref="AH42">_xll.DCEPropSectPipe(AE42, AF42, "Ix")/10000</f>
        <v>4730.4733077169503</v>
      </c>
      <c r="AI42" s="16" cm="1">
        <f t="array" ref="AI42">_xll.DCEPropSectPipe(AE42, AF42, "Wx")/1000</f>
        <v>346.55482107816493</v>
      </c>
      <c r="AJ42" s="108">
        <f t="shared" si="1"/>
        <v>9.4301739777164251</v>
      </c>
      <c r="AK42" s="80" t="s">
        <v>212</v>
      </c>
      <c r="AL42" s="82">
        <v>-49.608968798106325</v>
      </c>
      <c r="AM42" s="82">
        <v>7.485988020192349</v>
      </c>
      <c r="AN42" s="82">
        <v>2.4728890598149302</v>
      </c>
      <c r="AO42" s="82">
        <v>-6.7806618020125384</v>
      </c>
      <c r="AP42" s="82">
        <v>-20.526579151367422</v>
      </c>
      <c r="AQ42" s="82">
        <v>0.23639584283878193</v>
      </c>
      <c r="AR42" s="109">
        <v>1</v>
      </c>
      <c r="AS42" s="116">
        <f t="shared" si="2"/>
        <v>6</v>
      </c>
      <c r="AT42" s="109">
        <v>2</v>
      </c>
      <c r="AU42" s="6">
        <f t="shared" si="3"/>
        <v>12</v>
      </c>
      <c r="AV42" s="111">
        <f t="shared" si="4"/>
        <v>4.0801212655543651E-2</v>
      </c>
      <c r="AW42" s="117">
        <f t="shared" si="5"/>
        <v>105</v>
      </c>
      <c r="AX42" s="111">
        <f t="shared" si="6"/>
        <v>1</v>
      </c>
      <c r="AY42" s="111">
        <f t="shared" si="7"/>
        <v>1</v>
      </c>
      <c r="AZ42" s="111">
        <f t="shared" si="8"/>
        <v>1</v>
      </c>
      <c r="BA42" s="111">
        <f t="shared" si="9"/>
        <v>4.2948644900572264E-2</v>
      </c>
      <c r="BB42" s="111">
        <f t="shared" si="10"/>
        <v>9.0106182582608885E-2</v>
      </c>
      <c r="BC42" s="111">
        <f t="shared" si="11"/>
        <v>0.27277155870840258</v>
      </c>
      <c r="BD42" s="111">
        <v>0</v>
      </c>
      <c r="BE42" s="111">
        <f t="shared" si="12"/>
        <v>0.40582638619158373</v>
      </c>
      <c r="BF42" s="6" t="str">
        <f t="shared" si="13"/>
        <v>OK</v>
      </c>
      <c r="BG42" s="16">
        <f t="shared" si="14"/>
        <v>63.625549371390676</v>
      </c>
      <c r="BH42" s="118">
        <f t="shared" si="15"/>
        <v>2.1193803644775273</v>
      </c>
      <c r="BI42" s="108">
        <f t="shared" si="16"/>
        <v>2.0979982672610067</v>
      </c>
      <c r="BJ42" s="6">
        <f t="shared" si="17"/>
        <v>1.183595631736482</v>
      </c>
      <c r="BK42" s="108">
        <f t="shared" si="18"/>
        <v>2.4831815845208358</v>
      </c>
      <c r="BL42" s="118" cm="1">
        <f t="array" ref="BL42">IF(AO42=0,FactorPhi7121(BH42,"a"),noisuy2chieu(BK42,BH42,Data!$A$63:$M$85))</f>
        <v>0</v>
      </c>
      <c r="BM42" s="111">
        <v>1.26</v>
      </c>
      <c r="BN42" s="118">
        <f t="shared" si="19"/>
        <v>0.98167302093496311</v>
      </c>
      <c r="BO42" s="108" t="e">
        <f t="shared" si="20"/>
        <v>#DIV/0!</v>
      </c>
      <c r="BP42" s="6" t="e">
        <f t="shared" si="21"/>
        <v>#DIV/0!</v>
      </c>
      <c r="BQ42" s="16">
        <f t="shared" si="22"/>
        <v>127.25109874278135</v>
      </c>
      <c r="BR42" s="118">
        <f t="shared" si="23"/>
        <v>4.2387607289550546</v>
      </c>
      <c r="BS42" s="108">
        <f t="shared" si="24"/>
        <v>6.3511097809926023</v>
      </c>
      <c r="BT42" s="118">
        <f t="shared" si="25"/>
        <v>1.1000000000000001</v>
      </c>
      <c r="BU42" s="108">
        <f t="shared" si="26"/>
        <v>6.9862207590918635</v>
      </c>
      <c r="BV42" s="6" cm="1">
        <f t="array" ref="BV42">IF(AP42=0,FactorPhi7121(BR42,"a"),noisuy2chieu(BU42,BR42,Data!$A$63:$M$85))</f>
        <v>0</v>
      </c>
      <c r="BW42" s="111">
        <v>1.26</v>
      </c>
      <c r="BX42" s="111">
        <f t="shared" si="27"/>
        <v>0.92669208373985268</v>
      </c>
      <c r="BY42" s="113" t="e">
        <f t="shared" si="28"/>
        <v>#DIV/0!</v>
      </c>
      <c r="BZ42" s="6" t="e">
        <f t="shared" si="29"/>
        <v>#DIV/0!</v>
      </c>
      <c r="CA42" s="114">
        <f t="shared" si="30"/>
        <v>127.25109874278135</v>
      </c>
      <c r="CB42" s="115" t="e">
        <f t="shared" si="31"/>
        <v>#DIV/0!</v>
      </c>
      <c r="CC42" s="6" t="e">
        <f t="shared" si="32"/>
        <v>#DIV/0!</v>
      </c>
      <c r="DG42" s="108"/>
      <c r="DH42" s="16"/>
      <c r="DI42" s="16"/>
      <c r="DJ42" s="108"/>
      <c r="DR42" s="109"/>
      <c r="DS42" s="116"/>
      <c r="DT42" s="109"/>
      <c r="DU42" s="6"/>
      <c r="DV42" s="111"/>
      <c r="DW42" s="111"/>
      <c r="DX42" s="111"/>
      <c r="DY42" s="111"/>
      <c r="DZ42" s="111"/>
      <c r="EA42" s="111"/>
      <c r="EB42" s="111"/>
      <c r="EC42" s="111"/>
      <c r="ED42" s="111"/>
      <c r="EE42" s="111"/>
      <c r="EF42" s="6"/>
      <c r="EG42" s="6"/>
      <c r="EH42" s="6"/>
      <c r="EI42" s="6"/>
      <c r="EJ42" s="6"/>
      <c r="EK42" s="6"/>
      <c r="EL42" s="112"/>
      <c r="EM42" s="112"/>
      <c r="EN42" s="118"/>
      <c r="EO42" s="118"/>
      <c r="EP42" s="112"/>
      <c r="EQ42" s="112"/>
      <c r="ER42" s="112"/>
      <c r="ES42" s="112"/>
      <c r="ET42" s="112"/>
      <c r="EU42" s="112"/>
      <c r="EV42" s="6"/>
      <c r="EW42" s="6"/>
      <c r="EX42" s="118"/>
      <c r="EY42" s="113"/>
      <c r="EZ42" s="6"/>
      <c r="FA42" s="114"/>
      <c r="FB42" s="115"/>
      <c r="FC42" s="6"/>
    </row>
    <row r="43" spans="2:159" ht="14.25" customHeight="1">
      <c r="B43" s="10" t="s">
        <v>76</v>
      </c>
      <c r="C43" s="4"/>
      <c r="D43" s="4"/>
      <c r="E43" s="4"/>
      <c r="F43" s="4"/>
      <c r="G43" s="4"/>
      <c r="H43" s="4"/>
      <c r="I43" s="4"/>
      <c r="J43" s="4"/>
      <c r="K43" s="58" t="s">
        <v>92</v>
      </c>
      <c r="L43" s="51">
        <f>ABS(L27)/(IF(L31&gt;0.1,L40,1)*L23*F23*I23)*1000</f>
        <v>0.73070282328797398</v>
      </c>
      <c r="M43" s="43" t="s">
        <v>40</v>
      </c>
      <c r="N43" s="8"/>
      <c r="AA43" s="79" t="s">
        <v>175</v>
      </c>
      <c r="AB43" s="80" t="s">
        <v>192</v>
      </c>
      <c r="AC43" s="81">
        <v>5.48</v>
      </c>
      <c r="AD43" s="81">
        <v>6</v>
      </c>
      <c r="AE43" s="80">
        <v>273</v>
      </c>
      <c r="AF43" s="80">
        <v>6.35</v>
      </c>
      <c r="AG43" s="108" cm="1">
        <f t="array" ref="AG43">_xll.DCEPropSectPipe(AE43, AF43, "Area")/100</f>
        <v>53.19431074856206</v>
      </c>
      <c r="AH43" s="16" cm="1">
        <f t="array" ref="AH43">_xll.DCEPropSectPipe(AE43, AF43, "Ix")/10000</f>
        <v>4730.4733077169503</v>
      </c>
      <c r="AI43" s="16" cm="1">
        <f t="array" ref="AI43">_xll.DCEPropSectPipe(AE43, AF43, "Wx")/1000</f>
        <v>346.55482107816493</v>
      </c>
      <c r="AJ43" s="108">
        <f t="shared" si="1"/>
        <v>9.4301739777164251</v>
      </c>
      <c r="AK43" s="80" t="s">
        <v>212</v>
      </c>
      <c r="AL43" s="82">
        <v>-48.261708449374282</v>
      </c>
      <c r="AM43" s="82">
        <v>7.485988020192349</v>
      </c>
      <c r="AN43" s="82">
        <v>2.4728890598149302</v>
      </c>
      <c r="AO43" s="82">
        <v>-13.561323604025077</v>
      </c>
      <c r="AP43" s="82">
        <v>-41.053158302734843</v>
      </c>
      <c r="AQ43" s="82">
        <v>0.23639584283878193</v>
      </c>
      <c r="AR43" s="109">
        <v>1</v>
      </c>
      <c r="AS43" s="116">
        <f t="shared" si="2"/>
        <v>6</v>
      </c>
      <c r="AT43" s="109">
        <v>2</v>
      </c>
      <c r="AU43" s="6">
        <f t="shared" si="3"/>
        <v>12</v>
      </c>
      <c r="AV43" s="111">
        <f t="shared" si="4"/>
        <v>3.9693149792662773E-2</v>
      </c>
      <c r="AW43" s="117">
        <f t="shared" si="5"/>
        <v>105</v>
      </c>
      <c r="AX43" s="111">
        <f t="shared" si="6"/>
        <v>1</v>
      </c>
      <c r="AY43" s="111">
        <f t="shared" si="7"/>
        <v>1</v>
      </c>
      <c r="AZ43" s="111">
        <f t="shared" si="8"/>
        <v>1</v>
      </c>
      <c r="BA43" s="111">
        <f t="shared" si="9"/>
        <v>4.1782262939645022E-2</v>
      </c>
      <c r="BB43" s="111">
        <f t="shared" si="10"/>
        <v>0.18021236516521777</v>
      </c>
      <c r="BC43" s="111">
        <f t="shared" si="11"/>
        <v>0.54554311741680517</v>
      </c>
      <c r="BD43" s="111">
        <v>0</v>
      </c>
      <c r="BE43" s="111">
        <f t="shared" si="12"/>
        <v>0.76753774552166798</v>
      </c>
      <c r="BF43" s="6" t="str">
        <f t="shared" si="13"/>
        <v>OK</v>
      </c>
      <c r="BG43" s="16">
        <f t="shared" si="14"/>
        <v>63.625549371390676</v>
      </c>
      <c r="BH43" s="118">
        <f t="shared" si="15"/>
        <v>2.1193803644775273</v>
      </c>
      <c r="BI43" s="108">
        <f t="shared" si="16"/>
        <v>4.3131307996777659</v>
      </c>
      <c r="BJ43" s="6">
        <f t="shared" si="17"/>
        <v>1.1197860890548386</v>
      </c>
      <c r="BK43" s="108">
        <f t="shared" si="18"/>
        <v>4.8297838697531335</v>
      </c>
      <c r="BL43" s="118" cm="1">
        <f t="array" ref="BL43">IF(AO43=0,FactorPhi7121(BH43,"a"),noisuy2chieu(BK43,BH43,Data!$A$63:$M$85))</f>
        <v>0</v>
      </c>
      <c r="BM43" s="111">
        <v>1.26</v>
      </c>
      <c r="BN43" s="118">
        <f t="shared" si="19"/>
        <v>0.98217073763427321</v>
      </c>
      <c r="BO43" s="108" t="e">
        <f t="shared" si="20"/>
        <v>#DIV/0!</v>
      </c>
      <c r="BP43" s="6" t="e">
        <f t="shared" si="21"/>
        <v>#DIV/0!</v>
      </c>
      <c r="BQ43" s="16">
        <f t="shared" si="22"/>
        <v>127.25109874278135</v>
      </c>
      <c r="BR43" s="118">
        <f t="shared" si="23"/>
        <v>4.2387607289550546</v>
      </c>
      <c r="BS43" s="108">
        <f t="shared" si="24"/>
        <v>13.056811169008455</v>
      </c>
      <c r="BT43" s="118">
        <f t="shared" si="25"/>
        <v>1.1000000000000001</v>
      </c>
      <c r="BU43" s="108">
        <f t="shared" si="26"/>
        <v>14.362492285909301</v>
      </c>
      <c r="BV43" s="6" cm="1">
        <f t="array" ref="BV43">IF(AP43=0,FactorPhi7121(BR43,"a"),noisuy2chieu(BU43,BR43,Data!$A$63:$M$85))</f>
        <v>0</v>
      </c>
      <c r="BW43" s="111">
        <v>1.26</v>
      </c>
      <c r="BX43" s="111">
        <f t="shared" si="27"/>
        <v>0.92868295053709271</v>
      </c>
      <c r="BY43" s="113" t="e">
        <f t="shared" si="28"/>
        <v>#DIV/0!</v>
      </c>
      <c r="BZ43" s="6" t="e">
        <f t="shared" si="29"/>
        <v>#DIV/0!</v>
      </c>
      <c r="CA43" s="114">
        <f t="shared" si="30"/>
        <v>127.25109874278135</v>
      </c>
      <c r="CB43" s="115" t="e">
        <f t="shared" si="31"/>
        <v>#DIV/0!</v>
      </c>
      <c r="CC43" s="6" t="e">
        <f t="shared" si="32"/>
        <v>#DIV/0!</v>
      </c>
      <c r="DG43" s="108"/>
      <c r="DH43" s="16"/>
      <c r="DI43" s="16"/>
      <c r="DJ43" s="108"/>
      <c r="DR43" s="109"/>
      <c r="DS43" s="116"/>
      <c r="DT43" s="109"/>
      <c r="DU43" s="6"/>
      <c r="DV43" s="111"/>
      <c r="DW43" s="111"/>
      <c r="DX43" s="111"/>
      <c r="DY43" s="111"/>
      <c r="DZ43" s="111"/>
      <c r="EA43" s="111"/>
      <c r="EB43" s="111"/>
      <c r="EC43" s="111"/>
      <c r="ED43" s="111"/>
      <c r="EE43" s="111"/>
      <c r="EF43" s="6"/>
      <c r="EG43" s="6"/>
      <c r="EH43" s="6"/>
      <c r="EI43" s="6"/>
      <c r="EJ43" s="6"/>
      <c r="EK43" s="6"/>
      <c r="EL43" s="112"/>
      <c r="EM43" s="112"/>
      <c r="EN43" s="118"/>
      <c r="EO43" s="118"/>
      <c r="EP43" s="112"/>
      <c r="EQ43" s="112"/>
      <c r="ER43" s="112"/>
      <c r="ES43" s="112"/>
      <c r="ET43" s="112"/>
      <c r="EU43" s="112"/>
      <c r="EV43" s="6"/>
      <c r="EW43" s="6"/>
      <c r="EX43" s="118"/>
      <c r="EY43" s="113"/>
      <c r="EZ43" s="6"/>
      <c r="FA43" s="114"/>
      <c r="FB43" s="115"/>
      <c r="FC43" s="6"/>
    </row>
    <row r="44" spans="2:159" ht="14.25" customHeight="1">
      <c r="B44" s="10" t="s">
        <v>77</v>
      </c>
      <c r="C44" s="4"/>
      <c r="D44" s="4"/>
      <c r="E44" s="4"/>
      <c r="F44" s="4"/>
      <c r="G44" s="4"/>
      <c r="H44" s="4"/>
      <c r="I44" s="4"/>
      <c r="J44" s="4"/>
      <c r="K44" s="58" t="s">
        <v>93</v>
      </c>
      <c r="L44" s="51">
        <v>0</v>
      </c>
      <c r="M44" s="43" t="s">
        <v>40</v>
      </c>
      <c r="N44" s="8"/>
      <c r="AA44" s="79" t="s">
        <v>175</v>
      </c>
      <c r="AB44" s="80" t="s">
        <v>192</v>
      </c>
      <c r="AC44" s="81">
        <v>0</v>
      </c>
      <c r="AD44" s="81">
        <v>6</v>
      </c>
      <c r="AE44" s="80">
        <v>273</v>
      </c>
      <c r="AF44" s="80">
        <v>6.35</v>
      </c>
      <c r="AG44" s="108" cm="1">
        <f t="array" ref="AG44">_xll.DCEPropSectPipe(AE44, AF44, "Area")/100</f>
        <v>53.19431074856206</v>
      </c>
      <c r="AH44" s="16" cm="1">
        <f t="array" ref="AH44">_xll.DCEPropSectPipe(AE44, AF44, "Ix")/10000</f>
        <v>4730.4733077169503</v>
      </c>
      <c r="AI44" s="16" cm="1">
        <f t="array" ref="AI44">_xll.DCEPropSectPipe(AE44, AF44, "Wx")/1000</f>
        <v>346.55482107816493</v>
      </c>
      <c r="AJ44" s="108">
        <f t="shared" si="1"/>
        <v>9.4301739777164251</v>
      </c>
      <c r="AK44" s="80" t="s">
        <v>213</v>
      </c>
      <c r="AL44" s="82">
        <v>-14.660223955006282</v>
      </c>
      <c r="AM44" s="82">
        <v>1.0778729104222069</v>
      </c>
      <c r="AN44" s="82">
        <v>0.24715655169830378</v>
      </c>
      <c r="AO44" s="82">
        <v>0</v>
      </c>
      <c r="AP44" s="82">
        <v>0</v>
      </c>
      <c r="AQ44" s="82">
        <v>-1.2874234931769705E-2</v>
      </c>
      <c r="AR44" s="109">
        <v>1</v>
      </c>
      <c r="AS44" s="116">
        <f t="shared" si="2"/>
        <v>6</v>
      </c>
      <c r="AT44" s="109">
        <v>2</v>
      </c>
      <c r="AU44" s="6">
        <f t="shared" si="3"/>
        <v>12</v>
      </c>
      <c r="AV44" s="111">
        <f t="shared" si="4"/>
        <v>1.2057394653785653E-2</v>
      </c>
      <c r="AW44" s="117">
        <f t="shared" si="5"/>
        <v>105</v>
      </c>
      <c r="AX44" s="111">
        <f t="shared" si="6"/>
        <v>1</v>
      </c>
      <c r="AY44" s="111">
        <f t="shared" si="7"/>
        <v>1</v>
      </c>
      <c r="AZ44" s="111">
        <f t="shared" si="8"/>
        <v>1</v>
      </c>
      <c r="BA44" s="111">
        <f t="shared" si="9"/>
        <v>1.2691994372405951E-2</v>
      </c>
      <c r="BB44" s="111">
        <f t="shared" si="10"/>
        <v>0</v>
      </c>
      <c r="BC44" s="111">
        <f t="shared" si="11"/>
        <v>0</v>
      </c>
      <c r="BD44" s="111">
        <v>0</v>
      </c>
      <c r="BE44" s="111">
        <f t="shared" si="12"/>
        <v>1.2691994372405951E-2</v>
      </c>
      <c r="BF44" s="6" t="str">
        <f t="shared" si="13"/>
        <v>OK</v>
      </c>
      <c r="BG44" s="16">
        <f t="shared" si="14"/>
        <v>63.625549371390676</v>
      </c>
      <c r="BH44" s="118">
        <f t="shared" si="15"/>
        <v>2.1193803644775273</v>
      </c>
      <c r="BI44" s="108">
        <f t="shared" si="16"/>
        <v>0</v>
      </c>
      <c r="BJ44" s="6">
        <f t="shared" si="17"/>
        <v>1.2440309817761237</v>
      </c>
      <c r="BK44" s="108">
        <f t="shared" si="18"/>
        <v>0</v>
      </c>
      <c r="BL44" s="118" cm="1">
        <f t="array" ref="BL44">IF(AO44=0,FactorPhi7121(BH44,"a"),noisuy2chieu(BK44,BH44,Data!$A$63:$M$85))</f>
        <v>0.86214274110469236</v>
      </c>
      <c r="BM44" s="111">
        <v>1.26</v>
      </c>
      <c r="BN44" s="118">
        <f t="shared" si="19"/>
        <v>0.99458409186843633</v>
      </c>
      <c r="BO44" s="108">
        <f t="shared" si="20"/>
        <v>3.0005034303482225E-2</v>
      </c>
      <c r="BP44" s="6" t="str">
        <f t="shared" si="21"/>
        <v>OK</v>
      </c>
      <c r="BQ44" s="16">
        <f t="shared" si="22"/>
        <v>127.25109874278135</v>
      </c>
      <c r="BR44" s="118">
        <f t="shared" si="23"/>
        <v>4.2387607289550546</v>
      </c>
      <c r="BS44" s="108">
        <f t="shared" si="24"/>
        <v>0</v>
      </c>
      <c r="BT44" s="118">
        <f t="shared" si="25"/>
        <v>1.1380619635522473</v>
      </c>
      <c r="BU44" s="108">
        <f t="shared" si="26"/>
        <v>0</v>
      </c>
      <c r="BV44" s="6" cm="1">
        <f t="array" ref="BV44">IF(AP44=0,FactorPhi7121(BR44,"a"),noisuy2chieu(BU44,BR44,Data!$A$63:$M$85))</f>
        <v>0.42299549615688942</v>
      </c>
      <c r="BW44" s="111">
        <v>1.26</v>
      </c>
      <c r="BX44" s="111">
        <f t="shared" si="27"/>
        <v>0.97833636747374542</v>
      </c>
      <c r="BY44" s="113">
        <f t="shared" si="28"/>
        <v>1.4721453614680181E-2</v>
      </c>
      <c r="BZ44" s="6" t="str">
        <f t="shared" si="29"/>
        <v>OK</v>
      </c>
      <c r="CA44" s="114">
        <f t="shared" si="30"/>
        <v>127.25109874278135</v>
      </c>
      <c r="CB44" s="115">
        <f t="shared" si="31"/>
        <v>150</v>
      </c>
      <c r="CC44" s="6" t="str">
        <f t="shared" si="32"/>
        <v>OK</v>
      </c>
      <c r="DG44" s="108"/>
      <c r="DH44" s="16"/>
      <c r="DI44" s="16"/>
      <c r="DJ44" s="108"/>
      <c r="DR44" s="109"/>
      <c r="DS44" s="116"/>
      <c r="DT44" s="109"/>
      <c r="DU44" s="6"/>
      <c r="DV44" s="111"/>
      <c r="DW44" s="111"/>
      <c r="DX44" s="111"/>
      <c r="DY44" s="111"/>
      <c r="DZ44" s="111"/>
      <c r="EA44" s="111"/>
      <c r="EB44" s="111"/>
      <c r="EC44" s="111"/>
      <c r="ED44" s="111"/>
      <c r="EE44" s="111"/>
      <c r="EF44" s="6"/>
      <c r="EG44" s="6"/>
      <c r="EH44" s="6"/>
      <c r="EI44" s="6"/>
      <c r="EJ44" s="6"/>
      <c r="EK44" s="6"/>
      <c r="EL44" s="112"/>
      <c r="EM44" s="112"/>
      <c r="EN44" s="118"/>
      <c r="EO44" s="118"/>
      <c r="EP44" s="112"/>
      <c r="EQ44" s="112"/>
      <c r="ER44" s="112"/>
      <c r="ES44" s="112"/>
      <c r="ET44" s="112"/>
      <c r="EU44" s="112"/>
      <c r="EV44" s="6"/>
      <c r="EW44" s="6"/>
      <c r="EX44" s="118"/>
      <c r="EY44" s="113"/>
      <c r="EZ44" s="6"/>
      <c r="FA44" s="114"/>
      <c r="FB44" s="115"/>
      <c r="FC44" s="6"/>
    </row>
    <row r="45" spans="2:159" ht="14.25" customHeight="1">
      <c r="B45" s="10" t="s">
        <v>85</v>
      </c>
      <c r="C45" s="4"/>
      <c r="D45" s="4"/>
      <c r="E45" s="4"/>
      <c r="F45" s="4"/>
      <c r="G45" s="4"/>
      <c r="H45" s="4"/>
      <c r="I45" s="4"/>
      <c r="J45" s="4"/>
      <c r="K45" s="44" t="s">
        <v>51</v>
      </c>
      <c r="L45" s="59">
        <f>L41+L42+L43+L44</f>
        <v>1.1071180571904784</v>
      </c>
      <c r="M45" s="60" t="s">
        <v>32</v>
      </c>
      <c r="N45" s="21" t="str">
        <f>IF(L45&lt;=1,"OK","Check")</f>
        <v>Check</v>
      </c>
      <c r="AA45" s="79" t="s">
        <v>175</v>
      </c>
      <c r="AB45" s="80" t="s">
        <v>192</v>
      </c>
      <c r="AC45" s="81">
        <v>2.74</v>
      </c>
      <c r="AD45" s="81">
        <v>6</v>
      </c>
      <c r="AE45" s="80">
        <v>273</v>
      </c>
      <c r="AF45" s="80">
        <v>6.35</v>
      </c>
      <c r="AG45" s="108" cm="1">
        <f t="array" ref="AG45">_xll.DCEPropSectPipe(AE45, AF45, "Area")/100</f>
        <v>53.19431074856206</v>
      </c>
      <c r="AH45" s="16" cm="1">
        <f t="array" ref="AH45">_xll.DCEPropSectPipe(AE45, AF45, "Ix")/10000</f>
        <v>4730.4733077169503</v>
      </c>
      <c r="AI45" s="16" cm="1">
        <f t="array" ref="AI45">_xll.DCEPropSectPipe(AE45, AF45, "Wx")/1000</f>
        <v>346.55482107816493</v>
      </c>
      <c r="AJ45" s="108">
        <f t="shared" si="1"/>
        <v>9.4301739777164251</v>
      </c>
      <c r="AK45" s="80" t="s">
        <v>213</v>
      </c>
      <c r="AL45" s="82">
        <v>-13.312963606274254</v>
      </c>
      <c r="AM45" s="82">
        <v>1.0778729104222069</v>
      </c>
      <c r="AN45" s="82">
        <v>0.24715655169830378</v>
      </c>
      <c r="AO45" s="82">
        <v>-0.67770326475674925</v>
      </c>
      <c r="AP45" s="82">
        <v>-2.9555275203776912</v>
      </c>
      <c r="AQ45" s="82">
        <v>-1.2874234931769705E-2</v>
      </c>
      <c r="AR45" s="109">
        <v>1</v>
      </c>
      <c r="AS45" s="116">
        <f t="shared" si="2"/>
        <v>6</v>
      </c>
      <c r="AT45" s="109">
        <v>2</v>
      </c>
      <c r="AU45" s="6">
        <f t="shared" si="3"/>
        <v>12</v>
      </c>
      <c r="AV45" s="111">
        <f t="shared" si="4"/>
        <v>1.0949331790904786E-2</v>
      </c>
      <c r="AW45" s="117">
        <f t="shared" si="5"/>
        <v>105</v>
      </c>
      <c r="AX45" s="111">
        <f t="shared" si="6"/>
        <v>1</v>
      </c>
      <c r="AY45" s="111">
        <f t="shared" si="7"/>
        <v>1</v>
      </c>
      <c r="AZ45" s="111">
        <f t="shared" si="8"/>
        <v>1</v>
      </c>
      <c r="BA45" s="111">
        <f t="shared" si="9"/>
        <v>1.1525612411478722E-2</v>
      </c>
      <c r="BB45" s="111">
        <f t="shared" si="10"/>
        <v>9.0057955836814144E-3</v>
      </c>
      <c r="BC45" s="111">
        <f t="shared" si="11"/>
        <v>3.9275119472856598E-2</v>
      </c>
      <c r="BD45" s="111">
        <v>0</v>
      </c>
      <c r="BE45" s="111">
        <f t="shared" si="12"/>
        <v>5.9806527468016735E-2</v>
      </c>
      <c r="BF45" s="6" t="str">
        <f t="shared" si="13"/>
        <v>OK</v>
      </c>
      <c r="BG45" s="16">
        <f t="shared" si="14"/>
        <v>63.625549371390676</v>
      </c>
      <c r="BH45" s="118">
        <f t="shared" si="15"/>
        <v>2.1193803644775273</v>
      </c>
      <c r="BI45" s="108">
        <f t="shared" si="16"/>
        <v>0.78137241321010054</v>
      </c>
      <c r="BJ45" s="6">
        <f t="shared" si="17"/>
        <v>1.2215226146146376</v>
      </c>
      <c r="BK45" s="108">
        <f t="shared" si="18"/>
        <v>0.95446407317215098</v>
      </c>
      <c r="BL45" s="118" cm="1">
        <f t="array" ref="BL45">IF(AO45=0,FactorPhi7121(BH45,"a"),noisuy2chieu(BK45,BH45,Data!$A$63:$M$85))</f>
        <v>0</v>
      </c>
      <c r="BM45" s="111">
        <v>1.26</v>
      </c>
      <c r="BN45" s="118">
        <f t="shared" si="19"/>
        <v>0.99508180856774631</v>
      </c>
      <c r="BO45" s="108" t="e">
        <f t="shared" si="20"/>
        <v>#DIV/0!</v>
      </c>
      <c r="BP45" s="6" t="e">
        <f t="shared" si="21"/>
        <v>#DIV/0!</v>
      </c>
      <c r="BQ45" s="16">
        <f t="shared" si="22"/>
        <v>127.25109874278135</v>
      </c>
      <c r="BR45" s="118">
        <f t="shared" si="23"/>
        <v>4.2387607289550546</v>
      </c>
      <c r="BS45" s="108">
        <f t="shared" si="24"/>
        <v>3.4076384031221862</v>
      </c>
      <c r="BT45" s="118">
        <f t="shared" si="25"/>
        <v>1.1121216818124724</v>
      </c>
      <c r="BU45" s="108">
        <f t="shared" si="26"/>
        <v>3.7897085518890137</v>
      </c>
      <c r="BV45" s="6" cm="1">
        <f t="array" ref="BV45">IF(AP45=0,FactorPhi7121(BR45,"a"),noisuy2chieu(BU45,BR45,Data!$A$63:$M$85))</f>
        <v>0</v>
      </c>
      <c r="BW45" s="111">
        <v>1.26</v>
      </c>
      <c r="BX45" s="111">
        <f t="shared" si="27"/>
        <v>0.98032723427098534</v>
      </c>
      <c r="BY45" s="113" t="e">
        <f t="shared" si="28"/>
        <v>#DIV/0!</v>
      </c>
      <c r="BZ45" s="6" t="e">
        <f t="shared" si="29"/>
        <v>#DIV/0!</v>
      </c>
      <c r="CA45" s="114">
        <f t="shared" si="30"/>
        <v>127.25109874278135</v>
      </c>
      <c r="CB45" s="115" t="e">
        <f t="shared" si="31"/>
        <v>#DIV/0!</v>
      </c>
      <c r="CC45" s="6" t="e">
        <f t="shared" si="32"/>
        <v>#DIV/0!</v>
      </c>
      <c r="DG45" s="108"/>
      <c r="DH45" s="16"/>
      <c r="DI45" s="16"/>
      <c r="DJ45" s="108"/>
      <c r="DR45" s="109"/>
      <c r="DS45" s="116"/>
      <c r="DT45" s="109"/>
      <c r="DU45" s="6"/>
      <c r="DV45" s="111"/>
      <c r="DW45" s="111"/>
      <c r="DX45" s="111"/>
      <c r="DY45" s="111"/>
      <c r="DZ45" s="111"/>
      <c r="EA45" s="111"/>
      <c r="EB45" s="111"/>
      <c r="EC45" s="111"/>
      <c r="ED45" s="111"/>
      <c r="EE45" s="111"/>
      <c r="EF45" s="6"/>
      <c r="EG45" s="6"/>
      <c r="EH45" s="6"/>
      <c r="EI45" s="6"/>
      <c r="EJ45" s="6"/>
      <c r="EK45" s="6"/>
      <c r="EL45" s="112"/>
      <c r="EM45" s="112"/>
      <c r="EN45" s="118"/>
      <c r="EO45" s="118"/>
      <c r="EP45" s="112"/>
      <c r="EQ45" s="112"/>
      <c r="ER45" s="112"/>
      <c r="ES45" s="112"/>
      <c r="ET45" s="112"/>
      <c r="EU45" s="112"/>
      <c r="EV45" s="6"/>
      <c r="EW45" s="6"/>
      <c r="EX45" s="118"/>
      <c r="EY45" s="113"/>
      <c r="EZ45" s="6"/>
      <c r="FA45" s="114"/>
      <c r="FB45" s="115"/>
      <c r="FC45" s="6"/>
    </row>
    <row r="46" spans="2:159" ht="14.25" customHeight="1">
      <c r="B46" s="34" t="s">
        <v>99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11"/>
      <c r="AA46" s="79" t="s">
        <v>175</v>
      </c>
      <c r="AB46" s="80" t="s">
        <v>192</v>
      </c>
      <c r="AC46" s="81">
        <v>5.48</v>
      </c>
      <c r="AD46" s="81">
        <v>6</v>
      </c>
      <c r="AE46" s="80">
        <v>273</v>
      </c>
      <c r="AF46" s="80">
        <v>6.35</v>
      </c>
      <c r="AG46" s="108" cm="1">
        <f t="array" ref="AG46">_xll.DCEPropSectPipe(AE46, AF46, "Area")/100</f>
        <v>53.19431074856206</v>
      </c>
      <c r="AH46" s="16" cm="1">
        <f t="array" ref="AH46">_xll.DCEPropSectPipe(AE46, AF46, "Ix")/10000</f>
        <v>4730.4733077169503</v>
      </c>
      <c r="AI46" s="16" cm="1">
        <f t="array" ref="AI46">_xll.DCEPropSectPipe(AE46, AF46, "Wx")/1000</f>
        <v>346.55482107816493</v>
      </c>
      <c r="AJ46" s="108">
        <f t="shared" si="1"/>
        <v>9.4301739777164251</v>
      </c>
      <c r="AK46" s="80" t="s">
        <v>213</v>
      </c>
      <c r="AL46" s="82">
        <v>-11.96570325754222</v>
      </c>
      <c r="AM46" s="82">
        <v>1.0778729104222069</v>
      </c>
      <c r="AN46" s="82">
        <v>0.24715655169830378</v>
      </c>
      <c r="AO46" s="82">
        <v>-1.3554065295134985</v>
      </c>
      <c r="AP46" s="82">
        <v>-5.9110550407553824</v>
      </c>
      <c r="AQ46" s="82">
        <v>-1.2874234931769705E-2</v>
      </c>
      <c r="AR46" s="109">
        <v>1</v>
      </c>
      <c r="AS46" s="116">
        <f t="shared" si="2"/>
        <v>6</v>
      </c>
      <c r="AT46" s="109">
        <v>2</v>
      </c>
      <c r="AU46" s="6">
        <f t="shared" si="3"/>
        <v>12</v>
      </c>
      <c r="AV46" s="111">
        <f t="shared" si="4"/>
        <v>9.8412689280239114E-3</v>
      </c>
      <c r="AW46" s="117">
        <f t="shared" si="5"/>
        <v>105</v>
      </c>
      <c r="AX46" s="111">
        <f t="shared" si="6"/>
        <v>1</v>
      </c>
      <c r="AY46" s="111">
        <f t="shared" si="7"/>
        <v>1</v>
      </c>
      <c r="AZ46" s="111">
        <f t="shared" si="8"/>
        <v>1</v>
      </c>
      <c r="BA46" s="111">
        <f t="shared" si="9"/>
        <v>1.0359230450551486E-2</v>
      </c>
      <c r="BB46" s="111">
        <f t="shared" si="10"/>
        <v>1.8011591167362829E-2</v>
      </c>
      <c r="BC46" s="111">
        <f t="shared" si="11"/>
        <v>7.8550238945713197E-2</v>
      </c>
      <c r="BD46" s="111">
        <v>0</v>
      </c>
      <c r="BE46" s="111">
        <f t="shared" si="12"/>
        <v>0.10692106056362752</v>
      </c>
      <c r="BF46" s="6" t="str">
        <f t="shared" si="13"/>
        <v>OK</v>
      </c>
      <c r="BG46" s="16">
        <f t="shared" si="14"/>
        <v>63.625549371390676</v>
      </c>
      <c r="BH46" s="118">
        <f t="shared" si="15"/>
        <v>2.1193803644775273</v>
      </c>
      <c r="BI46" s="108">
        <f t="shared" si="16"/>
        <v>1.738699728067538</v>
      </c>
      <c r="BJ46" s="6">
        <f t="shared" si="17"/>
        <v>1.1939456560066344</v>
      </c>
      <c r="BK46" s="108">
        <f t="shared" si="18"/>
        <v>2.0759129874261535</v>
      </c>
      <c r="BL46" s="118" cm="1">
        <f t="array" ref="BL46">IF(AO46=0,FactorPhi7121(BH46,"a"),noisuy2chieu(BK46,BH46,Data!$A$63:$M$85))</f>
        <v>0</v>
      </c>
      <c r="BM46" s="111">
        <v>1.26</v>
      </c>
      <c r="BN46" s="118">
        <f t="shared" si="19"/>
        <v>0.9955795252670564</v>
      </c>
      <c r="BO46" s="108" t="e">
        <f t="shared" si="20"/>
        <v>#DIV/0!</v>
      </c>
      <c r="BP46" s="6" t="e">
        <f t="shared" si="21"/>
        <v>#DIV/0!</v>
      </c>
      <c r="BQ46" s="16">
        <f t="shared" si="22"/>
        <v>127.25109874278135</v>
      </c>
      <c r="BR46" s="118">
        <f t="shared" si="23"/>
        <v>4.2387607289550546</v>
      </c>
      <c r="BS46" s="108">
        <f t="shared" si="24"/>
        <v>7.5826326405868754</v>
      </c>
      <c r="BT46" s="118">
        <f t="shared" si="25"/>
        <v>1.1000000000000001</v>
      </c>
      <c r="BU46" s="108">
        <f t="shared" si="26"/>
        <v>8.3408959046455635</v>
      </c>
      <c r="BV46" s="6" cm="1">
        <f t="array" ref="BV46">IF(AP46=0,FactorPhi7121(BR46,"a"),noisuy2chieu(BU46,BR46,Data!$A$63:$M$85))</f>
        <v>0</v>
      </c>
      <c r="BW46" s="111">
        <v>1.26</v>
      </c>
      <c r="BX46" s="111">
        <f t="shared" si="27"/>
        <v>0.98231810106822537</v>
      </c>
      <c r="BY46" s="113" t="e">
        <f t="shared" si="28"/>
        <v>#DIV/0!</v>
      </c>
      <c r="BZ46" s="6" t="e">
        <f t="shared" si="29"/>
        <v>#DIV/0!</v>
      </c>
      <c r="CA46" s="114">
        <f t="shared" si="30"/>
        <v>127.25109874278135</v>
      </c>
      <c r="CB46" s="115" t="e">
        <f t="shared" si="31"/>
        <v>#DIV/0!</v>
      </c>
      <c r="CC46" s="6" t="e">
        <f t="shared" si="32"/>
        <v>#DIV/0!</v>
      </c>
      <c r="DG46" s="108"/>
      <c r="DH46" s="16"/>
      <c r="DI46" s="16"/>
      <c r="DJ46" s="108"/>
      <c r="DR46" s="109"/>
      <c r="DS46" s="116"/>
      <c r="DT46" s="109"/>
      <c r="DU46" s="6"/>
      <c r="DV46" s="111"/>
      <c r="DW46" s="111"/>
      <c r="DX46" s="111"/>
      <c r="DY46" s="111"/>
      <c r="DZ46" s="111"/>
      <c r="EA46" s="111"/>
      <c r="EB46" s="111"/>
      <c r="EC46" s="111"/>
      <c r="ED46" s="111"/>
      <c r="EE46" s="111"/>
      <c r="EF46" s="6"/>
      <c r="EG46" s="6"/>
      <c r="EH46" s="6"/>
      <c r="EI46" s="6"/>
      <c r="EJ46" s="6"/>
      <c r="EK46" s="6"/>
      <c r="EL46" s="112"/>
      <c r="EM46" s="112"/>
      <c r="EN46" s="118"/>
      <c r="EO46" s="118"/>
      <c r="EP46" s="112"/>
      <c r="EQ46" s="112"/>
      <c r="ER46" s="112"/>
      <c r="ES46" s="112"/>
      <c r="ET46" s="112"/>
      <c r="EU46" s="112"/>
      <c r="EV46" s="6"/>
      <c r="EW46" s="6"/>
      <c r="EX46" s="118"/>
      <c r="EY46" s="113"/>
      <c r="EZ46" s="6"/>
      <c r="FA46" s="114"/>
      <c r="FB46" s="115"/>
      <c r="FC46" s="6"/>
    </row>
    <row r="47" spans="2:159" ht="14.25" customHeight="1">
      <c r="B47" s="34"/>
      <c r="C47" s="4"/>
      <c r="D47" s="4"/>
      <c r="E47" s="4"/>
      <c r="F47" s="4"/>
      <c r="G47" s="4"/>
      <c r="H47" s="169" t="s">
        <v>108</v>
      </c>
      <c r="I47" s="169"/>
      <c r="J47" s="77"/>
      <c r="K47" s="169" t="s">
        <v>109</v>
      </c>
      <c r="L47" s="169"/>
      <c r="M47" s="4"/>
      <c r="N47" s="11"/>
      <c r="AA47" s="79" t="s">
        <v>175</v>
      </c>
      <c r="AB47" s="80" t="s">
        <v>192</v>
      </c>
      <c r="AC47" s="81">
        <v>0</v>
      </c>
      <c r="AD47" s="81">
        <v>6</v>
      </c>
      <c r="AE47" s="80">
        <v>273</v>
      </c>
      <c r="AF47" s="80">
        <v>6.35</v>
      </c>
      <c r="AG47" s="108" cm="1">
        <f t="array" ref="AG47">_xll.DCEPropSectPipe(AE47, AF47, "Area")/100</f>
        <v>53.19431074856206</v>
      </c>
      <c r="AH47" s="16" cm="1">
        <f t="array" ref="AH47">_xll.DCEPropSectPipe(AE47, AF47, "Ix")/10000</f>
        <v>4730.4733077169503</v>
      </c>
      <c r="AI47" s="16" cm="1">
        <f t="array" ref="AI47">_xll.DCEPropSectPipe(AE47, AF47, "Wx")/1000</f>
        <v>346.55482107816493</v>
      </c>
      <c r="AJ47" s="108">
        <f t="shared" si="1"/>
        <v>9.4301739777164251</v>
      </c>
      <c r="AK47" s="80" t="s">
        <v>214</v>
      </c>
      <c r="AL47" s="82">
        <v>-5.9848213384670368</v>
      </c>
      <c r="AM47" s="82">
        <v>1.1690759075272501</v>
      </c>
      <c r="AN47" s="82">
        <v>8.6500254584681205E-2</v>
      </c>
      <c r="AO47" s="82">
        <v>0</v>
      </c>
      <c r="AP47" s="82">
        <v>0</v>
      </c>
      <c r="AQ47" s="82">
        <v>1.4724313894550981E-2</v>
      </c>
      <c r="AR47" s="109">
        <v>1</v>
      </c>
      <c r="AS47" s="116">
        <f t="shared" si="2"/>
        <v>6</v>
      </c>
      <c r="AT47" s="7">
        <v>2</v>
      </c>
      <c r="AU47" s="6">
        <f t="shared" si="3"/>
        <v>12</v>
      </c>
      <c r="AV47" s="111">
        <f t="shared" si="4"/>
        <v>4.9222544643086818E-3</v>
      </c>
      <c r="AW47" s="117">
        <f t="shared" si="5"/>
        <v>105</v>
      </c>
      <c r="AX47" s="111">
        <f t="shared" si="6"/>
        <v>1</v>
      </c>
      <c r="AY47" s="111">
        <f t="shared" si="7"/>
        <v>1</v>
      </c>
      <c r="AZ47" s="111">
        <f t="shared" si="8"/>
        <v>1</v>
      </c>
      <c r="BA47" s="111">
        <f t="shared" si="9"/>
        <v>5.1813204887459809E-3</v>
      </c>
      <c r="BB47" s="111">
        <f t="shared" si="10"/>
        <v>0</v>
      </c>
      <c r="BC47" s="111">
        <f t="shared" si="11"/>
        <v>0</v>
      </c>
      <c r="BD47" s="111">
        <v>0</v>
      </c>
      <c r="BE47" s="111">
        <f t="shared" si="12"/>
        <v>5.1813204887459809E-3</v>
      </c>
      <c r="BF47" s="6" t="str">
        <f t="shared" si="13"/>
        <v>OK</v>
      </c>
      <c r="BG47" s="16">
        <f t="shared" si="14"/>
        <v>63.625549371390676</v>
      </c>
      <c r="BH47" s="118">
        <f t="shared" si="15"/>
        <v>2.1193803644775273</v>
      </c>
      <c r="BI47" s="108">
        <f t="shared" si="16"/>
        <v>0</v>
      </c>
      <c r="BJ47" s="6">
        <f t="shared" si="17"/>
        <v>1.2440309817761237</v>
      </c>
      <c r="BK47" s="108">
        <f t="shared" si="18"/>
        <v>0</v>
      </c>
      <c r="BL47" s="118" cm="1">
        <f t="array" ref="BL47">IF(AO47=0,FactorPhi7121(BH47,"a"),noisuy2chieu(BK47,BH47,Data!$A$63:$M$85))</f>
        <v>0.86214274110469236</v>
      </c>
      <c r="BM47" s="111">
        <v>1.26</v>
      </c>
      <c r="BN47" s="118">
        <f t="shared" si="19"/>
        <v>0.9977890349661479</v>
      </c>
      <c r="BO47" s="108">
        <f t="shared" si="20"/>
        <v>1.2249115027986548E-2</v>
      </c>
      <c r="BP47" s="6" t="str">
        <f t="shared" si="21"/>
        <v>OK</v>
      </c>
      <c r="BQ47" s="16">
        <f t="shared" si="22"/>
        <v>127.25109874278135</v>
      </c>
      <c r="BR47" s="118">
        <f t="shared" si="23"/>
        <v>4.2387607289550546</v>
      </c>
      <c r="BS47" s="108">
        <f t="shared" si="24"/>
        <v>0</v>
      </c>
      <c r="BT47" s="118">
        <f t="shared" si="25"/>
        <v>1.1380619635522473</v>
      </c>
      <c r="BU47" s="108">
        <f t="shared" si="26"/>
        <v>0</v>
      </c>
      <c r="BV47" s="6" cm="1">
        <f t="array" ref="BV47">IF(AP47=0,FactorPhi7121(BR47,"a"),noisuy2chieu(BU47,BR47,Data!$A$63:$M$85))</f>
        <v>0.42299549615688942</v>
      </c>
      <c r="BW47" s="111">
        <v>1.26</v>
      </c>
      <c r="BX47" s="111">
        <f t="shared" si="27"/>
        <v>0.99115613986459172</v>
      </c>
      <c r="BY47" s="113">
        <f t="shared" si="28"/>
        <v>6.0098174486825483E-3</v>
      </c>
      <c r="BZ47" s="6" t="str">
        <f t="shared" si="29"/>
        <v>OK</v>
      </c>
      <c r="CA47" s="114">
        <f t="shared" si="30"/>
        <v>127.25109874278135</v>
      </c>
      <c r="CB47" s="115">
        <f t="shared" si="31"/>
        <v>150</v>
      </c>
      <c r="CC47" s="6" t="str">
        <f t="shared" si="32"/>
        <v>OK</v>
      </c>
      <c r="DG47" s="108"/>
      <c r="DH47" s="108"/>
      <c r="DI47" s="16"/>
      <c r="DJ47" s="108"/>
      <c r="DR47" s="109"/>
      <c r="DS47" s="110"/>
      <c r="DT47" s="6"/>
      <c r="DU47" s="6"/>
      <c r="DV47" s="111"/>
      <c r="DW47" s="111"/>
      <c r="DX47" s="111"/>
      <c r="DY47" s="111"/>
      <c r="DZ47" s="111"/>
      <c r="EA47" s="111"/>
      <c r="EB47" s="111"/>
      <c r="EC47" s="111"/>
      <c r="ED47" s="111"/>
      <c r="EE47" s="111"/>
      <c r="EF47" s="6"/>
      <c r="EG47" s="6"/>
      <c r="EH47" s="6"/>
      <c r="EI47" s="6"/>
      <c r="EJ47" s="6"/>
      <c r="EK47" s="6"/>
      <c r="EL47" s="112"/>
      <c r="EM47" s="112"/>
      <c r="EN47" s="118"/>
      <c r="EO47" s="118"/>
      <c r="EP47" s="112"/>
      <c r="EQ47" s="112"/>
      <c r="ER47" s="112"/>
      <c r="ES47" s="112"/>
      <c r="ET47" s="112"/>
      <c r="EU47" s="112"/>
      <c r="EV47" s="6"/>
      <c r="EW47" s="6"/>
      <c r="EX47" s="118"/>
      <c r="EY47" s="113"/>
      <c r="EZ47" s="6"/>
      <c r="FA47" s="114"/>
      <c r="FB47" s="115"/>
      <c r="FC47" s="6"/>
    </row>
    <row r="48" spans="2:159" ht="14.25" customHeight="1">
      <c r="B48" s="10" t="s">
        <v>100</v>
      </c>
      <c r="C48" s="4"/>
      <c r="D48" s="4"/>
      <c r="E48" s="4"/>
      <c r="F48" s="4"/>
      <c r="G48" s="4"/>
      <c r="H48" s="42" t="s">
        <v>80</v>
      </c>
      <c r="I48" s="27">
        <f>F17*100/M23</f>
        <v>63.62554937139069</v>
      </c>
      <c r="J48" s="4"/>
      <c r="K48" s="42" t="s">
        <v>81</v>
      </c>
      <c r="L48" s="27">
        <f>F18*100/M23</f>
        <v>127.25109874278138</v>
      </c>
      <c r="M48" s="4"/>
      <c r="N48" s="11"/>
      <c r="AA48" s="79" t="s">
        <v>175</v>
      </c>
      <c r="AB48" s="80" t="s">
        <v>192</v>
      </c>
      <c r="AC48" s="81">
        <v>2.74</v>
      </c>
      <c r="AD48" s="81">
        <v>6</v>
      </c>
      <c r="AE48" s="80">
        <v>273</v>
      </c>
      <c r="AF48" s="80">
        <v>6.35</v>
      </c>
      <c r="AG48" s="108" cm="1">
        <f t="array" ref="AG48">_xll.DCEPropSectPipe(AE48, AF48, "Area")/100</f>
        <v>53.19431074856206</v>
      </c>
      <c r="AH48" s="16" cm="1">
        <f t="array" ref="AH48">_xll.DCEPropSectPipe(AE48, AF48, "Ix")/10000</f>
        <v>4730.4733077169503</v>
      </c>
      <c r="AI48" s="16" cm="1">
        <f t="array" ref="AI48">_xll.DCEPropSectPipe(AE48, AF48, "Wx")/1000</f>
        <v>346.55482107816493</v>
      </c>
      <c r="AJ48" s="108">
        <f t="shared" si="1"/>
        <v>9.4301739777164251</v>
      </c>
      <c r="AK48" s="80" t="s">
        <v>214</v>
      </c>
      <c r="AL48" s="82">
        <v>-4.6375609897350065</v>
      </c>
      <c r="AM48" s="82">
        <v>1.1690759075272501</v>
      </c>
      <c r="AN48" s="82">
        <v>8.6500254584681205E-2</v>
      </c>
      <c r="AO48" s="82">
        <v>-0.23718369807119569</v>
      </c>
      <c r="AP48" s="82">
        <v>-3.2056061384397205</v>
      </c>
      <c r="AQ48" s="82">
        <v>1.4724313894550981E-2</v>
      </c>
      <c r="AR48" s="109">
        <v>1</v>
      </c>
      <c r="AS48" s="116">
        <f t="shared" si="2"/>
        <v>6</v>
      </c>
      <c r="AT48" s="7">
        <v>2</v>
      </c>
      <c r="AU48" s="6">
        <f t="shared" si="3"/>
        <v>12</v>
      </c>
      <c r="AV48" s="111">
        <f t="shared" si="4"/>
        <v>3.814191601427811E-3</v>
      </c>
      <c r="AW48" s="117">
        <f t="shared" si="5"/>
        <v>105</v>
      </c>
      <c r="AX48" s="111">
        <f t="shared" si="6"/>
        <v>1</v>
      </c>
      <c r="AY48" s="111">
        <f t="shared" si="7"/>
        <v>1</v>
      </c>
      <c r="AZ48" s="111">
        <f t="shared" si="8"/>
        <v>1</v>
      </c>
      <c r="BA48" s="111">
        <f t="shared" si="9"/>
        <v>4.0149385278187488E-3</v>
      </c>
      <c r="BB48" s="111">
        <f t="shared" si="10"/>
        <v>3.1518630818127948E-3</v>
      </c>
      <c r="BC48" s="111">
        <f t="shared" si="11"/>
        <v>4.2598339281934169E-2</v>
      </c>
      <c r="BD48" s="111">
        <v>0</v>
      </c>
      <c r="BE48" s="111">
        <f t="shared" si="12"/>
        <v>4.976514089156571E-2</v>
      </c>
      <c r="BF48" s="6" t="str">
        <f t="shared" si="13"/>
        <v>OK</v>
      </c>
      <c r="BG48" s="16">
        <f t="shared" si="14"/>
        <v>63.625549371390676</v>
      </c>
      <c r="BH48" s="118">
        <f t="shared" si="15"/>
        <v>2.1193803644775273</v>
      </c>
      <c r="BI48" s="108">
        <f t="shared" si="16"/>
        <v>0.78503395754981864</v>
      </c>
      <c r="BJ48" s="6">
        <f t="shared" si="17"/>
        <v>1.2214171394494246</v>
      </c>
      <c r="BK48" s="108">
        <f t="shared" si="18"/>
        <v>0.95885393080116055</v>
      </c>
      <c r="BL48" s="118" cm="1">
        <f t="array" ref="BL48">IF(AO48=0,FactorPhi7121(BH48,"a"),noisuy2chieu(BK48,BH48,Data!$A$63:$M$85))</f>
        <v>0</v>
      </c>
      <c r="BM48" s="111">
        <v>1.26</v>
      </c>
      <c r="BN48" s="118">
        <f t="shared" si="19"/>
        <v>0.99828675166545788</v>
      </c>
      <c r="BO48" s="108" t="e">
        <f t="shared" si="20"/>
        <v>#DIV/0!</v>
      </c>
      <c r="BP48" s="6" t="e">
        <f t="shared" si="21"/>
        <v>#DIV/0!</v>
      </c>
      <c r="BQ48" s="16">
        <f t="shared" si="22"/>
        <v>127.25109874278135</v>
      </c>
      <c r="BR48" s="118">
        <f t="shared" si="23"/>
        <v>4.2387607289550546</v>
      </c>
      <c r="BS48" s="108">
        <f t="shared" si="24"/>
        <v>10.609960522876838</v>
      </c>
      <c r="BT48" s="118">
        <f t="shared" si="25"/>
        <v>1.1000000000000001</v>
      </c>
      <c r="BU48" s="108">
        <f t="shared" si="26"/>
        <v>11.670956575164523</v>
      </c>
      <c r="BV48" s="6" cm="1">
        <f t="array" ref="BV48">IF(AP48=0,FactorPhi7121(BR48,"a"),noisuy2chieu(BU48,BR48,Data!$A$63:$M$85))</f>
        <v>0</v>
      </c>
      <c r="BW48" s="111">
        <v>1.26</v>
      </c>
      <c r="BX48" s="111">
        <f t="shared" si="27"/>
        <v>0.99314700666183175</v>
      </c>
      <c r="BY48" s="113" t="e">
        <f t="shared" si="28"/>
        <v>#DIV/0!</v>
      </c>
      <c r="BZ48" s="6" t="e">
        <f t="shared" si="29"/>
        <v>#DIV/0!</v>
      </c>
      <c r="CA48" s="114">
        <f t="shared" si="30"/>
        <v>127.25109874278135</v>
      </c>
      <c r="CB48" s="115" t="e">
        <f t="shared" si="31"/>
        <v>#DIV/0!</v>
      </c>
      <c r="CC48" s="6" t="e">
        <f t="shared" si="32"/>
        <v>#DIV/0!</v>
      </c>
      <c r="DG48" s="108"/>
      <c r="DH48" s="108"/>
      <c r="DI48" s="16"/>
      <c r="DJ48" s="108"/>
      <c r="DR48" s="109"/>
      <c r="DS48" s="110"/>
      <c r="DT48" s="6"/>
      <c r="DU48" s="6"/>
      <c r="DV48" s="111"/>
      <c r="DW48" s="111"/>
      <c r="DX48" s="111"/>
      <c r="DY48" s="111"/>
      <c r="DZ48" s="111"/>
      <c r="EA48" s="111"/>
      <c r="EB48" s="111"/>
      <c r="EC48" s="111"/>
      <c r="ED48" s="111"/>
      <c r="EE48" s="111"/>
      <c r="EF48" s="6"/>
      <c r="EG48" s="6"/>
      <c r="EH48" s="6"/>
      <c r="EI48" s="6"/>
      <c r="EJ48" s="6"/>
      <c r="EK48" s="6"/>
      <c r="EL48" s="112"/>
      <c r="EM48" s="112"/>
      <c r="EN48" s="118"/>
      <c r="EO48" s="118"/>
      <c r="EP48" s="112"/>
      <c r="EQ48" s="112"/>
      <c r="ER48" s="112"/>
      <c r="ES48" s="112"/>
      <c r="ET48" s="112"/>
      <c r="EU48" s="112"/>
      <c r="EV48" s="6"/>
      <c r="EW48" s="6"/>
      <c r="EX48" s="118"/>
      <c r="EY48" s="113"/>
      <c r="EZ48" s="6"/>
      <c r="FA48" s="114"/>
      <c r="FB48" s="115"/>
      <c r="FC48" s="6"/>
    </row>
    <row r="49" spans="2:159" ht="14.25" customHeight="1">
      <c r="B49" s="10" t="s">
        <v>82</v>
      </c>
      <c r="C49" s="4"/>
      <c r="D49" s="47"/>
      <c r="E49" s="4"/>
      <c r="F49" s="53"/>
      <c r="G49" s="4"/>
      <c r="H49" s="53" t="s">
        <v>180</v>
      </c>
      <c r="I49" s="61">
        <f>I48*SQRT(F23/D23)</f>
        <v>2.1193803644775278</v>
      </c>
      <c r="J49" s="47"/>
      <c r="K49" s="53" t="s">
        <v>181</v>
      </c>
      <c r="L49" s="61">
        <f>L48*SQRT(F23/D23)</f>
        <v>4.2387607289550555</v>
      </c>
      <c r="M49" s="4"/>
      <c r="N49" s="11"/>
      <c r="AA49" s="79" t="s">
        <v>175</v>
      </c>
      <c r="AB49" s="80" t="s">
        <v>192</v>
      </c>
      <c r="AC49" s="81">
        <v>5.48</v>
      </c>
      <c r="AD49" s="81">
        <v>6</v>
      </c>
      <c r="AE49" s="80">
        <v>273</v>
      </c>
      <c r="AF49" s="80">
        <v>6.35</v>
      </c>
      <c r="AG49" s="108" cm="1">
        <f t="array" ref="AG49">_xll.DCEPropSectPipe(AE49, AF49, "Area")/100</f>
        <v>53.19431074856206</v>
      </c>
      <c r="AH49" s="16" cm="1">
        <f t="array" ref="AH49">_xll.DCEPropSectPipe(AE49, AF49, "Ix")/10000</f>
        <v>4730.4733077169503</v>
      </c>
      <c r="AI49" s="16" cm="1">
        <f t="array" ref="AI49">_xll.DCEPropSectPipe(AE49, AF49, "Wx")/1000</f>
        <v>346.55482107816493</v>
      </c>
      <c r="AJ49" s="108">
        <f t="shared" si="1"/>
        <v>9.4301739777164251</v>
      </c>
      <c r="AK49" s="80" t="s">
        <v>214</v>
      </c>
      <c r="AL49" s="82">
        <v>-3.2903006410029731</v>
      </c>
      <c r="AM49" s="82">
        <v>1.1690759075272501</v>
      </c>
      <c r="AN49" s="82">
        <v>8.6500254584681205E-2</v>
      </c>
      <c r="AO49" s="82">
        <v>-0.47436739614239137</v>
      </c>
      <c r="AP49" s="82">
        <v>-6.4112122768794411</v>
      </c>
      <c r="AQ49" s="82">
        <v>1.4724313894550981E-2</v>
      </c>
      <c r="AR49" s="72">
        <v>1</v>
      </c>
      <c r="AS49" s="116">
        <f t="shared" si="2"/>
        <v>6</v>
      </c>
      <c r="AT49" s="7">
        <v>2</v>
      </c>
      <c r="AU49" s="6">
        <f t="shared" si="3"/>
        <v>12</v>
      </c>
      <c r="AV49" s="111">
        <f t="shared" si="4"/>
        <v>2.7061287385469384E-3</v>
      </c>
      <c r="AW49" s="117">
        <f t="shared" si="5"/>
        <v>105</v>
      </c>
      <c r="AX49" s="111">
        <f t="shared" si="6"/>
        <v>1</v>
      </c>
      <c r="AY49" s="111">
        <f t="shared" si="7"/>
        <v>1</v>
      </c>
      <c r="AZ49" s="111">
        <f t="shared" si="8"/>
        <v>1</v>
      </c>
      <c r="BA49" s="111">
        <f t="shared" si="9"/>
        <v>2.8485565668915146E-3</v>
      </c>
      <c r="BB49" s="111">
        <f t="shared" si="10"/>
        <v>6.3037261636255896E-3</v>
      </c>
      <c r="BC49" s="111">
        <f t="shared" si="11"/>
        <v>8.5196678563868339E-2</v>
      </c>
      <c r="BD49" s="111">
        <v>0</v>
      </c>
      <c r="BE49" s="111">
        <f t="shared" si="12"/>
        <v>9.4348961294385442E-2</v>
      </c>
      <c r="BF49" s="6" t="str">
        <f t="shared" si="13"/>
        <v>OK</v>
      </c>
      <c r="BG49" s="16">
        <f t="shared" si="14"/>
        <v>63.625549371390676</v>
      </c>
      <c r="BH49" s="118">
        <f t="shared" si="15"/>
        <v>2.1193803644775273</v>
      </c>
      <c r="BI49" s="108">
        <f t="shared" si="16"/>
        <v>2.2129545317418526</v>
      </c>
      <c r="BJ49" s="6">
        <f t="shared" si="17"/>
        <v>1.1802841790095835</v>
      </c>
      <c r="BK49" s="108">
        <f t="shared" si="18"/>
        <v>2.61191522268247</v>
      </c>
      <c r="BL49" s="118" cm="1">
        <f t="array" ref="BL49">IF(AO49=0,FactorPhi7121(BH49,"a"),noisuy2chieu(BK49,BH49,Data!$A$63:$M$85))</f>
        <v>0</v>
      </c>
      <c r="BM49" s="111">
        <v>1.26</v>
      </c>
      <c r="BN49" s="118">
        <f t="shared" si="19"/>
        <v>0.99878446836476797</v>
      </c>
      <c r="BO49" s="108" t="e">
        <f t="shared" si="20"/>
        <v>#DIV/0!</v>
      </c>
      <c r="BP49" s="6" t="e">
        <f t="shared" si="21"/>
        <v>#DIV/0!</v>
      </c>
      <c r="BQ49" s="16">
        <f t="shared" si="22"/>
        <v>127.25109874278135</v>
      </c>
      <c r="BR49" s="118">
        <f t="shared" si="23"/>
        <v>4.2387607289550546</v>
      </c>
      <c r="BS49" s="108">
        <f t="shared" si="24"/>
        <v>29.908719227871668</v>
      </c>
      <c r="BT49" s="118">
        <f t="shared" si="25"/>
        <v>1.1000000000000001</v>
      </c>
      <c r="BU49" s="108">
        <f t="shared" si="26"/>
        <v>32.899591150658836</v>
      </c>
      <c r="BV49" s="6" cm="1">
        <f t="array" ref="BV49">IF(AP49=0,FactorPhi7121(BR49,"a"),noisuy2chieu(BU49,BR49,Data!$A$63:$M$85))</f>
        <v>0</v>
      </c>
      <c r="BW49" s="111">
        <v>1.26</v>
      </c>
      <c r="BX49" s="111">
        <f t="shared" si="27"/>
        <v>0.99513787345907179</v>
      </c>
      <c r="BY49" s="113" t="e">
        <f t="shared" si="28"/>
        <v>#DIV/0!</v>
      </c>
      <c r="BZ49" s="6" t="e">
        <f t="shared" si="29"/>
        <v>#DIV/0!</v>
      </c>
      <c r="CA49" s="114">
        <f t="shared" si="30"/>
        <v>127.25109874278135</v>
      </c>
      <c r="CB49" s="115" t="e">
        <f t="shared" si="31"/>
        <v>#DIV/0!</v>
      </c>
      <c r="CC49" s="6" t="e">
        <f t="shared" si="32"/>
        <v>#DIV/0!</v>
      </c>
      <c r="DG49" s="108"/>
      <c r="DH49" s="108"/>
      <c r="DI49" s="16"/>
      <c r="DJ49" s="108"/>
      <c r="DT49" s="6"/>
      <c r="DU49" s="6"/>
      <c r="DV49" s="111"/>
      <c r="DW49" s="111"/>
      <c r="DX49" s="111"/>
      <c r="DY49" s="111"/>
      <c r="DZ49" s="111"/>
      <c r="EA49" s="111"/>
      <c r="EB49" s="111"/>
      <c r="EC49" s="111"/>
      <c r="ED49" s="111"/>
      <c r="EE49" s="111"/>
      <c r="EF49" s="6"/>
      <c r="EG49" s="6"/>
      <c r="EH49" s="6"/>
      <c r="EI49" s="6"/>
      <c r="EJ49" s="6"/>
      <c r="EK49" s="6"/>
      <c r="EL49" s="112"/>
      <c r="EM49" s="112"/>
      <c r="EN49" s="118"/>
      <c r="EO49" s="118"/>
      <c r="EP49" s="112"/>
      <c r="EQ49" s="112"/>
      <c r="ER49" s="112"/>
      <c r="ES49" s="112"/>
      <c r="ET49" s="112"/>
      <c r="EU49" s="112"/>
      <c r="EV49" s="6"/>
      <c r="EW49" s="6"/>
      <c r="EX49" s="118"/>
      <c r="EY49" s="113"/>
      <c r="EZ49" s="6"/>
      <c r="FA49" s="114"/>
      <c r="FB49" s="115"/>
      <c r="FC49" s="6"/>
    </row>
    <row r="50" spans="2:159" ht="14.25" customHeight="1">
      <c r="B50" s="10" t="s">
        <v>83</v>
      </c>
      <c r="C50" s="4"/>
      <c r="D50" s="4"/>
      <c r="E50" s="4"/>
      <c r="F50" s="4"/>
      <c r="G50" s="4"/>
      <c r="H50" s="42" t="s">
        <v>86</v>
      </c>
      <c r="I50" s="61">
        <f>ABS((K27/H27)*100*J23/L23)</f>
        <v>3.8868962544904631</v>
      </c>
      <c r="J50" s="47"/>
      <c r="K50" s="42" t="s">
        <v>101</v>
      </c>
      <c r="L50" s="61">
        <f>ABS((L27/H27)*100*J23/L23)</f>
        <v>9.4865153390590446</v>
      </c>
      <c r="M50" s="4"/>
      <c r="N50" s="11"/>
      <c r="AA50" s="79" t="s">
        <v>175</v>
      </c>
      <c r="AB50" s="80" t="s">
        <v>192</v>
      </c>
      <c r="AC50" s="81">
        <v>0</v>
      </c>
      <c r="AD50" s="81">
        <v>6</v>
      </c>
      <c r="AE50" s="80">
        <v>273</v>
      </c>
      <c r="AF50" s="80">
        <v>6.35</v>
      </c>
      <c r="AG50" s="108" cm="1">
        <f t="array" ref="AG50">_xll.DCEPropSectPipe(AE50, AF50, "Area")/100</f>
        <v>53.19431074856206</v>
      </c>
      <c r="AH50" s="16" cm="1">
        <f t="array" ref="AH50">_xll.DCEPropSectPipe(AE50, AF50, "Ix")/10000</f>
        <v>4730.4733077169503</v>
      </c>
      <c r="AI50" s="16" cm="1">
        <f t="array" ref="AI50">_xll.DCEPropSectPipe(AE50, AF50, "Wx")/1000</f>
        <v>346.55482107816493</v>
      </c>
      <c r="AJ50" s="108">
        <f t="shared" si="1"/>
        <v>9.4301739777164251</v>
      </c>
      <c r="AK50" s="80" t="s">
        <v>215</v>
      </c>
      <c r="AL50" s="82">
        <v>-43.770253449267798</v>
      </c>
      <c r="AM50" s="82">
        <v>7.7722917886451395</v>
      </c>
      <c r="AN50" s="82">
        <v>2.388039610658637</v>
      </c>
      <c r="AO50" s="82">
        <v>0</v>
      </c>
      <c r="AP50" s="82">
        <v>0</v>
      </c>
      <c r="AQ50" s="82">
        <v>0.27057795573642196</v>
      </c>
      <c r="AR50" s="72">
        <v>1</v>
      </c>
      <c r="AS50" s="116">
        <f t="shared" si="2"/>
        <v>6</v>
      </c>
      <c r="AT50" s="7">
        <v>2</v>
      </c>
      <c r="AU50" s="6">
        <f t="shared" si="3"/>
        <v>12</v>
      </c>
      <c r="AV50" s="111">
        <f t="shared" si="4"/>
        <v>3.5999123993861147E-2</v>
      </c>
      <c r="AW50" s="117">
        <f t="shared" si="5"/>
        <v>105</v>
      </c>
      <c r="AX50" s="111">
        <f t="shared" si="6"/>
        <v>1</v>
      </c>
      <c r="AY50" s="111">
        <f t="shared" si="7"/>
        <v>1</v>
      </c>
      <c r="AZ50" s="111">
        <f t="shared" si="8"/>
        <v>1</v>
      </c>
      <c r="BA50" s="111">
        <f t="shared" si="9"/>
        <v>3.7893814730380157E-2</v>
      </c>
      <c r="BB50" s="111">
        <f t="shared" si="10"/>
        <v>0</v>
      </c>
      <c r="BC50" s="111">
        <f t="shared" si="11"/>
        <v>0</v>
      </c>
      <c r="BD50" s="111">
        <v>0</v>
      </c>
      <c r="BE50" s="111">
        <f t="shared" si="12"/>
        <v>3.7893814730380157E-2</v>
      </c>
      <c r="BF50" s="6" t="str">
        <f t="shared" si="13"/>
        <v>OK</v>
      </c>
      <c r="BG50" s="16">
        <f t="shared" si="14"/>
        <v>63.625549371390676</v>
      </c>
      <c r="BH50" s="118">
        <f t="shared" si="15"/>
        <v>2.1193803644775273</v>
      </c>
      <c r="BI50" s="108">
        <f t="shared" si="16"/>
        <v>0</v>
      </c>
      <c r="BJ50" s="6">
        <f t="shared" si="17"/>
        <v>1.2440309817761237</v>
      </c>
      <c r="BK50" s="108">
        <f t="shared" si="18"/>
        <v>0</v>
      </c>
      <c r="BL50" s="118" cm="1">
        <f t="array" ref="BL50">IF(AO50=0,FactorPhi7121(BH50,"a"),noisuy2chieu(BK50,BH50,Data!$A$63:$M$85))</f>
        <v>0.86214274110469236</v>
      </c>
      <c r="BM50" s="111">
        <v>1.26</v>
      </c>
      <c r="BN50" s="118">
        <f t="shared" si="19"/>
        <v>0.98383001021648508</v>
      </c>
      <c r="BO50" s="108">
        <f t="shared" si="20"/>
        <v>8.9584440200103935E-2</v>
      </c>
      <c r="BP50" s="6" t="str">
        <f t="shared" si="21"/>
        <v>OK</v>
      </c>
      <c r="BQ50" s="16">
        <f t="shared" si="22"/>
        <v>127.25109874278135</v>
      </c>
      <c r="BR50" s="118">
        <f t="shared" si="23"/>
        <v>4.2387607289550546</v>
      </c>
      <c r="BS50" s="108">
        <f t="shared" si="24"/>
        <v>0</v>
      </c>
      <c r="BT50" s="118">
        <f t="shared" si="25"/>
        <v>1.1380619635522473</v>
      </c>
      <c r="BU50" s="108">
        <f t="shared" si="26"/>
        <v>0</v>
      </c>
      <c r="BV50" s="6" cm="1">
        <f t="array" ref="BV50">IF(AP50=0,FactorPhi7121(BR50,"a"),noisuy2chieu(BU50,BR50,Data!$A$63:$M$85))</f>
        <v>0.42299549615688942</v>
      </c>
      <c r="BW50" s="111">
        <v>1.26</v>
      </c>
      <c r="BX50" s="111">
        <f t="shared" si="27"/>
        <v>0.93532004086594056</v>
      </c>
      <c r="BY50" s="113">
        <f t="shared" si="28"/>
        <v>4.3953063598059811E-2</v>
      </c>
      <c r="BZ50" s="6" t="str">
        <f t="shared" si="29"/>
        <v>OK</v>
      </c>
      <c r="CA50" s="114">
        <f t="shared" si="30"/>
        <v>127.25109874278135</v>
      </c>
      <c r="CB50" s="115">
        <f t="shared" si="31"/>
        <v>150</v>
      </c>
      <c r="CC50" s="6" t="str">
        <f t="shared" si="32"/>
        <v>OK</v>
      </c>
      <c r="DG50" s="108"/>
      <c r="DH50" s="108"/>
      <c r="DI50" s="16"/>
      <c r="DJ50" s="108"/>
      <c r="DT50" s="6"/>
      <c r="DU50" s="6"/>
      <c r="DV50" s="111"/>
      <c r="DW50" s="111"/>
      <c r="DX50" s="111"/>
      <c r="DY50" s="111"/>
      <c r="DZ50" s="111"/>
      <c r="EA50" s="111"/>
      <c r="EB50" s="111"/>
      <c r="EC50" s="111"/>
      <c r="ED50" s="111"/>
      <c r="EE50" s="111"/>
      <c r="EF50" s="6"/>
      <c r="EG50" s="6"/>
      <c r="EH50" s="6"/>
      <c r="EI50" s="6"/>
      <c r="EJ50" s="6"/>
      <c r="EK50" s="6"/>
      <c r="EL50" s="112"/>
      <c r="EM50" s="112"/>
      <c r="EN50" s="118"/>
      <c r="EO50" s="118"/>
      <c r="EP50" s="112"/>
      <c r="EQ50" s="112"/>
      <c r="ER50" s="112"/>
      <c r="ES50" s="112"/>
      <c r="ET50" s="112"/>
      <c r="EU50" s="112"/>
      <c r="EV50" s="6"/>
      <c r="EW50" s="6"/>
      <c r="EX50" s="118"/>
      <c r="EY50" s="113"/>
      <c r="EZ50" s="6"/>
      <c r="FA50" s="114"/>
      <c r="FB50" s="115"/>
      <c r="FC50" s="6"/>
    </row>
    <row r="51" spans="2:159" ht="14.25" customHeight="1">
      <c r="B51" s="10" t="s">
        <v>104</v>
      </c>
      <c r="C51" s="4"/>
      <c r="D51" s="4"/>
      <c r="E51" s="4"/>
      <c r="F51" s="4"/>
      <c r="G51" s="4"/>
      <c r="H51" s="62" t="s">
        <v>102</v>
      </c>
      <c r="I51" s="61">
        <f>IF(AND(I49&lt;=5,I50&lt;=5),(1.35-0.05*I50)-0.01*(5-I50)*I49,1.1)</f>
        <v>1.1320642850568841</v>
      </c>
      <c r="J51" s="47"/>
      <c r="K51" s="62" t="s">
        <v>103</v>
      </c>
      <c r="L51" s="61">
        <f>IF(AND(L49&lt;=5,L50&lt;=5),(1.35-0.05*L50)-0.01*(5-L50)*L49,1.1)</f>
        <v>1.1000000000000001</v>
      </c>
      <c r="M51" s="4"/>
      <c r="N51" s="11"/>
      <c r="AA51" s="79" t="s">
        <v>175</v>
      </c>
      <c r="AB51" s="80" t="s">
        <v>192</v>
      </c>
      <c r="AC51" s="81">
        <v>2.74</v>
      </c>
      <c r="AD51" s="81">
        <v>6</v>
      </c>
      <c r="AE51" s="80">
        <v>273</v>
      </c>
      <c r="AF51" s="80">
        <v>6.35</v>
      </c>
      <c r="AG51" s="108" cm="1">
        <f t="array" ref="AG51">_xll.DCEPropSectPipe(AE51, AF51, "Area")/100</f>
        <v>53.19431074856206</v>
      </c>
      <c r="AH51" s="16" cm="1">
        <f t="array" ref="AH51">_xll.DCEPropSectPipe(AE51, AF51, "Ix")/10000</f>
        <v>4730.4733077169503</v>
      </c>
      <c r="AI51" s="16" cm="1">
        <f t="array" ref="AI51">_xll.DCEPropSectPipe(AE51, AF51, "Wx")/1000</f>
        <v>346.55482107816493</v>
      </c>
      <c r="AJ51" s="108">
        <f t="shared" si="1"/>
        <v>9.4301739777164251</v>
      </c>
      <c r="AK51" s="80" t="s">
        <v>215</v>
      </c>
      <c r="AL51" s="82">
        <v>-42.422993100535763</v>
      </c>
      <c r="AM51" s="82">
        <v>7.7722917886451395</v>
      </c>
      <c r="AN51" s="82">
        <v>2.388039610658637</v>
      </c>
      <c r="AO51" s="82">
        <v>-6.5480046124259825</v>
      </c>
      <c r="AP51" s="82">
        <v>-21.311624084464974</v>
      </c>
      <c r="AQ51" s="82">
        <v>0.27057795573642196</v>
      </c>
      <c r="AR51" s="72">
        <v>1</v>
      </c>
      <c r="AS51" s="116">
        <f t="shared" si="2"/>
        <v>6</v>
      </c>
      <c r="AT51" s="7">
        <v>2</v>
      </c>
      <c r="AU51" s="6">
        <f t="shared" si="3"/>
        <v>12</v>
      </c>
      <c r="AV51" s="111">
        <f t="shared" si="4"/>
        <v>3.4891061130980269E-2</v>
      </c>
      <c r="AW51" s="117">
        <f t="shared" si="5"/>
        <v>105</v>
      </c>
      <c r="AX51" s="111">
        <f t="shared" si="6"/>
        <v>1</v>
      </c>
      <c r="AY51" s="111">
        <f t="shared" si="7"/>
        <v>1</v>
      </c>
      <c r="AZ51" s="111">
        <f t="shared" si="8"/>
        <v>1</v>
      </c>
      <c r="BA51" s="111">
        <f t="shared" si="9"/>
        <v>3.6727432769452922E-2</v>
      </c>
      <c r="BB51" s="111">
        <f t="shared" si="10"/>
        <v>8.7014470915493927E-2</v>
      </c>
      <c r="BC51" s="111">
        <f t="shared" si="11"/>
        <v>0.28320378555331682</v>
      </c>
      <c r="BD51" s="111">
        <v>0</v>
      </c>
      <c r="BE51" s="111">
        <f t="shared" si="12"/>
        <v>0.40694568923826369</v>
      </c>
      <c r="BF51" s="6" t="str">
        <f t="shared" si="13"/>
        <v>OK</v>
      </c>
      <c r="BG51" s="16">
        <f t="shared" si="14"/>
        <v>63.625549371390676</v>
      </c>
      <c r="BH51" s="118">
        <f t="shared" si="15"/>
        <v>2.1193803644775273</v>
      </c>
      <c r="BI51" s="108">
        <f t="shared" si="16"/>
        <v>2.3691955672944816</v>
      </c>
      <c r="BJ51" s="6">
        <f t="shared" si="17"/>
        <v>1.1757834690607107</v>
      </c>
      <c r="BK51" s="108">
        <f t="shared" si="18"/>
        <v>2.785660982996764</v>
      </c>
      <c r="BL51" s="118" cm="1">
        <f t="array" ref="BL51">IF(AO51=0,FactorPhi7121(BH51,"a"),noisuy2chieu(BK51,BH51,Data!$A$63:$M$85))</f>
        <v>0</v>
      </c>
      <c r="BM51" s="111">
        <v>1.26</v>
      </c>
      <c r="BN51" s="118">
        <f t="shared" si="19"/>
        <v>0.98432772691579518</v>
      </c>
      <c r="BO51" s="108" t="e">
        <f t="shared" si="20"/>
        <v>#DIV/0!</v>
      </c>
      <c r="BP51" s="6" t="e">
        <f t="shared" si="21"/>
        <v>#DIV/0!</v>
      </c>
      <c r="BQ51" s="16">
        <f t="shared" si="22"/>
        <v>127.25109874278135</v>
      </c>
      <c r="BR51" s="118">
        <f t="shared" si="23"/>
        <v>4.2387607289550546</v>
      </c>
      <c r="BS51" s="108">
        <f t="shared" si="24"/>
        <v>7.7109605599459217</v>
      </c>
      <c r="BT51" s="118">
        <f t="shared" si="25"/>
        <v>1.1000000000000001</v>
      </c>
      <c r="BU51" s="108">
        <f t="shared" si="26"/>
        <v>8.4820566159405146</v>
      </c>
      <c r="BV51" s="6" cm="1">
        <f t="array" ref="BV51">IF(AP51=0,FactorPhi7121(BR51,"a"),noisuy2chieu(BU51,BR51,Data!$A$63:$M$85))</f>
        <v>0</v>
      </c>
      <c r="BW51" s="111">
        <v>1.26</v>
      </c>
      <c r="BX51" s="111">
        <f t="shared" si="27"/>
        <v>0.93731090766318048</v>
      </c>
      <c r="BY51" s="113" t="e">
        <f t="shared" si="28"/>
        <v>#DIV/0!</v>
      </c>
      <c r="BZ51" s="6" t="e">
        <f t="shared" si="29"/>
        <v>#DIV/0!</v>
      </c>
      <c r="CA51" s="114">
        <f t="shared" si="30"/>
        <v>127.25109874278135</v>
      </c>
      <c r="CB51" s="115" t="e">
        <f t="shared" si="31"/>
        <v>#DIV/0!</v>
      </c>
      <c r="CC51" s="6" t="e">
        <f t="shared" si="32"/>
        <v>#DIV/0!</v>
      </c>
      <c r="DG51" s="108"/>
      <c r="DH51" s="108"/>
      <c r="DI51" s="16"/>
      <c r="DJ51" s="108"/>
      <c r="DT51" s="6"/>
      <c r="DU51" s="6"/>
      <c r="DV51" s="111"/>
      <c r="DW51" s="111"/>
      <c r="DX51" s="111"/>
      <c r="DY51" s="111"/>
      <c r="DZ51" s="111"/>
      <c r="EA51" s="111"/>
      <c r="EB51" s="111"/>
      <c r="EC51" s="111"/>
      <c r="ED51" s="111"/>
      <c r="EE51" s="111"/>
      <c r="EF51" s="6"/>
      <c r="EG51" s="6"/>
      <c r="EH51" s="6"/>
      <c r="EI51" s="6"/>
      <c r="EJ51" s="6"/>
      <c r="EK51" s="6"/>
      <c r="EL51" s="112"/>
      <c r="EM51" s="112"/>
      <c r="EN51" s="118"/>
      <c r="EO51" s="118"/>
      <c r="EP51" s="112"/>
      <c r="EQ51" s="112"/>
      <c r="ER51" s="112"/>
      <c r="ES51" s="112"/>
      <c r="ET51" s="112"/>
      <c r="EU51" s="112"/>
      <c r="EV51" s="6"/>
      <c r="EW51" s="6"/>
      <c r="EX51" s="118"/>
      <c r="EY51" s="113"/>
      <c r="EZ51" s="6"/>
      <c r="FA51" s="114"/>
      <c r="FB51" s="115"/>
      <c r="FC51" s="6"/>
    </row>
    <row r="52" spans="2:159" ht="14.25" customHeight="1">
      <c r="B52" s="10" t="s">
        <v>105</v>
      </c>
      <c r="C52" s="4"/>
      <c r="D52" s="4"/>
      <c r="E52" s="4"/>
      <c r="F52" s="4"/>
      <c r="G52" s="4"/>
      <c r="H52" s="47" t="s">
        <v>106</v>
      </c>
      <c r="I52" s="61">
        <f>I50*I51</f>
        <v>4.4002164294300261</v>
      </c>
      <c r="J52" s="47"/>
      <c r="K52" s="47" t="s">
        <v>106</v>
      </c>
      <c r="L52" s="61">
        <f>L50*L51</f>
        <v>10.435166872964951</v>
      </c>
      <c r="M52" s="4"/>
      <c r="N52" s="11"/>
      <c r="AA52" s="79" t="s">
        <v>175</v>
      </c>
      <c r="AB52" s="80" t="s">
        <v>192</v>
      </c>
      <c r="AC52" s="81">
        <v>5.48</v>
      </c>
      <c r="AD52" s="81">
        <v>6</v>
      </c>
      <c r="AE52" s="80">
        <v>273</v>
      </c>
      <c r="AF52" s="80">
        <v>6.35</v>
      </c>
      <c r="AG52" s="108" cm="1">
        <f t="array" ref="AG52">_xll.DCEPropSectPipe(AE52, AF52, "Area")/100</f>
        <v>53.19431074856206</v>
      </c>
      <c r="AH52" s="16" cm="1">
        <f t="array" ref="AH52">_xll.DCEPropSectPipe(AE52, AF52, "Ix")/10000</f>
        <v>4730.4733077169503</v>
      </c>
      <c r="AI52" s="16" cm="1">
        <f t="array" ref="AI52">_xll.DCEPropSectPipe(AE52, AF52, "Wx")/1000</f>
        <v>346.55482107816493</v>
      </c>
      <c r="AJ52" s="108">
        <f t="shared" si="1"/>
        <v>9.4301739777164251</v>
      </c>
      <c r="AK52" s="80" t="s">
        <v>215</v>
      </c>
      <c r="AL52" s="82">
        <v>-41.075732751803734</v>
      </c>
      <c r="AM52" s="82">
        <v>7.7722917886451395</v>
      </c>
      <c r="AN52" s="82">
        <v>2.388039610658637</v>
      </c>
      <c r="AO52" s="82">
        <v>-13.096009224851965</v>
      </c>
      <c r="AP52" s="82">
        <v>-42.623248168929948</v>
      </c>
      <c r="AQ52" s="82">
        <v>0.27057795573642196</v>
      </c>
      <c r="AR52" s="72">
        <v>1</v>
      </c>
      <c r="AS52" s="116">
        <f t="shared" si="2"/>
        <v>6</v>
      </c>
      <c r="AT52" s="7">
        <v>2</v>
      </c>
      <c r="AU52" s="6">
        <f t="shared" si="3"/>
        <v>12</v>
      </c>
      <c r="AV52" s="111">
        <f t="shared" si="4"/>
        <v>3.3782998268099405E-2</v>
      </c>
      <c r="AW52" s="117">
        <f t="shared" si="5"/>
        <v>105</v>
      </c>
      <c r="AX52" s="111">
        <f t="shared" si="6"/>
        <v>1</v>
      </c>
      <c r="AY52" s="111">
        <f t="shared" si="7"/>
        <v>1</v>
      </c>
      <c r="AZ52" s="111">
        <f t="shared" si="8"/>
        <v>1</v>
      </c>
      <c r="BA52" s="111">
        <f t="shared" si="9"/>
        <v>3.5561050808525688E-2</v>
      </c>
      <c r="BB52" s="111">
        <f t="shared" si="10"/>
        <v>0.17402894183098785</v>
      </c>
      <c r="BC52" s="111">
        <f t="shared" si="11"/>
        <v>0.56640757110663364</v>
      </c>
      <c r="BD52" s="111">
        <v>0</v>
      </c>
      <c r="BE52" s="111">
        <f t="shared" si="12"/>
        <v>0.77599756374614715</v>
      </c>
      <c r="BF52" s="6" t="str">
        <f t="shared" si="13"/>
        <v>OK</v>
      </c>
      <c r="BG52" s="16">
        <f t="shared" si="14"/>
        <v>63.625549371390676</v>
      </c>
      <c r="BH52" s="118">
        <f t="shared" si="15"/>
        <v>2.1193803644775273</v>
      </c>
      <c r="BI52" s="108">
        <f t="shared" si="16"/>
        <v>4.8938076315018444</v>
      </c>
      <c r="BJ52" s="6">
        <f t="shared" si="17"/>
        <v>1.1030589982183843</v>
      </c>
      <c r="BK52" s="108">
        <f t="shared" si="18"/>
        <v>5.3981585434779085</v>
      </c>
      <c r="BL52" s="118" cm="1">
        <f t="array" ref="BL52">IF(AO52=0,FactorPhi7121(BH52,"a"),noisuy2chieu(BK52,BH52,Data!$A$63:$M$85))</f>
        <v>0</v>
      </c>
      <c r="BM52" s="111">
        <v>1.26</v>
      </c>
      <c r="BN52" s="118">
        <f t="shared" si="19"/>
        <v>0.98482544361510516</v>
      </c>
      <c r="BO52" s="108" t="e">
        <f t="shared" si="20"/>
        <v>#DIV/0!</v>
      </c>
      <c r="BP52" s="6" t="e">
        <f t="shared" si="21"/>
        <v>#DIV/0!</v>
      </c>
      <c r="BQ52" s="16">
        <f t="shared" si="22"/>
        <v>127.25109874278135</v>
      </c>
      <c r="BR52" s="118">
        <f t="shared" si="23"/>
        <v>4.2387607289550546</v>
      </c>
      <c r="BS52" s="108">
        <f t="shared" si="24"/>
        <v>15.927751239871647</v>
      </c>
      <c r="BT52" s="118">
        <f t="shared" si="25"/>
        <v>1.1000000000000001</v>
      </c>
      <c r="BU52" s="108">
        <f t="shared" si="26"/>
        <v>17.520526363858814</v>
      </c>
      <c r="BV52" s="6" cm="1">
        <f t="array" ref="BV52">IF(AP52=0,FactorPhi7121(BR52,"a"),noisuy2chieu(BU52,BR52,Data!$A$63:$M$85))</f>
        <v>0</v>
      </c>
      <c r="BW52" s="111">
        <v>1.26</v>
      </c>
      <c r="BX52" s="111">
        <f t="shared" si="27"/>
        <v>0.93930177446042051</v>
      </c>
      <c r="BY52" s="113" t="e">
        <f t="shared" si="28"/>
        <v>#DIV/0!</v>
      </c>
      <c r="BZ52" s="6" t="e">
        <f t="shared" si="29"/>
        <v>#DIV/0!</v>
      </c>
      <c r="CA52" s="114">
        <f t="shared" si="30"/>
        <v>127.25109874278135</v>
      </c>
      <c r="CB52" s="115" t="e">
        <f t="shared" si="31"/>
        <v>#DIV/0!</v>
      </c>
      <c r="CC52" s="6" t="e">
        <f t="shared" si="32"/>
        <v>#DIV/0!</v>
      </c>
      <c r="DG52" s="108"/>
      <c r="DH52" s="108"/>
      <c r="DI52" s="16"/>
      <c r="DJ52" s="108"/>
      <c r="DT52" s="6"/>
      <c r="DU52" s="6"/>
      <c r="DV52" s="111"/>
      <c r="DW52" s="111"/>
      <c r="DX52" s="111"/>
      <c r="DY52" s="111"/>
      <c r="DZ52" s="111"/>
      <c r="EA52" s="111"/>
      <c r="EB52" s="111"/>
      <c r="EC52" s="111"/>
      <c r="ED52" s="111"/>
      <c r="EE52" s="111"/>
      <c r="EF52" s="6"/>
      <c r="EG52" s="6"/>
      <c r="EH52" s="6"/>
      <c r="EI52" s="6"/>
      <c r="EJ52" s="6"/>
      <c r="EK52" s="6"/>
      <c r="EL52" s="112"/>
      <c r="EM52" s="112"/>
      <c r="EN52" s="118"/>
      <c r="EO52" s="118"/>
      <c r="EP52" s="112"/>
      <c r="EQ52" s="112"/>
      <c r="ER52" s="112"/>
      <c r="ES52" s="112"/>
      <c r="ET52" s="112"/>
      <c r="EU52" s="112"/>
      <c r="EV52" s="6"/>
      <c r="EW52" s="6"/>
      <c r="EX52" s="118"/>
      <c r="EY52" s="113"/>
      <c r="EZ52" s="6"/>
      <c r="FA52" s="114"/>
      <c r="FB52" s="115"/>
      <c r="FC52" s="6"/>
    </row>
    <row r="53" spans="2:159" ht="14.25" customHeight="1">
      <c r="B53" s="10" t="s">
        <v>107</v>
      </c>
      <c r="C53" s="4"/>
      <c r="D53" s="4"/>
      <c r="E53" s="4"/>
      <c r="F53" s="42"/>
      <c r="G53" s="27"/>
      <c r="H53" s="42" t="s">
        <v>110</v>
      </c>
      <c r="I53" s="61" cm="1">
        <f t="array" ref="I53">IF(K27=0,FactorPhi7121(I49,"a"),noisuy2chieu(I52,I49,Data!$A$63:$M$85))</f>
        <v>0</v>
      </c>
      <c r="J53" s="47"/>
      <c r="K53" s="42" t="s">
        <v>111</v>
      </c>
      <c r="L53" s="61" cm="1">
        <f t="array" ref="L53">IF(L27=0,FactorPhi7121(L49,"a"),noisuy2chieu(L52,L49,Data!$A$63:$M$85))</f>
        <v>0</v>
      </c>
      <c r="M53" s="4"/>
      <c r="N53" s="11"/>
      <c r="AA53" s="79" t="s">
        <v>175</v>
      </c>
      <c r="AB53" s="80" t="s">
        <v>192</v>
      </c>
      <c r="AC53" s="81">
        <v>0</v>
      </c>
      <c r="AD53" s="81">
        <v>6</v>
      </c>
      <c r="AE53" s="80">
        <v>273</v>
      </c>
      <c r="AF53" s="80">
        <v>6.35</v>
      </c>
      <c r="AG53" s="108" cm="1">
        <f t="array" ref="AG53">_xll.DCEPropSectPipe(AE53, AF53, "Area")/100</f>
        <v>53.19431074856206</v>
      </c>
      <c r="AH53" s="16" cm="1">
        <f t="array" ref="AH53">_xll.DCEPropSectPipe(AE53, AF53, "Ix")/10000</f>
        <v>4730.4733077169503</v>
      </c>
      <c r="AI53" s="16" cm="1">
        <f t="array" ref="AI53">_xll.DCEPropSectPipe(AE53, AF53, "Wx")/1000</f>
        <v>346.55482107816493</v>
      </c>
      <c r="AJ53" s="108">
        <f t="shared" si="1"/>
        <v>9.4301739777164251</v>
      </c>
      <c r="AK53" s="80" t="s">
        <v>216</v>
      </c>
      <c r="AL53" s="82">
        <v>-52.533286395267048</v>
      </c>
      <c r="AM53" s="82">
        <v>7.6801675491450991</v>
      </c>
      <c r="AN53" s="82">
        <v>2.5503186986521955</v>
      </c>
      <c r="AO53" s="82">
        <v>0</v>
      </c>
      <c r="AP53" s="82">
        <v>0</v>
      </c>
      <c r="AQ53" s="82">
        <v>0.24270063368963435</v>
      </c>
      <c r="AR53" s="72">
        <v>1</v>
      </c>
      <c r="AS53" s="116">
        <f t="shared" si="2"/>
        <v>6</v>
      </c>
      <c r="AT53" s="7">
        <v>2</v>
      </c>
      <c r="AU53" s="6">
        <f t="shared" si="3"/>
        <v>12</v>
      </c>
      <c r="AV53" s="111">
        <f t="shared" si="4"/>
        <v>4.3206336306464158E-2</v>
      </c>
      <c r="AW53" s="117">
        <f t="shared" si="5"/>
        <v>105</v>
      </c>
      <c r="AX53" s="111">
        <f t="shared" si="6"/>
        <v>1</v>
      </c>
      <c r="AY53" s="111">
        <f t="shared" si="7"/>
        <v>1</v>
      </c>
      <c r="AZ53" s="111">
        <f t="shared" si="8"/>
        <v>1</v>
      </c>
      <c r="BA53" s="111">
        <f t="shared" si="9"/>
        <v>4.5480354006804384E-2</v>
      </c>
      <c r="BB53" s="111">
        <f t="shared" si="10"/>
        <v>0</v>
      </c>
      <c r="BC53" s="111">
        <f t="shared" si="11"/>
        <v>0</v>
      </c>
      <c r="BD53" s="111">
        <v>0</v>
      </c>
      <c r="BE53" s="111">
        <f t="shared" si="12"/>
        <v>4.5480354006804384E-2</v>
      </c>
      <c r="BF53" s="6" t="str">
        <f t="shared" si="13"/>
        <v>OK</v>
      </c>
      <c r="BG53" s="16">
        <f t="shared" si="14"/>
        <v>63.625549371390676</v>
      </c>
      <c r="BH53" s="118">
        <f t="shared" si="15"/>
        <v>2.1193803644775273</v>
      </c>
      <c r="BI53" s="108">
        <f t="shared" si="16"/>
        <v>0</v>
      </c>
      <c r="BJ53" s="6">
        <f t="shared" si="17"/>
        <v>1.2440309817761237</v>
      </c>
      <c r="BK53" s="108">
        <f t="shared" si="18"/>
        <v>0</v>
      </c>
      <c r="BL53" s="118" cm="1">
        <f t="array" ref="BL53">IF(AO53=0,FactorPhi7121(BH53,"a"),noisuy2chieu(BK53,BH53,Data!$A$63:$M$85))</f>
        <v>0.86214274110469236</v>
      </c>
      <c r="BM53" s="111">
        <v>1.26</v>
      </c>
      <c r="BN53" s="118">
        <f t="shared" si="19"/>
        <v>0.98059269395617044</v>
      </c>
      <c r="BO53" s="108">
        <f t="shared" si="20"/>
        <v>0.10751971219555415</v>
      </c>
      <c r="BP53" s="6" t="str">
        <f t="shared" si="21"/>
        <v>OK</v>
      </c>
      <c r="BQ53" s="16">
        <f t="shared" si="22"/>
        <v>127.25109874278135</v>
      </c>
      <c r="BR53" s="118">
        <f t="shared" si="23"/>
        <v>4.2387607289550546</v>
      </c>
      <c r="BS53" s="108">
        <f t="shared" si="24"/>
        <v>0</v>
      </c>
      <c r="BT53" s="118">
        <f t="shared" si="25"/>
        <v>1.1380619635522473</v>
      </c>
      <c r="BU53" s="108">
        <f t="shared" si="26"/>
        <v>0</v>
      </c>
      <c r="BV53" s="6" cm="1">
        <f t="array" ref="BV53">IF(AP53=0,FactorPhi7121(BR53,"a"),noisuy2chieu(BU53,BR53,Data!$A$63:$M$85))</f>
        <v>0.42299549615688942</v>
      </c>
      <c r="BW53" s="111">
        <v>1.26</v>
      </c>
      <c r="BX53" s="111">
        <f t="shared" si="27"/>
        <v>0.92237077582468152</v>
      </c>
      <c r="BY53" s="113">
        <f t="shared" si="28"/>
        <v>5.2752696088966516E-2</v>
      </c>
      <c r="BZ53" s="6" t="str">
        <f t="shared" si="29"/>
        <v>OK</v>
      </c>
      <c r="CA53" s="114">
        <f t="shared" si="30"/>
        <v>127.25109874278135</v>
      </c>
      <c r="CB53" s="115">
        <f t="shared" si="31"/>
        <v>150</v>
      </c>
      <c r="CC53" s="6" t="str">
        <f t="shared" si="32"/>
        <v>OK</v>
      </c>
      <c r="DG53" s="108"/>
      <c r="DH53" s="108"/>
      <c r="DI53" s="16"/>
      <c r="DJ53" s="108"/>
      <c r="DT53" s="6"/>
      <c r="DU53" s="6"/>
      <c r="DV53" s="111"/>
      <c r="DW53" s="111"/>
      <c r="DX53" s="111"/>
      <c r="DY53" s="111"/>
      <c r="DZ53" s="111"/>
      <c r="EA53" s="111"/>
      <c r="EB53" s="111"/>
      <c r="EC53" s="111"/>
      <c r="ED53" s="111"/>
      <c r="EE53" s="111"/>
      <c r="EF53" s="6"/>
      <c r="EG53" s="6"/>
      <c r="EH53" s="6"/>
      <c r="EI53" s="6"/>
      <c r="EJ53" s="6"/>
      <c r="EK53" s="6"/>
      <c r="EL53" s="112"/>
      <c r="EM53" s="112"/>
      <c r="EN53" s="118"/>
      <c r="EO53" s="118"/>
      <c r="EP53" s="112"/>
      <c r="EQ53" s="112"/>
      <c r="ER53" s="112"/>
      <c r="ES53" s="112"/>
      <c r="ET53" s="112"/>
      <c r="EU53" s="112"/>
      <c r="EV53" s="6"/>
      <c r="EW53" s="6"/>
      <c r="EX53" s="118"/>
      <c r="EY53" s="113"/>
      <c r="EZ53" s="6"/>
      <c r="FA53" s="114"/>
      <c r="FB53" s="115"/>
      <c r="FC53" s="6"/>
    </row>
    <row r="54" spans="2:159" ht="14.25" customHeight="1">
      <c r="B54" s="10" t="s">
        <v>78</v>
      </c>
      <c r="C54" s="4"/>
      <c r="D54" s="4"/>
      <c r="E54" s="4"/>
      <c r="F54" s="4"/>
      <c r="G54" s="47"/>
      <c r="H54" s="47" t="s">
        <v>69</v>
      </c>
      <c r="I54" s="52">
        <v>1.26</v>
      </c>
      <c r="J54" s="4"/>
      <c r="K54" s="47" t="s">
        <v>73</v>
      </c>
      <c r="L54" s="47">
        <v>1.26</v>
      </c>
      <c r="M54" s="4"/>
      <c r="N54" s="11"/>
      <c r="AA54" s="79" t="s">
        <v>175</v>
      </c>
      <c r="AB54" s="80" t="s">
        <v>192</v>
      </c>
      <c r="AC54" s="81">
        <v>2.74</v>
      </c>
      <c r="AD54" s="81">
        <v>6</v>
      </c>
      <c r="AE54" s="80">
        <v>273</v>
      </c>
      <c r="AF54" s="80">
        <v>6.35</v>
      </c>
      <c r="AG54" s="108" cm="1">
        <f t="array" ref="AG54">_xll.DCEPropSectPipe(AE54, AF54, "Area")/100</f>
        <v>53.19431074856206</v>
      </c>
      <c r="AH54" s="16" cm="1">
        <f t="array" ref="AH54">_xll.DCEPropSectPipe(AE54, AF54, "Ix")/10000</f>
        <v>4730.4733077169503</v>
      </c>
      <c r="AI54" s="16" cm="1">
        <f t="array" ref="AI54">_xll.DCEPropSectPipe(AE54, AF54, "Wx")/1000</f>
        <v>346.55482107816493</v>
      </c>
      <c r="AJ54" s="108">
        <f t="shared" si="1"/>
        <v>9.4301739777164251</v>
      </c>
      <c r="AK54" s="80" t="s">
        <v>216</v>
      </c>
      <c r="AL54" s="82">
        <v>-51.186026046535012</v>
      </c>
      <c r="AM54" s="82">
        <v>7.6801675491450991</v>
      </c>
      <c r="AN54" s="82">
        <v>2.5503186986521955</v>
      </c>
      <c r="AO54" s="82">
        <v>-6.9929738717043195</v>
      </c>
      <c r="AP54" s="82">
        <v>-21.059019419755863</v>
      </c>
      <c r="AQ54" s="82">
        <v>0.24270063368963435</v>
      </c>
      <c r="AR54" s="72">
        <v>1</v>
      </c>
      <c r="AS54" s="116">
        <f t="shared" si="2"/>
        <v>6</v>
      </c>
      <c r="AT54" s="7">
        <v>2</v>
      </c>
      <c r="AU54" s="6">
        <f t="shared" si="3"/>
        <v>12</v>
      </c>
      <c r="AV54" s="111">
        <f t="shared" si="4"/>
        <v>4.2098273443583287E-2</v>
      </c>
      <c r="AW54" s="117">
        <f t="shared" si="5"/>
        <v>105</v>
      </c>
      <c r="AX54" s="111">
        <f t="shared" si="6"/>
        <v>1</v>
      </c>
      <c r="AY54" s="111">
        <f t="shared" si="7"/>
        <v>1</v>
      </c>
      <c r="AZ54" s="111">
        <f t="shared" si="8"/>
        <v>1</v>
      </c>
      <c r="BA54" s="111">
        <f t="shared" si="9"/>
        <v>4.4313972045877142E-2</v>
      </c>
      <c r="BB54" s="111">
        <f t="shared" si="10"/>
        <v>9.2927534048694568E-2</v>
      </c>
      <c r="BC54" s="111">
        <f t="shared" si="11"/>
        <v>0.27984699786738004</v>
      </c>
      <c r="BD54" s="111">
        <v>0</v>
      </c>
      <c r="BE54" s="111">
        <f t="shared" si="12"/>
        <v>0.41708850396195174</v>
      </c>
      <c r="BF54" s="6" t="str">
        <f t="shared" si="13"/>
        <v>OK</v>
      </c>
      <c r="BG54" s="16">
        <f t="shared" si="14"/>
        <v>63.625549371390676</v>
      </c>
      <c r="BH54" s="118">
        <f t="shared" si="15"/>
        <v>2.1193803644775273</v>
      </c>
      <c r="BI54" s="108">
        <f t="shared" si="16"/>
        <v>2.0970256052084206</v>
      </c>
      <c r="BJ54" s="6">
        <f t="shared" si="17"/>
        <v>1.183623650430556</v>
      </c>
      <c r="BK54" s="108">
        <f t="shared" si="18"/>
        <v>2.4820891018831368</v>
      </c>
      <c r="BL54" s="118" cm="1">
        <f t="array" ref="BL54">IF(AO54=0,FactorPhi7121(BH54,"a"),noisuy2chieu(BK54,BH54,Data!$A$63:$M$85))</f>
        <v>0</v>
      </c>
      <c r="BM54" s="111">
        <v>1.26</v>
      </c>
      <c r="BN54" s="118">
        <f t="shared" si="19"/>
        <v>0.98109041065548042</v>
      </c>
      <c r="BO54" s="108" t="e">
        <f t="shared" si="20"/>
        <v>#DIV/0!</v>
      </c>
      <c r="BP54" s="6" t="e">
        <f t="shared" si="21"/>
        <v>#DIV/0!</v>
      </c>
      <c r="BQ54" s="16">
        <f t="shared" si="22"/>
        <v>127.25109874278135</v>
      </c>
      <c r="BR54" s="118">
        <f t="shared" si="23"/>
        <v>4.2387607289550546</v>
      </c>
      <c r="BS54" s="108">
        <f t="shared" si="24"/>
        <v>6.3150962314473063</v>
      </c>
      <c r="BT54" s="118">
        <f t="shared" si="25"/>
        <v>1.1000000000000001</v>
      </c>
      <c r="BU54" s="108">
        <f t="shared" si="26"/>
        <v>6.9466058545920371</v>
      </c>
      <c r="BV54" s="6" cm="1">
        <f t="array" ref="BV54">IF(AP54=0,FactorPhi7121(BR54,"a"),noisuy2chieu(BU54,BR54,Data!$A$63:$M$85))</f>
        <v>0</v>
      </c>
      <c r="BW54" s="111">
        <v>1.26</v>
      </c>
      <c r="BX54" s="111">
        <f t="shared" si="27"/>
        <v>0.92436164262192155</v>
      </c>
      <c r="BY54" s="113" t="e">
        <f t="shared" si="28"/>
        <v>#DIV/0!</v>
      </c>
      <c r="BZ54" s="6" t="e">
        <f t="shared" si="29"/>
        <v>#DIV/0!</v>
      </c>
      <c r="CA54" s="114">
        <f t="shared" si="30"/>
        <v>127.25109874278135</v>
      </c>
      <c r="CB54" s="115" t="e">
        <f t="shared" si="31"/>
        <v>#DIV/0!</v>
      </c>
      <c r="CC54" s="6" t="e">
        <f t="shared" si="32"/>
        <v>#DIV/0!</v>
      </c>
      <c r="DG54" s="108"/>
      <c r="DH54" s="108"/>
      <c r="DI54" s="16"/>
      <c r="DJ54" s="108"/>
      <c r="DT54" s="6"/>
      <c r="DU54" s="6"/>
      <c r="DV54" s="111"/>
      <c r="DW54" s="111"/>
      <c r="DX54" s="111"/>
      <c r="DY54" s="111"/>
      <c r="DZ54" s="111"/>
      <c r="EA54" s="111"/>
      <c r="EB54" s="111"/>
      <c r="EC54" s="111"/>
      <c r="ED54" s="111"/>
      <c r="EE54" s="111"/>
      <c r="EF54" s="6"/>
      <c r="EG54" s="6"/>
      <c r="EH54" s="6"/>
      <c r="EI54" s="6"/>
      <c r="EJ54" s="6"/>
      <c r="EK54" s="6"/>
      <c r="EL54" s="112"/>
      <c r="EM54" s="112"/>
      <c r="EN54" s="118"/>
      <c r="EO54" s="118"/>
      <c r="EP54" s="112"/>
      <c r="EQ54" s="112"/>
      <c r="ER54" s="112"/>
      <c r="ES54" s="112"/>
      <c r="ET54" s="112"/>
      <c r="EU54" s="112"/>
      <c r="EV54" s="6"/>
      <c r="EW54" s="6"/>
      <c r="EX54" s="118"/>
      <c r="EY54" s="113"/>
      <c r="EZ54" s="6"/>
      <c r="FA54" s="114"/>
      <c r="FB54" s="115"/>
      <c r="FC54" s="6"/>
    </row>
    <row r="55" spans="2:159" ht="14.25" customHeight="1">
      <c r="B55" s="10" t="s">
        <v>112</v>
      </c>
      <c r="C55" s="4"/>
      <c r="D55" s="4"/>
      <c r="E55" s="4"/>
      <c r="F55" s="4"/>
      <c r="G55" s="4"/>
      <c r="H55" s="42" t="s">
        <v>113</v>
      </c>
      <c r="I55" s="52">
        <f>IF(I49&lt;=1,1,1-0.1*ABS(H27)*I49^2/(J23*F23)*10)</f>
        <v>0.96713183260268409</v>
      </c>
      <c r="J55" s="4"/>
      <c r="K55" s="42" t="s">
        <v>114</v>
      </c>
      <c r="L55" s="52">
        <f>IF(L49&lt;=1,1,1-0.1*ABS(H27)*L49^2/(J23*F23)*10)</f>
        <v>0.86852733041073638</v>
      </c>
      <c r="M55" s="4"/>
      <c r="N55" s="11"/>
      <c r="AA55" s="79" t="s">
        <v>175</v>
      </c>
      <c r="AB55" s="80" t="s">
        <v>192</v>
      </c>
      <c r="AC55" s="81">
        <v>5.48</v>
      </c>
      <c r="AD55" s="81">
        <v>6</v>
      </c>
      <c r="AE55" s="80">
        <v>273</v>
      </c>
      <c r="AF55" s="80">
        <v>6.35</v>
      </c>
      <c r="AG55" s="108" cm="1">
        <f t="array" ref="AG55">_xll.DCEPropSectPipe(AE55, AF55, "Area")/100</f>
        <v>53.19431074856206</v>
      </c>
      <c r="AH55" s="16" cm="1">
        <f t="array" ref="AH55">_xll.DCEPropSectPipe(AE55, AF55, "Ix")/10000</f>
        <v>4730.4733077169503</v>
      </c>
      <c r="AI55" s="16" cm="1">
        <f t="array" ref="AI55">_xll.DCEPropSectPipe(AE55, AF55, "Wx")/1000</f>
        <v>346.55482107816493</v>
      </c>
      <c r="AJ55" s="108">
        <f t="shared" si="1"/>
        <v>9.4301739777164251</v>
      </c>
      <c r="AK55" s="80" t="s">
        <v>216</v>
      </c>
      <c r="AL55" s="82">
        <v>-49.838765697802984</v>
      </c>
      <c r="AM55" s="82">
        <v>7.6801675491450991</v>
      </c>
      <c r="AN55" s="82">
        <v>2.5503186986521955</v>
      </c>
      <c r="AO55" s="82">
        <v>-13.985947743408639</v>
      </c>
      <c r="AP55" s="82">
        <v>-42.118038839511726</v>
      </c>
      <c r="AQ55" s="82">
        <v>0.24270063368963435</v>
      </c>
      <c r="AR55" s="72">
        <v>1</v>
      </c>
      <c r="AS55" s="116">
        <f t="shared" si="2"/>
        <v>6</v>
      </c>
      <c r="AT55" s="7">
        <v>2</v>
      </c>
      <c r="AU55" s="6">
        <f t="shared" si="3"/>
        <v>12</v>
      </c>
      <c r="AV55" s="111">
        <f t="shared" si="4"/>
        <v>4.0990210580702416E-2</v>
      </c>
      <c r="AW55" s="117">
        <f t="shared" si="5"/>
        <v>105</v>
      </c>
      <c r="AX55" s="111">
        <f t="shared" si="6"/>
        <v>1</v>
      </c>
      <c r="AY55" s="111">
        <f t="shared" si="7"/>
        <v>1</v>
      </c>
      <c r="AZ55" s="111">
        <f t="shared" si="8"/>
        <v>1</v>
      </c>
      <c r="BA55" s="111">
        <f t="shared" si="9"/>
        <v>4.3147590084949915E-2</v>
      </c>
      <c r="BB55" s="111">
        <f t="shared" si="10"/>
        <v>0.18585506809738914</v>
      </c>
      <c r="BC55" s="111">
        <f t="shared" si="11"/>
        <v>0.55969399573476009</v>
      </c>
      <c r="BD55" s="111">
        <v>0</v>
      </c>
      <c r="BE55" s="111">
        <f t="shared" si="12"/>
        <v>0.7886966539170992</v>
      </c>
      <c r="BF55" s="6" t="str">
        <f t="shared" si="13"/>
        <v>OK</v>
      </c>
      <c r="BG55" s="16">
        <f t="shared" si="14"/>
        <v>63.625549371390676</v>
      </c>
      <c r="BH55" s="118">
        <f t="shared" si="15"/>
        <v>2.1193803644775273</v>
      </c>
      <c r="BI55" s="108">
        <f t="shared" si="16"/>
        <v>4.3074263876956662</v>
      </c>
      <c r="BJ55" s="6">
        <f t="shared" si="17"/>
        <v>1.119950411466486</v>
      </c>
      <c r="BK55" s="108">
        <f t="shared" si="18"/>
        <v>4.8241039552613607</v>
      </c>
      <c r="BL55" s="118" cm="1">
        <f t="array" ref="BL55">IF(AO55=0,FactorPhi7121(BH55,"a"),noisuy2chieu(BK55,BH55,Data!$A$63:$M$85))</f>
        <v>0</v>
      </c>
      <c r="BM55" s="111">
        <v>1.26</v>
      </c>
      <c r="BN55" s="118">
        <f t="shared" si="19"/>
        <v>0.9815881273547904</v>
      </c>
      <c r="BO55" s="108" t="e">
        <f t="shared" si="20"/>
        <v>#DIV/0!</v>
      </c>
      <c r="BP55" s="6" t="e">
        <f t="shared" si="21"/>
        <v>#DIV/0!</v>
      </c>
      <c r="BQ55" s="16">
        <f t="shared" si="22"/>
        <v>127.25109874278135</v>
      </c>
      <c r="BR55" s="118">
        <f t="shared" si="23"/>
        <v>4.2387607289550546</v>
      </c>
      <c r="BS55" s="108">
        <f t="shared" si="24"/>
        <v>12.971616598582271</v>
      </c>
      <c r="BT55" s="118">
        <f t="shared" si="25"/>
        <v>1.1000000000000001</v>
      </c>
      <c r="BU55" s="108">
        <f t="shared" si="26"/>
        <v>14.268778258440499</v>
      </c>
      <c r="BV55" s="6" cm="1">
        <f t="array" ref="BV55">IF(AP55=0,FactorPhi7121(BR55,"a"),noisuy2chieu(BU55,BR55,Data!$A$63:$M$85))</f>
        <v>0</v>
      </c>
      <c r="BW55" s="111">
        <v>1.26</v>
      </c>
      <c r="BX55" s="111">
        <f t="shared" si="27"/>
        <v>0.92635250941916158</v>
      </c>
      <c r="BY55" s="113" t="e">
        <f t="shared" si="28"/>
        <v>#DIV/0!</v>
      </c>
      <c r="BZ55" s="6" t="e">
        <f t="shared" si="29"/>
        <v>#DIV/0!</v>
      </c>
      <c r="CA55" s="114">
        <f t="shared" si="30"/>
        <v>127.25109874278135</v>
      </c>
      <c r="CB55" s="115" t="e">
        <f t="shared" si="31"/>
        <v>#DIV/0!</v>
      </c>
      <c r="CC55" s="6" t="e">
        <f t="shared" si="32"/>
        <v>#DIV/0!</v>
      </c>
      <c r="DG55" s="108"/>
      <c r="DH55" s="108"/>
      <c r="DI55" s="16"/>
      <c r="DJ55" s="108"/>
      <c r="DT55" s="6"/>
      <c r="DU55" s="6"/>
      <c r="DV55" s="111"/>
      <c r="DW55" s="111"/>
      <c r="DX55" s="111"/>
      <c r="DY55" s="111"/>
      <c r="DZ55" s="111"/>
      <c r="EA55" s="111"/>
      <c r="EB55" s="111"/>
      <c r="EC55" s="111"/>
      <c r="ED55" s="111"/>
      <c r="EE55" s="111"/>
      <c r="EF55" s="6"/>
      <c r="EG55" s="6"/>
      <c r="EH55" s="6"/>
      <c r="EI55" s="6"/>
      <c r="EJ55" s="6"/>
      <c r="EK55" s="6"/>
      <c r="EL55" s="112"/>
      <c r="EM55" s="112"/>
      <c r="EN55" s="118"/>
      <c r="EO55" s="118"/>
      <c r="EP55" s="112"/>
      <c r="EQ55" s="112"/>
      <c r="ER55" s="112"/>
      <c r="ES55" s="112"/>
      <c r="ET55" s="112"/>
      <c r="EU55" s="112"/>
      <c r="EV55" s="6"/>
      <c r="EW55" s="6"/>
      <c r="EX55" s="118"/>
      <c r="EY55" s="113"/>
      <c r="EZ55" s="6"/>
      <c r="FA55" s="114"/>
      <c r="FB55" s="115"/>
      <c r="FC55" s="6"/>
    </row>
    <row r="56" spans="2:159" ht="14.25" customHeight="1">
      <c r="B56" s="10" t="s">
        <v>115</v>
      </c>
      <c r="C56" s="4"/>
      <c r="D56" s="4"/>
      <c r="E56" s="4"/>
      <c r="F56" s="4"/>
      <c r="G56" s="4"/>
      <c r="H56" s="4"/>
      <c r="I56" s="4"/>
      <c r="J56" s="4"/>
      <c r="K56" s="63" t="s">
        <v>117</v>
      </c>
      <c r="L56" s="64" t="e">
        <f>ABS(H27)/(L53*J23*F23*I23)*10+ABS(K27)*1000/(I54*I55*L23*F23*I23)</f>
        <v>#DIV/0!</v>
      </c>
      <c r="M56" s="60" t="s">
        <v>32</v>
      </c>
      <c r="N56" s="21" t="e">
        <f>IF(L56&lt;=1,"OK","Check")</f>
        <v>#DIV/0!</v>
      </c>
      <c r="AA56" s="79" t="s">
        <v>175</v>
      </c>
      <c r="AB56" s="80" t="s">
        <v>192</v>
      </c>
      <c r="AC56" s="81">
        <v>0</v>
      </c>
      <c r="AD56" s="81">
        <v>6</v>
      </c>
      <c r="AE56" s="80">
        <v>273</v>
      </c>
      <c r="AF56" s="80">
        <v>6.35</v>
      </c>
      <c r="AG56" s="108" cm="1">
        <f t="array" ref="AG56">_xll.DCEPropSectPipe(AE56, AF56, "Area")/100</f>
        <v>53.19431074856206</v>
      </c>
      <c r="AH56" s="16" cm="1">
        <f t="array" ref="AH56">_xll.DCEPropSectPipe(AE56, AF56, "Ix")/10000</f>
        <v>4730.4733077169503</v>
      </c>
      <c r="AI56" s="16" cm="1">
        <f t="array" ref="AI56">_xll.DCEPropSectPipe(AE56, AF56, "Wx")/1000</f>
        <v>346.55482107816493</v>
      </c>
      <c r="AJ56" s="108">
        <f t="shared" si="1"/>
        <v>9.4301739777164251</v>
      </c>
      <c r="AK56" s="80" t="s">
        <v>217</v>
      </c>
      <c r="AL56" s="82">
        <v>-12.204391737675857</v>
      </c>
      <c r="AM56" s="82">
        <v>0.56003964940049611</v>
      </c>
      <c r="AN56" s="82">
        <v>7.7282578522610473E-2</v>
      </c>
      <c r="AO56" s="82">
        <v>0</v>
      </c>
      <c r="AP56" s="82">
        <v>0</v>
      </c>
      <c r="AQ56" s="82">
        <v>-3.4266119388756393E-2</v>
      </c>
      <c r="AR56" s="72">
        <v>1</v>
      </c>
      <c r="AS56" s="116">
        <f t="shared" si="2"/>
        <v>6</v>
      </c>
      <c r="AT56" s="7">
        <v>2</v>
      </c>
      <c r="AU56" s="6">
        <f t="shared" si="3"/>
        <v>12</v>
      </c>
      <c r="AV56" s="111">
        <f t="shared" si="4"/>
        <v>1.0037579790198752E-2</v>
      </c>
      <c r="AW56" s="117">
        <f t="shared" si="5"/>
        <v>105</v>
      </c>
      <c r="AX56" s="111">
        <f t="shared" si="6"/>
        <v>1</v>
      </c>
      <c r="AY56" s="111">
        <f t="shared" si="7"/>
        <v>1</v>
      </c>
      <c r="AZ56" s="111">
        <f t="shared" si="8"/>
        <v>1</v>
      </c>
      <c r="BA56" s="111">
        <f t="shared" si="9"/>
        <v>1.0565873463367109E-2</v>
      </c>
      <c r="BB56" s="111">
        <f t="shared" si="10"/>
        <v>0</v>
      </c>
      <c r="BC56" s="111">
        <f t="shared" si="11"/>
        <v>0</v>
      </c>
      <c r="BD56" s="111">
        <v>0</v>
      </c>
      <c r="BE56" s="111">
        <f t="shared" si="12"/>
        <v>1.0565873463367109E-2</v>
      </c>
      <c r="BF56" s="6" t="str">
        <f t="shared" si="13"/>
        <v>OK</v>
      </c>
      <c r="BG56" s="16">
        <f t="shared" si="14"/>
        <v>63.625549371390676</v>
      </c>
      <c r="BH56" s="118">
        <f t="shared" si="15"/>
        <v>2.1193803644775273</v>
      </c>
      <c r="BI56" s="108">
        <f t="shared" si="16"/>
        <v>0</v>
      </c>
      <c r="BJ56" s="6">
        <f t="shared" si="17"/>
        <v>1.2440309817761237</v>
      </c>
      <c r="BK56" s="108">
        <f t="shared" si="18"/>
        <v>0</v>
      </c>
      <c r="BL56" s="118" cm="1">
        <f t="array" ref="BL56">IF(AO56=0,FactorPhi7121(BH56,"a"),noisuy2chieu(BK56,BH56,Data!$A$63:$M$85))</f>
        <v>0.86214274110469236</v>
      </c>
      <c r="BM56" s="111">
        <v>1.26</v>
      </c>
      <c r="BN56" s="118">
        <f t="shared" si="19"/>
        <v>0.995491346881485</v>
      </c>
      <c r="BO56" s="108">
        <f t="shared" si="20"/>
        <v>2.4978690220966836E-2</v>
      </c>
      <c r="BP56" s="6" t="str">
        <f t="shared" si="21"/>
        <v>OK</v>
      </c>
      <c r="BQ56" s="16">
        <f t="shared" si="22"/>
        <v>127.25109874278135</v>
      </c>
      <c r="BR56" s="118">
        <f t="shared" si="23"/>
        <v>4.2387607289550546</v>
      </c>
      <c r="BS56" s="108">
        <f t="shared" si="24"/>
        <v>0</v>
      </c>
      <c r="BT56" s="118">
        <f t="shared" si="25"/>
        <v>1.1380619635522473</v>
      </c>
      <c r="BU56" s="108">
        <f t="shared" si="26"/>
        <v>0</v>
      </c>
      <c r="BV56" s="6" cm="1">
        <f t="array" ref="BV56">IF(AP56=0,FactorPhi7121(BR56,"a"),noisuy2chieu(BU56,BR56,Data!$A$63:$M$85))</f>
        <v>0.42299549615688942</v>
      </c>
      <c r="BW56" s="111">
        <v>1.26</v>
      </c>
      <c r="BX56" s="111">
        <f t="shared" si="27"/>
        <v>0.98196538752594009</v>
      </c>
      <c r="BY56" s="113">
        <f t="shared" si="28"/>
        <v>1.2255364407323898E-2</v>
      </c>
      <c r="BZ56" s="6" t="str">
        <f t="shared" si="29"/>
        <v>OK</v>
      </c>
      <c r="CA56" s="114">
        <f t="shared" si="30"/>
        <v>127.25109874278135</v>
      </c>
      <c r="CB56" s="115">
        <f t="shared" si="31"/>
        <v>150</v>
      </c>
      <c r="CC56" s="6" t="str">
        <f t="shared" si="32"/>
        <v>OK</v>
      </c>
      <c r="DG56" s="108"/>
      <c r="DH56" s="108"/>
      <c r="DI56" s="16"/>
      <c r="DJ56" s="108"/>
      <c r="DT56" s="6"/>
      <c r="DU56" s="6"/>
      <c r="DV56" s="111"/>
      <c r="DW56" s="111"/>
      <c r="DX56" s="111"/>
      <c r="DY56" s="111"/>
      <c r="DZ56" s="111"/>
      <c r="EA56" s="111"/>
      <c r="EB56" s="111"/>
      <c r="EC56" s="111"/>
      <c r="ED56" s="111"/>
      <c r="EE56" s="111"/>
      <c r="EF56" s="6"/>
      <c r="EG56" s="6"/>
      <c r="EH56" s="6"/>
      <c r="EI56" s="6"/>
      <c r="EJ56" s="6"/>
      <c r="EK56" s="6"/>
      <c r="EL56" s="112"/>
      <c r="EM56" s="112"/>
      <c r="EN56" s="118"/>
      <c r="EO56" s="118"/>
      <c r="EP56" s="112"/>
      <c r="EQ56" s="112"/>
      <c r="ER56" s="112"/>
      <c r="ES56" s="112"/>
      <c r="ET56" s="112"/>
      <c r="EU56" s="112"/>
      <c r="EV56" s="6"/>
      <c r="EW56" s="6"/>
      <c r="EX56" s="118"/>
      <c r="EY56" s="113"/>
      <c r="EZ56" s="6"/>
      <c r="FA56" s="114"/>
      <c r="FB56" s="115"/>
      <c r="FC56" s="6"/>
    </row>
    <row r="57" spans="2:159" ht="14.25" customHeight="1">
      <c r="B57" s="10" t="s">
        <v>116</v>
      </c>
      <c r="C57" s="4"/>
      <c r="D57" s="4"/>
      <c r="E57" s="4"/>
      <c r="F57" s="4"/>
      <c r="G57" s="4"/>
      <c r="H57" s="4"/>
      <c r="I57" s="4"/>
      <c r="J57" s="4"/>
      <c r="K57" s="63" t="s">
        <v>118</v>
      </c>
      <c r="L57" s="64" t="e">
        <f>ABS(H27)/(I53*J23*F23*I23)*10+ABS(L27)*1000/(L54*L55*L23*F23*I23)</f>
        <v>#DIV/0!</v>
      </c>
      <c r="M57" s="60" t="s">
        <v>32</v>
      </c>
      <c r="N57" s="21" t="e">
        <f>IF(L57&lt;=1,"OK","Check")</f>
        <v>#DIV/0!</v>
      </c>
      <c r="AA57" s="79" t="s">
        <v>175</v>
      </c>
      <c r="AB57" s="80" t="s">
        <v>192</v>
      </c>
      <c r="AC57" s="81">
        <v>2.74</v>
      </c>
      <c r="AD57" s="81">
        <v>6</v>
      </c>
      <c r="AE57" s="80">
        <v>273</v>
      </c>
      <c r="AF57" s="80">
        <v>6.35</v>
      </c>
      <c r="AG57" s="108" cm="1">
        <f t="array" ref="AG57">_xll.DCEPropSectPipe(AE57, AF57, "Area")/100</f>
        <v>53.19431074856206</v>
      </c>
      <c r="AH57" s="16" cm="1">
        <f t="array" ref="AH57">_xll.DCEPropSectPipe(AE57, AF57, "Ix")/10000</f>
        <v>4730.4733077169503</v>
      </c>
      <c r="AI57" s="16" cm="1">
        <f t="array" ref="AI57">_xll.DCEPropSectPipe(AE57, AF57, "Wx")/1000</f>
        <v>346.55482107816493</v>
      </c>
      <c r="AJ57" s="108">
        <f t="shared" si="1"/>
        <v>9.4301739777164251</v>
      </c>
      <c r="AK57" s="80" t="s">
        <v>217</v>
      </c>
      <c r="AL57" s="82">
        <v>-10.857131388943824</v>
      </c>
      <c r="AM57" s="82">
        <v>0.56003964940049611</v>
      </c>
      <c r="AN57" s="82">
        <v>7.7282578522610473E-2</v>
      </c>
      <c r="AO57" s="82">
        <v>-0.21190883030899796</v>
      </c>
      <c r="AP57" s="82">
        <v>-1.5356287186561595</v>
      </c>
      <c r="AQ57" s="82">
        <v>-3.4266119388756393E-2</v>
      </c>
      <c r="AR57" s="72">
        <v>1</v>
      </c>
      <c r="AS57" s="116">
        <f t="shared" si="2"/>
        <v>6</v>
      </c>
      <c r="AT57" s="7">
        <v>2</v>
      </c>
      <c r="AU57" s="6">
        <f t="shared" si="3"/>
        <v>12</v>
      </c>
      <c r="AV57" s="111">
        <f t="shared" si="4"/>
        <v>8.9295169273178789E-3</v>
      </c>
      <c r="AW57" s="117">
        <f t="shared" si="5"/>
        <v>105</v>
      </c>
      <c r="AX57" s="111">
        <f t="shared" si="6"/>
        <v>1</v>
      </c>
      <c r="AY57" s="111">
        <f t="shared" si="7"/>
        <v>1</v>
      </c>
      <c r="AZ57" s="111">
        <f t="shared" si="8"/>
        <v>1</v>
      </c>
      <c r="BA57" s="111">
        <f t="shared" si="9"/>
        <v>9.3994915024398738E-3</v>
      </c>
      <c r="BB57" s="111">
        <f t="shared" si="10"/>
        <v>2.8159929387751442E-3</v>
      </c>
      <c r="BC57" s="111">
        <f t="shared" si="11"/>
        <v>2.0406509827884462E-2</v>
      </c>
      <c r="BD57" s="111">
        <v>0</v>
      </c>
      <c r="BE57" s="111">
        <f t="shared" si="12"/>
        <v>3.262199426909948E-2</v>
      </c>
      <c r="BF57" s="6" t="str">
        <f t="shared" si="13"/>
        <v>OK</v>
      </c>
      <c r="BG57" s="16">
        <f t="shared" si="14"/>
        <v>63.625549371390676</v>
      </c>
      <c r="BH57" s="118">
        <f t="shared" si="15"/>
        <v>2.1193803644775273</v>
      </c>
      <c r="BI57" s="108">
        <f t="shared" si="16"/>
        <v>0.29958992335321361</v>
      </c>
      <c r="BJ57" s="6">
        <f t="shared" si="17"/>
        <v>1.2354009356179645</v>
      </c>
      <c r="BK57" s="108">
        <f t="shared" si="18"/>
        <v>0.37011367161227438</v>
      </c>
      <c r="BL57" s="118" cm="1">
        <f t="array" ref="BL57">IF(AO57=0,FactorPhi7121(BH57,"a"),noisuy2chieu(BK57,BH57,Data!$A$63:$M$85))</f>
        <v>0</v>
      </c>
      <c r="BM57" s="111">
        <v>1.26</v>
      </c>
      <c r="BN57" s="118">
        <f t="shared" si="19"/>
        <v>0.99598906358079498</v>
      </c>
      <c r="BO57" s="108" t="e">
        <f t="shared" si="20"/>
        <v>#DIV/0!</v>
      </c>
      <c r="BP57" s="6" t="e">
        <f t="shared" si="21"/>
        <v>#DIV/0!</v>
      </c>
      <c r="BQ57" s="16">
        <f t="shared" si="22"/>
        <v>127.25109874278135</v>
      </c>
      <c r="BR57" s="118">
        <f t="shared" si="23"/>
        <v>4.2387607289550546</v>
      </c>
      <c r="BS57" s="108">
        <f t="shared" si="24"/>
        <v>2.1710227433672813</v>
      </c>
      <c r="BT57" s="118">
        <f t="shared" si="25"/>
        <v>1.1215352858464183</v>
      </c>
      <c r="BU57" s="108">
        <f t="shared" si="26"/>
        <v>2.4348786130614988</v>
      </c>
      <c r="BV57" s="6" cm="1">
        <f t="array" ref="BV57">IF(AP57=0,FactorPhi7121(BR57,"a"),noisuy2chieu(BU57,BR57,Data!$A$63:$M$85))</f>
        <v>0</v>
      </c>
      <c r="BW57" s="111">
        <v>1.26</v>
      </c>
      <c r="BX57" s="111">
        <f t="shared" si="27"/>
        <v>0.98395625432318012</v>
      </c>
      <c r="BY57" s="113" t="e">
        <f t="shared" si="28"/>
        <v>#DIV/0!</v>
      </c>
      <c r="BZ57" s="6" t="e">
        <f t="shared" si="29"/>
        <v>#DIV/0!</v>
      </c>
      <c r="CA57" s="114">
        <f t="shared" si="30"/>
        <v>127.25109874278135</v>
      </c>
      <c r="CB57" s="115" t="e">
        <f t="shared" si="31"/>
        <v>#DIV/0!</v>
      </c>
      <c r="CC57" s="6" t="e">
        <f t="shared" si="32"/>
        <v>#DIV/0!</v>
      </c>
      <c r="DG57" s="108"/>
      <c r="DH57" s="108"/>
      <c r="DI57" s="16"/>
      <c r="DJ57" s="108"/>
      <c r="DT57" s="6"/>
      <c r="DU57" s="6"/>
      <c r="DV57" s="111"/>
      <c r="DW57" s="111"/>
      <c r="DX57" s="111"/>
      <c r="DY57" s="111"/>
      <c r="DZ57" s="111"/>
      <c r="EA57" s="111"/>
      <c r="EB57" s="111"/>
      <c r="EC57" s="111"/>
      <c r="ED57" s="111"/>
      <c r="EE57" s="111"/>
      <c r="EF57" s="6"/>
      <c r="EG57" s="6"/>
      <c r="EH57" s="6"/>
      <c r="EI57" s="6"/>
      <c r="EJ57" s="6"/>
      <c r="EK57" s="6"/>
      <c r="EL57" s="112"/>
      <c r="EM57" s="112"/>
      <c r="EN57" s="118"/>
      <c r="EO57" s="118"/>
      <c r="EP57" s="112"/>
      <c r="EQ57" s="112"/>
      <c r="ER57" s="112"/>
      <c r="ES57" s="112"/>
      <c r="ET57" s="112"/>
      <c r="EU57" s="112"/>
      <c r="EV57" s="6"/>
      <c r="EW57" s="6"/>
      <c r="EX57" s="118"/>
      <c r="EY57" s="113"/>
      <c r="EZ57" s="6"/>
      <c r="FA57" s="114"/>
      <c r="FB57" s="115"/>
      <c r="FC57" s="6"/>
    </row>
    <row r="58" spans="2:159" ht="14.25" customHeight="1">
      <c r="B58" s="34" t="s">
        <v>87</v>
      </c>
      <c r="C58" s="4"/>
      <c r="D58" s="4"/>
      <c r="E58" s="60"/>
      <c r="F58" s="42"/>
      <c r="G58" s="4"/>
      <c r="H58" s="42"/>
      <c r="I58" s="51"/>
      <c r="J58" s="42"/>
      <c r="K58" s="4"/>
      <c r="L58" s="47"/>
      <c r="M58" s="4"/>
      <c r="N58" s="11"/>
      <c r="AA58" s="79" t="s">
        <v>175</v>
      </c>
      <c r="AB58" s="80" t="s">
        <v>192</v>
      </c>
      <c r="AC58" s="81">
        <v>5.48</v>
      </c>
      <c r="AD58" s="81">
        <v>6</v>
      </c>
      <c r="AE58" s="80">
        <v>273</v>
      </c>
      <c r="AF58" s="80">
        <v>6.35</v>
      </c>
      <c r="AG58" s="108" cm="1">
        <f t="array" ref="AG58">_xll.DCEPropSectPipe(AE58, AF58, "Area")/100</f>
        <v>53.19431074856206</v>
      </c>
      <c r="AH58" s="16" cm="1">
        <f t="array" ref="AH58">_xll.DCEPropSectPipe(AE58, AF58, "Ix")/10000</f>
        <v>4730.4733077169503</v>
      </c>
      <c r="AI58" s="16" cm="1">
        <f t="array" ref="AI58">_xll.DCEPropSectPipe(AE58, AF58, "Wx")/1000</f>
        <v>346.55482107816493</v>
      </c>
      <c r="AJ58" s="108">
        <f t="shared" si="1"/>
        <v>9.4301739777164251</v>
      </c>
      <c r="AK58" s="80" t="s">
        <v>217</v>
      </c>
      <c r="AL58" s="82">
        <v>-9.5098710402117934</v>
      </c>
      <c r="AM58" s="82">
        <v>0.56003964940049611</v>
      </c>
      <c r="AN58" s="82">
        <v>7.7282578522610473E-2</v>
      </c>
      <c r="AO58" s="82">
        <v>-0.42381766061799592</v>
      </c>
      <c r="AP58" s="82">
        <v>-3.0712574373123189</v>
      </c>
      <c r="AQ58" s="82">
        <v>-3.4266119388756393E-2</v>
      </c>
      <c r="AR58" s="72">
        <v>1</v>
      </c>
      <c r="AS58" s="116">
        <f t="shared" si="2"/>
        <v>6</v>
      </c>
      <c r="AT58" s="7">
        <v>2</v>
      </c>
      <c r="AU58" s="6">
        <f t="shared" si="3"/>
        <v>12</v>
      </c>
      <c r="AV58" s="111">
        <f t="shared" si="4"/>
        <v>7.8214540644370098E-3</v>
      </c>
      <c r="AW58" s="117">
        <f t="shared" si="5"/>
        <v>105</v>
      </c>
      <c r="AX58" s="111">
        <f t="shared" si="6"/>
        <v>1</v>
      </c>
      <c r="AY58" s="111">
        <f t="shared" si="7"/>
        <v>1</v>
      </c>
      <c r="AZ58" s="111">
        <f t="shared" si="8"/>
        <v>1</v>
      </c>
      <c r="BA58" s="111">
        <f t="shared" si="9"/>
        <v>8.2331095415126409E-3</v>
      </c>
      <c r="BB58" s="111">
        <f t="shared" si="10"/>
        <v>5.6319858775502885E-3</v>
      </c>
      <c r="BC58" s="111">
        <f t="shared" si="11"/>
        <v>4.0813019655768924E-2</v>
      </c>
      <c r="BD58" s="111">
        <v>0</v>
      </c>
      <c r="BE58" s="111">
        <f t="shared" si="12"/>
        <v>5.4678115074831855E-2</v>
      </c>
      <c r="BF58" s="6" t="str">
        <f t="shared" si="13"/>
        <v>OK</v>
      </c>
      <c r="BG58" s="16">
        <f t="shared" si="14"/>
        <v>63.625549371390676</v>
      </c>
      <c r="BH58" s="118">
        <f t="shared" si="15"/>
        <v>2.1193803644775273</v>
      </c>
      <c r="BI58" s="108">
        <f t="shared" si="16"/>
        <v>0.68406546143385116</v>
      </c>
      <c r="BJ58" s="6">
        <f t="shared" si="17"/>
        <v>1.2243256577742327</v>
      </c>
      <c r="BK58" s="108">
        <f t="shared" si="18"/>
        <v>0.8375188960306339</v>
      </c>
      <c r="BL58" s="118" cm="1">
        <f t="array" ref="BL58">IF(AO58=0,FactorPhi7121(BH58,"a"),noisuy2chieu(BK58,BH58,Data!$A$63:$M$85))</f>
        <v>0</v>
      </c>
      <c r="BM58" s="111">
        <v>1.26</v>
      </c>
      <c r="BN58" s="118">
        <f t="shared" si="19"/>
        <v>0.99648678028010507</v>
      </c>
      <c r="BO58" s="108" t="e">
        <f t="shared" si="20"/>
        <v>#DIV/0!</v>
      </c>
      <c r="BP58" s="6" t="e">
        <f t="shared" si="21"/>
        <v>#DIV/0!</v>
      </c>
      <c r="BQ58" s="16">
        <f t="shared" si="22"/>
        <v>127.25109874278135</v>
      </c>
      <c r="BR58" s="118">
        <f t="shared" si="23"/>
        <v>4.2387607289550546</v>
      </c>
      <c r="BS58" s="108">
        <f t="shared" si="24"/>
        <v>4.9571816638638433</v>
      </c>
      <c r="BT58" s="118">
        <f t="shared" si="25"/>
        <v>1.1003259499898765</v>
      </c>
      <c r="BU58" s="108">
        <f t="shared" si="26"/>
        <v>5.4545156235633803</v>
      </c>
      <c r="BV58" s="6" cm="1">
        <f t="array" ref="BV58">IF(AP58=0,FactorPhi7121(BR58,"a"),noisuy2chieu(BU58,BR58,Data!$A$63:$M$85))</f>
        <v>0</v>
      </c>
      <c r="BW58" s="111">
        <v>1.26</v>
      </c>
      <c r="BX58" s="111">
        <f t="shared" si="27"/>
        <v>0.98594712112042016</v>
      </c>
      <c r="BY58" s="113" t="e">
        <f t="shared" si="28"/>
        <v>#DIV/0!</v>
      </c>
      <c r="BZ58" s="6" t="e">
        <f t="shared" si="29"/>
        <v>#DIV/0!</v>
      </c>
      <c r="CA58" s="114">
        <f t="shared" si="30"/>
        <v>127.25109874278135</v>
      </c>
      <c r="CB58" s="115" t="e">
        <f t="shared" si="31"/>
        <v>#DIV/0!</v>
      </c>
      <c r="CC58" s="6" t="e">
        <f t="shared" si="32"/>
        <v>#DIV/0!</v>
      </c>
      <c r="DG58" s="108"/>
      <c r="DH58" s="108"/>
      <c r="DI58" s="16"/>
      <c r="DJ58" s="108"/>
      <c r="DT58" s="6"/>
      <c r="DU58" s="6"/>
      <c r="DV58" s="111"/>
      <c r="DW58" s="111"/>
      <c r="DX58" s="111"/>
      <c r="DY58" s="111"/>
      <c r="DZ58" s="111"/>
      <c r="EA58" s="111"/>
      <c r="EB58" s="111"/>
      <c r="EC58" s="111"/>
      <c r="ED58" s="111"/>
      <c r="EE58" s="111"/>
      <c r="EF58" s="6"/>
      <c r="EG58" s="6"/>
      <c r="EH58" s="6"/>
      <c r="EI58" s="6"/>
      <c r="EJ58" s="6"/>
      <c r="EK58" s="6"/>
      <c r="EL58" s="112"/>
      <c r="EM58" s="112"/>
      <c r="EN58" s="118"/>
      <c r="EO58" s="118"/>
      <c r="EP58" s="112"/>
      <c r="EQ58" s="112"/>
      <c r="ER58" s="112"/>
      <c r="ES58" s="112"/>
      <c r="ET58" s="112"/>
      <c r="EU58" s="112"/>
      <c r="EV58" s="6"/>
      <c r="EW58" s="6"/>
      <c r="EX58" s="118"/>
      <c r="EY58" s="113"/>
      <c r="EZ58" s="6"/>
      <c r="FA58" s="114"/>
      <c r="FB58" s="115"/>
      <c r="FC58" s="6"/>
    </row>
    <row r="59" spans="2:159" ht="14.25" customHeight="1">
      <c r="B59" s="10" t="s">
        <v>88</v>
      </c>
      <c r="C59" s="43"/>
      <c r="D59" s="43"/>
      <c r="E59" s="43"/>
      <c r="F59" s="43"/>
      <c r="G59" s="43"/>
      <c r="H59" s="43"/>
      <c r="I59" s="43"/>
      <c r="J59" s="43"/>
      <c r="K59" s="65" t="s">
        <v>55</v>
      </c>
      <c r="L59" s="66">
        <f>MAX(I48,L48)</f>
        <v>127.25109874278138</v>
      </c>
      <c r="M59" s="43"/>
      <c r="N59" s="11"/>
      <c r="AA59" s="79" t="s">
        <v>175</v>
      </c>
      <c r="AB59" s="80" t="s">
        <v>192</v>
      </c>
      <c r="AC59" s="81">
        <v>0</v>
      </c>
      <c r="AD59" s="81">
        <v>6</v>
      </c>
      <c r="AE59" s="80">
        <v>273</v>
      </c>
      <c r="AF59" s="80">
        <v>6.35</v>
      </c>
      <c r="AG59" s="108" cm="1">
        <f t="array" ref="AG59">_xll.DCEPropSectPipe(AE59, AF59, "Area")/100</f>
        <v>53.19431074856206</v>
      </c>
      <c r="AH59" s="16" cm="1">
        <f t="array" ref="AH59">_xll.DCEPropSectPipe(AE59, AF59, "Ix")/10000</f>
        <v>4730.4733077169503</v>
      </c>
      <c r="AI59" s="16" cm="1">
        <f t="array" ref="AI59">_xll.DCEPropSectPipe(AE59, AF59, "Wx")/1000</f>
        <v>346.55482107816493</v>
      </c>
      <c r="AJ59" s="108">
        <f t="shared" si="1"/>
        <v>9.4301739777164251</v>
      </c>
      <c r="AK59" s="80" t="s">
        <v>218</v>
      </c>
      <c r="AL59" s="82">
        <v>-2.5650554970766968</v>
      </c>
      <c r="AM59" s="82">
        <v>0.66137631285054421</v>
      </c>
      <c r="AN59" s="82">
        <v>-0.10122441827030342</v>
      </c>
      <c r="AO59" s="82">
        <v>0</v>
      </c>
      <c r="AP59" s="82">
        <v>0</v>
      </c>
      <c r="AQ59" s="82">
        <v>-3.6010651372889832E-3</v>
      </c>
      <c r="AR59" s="72">
        <v>1</v>
      </c>
      <c r="AS59" s="116">
        <f t="shared" si="2"/>
        <v>6</v>
      </c>
      <c r="AT59" s="7">
        <v>2</v>
      </c>
      <c r="AU59" s="6">
        <f t="shared" si="3"/>
        <v>12</v>
      </c>
      <c r="AV59" s="111">
        <f t="shared" si="4"/>
        <v>2.1096462463354513E-3</v>
      </c>
      <c r="AW59" s="117">
        <f t="shared" si="5"/>
        <v>105</v>
      </c>
      <c r="AX59" s="111">
        <f t="shared" si="6"/>
        <v>1</v>
      </c>
      <c r="AY59" s="111">
        <f t="shared" si="7"/>
        <v>1</v>
      </c>
      <c r="AZ59" s="111">
        <f t="shared" si="8"/>
        <v>1</v>
      </c>
      <c r="BA59" s="111">
        <f t="shared" si="9"/>
        <v>2.2206802593004752E-3</v>
      </c>
      <c r="BB59" s="111">
        <f t="shared" si="10"/>
        <v>0</v>
      </c>
      <c r="BC59" s="111">
        <f t="shared" si="11"/>
        <v>0</v>
      </c>
      <c r="BD59" s="111">
        <v>0</v>
      </c>
      <c r="BE59" s="111">
        <f t="shared" si="12"/>
        <v>2.2206802593004752E-3</v>
      </c>
      <c r="BF59" s="6" t="str">
        <f t="shared" si="13"/>
        <v>OK</v>
      </c>
      <c r="BG59" s="16">
        <f t="shared" si="14"/>
        <v>63.625549371390676</v>
      </c>
      <c r="BH59" s="118">
        <f t="shared" si="15"/>
        <v>2.1193803644775273</v>
      </c>
      <c r="BI59" s="108">
        <f t="shared" si="16"/>
        <v>0</v>
      </c>
      <c r="BJ59" s="6">
        <f t="shared" si="17"/>
        <v>1.2440309817761237</v>
      </c>
      <c r="BK59" s="108">
        <f t="shared" si="18"/>
        <v>0</v>
      </c>
      <c r="BL59" s="118" cm="1">
        <f t="array" ref="BL59">IF(AO59=0,FactorPhi7121(BH59,"a"),noisuy2chieu(BK59,BH59,Data!$A$63:$M$85))</f>
        <v>0.86214274110469236</v>
      </c>
      <c r="BM59" s="111">
        <v>1.26</v>
      </c>
      <c r="BN59" s="118">
        <f t="shared" si="19"/>
        <v>0.99905239476783125</v>
      </c>
      <c r="BO59" s="108">
        <f t="shared" si="20"/>
        <v>5.2498910259716394E-3</v>
      </c>
      <c r="BP59" s="6" t="str">
        <f t="shared" si="21"/>
        <v>OK</v>
      </c>
      <c r="BQ59" s="16">
        <f t="shared" si="22"/>
        <v>127.25109874278135</v>
      </c>
      <c r="BR59" s="118">
        <f t="shared" si="23"/>
        <v>4.2387607289550546</v>
      </c>
      <c r="BS59" s="108">
        <f t="shared" si="24"/>
        <v>0</v>
      </c>
      <c r="BT59" s="118">
        <f t="shared" si="25"/>
        <v>1.1380619635522473</v>
      </c>
      <c r="BU59" s="108">
        <f t="shared" si="26"/>
        <v>0</v>
      </c>
      <c r="BV59" s="6" cm="1">
        <f t="array" ref="BV59">IF(AP59=0,FactorPhi7121(BR59,"a"),noisuy2chieu(BU59,BR59,Data!$A$63:$M$85))</f>
        <v>0.42299549615688942</v>
      </c>
      <c r="BW59" s="111">
        <v>1.26</v>
      </c>
      <c r="BX59" s="111">
        <f t="shared" si="27"/>
        <v>0.99620957907132501</v>
      </c>
      <c r="BY59" s="113">
        <f t="shared" si="28"/>
        <v>2.57576866732653E-3</v>
      </c>
      <c r="BZ59" s="6" t="str">
        <f t="shared" si="29"/>
        <v>OK</v>
      </c>
      <c r="CA59" s="114">
        <f t="shared" si="30"/>
        <v>127.25109874278135</v>
      </c>
      <c r="CB59" s="115">
        <f t="shared" si="31"/>
        <v>150</v>
      </c>
      <c r="CC59" s="6" t="str">
        <f t="shared" si="32"/>
        <v>OK</v>
      </c>
      <c r="DG59" s="108"/>
      <c r="DH59" s="108"/>
      <c r="DI59" s="16"/>
      <c r="DJ59" s="108"/>
      <c r="DT59" s="6"/>
      <c r="DU59" s="6"/>
      <c r="DV59" s="111"/>
      <c r="DW59" s="111"/>
      <c r="DX59" s="111"/>
      <c r="DY59" s="111"/>
      <c r="DZ59" s="111"/>
      <c r="EA59" s="111"/>
      <c r="EB59" s="111"/>
      <c r="EC59" s="111"/>
      <c r="ED59" s="111"/>
      <c r="EE59" s="111"/>
      <c r="EF59" s="6"/>
      <c r="EG59" s="6"/>
      <c r="EH59" s="6"/>
      <c r="EI59" s="6"/>
      <c r="EJ59" s="6"/>
      <c r="EK59" s="6"/>
      <c r="EL59" s="112"/>
      <c r="EM59" s="112"/>
      <c r="EN59" s="118"/>
      <c r="EO59" s="118"/>
      <c r="EP59" s="112"/>
      <c r="EQ59" s="112"/>
      <c r="ER59" s="112"/>
      <c r="ES59" s="112"/>
      <c r="ET59" s="112"/>
      <c r="EU59" s="112"/>
      <c r="EV59" s="6"/>
      <c r="EW59" s="6"/>
      <c r="EX59" s="118"/>
      <c r="EY59" s="113"/>
      <c r="EZ59" s="6"/>
      <c r="FA59" s="114"/>
      <c r="FB59" s="115"/>
      <c r="FC59" s="6"/>
    </row>
    <row r="60" spans="2:159" ht="14.25" customHeight="1">
      <c r="B60" s="10" t="s">
        <v>54</v>
      </c>
      <c r="C60" s="4"/>
      <c r="D60" s="4"/>
      <c r="E60" s="60"/>
      <c r="F60" s="42" t="s">
        <v>84</v>
      </c>
      <c r="G60" s="61">
        <f>I53</f>
        <v>0</v>
      </c>
      <c r="H60" s="42" t="s">
        <v>89</v>
      </c>
      <c r="I60" s="61" t="e">
        <f>MAX(ABS(H27)/(L53*J23*F23*I23)*10,ABS(H27)/(I53*J23*F23*I23)*10,0.5)</f>
        <v>#DIV/0!</v>
      </c>
      <c r="J60" s="42"/>
      <c r="K60" s="47" t="s">
        <v>57</v>
      </c>
      <c r="L60" s="66" t="e">
        <f>180-60*I60</f>
        <v>#DIV/0!</v>
      </c>
      <c r="M60" s="4"/>
      <c r="N60" s="11"/>
      <c r="AA60" s="79" t="s">
        <v>175</v>
      </c>
      <c r="AB60" s="80" t="s">
        <v>192</v>
      </c>
      <c r="AC60" s="81">
        <v>2.74</v>
      </c>
      <c r="AD60" s="81">
        <v>6</v>
      </c>
      <c r="AE60" s="80">
        <v>273</v>
      </c>
      <c r="AF60" s="80">
        <v>6.35</v>
      </c>
      <c r="AG60" s="108" cm="1">
        <f t="array" ref="AG60">_xll.DCEPropSectPipe(AE60, AF60, "Area")/100</f>
        <v>53.19431074856206</v>
      </c>
      <c r="AH60" s="16" cm="1">
        <f t="array" ref="AH60">_xll.DCEPropSectPipe(AE60, AF60, "Ix")/10000</f>
        <v>4730.4733077169503</v>
      </c>
      <c r="AI60" s="16" cm="1">
        <f t="array" ref="AI60">_xll.DCEPropSectPipe(AE60, AF60, "Wx")/1000</f>
        <v>346.55482107816493</v>
      </c>
      <c r="AJ60" s="108">
        <f t="shared" si="1"/>
        <v>9.4301739777164251</v>
      </c>
      <c r="AK60" s="80" t="s">
        <v>218</v>
      </c>
      <c r="AL60" s="82">
        <v>-1.217795148344663</v>
      </c>
      <c r="AM60" s="82">
        <v>0.66137631285054421</v>
      </c>
      <c r="AN60" s="82">
        <v>-0.10122441827030342</v>
      </c>
      <c r="AO60" s="82">
        <v>0.27755735489717209</v>
      </c>
      <c r="AP60" s="82">
        <v>-1.8134938498361926</v>
      </c>
      <c r="AQ60" s="82">
        <v>-3.6010651372889832E-3</v>
      </c>
      <c r="AR60" s="72">
        <v>1</v>
      </c>
      <c r="AS60" s="116">
        <f t="shared" si="2"/>
        <v>6</v>
      </c>
      <c r="AT60" s="7">
        <v>2</v>
      </c>
      <c r="AU60" s="6">
        <f t="shared" si="3"/>
        <v>12</v>
      </c>
      <c r="AV60" s="111">
        <f t="shared" si="4"/>
        <v>1.0015833834545779E-3</v>
      </c>
      <c r="AW60" s="117">
        <f t="shared" si="5"/>
        <v>105</v>
      </c>
      <c r="AX60" s="111">
        <f t="shared" si="6"/>
        <v>1</v>
      </c>
      <c r="AY60" s="111">
        <f t="shared" si="7"/>
        <v>1</v>
      </c>
      <c r="AZ60" s="111">
        <f t="shared" si="8"/>
        <v>1</v>
      </c>
      <c r="BA60" s="111">
        <f t="shared" si="9"/>
        <v>1.0542982983732401E-3</v>
      </c>
      <c r="BB60" s="111">
        <f t="shared" si="10"/>
        <v>3.6883765077455359E-3</v>
      </c>
      <c r="BC60" s="111">
        <f t="shared" si="11"/>
        <v>2.4098976282415113E-2</v>
      </c>
      <c r="BD60" s="111">
        <v>0</v>
      </c>
      <c r="BE60" s="111">
        <f t="shared" si="12"/>
        <v>2.8841651088533891E-2</v>
      </c>
      <c r="BF60" s="6" t="str">
        <f t="shared" si="13"/>
        <v>OK</v>
      </c>
      <c r="BG60" s="16">
        <f t="shared" si="14"/>
        <v>63.625549371390676</v>
      </c>
      <c r="BH60" s="118">
        <f t="shared" si="15"/>
        <v>2.1193803644775273</v>
      </c>
      <c r="BI60" s="108">
        <f t="shared" si="16"/>
        <v>3.4984183446341737</v>
      </c>
      <c r="BJ60" s="6">
        <f t="shared" si="17"/>
        <v>1.1432548560078715</v>
      </c>
      <c r="BK60" s="108">
        <f t="shared" si="18"/>
        <v>3.9995837608500384</v>
      </c>
      <c r="BL60" s="118" cm="1">
        <f t="array" ref="BL60">IF(AO60=0,FactorPhi7121(BH60,"a"),noisuy2chieu(BK60,BH60,Data!$A$63:$M$85))</f>
        <v>0</v>
      </c>
      <c r="BM60" s="111">
        <v>1.26</v>
      </c>
      <c r="BN60" s="118">
        <f t="shared" si="19"/>
        <v>0.99955011146714123</v>
      </c>
      <c r="BO60" s="108" t="e">
        <f t="shared" si="20"/>
        <v>#DIV/0!</v>
      </c>
      <c r="BP60" s="6" t="e">
        <f t="shared" si="21"/>
        <v>#DIV/0!</v>
      </c>
      <c r="BQ60" s="16">
        <f t="shared" si="22"/>
        <v>127.25109874278135</v>
      </c>
      <c r="BR60" s="118">
        <f t="shared" si="23"/>
        <v>4.2387607289550546</v>
      </c>
      <c r="BS60" s="108">
        <f t="shared" si="24"/>
        <v>22.857834750942239</v>
      </c>
      <c r="BT60" s="118">
        <f t="shared" si="25"/>
        <v>1.1000000000000001</v>
      </c>
      <c r="BU60" s="108">
        <f t="shared" si="26"/>
        <v>25.143618226036466</v>
      </c>
      <c r="BV60" s="6" cm="1">
        <f t="array" ref="BV60">IF(AP60=0,FactorPhi7121(BR60,"a"),noisuy2chieu(BU60,BR60,Data!$A$63:$M$85))</f>
        <v>0</v>
      </c>
      <c r="BW60" s="111">
        <v>1.26</v>
      </c>
      <c r="BX60" s="111">
        <f t="shared" si="27"/>
        <v>0.99820044586856493</v>
      </c>
      <c r="BY60" s="113" t="e">
        <f t="shared" si="28"/>
        <v>#DIV/0!</v>
      </c>
      <c r="BZ60" s="6" t="e">
        <f t="shared" si="29"/>
        <v>#DIV/0!</v>
      </c>
      <c r="CA60" s="114">
        <f t="shared" si="30"/>
        <v>127.25109874278135</v>
      </c>
      <c r="CB60" s="115" t="e">
        <f t="shared" si="31"/>
        <v>#DIV/0!</v>
      </c>
      <c r="CC60" s="6" t="e">
        <f t="shared" si="32"/>
        <v>#DIV/0!</v>
      </c>
      <c r="DG60" s="108"/>
      <c r="DH60" s="108"/>
      <c r="DI60" s="16"/>
      <c r="DJ60" s="108"/>
      <c r="DT60" s="6"/>
      <c r="DU60" s="6"/>
      <c r="DV60" s="111"/>
      <c r="DW60" s="111"/>
      <c r="DX60" s="111"/>
      <c r="DY60" s="111"/>
      <c r="DZ60" s="111"/>
      <c r="EA60" s="111"/>
      <c r="EB60" s="111"/>
      <c r="EC60" s="111"/>
      <c r="ED60" s="111"/>
      <c r="EE60" s="111"/>
      <c r="EF60" s="6"/>
      <c r="EG60" s="6"/>
      <c r="EH60" s="6"/>
      <c r="EI60" s="6"/>
      <c r="EJ60" s="6"/>
      <c r="EK60" s="6"/>
      <c r="EL60" s="112"/>
      <c r="EM60" s="112"/>
      <c r="EN60" s="118"/>
      <c r="EO60" s="118"/>
      <c r="EP60" s="112"/>
      <c r="EQ60" s="112"/>
      <c r="ER60" s="112"/>
      <c r="ES60" s="112"/>
      <c r="ET60" s="112"/>
      <c r="EU60" s="112"/>
      <c r="EV60" s="6"/>
      <c r="EW60" s="6"/>
      <c r="EX60" s="118"/>
      <c r="EY60" s="113"/>
      <c r="EZ60" s="6"/>
      <c r="FA60" s="114"/>
      <c r="FB60" s="115"/>
      <c r="FC60" s="6"/>
    </row>
    <row r="61" spans="2:159" ht="14.25" customHeight="1">
      <c r="B61" s="10" t="s">
        <v>56</v>
      </c>
      <c r="C61" s="4"/>
      <c r="D61" s="4"/>
      <c r="E61" s="4"/>
      <c r="F61" s="4"/>
      <c r="G61" s="4"/>
      <c r="H61" s="4"/>
      <c r="I61" s="61"/>
      <c r="J61" s="4"/>
      <c r="K61" s="42" t="s">
        <v>58</v>
      </c>
      <c r="L61" s="64" t="e">
        <f>L59/L60</f>
        <v>#DIV/0!</v>
      </c>
      <c r="M61" s="60" t="s">
        <v>32</v>
      </c>
      <c r="N61" s="21" t="e">
        <f>IF(L61&lt;=1,"OK","Check")</f>
        <v>#DIV/0!</v>
      </c>
      <c r="AA61" s="79" t="s">
        <v>175</v>
      </c>
      <c r="AB61" s="80" t="s">
        <v>192</v>
      </c>
      <c r="AC61" s="81">
        <v>5.48</v>
      </c>
      <c r="AD61" s="81">
        <v>6</v>
      </c>
      <c r="AE61" s="80">
        <v>273</v>
      </c>
      <c r="AF61" s="80">
        <v>6.35</v>
      </c>
      <c r="AG61" s="108" cm="1">
        <f t="array" ref="AG61">_xll.DCEPropSectPipe(AE61, AF61, "Area")/100</f>
        <v>53.19431074856206</v>
      </c>
      <c r="AH61" s="16" cm="1">
        <f t="array" ref="AH61">_xll.DCEPropSectPipe(AE61, AF61, "Ix")/10000</f>
        <v>4730.4733077169503</v>
      </c>
      <c r="AI61" s="16" cm="1">
        <f t="array" ref="AI61">_xll.DCEPropSectPipe(AE61, AF61, "Wx")/1000</f>
        <v>346.55482107816493</v>
      </c>
      <c r="AJ61" s="108">
        <f t="shared" si="1"/>
        <v>9.4301739777164251</v>
      </c>
      <c r="AK61" s="80" t="s">
        <v>218</v>
      </c>
      <c r="AL61" s="82">
        <v>0.12946520038736706</v>
      </c>
      <c r="AM61" s="82">
        <v>0.66137631285054421</v>
      </c>
      <c r="AN61" s="82">
        <v>-0.10122441827030342</v>
      </c>
      <c r="AO61" s="82">
        <v>0.55511470979434419</v>
      </c>
      <c r="AP61" s="82">
        <v>-3.6269876996723851</v>
      </c>
      <c r="AQ61" s="82">
        <v>-3.6010651372889832E-3</v>
      </c>
      <c r="AR61" s="72">
        <v>1</v>
      </c>
      <c r="AS61" s="116">
        <f t="shared" si="2"/>
        <v>6</v>
      </c>
      <c r="AT61" s="7">
        <v>2</v>
      </c>
      <c r="AU61" s="6">
        <f t="shared" si="3"/>
        <v>12</v>
      </c>
      <c r="AV61" s="111">
        <f t="shared" si="4"/>
        <v>1.0647947942629224E-4</v>
      </c>
      <c r="AW61" s="117">
        <f t="shared" si="5"/>
        <v>105</v>
      </c>
      <c r="AX61" s="111">
        <f t="shared" si="6"/>
        <v>1</v>
      </c>
      <c r="AY61" s="111">
        <f t="shared" si="7"/>
        <v>1</v>
      </c>
      <c r="AZ61" s="111">
        <f t="shared" si="8"/>
        <v>1</v>
      </c>
      <c r="BA61" s="111">
        <f t="shared" si="9"/>
        <v>1.1208366255399183E-4</v>
      </c>
      <c r="BB61" s="111">
        <f t="shared" si="10"/>
        <v>7.3767530154910717E-3</v>
      </c>
      <c r="BC61" s="111">
        <f t="shared" si="11"/>
        <v>4.8197952564830226E-2</v>
      </c>
      <c r="BD61" s="111">
        <v>0</v>
      </c>
      <c r="BE61" s="111">
        <f t="shared" si="12"/>
        <v>5.568678924287529E-2</v>
      </c>
      <c r="BF61" s="6" t="str">
        <f t="shared" si="13"/>
        <v>OK</v>
      </c>
      <c r="BG61" s="16">
        <f t="shared" si="14"/>
        <v>63.625549371390676</v>
      </c>
      <c r="BH61" s="118">
        <f t="shared" si="15"/>
        <v>2.1193803644775273</v>
      </c>
      <c r="BI61" s="108">
        <f t="shared" si="16"/>
        <v>65.814703475964819</v>
      </c>
      <c r="BJ61" s="6">
        <f t="shared" si="17"/>
        <v>1.1000000000000001</v>
      </c>
      <c r="BK61" s="108">
        <f t="shared" si="18"/>
        <v>72.396173823561313</v>
      </c>
      <c r="BL61" s="118" cm="1">
        <f t="array" ref="BL61">IF(AO61=0,FactorPhi7121(BH61,"a"),noisuy2chieu(BK61,BH61,Data!$A$63:$M$85))</f>
        <v>0</v>
      </c>
      <c r="BM61" s="111">
        <v>1.26</v>
      </c>
      <c r="BN61" s="118">
        <f t="shared" si="19"/>
        <v>0.99995217183354879</v>
      </c>
      <c r="BO61" s="108" t="e">
        <f t="shared" si="20"/>
        <v>#DIV/0!</v>
      </c>
      <c r="BP61" s="6" t="e">
        <f t="shared" si="21"/>
        <v>#DIV/0!</v>
      </c>
      <c r="BQ61" s="16">
        <f t="shared" si="22"/>
        <v>127.25109874278135</v>
      </c>
      <c r="BR61" s="118">
        <f t="shared" si="23"/>
        <v>4.2387607289550546</v>
      </c>
      <c r="BS61" s="108">
        <f t="shared" si="24"/>
        <v>430.01764455736605</v>
      </c>
      <c r="BT61" s="118">
        <f t="shared" si="25"/>
        <v>1.1000000000000001</v>
      </c>
      <c r="BU61" s="108">
        <f t="shared" si="26"/>
        <v>473.01940901310269</v>
      </c>
      <c r="BV61" s="6" cm="1">
        <f t="array" ref="BV61">IF(AP61=0,FactorPhi7121(BR61,"a"),noisuy2chieu(BU61,BR61,Data!$A$63:$M$85))</f>
        <v>0</v>
      </c>
      <c r="BW61" s="111">
        <v>1.26</v>
      </c>
      <c r="BX61" s="111">
        <f t="shared" si="27"/>
        <v>0.99980868733419503</v>
      </c>
      <c r="BY61" s="113" t="e">
        <f t="shared" si="28"/>
        <v>#DIV/0!</v>
      </c>
      <c r="BZ61" s="6" t="e">
        <f t="shared" si="29"/>
        <v>#DIV/0!</v>
      </c>
      <c r="CA61" s="114">
        <f t="shared" si="30"/>
        <v>127.25109874278135</v>
      </c>
      <c r="CB61" s="115" t="e">
        <f t="shared" si="31"/>
        <v>#DIV/0!</v>
      </c>
      <c r="CC61" s="6" t="e">
        <f t="shared" si="32"/>
        <v>#DIV/0!</v>
      </c>
      <c r="DG61" s="108"/>
      <c r="DH61" s="108"/>
      <c r="DI61" s="16"/>
      <c r="DJ61" s="108"/>
      <c r="DT61" s="6"/>
      <c r="DU61" s="6"/>
      <c r="DV61" s="111"/>
      <c r="DW61" s="111"/>
      <c r="DX61" s="111"/>
      <c r="DY61" s="111"/>
      <c r="DZ61" s="111"/>
      <c r="EA61" s="111"/>
      <c r="EB61" s="111"/>
      <c r="EC61" s="111"/>
      <c r="ED61" s="111"/>
      <c r="EE61" s="111"/>
      <c r="EF61" s="6"/>
      <c r="EG61" s="6"/>
      <c r="EH61" s="6"/>
      <c r="EI61" s="6"/>
      <c r="EJ61" s="6"/>
      <c r="EK61" s="6"/>
      <c r="EL61" s="112"/>
      <c r="EM61" s="112"/>
      <c r="EN61" s="118"/>
      <c r="EO61" s="118"/>
      <c r="EP61" s="112"/>
      <c r="EQ61" s="112"/>
      <c r="ER61" s="112"/>
      <c r="ES61" s="112"/>
      <c r="ET61" s="112"/>
      <c r="EU61" s="112"/>
      <c r="EV61" s="6"/>
      <c r="EW61" s="6"/>
      <c r="EX61" s="118"/>
      <c r="EY61" s="113"/>
      <c r="EZ61" s="6"/>
      <c r="FA61" s="114"/>
      <c r="FB61" s="115"/>
      <c r="FC61" s="6"/>
    </row>
    <row r="62" spans="2:159">
      <c r="B62" s="10"/>
      <c r="C62" s="4"/>
      <c r="D62" s="4"/>
      <c r="E62" s="4"/>
      <c r="F62" s="4"/>
      <c r="G62" s="4"/>
      <c r="H62" s="4"/>
      <c r="I62" s="4"/>
      <c r="J62" s="4"/>
      <c r="K62" s="42"/>
      <c r="L62" s="60"/>
      <c r="M62" s="60"/>
      <c r="N62" s="21"/>
      <c r="AA62" s="79" t="s">
        <v>175</v>
      </c>
      <c r="AB62" s="80" t="s">
        <v>193</v>
      </c>
      <c r="AC62" s="81">
        <v>0</v>
      </c>
      <c r="AD62" s="81">
        <v>6</v>
      </c>
      <c r="AE62" s="80">
        <v>273</v>
      </c>
      <c r="AF62" s="80">
        <v>6.35</v>
      </c>
      <c r="AG62" s="108" cm="1">
        <f t="array" ref="AG62">_xll.DCEPropSectPipe(AE62, AF62, "Area")/100</f>
        <v>53.19431074856206</v>
      </c>
      <c r="AH62" s="16" cm="1">
        <f t="array" ref="AH62">_xll.DCEPropSectPipe(AE62, AF62, "Ix")/10000</f>
        <v>4730.4733077169503</v>
      </c>
      <c r="AI62" s="16" cm="1">
        <f t="array" ref="AI62">_xll.DCEPropSectPipe(AE62, AF62, "Wx")/1000</f>
        <v>346.55482107816493</v>
      </c>
      <c r="AJ62" s="108">
        <f t="shared" si="1"/>
        <v>9.4301739777164251</v>
      </c>
      <c r="AK62" s="80" t="s">
        <v>206</v>
      </c>
      <c r="AL62" s="82">
        <v>-44.688954095176129</v>
      </c>
      <c r="AM62" s="82">
        <v>4.9407947406453516</v>
      </c>
      <c r="AN62" s="82">
        <v>2.0094448138616241</v>
      </c>
      <c r="AO62" s="82">
        <v>0</v>
      </c>
      <c r="AP62" s="82">
        <v>0</v>
      </c>
      <c r="AQ62" s="82">
        <v>9.2992408772148025E-2</v>
      </c>
      <c r="AR62" s="72">
        <v>1</v>
      </c>
      <c r="AS62" s="116">
        <f t="shared" si="2"/>
        <v>6</v>
      </c>
      <c r="AT62" s="7">
        <v>2</v>
      </c>
      <c r="AU62" s="6">
        <f t="shared" si="3"/>
        <v>12</v>
      </c>
      <c r="AV62" s="111">
        <f t="shared" si="4"/>
        <v>3.6754715196997023E-2</v>
      </c>
      <c r="AW62" s="117">
        <f t="shared" si="5"/>
        <v>105</v>
      </c>
      <c r="AX62" s="111">
        <f t="shared" si="6"/>
        <v>1</v>
      </c>
      <c r="AY62" s="111">
        <f t="shared" si="7"/>
        <v>1</v>
      </c>
      <c r="AZ62" s="111">
        <f t="shared" si="8"/>
        <v>1</v>
      </c>
      <c r="BA62" s="111">
        <f t="shared" si="9"/>
        <v>3.8689173891575813E-2</v>
      </c>
      <c r="BB62" s="111">
        <f t="shared" si="10"/>
        <v>0</v>
      </c>
      <c r="BC62" s="111">
        <f t="shared" si="11"/>
        <v>0</v>
      </c>
      <c r="BD62" s="111">
        <v>0</v>
      </c>
      <c r="BE62" s="111">
        <f t="shared" si="12"/>
        <v>3.8689173891575813E-2</v>
      </c>
      <c r="BF62" s="6" t="str">
        <f t="shared" si="13"/>
        <v>OK</v>
      </c>
      <c r="BG62" s="16">
        <f t="shared" si="14"/>
        <v>63.625549371390676</v>
      </c>
      <c r="BH62" s="118">
        <f t="shared" si="15"/>
        <v>2.1193803644775273</v>
      </c>
      <c r="BI62" s="108">
        <f t="shared" si="16"/>
        <v>0</v>
      </c>
      <c r="BJ62" s="6">
        <f t="shared" si="17"/>
        <v>1.2440309817761237</v>
      </c>
      <c r="BK62" s="108">
        <f t="shared" si="18"/>
        <v>0</v>
      </c>
      <c r="BL62" s="118" cm="1">
        <f t="array" ref="BL62">IF(AO62=0,FactorPhi7121(BH62,"a"),noisuy2chieu(BK62,BH62,Data!$A$63:$M$85))</f>
        <v>0.86214274110469236</v>
      </c>
      <c r="BM62" s="111">
        <v>1.26</v>
      </c>
      <c r="BN62" s="118">
        <f t="shared" si="19"/>
        <v>0.98349061579018449</v>
      </c>
      <c r="BO62" s="108">
        <f t="shared" si="20"/>
        <v>9.1464741925351284E-2</v>
      </c>
      <c r="BP62" s="6" t="str">
        <f t="shared" si="21"/>
        <v>OK</v>
      </c>
      <c r="BQ62" s="16">
        <f t="shared" si="22"/>
        <v>127.25109874278135</v>
      </c>
      <c r="BR62" s="118">
        <f t="shared" si="23"/>
        <v>4.2387607289550546</v>
      </c>
      <c r="BS62" s="108">
        <f t="shared" si="24"/>
        <v>0</v>
      </c>
      <c r="BT62" s="118">
        <f t="shared" si="25"/>
        <v>1.1380619635522473</v>
      </c>
      <c r="BU62" s="108">
        <f t="shared" si="26"/>
        <v>0</v>
      </c>
      <c r="BV62" s="6" cm="1">
        <f t="array" ref="BV62">IF(AP62=0,FactorPhi7121(BR62,"a"),noisuy2chieu(BU62,BR62,Data!$A$63:$M$85))</f>
        <v>0.42299549615688942</v>
      </c>
      <c r="BW62" s="111">
        <v>1.26</v>
      </c>
      <c r="BX62" s="111">
        <f t="shared" si="27"/>
        <v>0.93396246316073817</v>
      </c>
      <c r="BY62" s="113">
        <f t="shared" si="28"/>
        <v>4.4875601274566294E-2</v>
      </c>
      <c r="BZ62" s="6" t="str">
        <f t="shared" si="29"/>
        <v>OK</v>
      </c>
      <c r="CA62" s="114">
        <f t="shared" si="30"/>
        <v>127.25109874278135</v>
      </c>
      <c r="CB62" s="115">
        <f t="shared" si="31"/>
        <v>150</v>
      </c>
      <c r="CC62" s="6" t="str">
        <f t="shared" si="32"/>
        <v>OK</v>
      </c>
      <c r="DG62" s="108"/>
      <c r="DH62" s="108"/>
      <c r="DI62" s="16"/>
      <c r="DJ62" s="108"/>
      <c r="DT62" s="6"/>
      <c r="DU62" s="6"/>
      <c r="DV62" s="111"/>
      <c r="DW62" s="111"/>
      <c r="DX62" s="111"/>
      <c r="DY62" s="111"/>
      <c r="DZ62" s="111"/>
      <c r="EA62" s="111"/>
      <c r="EB62" s="111"/>
      <c r="EC62" s="111"/>
      <c r="ED62" s="111"/>
      <c r="EE62" s="111"/>
      <c r="EF62" s="6"/>
      <c r="EG62" s="6"/>
      <c r="EH62" s="6"/>
      <c r="EI62" s="6"/>
      <c r="EJ62" s="6"/>
      <c r="EK62" s="6"/>
      <c r="EL62" s="112"/>
      <c r="EM62" s="112"/>
      <c r="EN62" s="118"/>
      <c r="EO62" s="118"/>
      <c r="EP62" s="112"/>
      <c r="EQ62" s="112"/>
      <c r="ER62" s="112"/>
      <c r="ES62" s="112"/>
      <c r="ET62" s="112"/>
      <c r="EU62" s="112"/>
      <c r="EV62" s="6"/>
      <c r="EW62" s="6"/>
      <c r="EX62" s="118"/>
      <c r="EY62" s="113"/>
      <c r="EZ62" s="6"/>
      <c r="FA62" s="114"/>
      <c r="FB62" s="115"/>
      <c r="FC62" s="6"/>
    </row>
    <row r="63" spans="2:159">
      <c r="B63" s="34" t="s">
        <v>59</v>
      </c>
      <c r="C63" s="4"/>
      <c r="D63" s="4"/>
      <c r="E63" s="60"/>
      <c r="F63" s="67"/>
      <c r="G63" s="24"/>
      <c r="H63" s="24"/>
      <c r="I63" s="51"/>
      <c r="J63" s="42"/>
      <c r="K63" s="4"/>
      <c r="L63" s="47"/>
      <c r="M63" s="4"/>
      <c r="N63" s="11"/>
      <c r="AA63" s="79" t="s">
        <v>175</v>
      </c>
      <c r="AB63" s="80" t="s">
        <v>193</v>
      </c>
      <c r="AC63" s="81">
        <v>2.74</v>
      </c>
      <c r="AD63" s="81">
        <v>6</v>
      </c>
      <c r="AE63" s="80">
        <v>273</v>
      </c>
      <c r="AF63" s="80">
        <v>6.35</v>
      </c>
      <c r="AG63" s="108" cm="1">
        <f t="array" ref="AG63">_xll.DCEPropSectPipe(AE63, AF63, "Area")/100</f>
        <v>53.19431074856206</v>
      </c>
      <c r="AH63" s="16" cm="1">
        <f t="array" ref="AH63">_xll.DCEPropSectPipe(AE63, AF63, "Ix")/10000</f>
        <v>4730.4733077169503</v>
      </c>
      <c r="AI63" s="16" cm="1">
        <f t="array" ref="AI63">_xll.DCEPropSectPipe(AE63, AF63, "Wx")/1000</f>
        <v>346.55482107816493</v>
      </c>
      <c r="AJ63" s="108">
        <f t="shared" si="1"/>
        <v>9.4301739777164251</v>
      </c>
      <c r="AK63" s="80" t="s">
        <v>206</v>
      </c>
      <c r="AL63" s="82">
        <v>-43.341693746444093</v>
      </c>
      <c r="AM63" s="82">
        <v>4.9407947406453516</v>
      </c>
      <c r="AN63" s="82">
        <v>2.0094448138616241</v>
      </c>
      <c r="AO63" s="82">
        <v>-5.5098976796085726</v>
      </c>
      <c r="AP63" s="82">
        <v>-13.547659178849552</v>
      </c>
      <c r="AQ63" s="82">
        <v>9.2992408772148025E-2</v>
      </c>
      <c r="AR63" s="72">
        <v>1</v>
      </c>
      <c r="AS63" s="116">
        <f t="shared" si="2"/>
        <v>6</v>
      </c>
      <c r="AT63" s="7">
        <v>2</v>
      </c>
      <c r="AU63" s="6">
        <f t="shared" si="3"/>
        <v>12</v>
      </c>
      <c r="AV63" s="111">
        <f t="shared" si="4"/>
        <v>3.5646652334116145E-2</v>
      </c>
      <c r="AW63" s="117">
        <f t="shared" si="5"/>
        <v>105</v>
      </c>
      <c r="AX63" s="111">
        <f t="shared" si="6"/>
        <v>1</v>
      </c>
      <c r="AY63" s="111">
        <f t="shared" si="7"/>
        <v>1</v>
      </c>
      <c r="AZ63" s="111">
        <f t="shared" si="8"/>
        <v>1</v>
      </c>
      <c r="BA63" s="111">
        <f t="shared" si="9"/>
        <v>3.7522791930648579E-2</v>
      </c>
      <c r="BB63" s="111">
        <f t="shared" si="10"/>
        <v>7.3219378996744286E-2</v>
      </c>
      <c r="BC63" s="111">
        <f t="shared" si="11"/>
        <v>0.1800307827141675</v>
      </c>
      <c r="BD63" s="111">
        <v>0</v>
      </c>
      <c r="BE63" s="111">
        <f t="shared" si="12"/>
        <v>0.29077295364156036</v>
      </c>
      <c r="BF63" s="6" t="str">
        <f t="shared" si="13"/>
        <v>OK</v>
      </c>
      <c r="BG63" s="16">
        <f t="shared" si="14"/>
        <v>63.625549371390676</v>
      </c>
      <c r="BH63" s="118">
        <f t="shared" si="15"/>
        <v>2.1193803644775273</v>
      </c>
      <c r="BI63" s="108">
        <f t="shared" si="16"/>
        <v>1.9513307840224645</v>
      </c>
      <c r="BJ63" s="6">
        <f t="shared" si="17"/>
        <v>1.1878205640575779</v>
      </c>
      <c r="BK63" s="108">
        <f t="shared" si="18"/>
        <v>2.3178308325404795</v>
      </c>
      <c r="BL63" s="118" cm="1">
        <f t="array" ref="BL63">IF(AO63=0,FactorPhi7121(BH63,"a"),noisuy2chieu(BK63,BH63,Data!$A$63:$M$85))</f>
        <v>0</v>
      </c>
      <c r="BM63" s="111">
        <v>1.26</v>
      </c>
      <c r="BN63" s="118">
        <f t="shared" si="19"/>
        <v>0.98398833248949458</v>
      </c>
      <c r="BO63" s="108" t="e">
        <f t="shared" si="20"/>
        <v>#DIV/0!</v>
      </c>
      <c r="BP63" s="6" t="e">
        <f t="shared" si="21"/>
        <v>#DIV/0!</v>
      </c>
      <c r="BQ63" s="16">
        <f t="shared" si="22"/>
        <v>127.25109874278135</v>
      </c>
      <c r="BR63" s="118">
        <f t="shared" si="23"/>
        <v>4.2387607289550546</v>
      </c>
      <c r="BS63" s="108">
        <f t="shared" si="24"/>
        <v>4.797904778698479</v>
      </c>
      <c r="BT63" s="118">
        <f t="shared" si="25"/>
        <v>1.1015384281894525</v>
      </c>
      <c r="BU63" s="108">
        <f t="shared" si="26"/>
        <v>5.2850764885301853</v>
      </c>
      <c r="BV63" s="6" cm="1">
        <f t="array" ref="BV63">IF(AP63=0,FactorPhi7121(BR63,"a"),noisuy2chieu(BU63,BR63,Data!$A$63:$M$85))</f>
        <v>0</v>
      </c>
      <c r="BW63" s="111">
        <v>1.26</v>
      </c>
      <c r="BX63" s="111">
        <f t="shared" si="27"/>
        <v>0.93595332995797809</v>
      </c>
      <c r="BY63" s="113" t="e">
        <f t="shared" si="28"/>
        <v>#DIV/0!</v>
      </c>
      <c r="BZ63" s="6" t="e">
        <f t="shared" si="29"/>
        <v>#DIV/0!</v>
      </c>
      <c r="CA63" s="114">
        <f t="shared" si="30"/>
        <v>127.25109874278135</v>
      </c>
      <c r="CB63" s="115" t="e">
        <f t="shared" si="31"/>
        <v>#DIV/0!</v>
      </c>
      <c r="CC63" s="6" t="e">
        <f t="shared" si="32"/>
        <v>#DIV/0!</v>
      </c>
      <c r="DG63" s="108"/>
      <c r="DH63" s="108"/>
      <c r="DI63" s="16"/>
      <c r="DJ63" s="108"/>
      <c r="DT63" s="6"/>
      <c r="DU63" s="6"/>
      <c r="DV63" s="111"/>
      <c r="DW63" s="111"/>
      <c r="DX63" s="111"/>
      <c r="DY63" s="111"/>
      <c r="DZ63" s="111"/>
      <c r="EA63" s="111"/>
      <c r="EB63" s="111"/>
      <c r="EC63" s="111"/>
      <c r="ED63" s="111"/>
      <c r="EE63" s="111"/>
      <c r="EF63" s="6"/>
      <c r="EG63" s="6"/>
      <c r="EH63" s="6"/>
      <c r="EI63" s="6"/>
      <c r="EJ63" s="6"/>
      <c r="EK63" s="6"/>
      <c r="EL63" s="112"/>
      <c r="EM63" s="112"/>
      <c r="EN63" s="118"/>
      <c r="EO63" s="118"/>
      <c r="EP63" s="112"/>
      <c r="EQ63" s="112"/>
      <c r="ER63" s="112"/>
      <c r="ES63" s="112"/>
      <c r="ET63" s="112"/>
      <c r="EU63" s="112"/>
      <c r="EV63" s="6"/>
      <c r="EW63" s="6"/>
      <c r="EX63" s="118"/>
      <c r="EY63" s="113"/>
      <c r="EZ63" s="6"/>
      <c r="FA63" s="114"/>
      <c r="FB63" s="115"/>
      <c r="FC63" s="6"/>
    </row>
    <row r="64" spans="2:159">
      <c r="B64" s="68"/>
      <c r="C64" s="13"/>
      <c r="D64" s="13"/>
      <c r="E64" s="69"/>
      <c r="F64" s="70"/>
      <c r="G64" s="25"/>
      <c r="H64" s="25"/>
      <c r="I64" s="71"/>
      <c r="J64" s="35"/>
      <c r="K64" s="13"/>
      <c r="L64" s="36"/>
      <c r="M64" s="13"/>
      <c r="N64" s="28"/>
      <c r="AA64" s="79" t="s">
        <v>175</v>
      </c>
      <c r="AB64" s="80" t="s">
        <v>193</v>
      </c>
      <c r="AC64" s="81">
        <v>5.48</v>
      </c>
      <c r="AD64" s="81">
        <v>6</v>
      </c>
      <c r="AE64" s="80">
        <v>273</v>
      </c>
      <c r="AF64" s="80">
        <v>6.35</v>
      </c>
      <c r="AG64" s="108" cm="1">
        <f t="array" ref="AG64">_xll.DCEPropSectPipe(AE64, AF64, "Area")/100</f>
        <v>53.19431074856206</v>
      </c>
      <c r="AH64" s="16" cm="1">
        <f t="array" ref="AH64">_xll.DCEPropSectPipe(AE64, AF64, "Ix")/10000</f>
        <v>4730.4733077169503</v>
      </c>
      <c r="AI64" s="16" cm="1">
        <f t="array" ref="AI64">_xll.DCEPropSectPipe(AE64, AF64, "Wx")/1000</f>
        <v>346.55482107816493</v>
      </c>
      <c r="AJ64" s="108">
        <f t="shared" si="1"/>
        <v>9.4301739777164251</v>
      </c>
      <c r="AK64" s="80" t="s">
        <v>206</v>
      </c>
      <c r="AL64" s="82">
        <v>-41.994433397712058</v>
      </c>
      <c r="AM64" s="82">
        <v>4.9407947406453516</v>
      </c>
      <c r="AN64" s="82">
        <v>2.0094448138616241</v>
      </c>
      <c r="AO64" s="82">
        <v>-11.019795359217145</v>
      </c>
      <c r="AP64" s="82">
        <v>-27.095318357699103</v>
      </c>
      <c r="AQ64" s="82">
        <v>9.2992408772148025E-2</v>
      </c>
      <c r="AR64" s="72">
        <v>1</v>
      </c>
      <c r="AS64" s="116">
        <f t="shared" si="2"/>
        <v>6</v>
      </c>
      <c r="AT64" s="7">
        <v>2</v>
      </c>
      <c r="AU64" s="6">
        <f t="shared" si="3"/>
        <v>12</v>
      </c>
      <c r="AV64" s="111">
        <f t="shared" si="4"/>
        <v>3.4538589471235268E-2</v>
      </c>
      <c r="AW64" s="117">
        <f t="shared" si="5"/>
        <v>105</v>
      </c>
      <c r="AX64" s="111">
        <f t="shared" si="6"/>
        <v>1</v>
      </c>
      <c r="AY64" s="111">
        <f t="shared" si="7"/>
        <v>1</v>
      </c>
      <c r="AZ64" s="111">
        <f t="shared" si="8"/>
        <v>1</v>
      </c>
      <c r="BA64" s="111">
        <f t="shared" si="9"/>
        <v>3.6356409969721337E-2</v>
      </c>
      <c r="BB64" s="111">
        <f t="shared" si="10"/>
        <v>0.14643875799348857</v>
      </c>
      <c r="BC64" s="111">
        <f t="shared" si="11"/>
        <v>0.36006156542833501</v>
      </c>
      <c r="BD64" s="111">
        <v>0</v>
      </c>
      <c r="BE64" s="111">
        <f t="shared" si="12"/>
        <v>0.54285673339154494</v>
      </c>
      <c r="BF64" s="6" t="str">
        <f t="shared" si="13"/>
        <v>OK</v>
      </c>
      <c r="BG64" s="16">
        <f t="shared" si="14"/>
        <v>63.625549371390676</v>
      </c>
      <c r="BH64" s="118">
        <f t="shared" si="15"/>
        <v>2.1193803644775273</v>
      </c>
      <c r="BI64" s="108">
        <f t="shared" si="16"/>
        <v>4.0278662859024577</v>
      </c>
      <c r="BJ64" s="6">
        <f t="shared" si="17"/>
        <v>1.1280034746518277</v>
      </c>
      <c r="BK64" s="108">
        <f t="shared" si="18"/>
        <v>4.5434471659309246</v>
      </c>
      <c r="BL64" s="118" cm="1">
        <f t="array" ref="BL64">IF(AO64=0,FactorPhi7121(BH64,"a"),noisuy2chieu(BK64,BH64,Data!$A$63:$M$85))</f>
        <v>0</v>
      </c>
      <c r="BM64" s="111">
        <v>1.26</v>
      </c>
      <c r="BN64" s="118">
        <f t="shared" si="19"/>
        <v>0.98448604918880456</v>
      </c>
      <c r="BO64" s="108" t="e">
        <f t="shared" si="20"/>
        <v>#DIV/0!</v>
      </c>
      <c r="BP64" s="6" t="e">
        <f t="shared" si="21"/>
        <v>#DIV/0!</v>
      </c>
      <c r="BQ64" s="16">
        <f t="shared" si="22"/>
        <v>127.25109874278135</v>
      </c>
      <c r="BR64" s="118">
        <f t="shared" si="23"/>
        <v>4.2387607289550546</v>
      </c>
      <c r="BS64" s="108">
        <f t="shared" si="24"/>
        <v>9.9036611625901632</v>
      </c>
      <c r="BT64" s="118">
        <f t="shared" si="25"/>
        <v>1.1000000000000001</v>
      </c>
      <c r="BU64" s="108">
        <f t="shared" si="26"/>
        <v>10.89402727884918</v>
      </c>
      <c r="BV64" s="6" cm="1">
        <f t="array" ref="BV64">IF(AP64=0,FactorPhi7121(BR64,"a"),noisuy2chieu(BU64,BR64,Data!$A$63:$M$85))</f>
        <v>0</v>
      </c>
      <c r="BW64" s="111">
        <v>1.26</v>
      </c>
      <c r="BX64" s="111">
        <f t="shared" si="27"/>
        <v>0.93794419675521812</v>
      </c>
      <c r="BY64" s="113" t="e">
        <f t="shared" si="28"/>
        <v>#DIV/0!</v>
      </c>
      <c r="BZ64" s="6" t="e">
        <f t="shared" si="29"/>
        <v>#DIV/0!</v>
      </c>
      <c r="CA64" s="114">
        <f t="shared" si="30"/>
        <v>127.25109874278135</v>
      </c>
      <c r="CB64" s="115" t="e">
        <f t="shared" si="31"/>
        <v>#DIV/0!</v>
      </c>
      <c r="CC64" s="6" t="e">
        <f t="shared" si="32"/>
        <v>#DIV/0!</v>
      </c>
      <c r="DG64" s="108"/>
      <c r="DH64" s="108"/>
      <c r="DI64" s="16"/>
      <c r="DJ64" s="108"/>
      <c r="DT64" s="6"/>
      <c r="DU64" s="6"/>
      <c r="DV64" s="111"/>
      <c r="DW64" s="111"/>
      <c r="DX64" s="111"/>
      <c r="DY64" s="111"/>
      <c r="DZ64" s="111"/>
      <c r="EA64" s="111"/>
      <c r="EB64" s="111"/>
      <c r="EC64" s="111"/>
      <c r="ED64" s="111"/>
      <c r="EE64" s="111"/>
      <c r="EF64" s="6"/>
      <c r="EG64" s="6"/>
      <c r="EH64" s="6"/>
      <c r="EI64" s="6"/>
      <c r="EJ64" s="6"/>
      <c r="EK64" s="6"/>
      <c r="EL64" s="112"/>
      <c r="EM64" s="112"/>
      <c r="EN64" s="118"/>
      <c r="EO64" s="118"/>
      <c r="EP64" s="112"/>
      <c r="EQ64" s="112"/>
      <c r="ER64" s="112"/>
      <c r="ES64" s="112"/>
      <c r="ET64" s="112"/>
      <c r="EU64" s="112"/>
      <c r="EV64" s="6"/>
      <c r="EW64" s="6"/>
      <c r="EX64" s="118"/>
      <c r="EY64" s="113"/>
      <c r="EZ64" s="6"/>
      <c r="FA64" s="114"/>
      <c r="FB64" s="115"/>
      <c r="FC64" s="6"/>
    </row>
    <row r="65" spans="27:159">
      <c r="AA65" s="79" t="s">
        <v>175</v>
      </c>
      <c r="AB65" s="80" t="s">
        <v>193</v>
      </c>
      <c r="AC65" s="81">
        <v>0</v>
      </c>
      <c r="AD65" s="81">
        <v>6</v>
      </c>
      <c r="AE65" s="80">
        <v>273</v>
      </c>
      <c r="AF65" s="80">
        <v>6.35</v>
      </c>
      <c r="AG65" s="108" cm="1">
        <f t="array" ref="AG65">_xll.DCEPropSectPipe(AE65, AF65, "Area")/100</f>
        <v>53.19431074856206</v>
      </c>
      <c r="AH65" s="16" cm="1">
        <f t="array" ref="AH65">_xll.DCEPropSectPipe(AE65, AF65, "Ix")/10000</f>
        <v>4730.4733077169503</v>
      </c>
      <c r="AI65" s="16" cm="1">
        <f t="array" ref="AI65">_xll.DCEPropSectPipe(AE65, AF65, "Wx")/1000</f>
        <v>346.55482107816493</v>
      </c>
      <c r="AJ65" s="108">
        <f t="shared" si="1"/>
        <v>9.4301739777164251</v>
      </c>
      <c r="AK65" s="80" t="s">
        <v>207</v>
      </c>
      <c r="AL65" s="82">
        <v>-58.298604652539161</v>
      </c>
      <c r="AM65" s="82">
        <v>7.6995063132506045</v>
      </c>
      <c r="AN65" s="82">
        <v>2.9752686101511538</v>
      </c>
      <c r="AO65" s="82">
        <v>0</v>
      </c>
      <c r="AP65" s="82">
        <v>0</v>
      </c>
      <c r="AQ65" s="82">
        <v>0.13558574187422093</v>
      </c>
      <c r="AR65" s="72">
        <v>1</v>
      </c>
      <c r="AS65" s="116">
        <f t="shared" si="2"/>
        <v>6</v>
      </c>
      <c r="AT65" s="7">
        <v>2</v>
      </c>
      <c r="AU65" s="6">
        <f t="shared" si="3"/>
        <v>12</v>
      </c>
      <c r="AV65" s="111">
        <f t="shared" si="4"/>
        <v>4.7948059062266069E-2</v>
      </c>
      <c r="AW65" s="117">
        <f t="shared" si="5"/>
        <v>105</v>
      </c>
      <c r="AX65" s="111">
        <f t="shared" si="6"/>
        <v>1</v>
      </c>
      <c r="AY65" s="111">
        <f t="shared" si="7"/>
        <v>1</v>
      </c>
      <c r="AZ65" s="111">
        <f t="shared" si="8"/>
        <v>1</v>
      </c>
      <c r="BA65" s="111">
        <f t="shared" si="9"/>
        <v>5.0471641118174815E-2</v>
      </c>
      <c r="BB65" s="111">
        <f t="shared" si="10"/>
        <v>0</v>
      </c>
      <c r="BC65" s="111">
        <f t="shared" si="11"/>
        <v>0</v>
      </c>
      <c r="BD65" s="111">
        <v>0</v>
      </c>
      <c r="BE65" s="111">
        <f t="shared" si="12"/>
        <v>5.0471641118174815E-2</v>
      </c>
      <c r="BF65" s="6" t="str">
        <f t="shared" si="13"/>
        <v>OK</v>
      </c>
      <c r="BG65" s="16">
        <f t="shared" si="14"/>
        <v>63.625549371390676</v>
      </c>
      <c r="BH65" s="118">
        <f t="shared" si="15"/>
        <v>2.1193803644775273</v>
      </c>
      <c r="BI65" s="108">
        <f t="shared" si="16"/>
        <v>0</v>
      </c>
      <c r="BJ65" s="6">
        <f t="shared" si="17"/>
        <v>1.2440309817761237</v>
      </c>
      <c r="BK65" s="108">
        <f t="shared" si="18"/>
        <v>0</v>
      </c>
      <c r="BL65" s="118" cm="1">
        <f t="array" ref="BL65">IF(AO65=0,FactorPhi7121(BH65,"a"),noisuy2chieu(BK65,BH65,Data!$A$63:$M$85))</f>
        <v>0.86214274110469236</v>
      </c>
      <c r="BM65" s="111">
        <v>1.26</v>
      </c>
      <c r="BN65" s="118">
        <f t="shared" si="19"/>
        <v>0.97846281967004467</v>
      </c>
      <c r="BO65" s="108">
        <f t="shared" si="20"/>
        <v>0.11931957095697973</v>
      </c>
      <c r="BP65" s="6" t="str">
        <f t="shared" si="21"/>
        <v>OK</v>
      </c>
      <c r="BQ65" s="16">
        <f t="shared" si="22"/>
        <v>127.25109874278135</v>
      </c>
      <c r="BR65" s="118">
        <f t="shared" si="23"/>
        <v>4.2387607289550546</v>
      </c>
      <c r="BS65" s="108">
        <f t="shared" si="24"/>
        <v>0</v>
      </c>
      <c r="BT65" s="118">
        <f t="shared" si="25"/>
        <v>1.1380619635522473</v>
      </c>
      <c r="BU65" s="108">
        <f t="shared" si="26"/>
        <v>0</v>
      </c>
      <c r="BV65" s="6" cm="1">
        <f t="array" ref="BV65">IF(AP65=0,FactorPhi7121(BR65,"a"),noisuy2chieu(BU65,BR65,Data!$A$63:$M$85))</f>
        <v>0.42299549615688942</v>
      </c>
      <c r="BW65" s="111">
        <v>1.26</v>
      </c>
      <c r="BX65" s="111">
        <f t="shared" si="27"/>
        <v>0.91385127868017868</v>
      </c>
      <c r="BY65" s="113">
        <f t="shared" si="28"/>
        <v>5.8542093683354349E-2</v>
      </c>
      <c r="BZ65" s="6" t="str">
        <f t="shared" si="29"/>
        <v>OK</v>
      </c>
      <c r="CA65" s="114">
        <f t="shared" si="30"/>
        <v>127.25109874278135</v>
      </c>
      <c r="CB65" s="115">
        <f t="shared" si="31"/>
        <v>150</v>
      </c>
      <c r="CC65" s="6" t="str">
        <f t="shared" si="32"/>
        <v>OK</v>
      </c>
      <c r="DG65" s="108"/>
      <c r="DH65" s="108"/>
      <c r="DI65" s="16"/>
      <c r="DJ65" s="108"/>
      <c r="DT65" s="6"/>
      <c r="DU65" s="6"/>
      <c r="DV65" s="111"/>
      <c r="DW65" s="111"/>
      <c r="DX65" s="111"/>
      <c r="DY65" s="111"/>
      <c r="DZ65" s="111"/>
      <c r="EA65" s="111"/>
      <c r="EB65" s="111"/>
      <c r="EC65" s="111"/>
      <c r="ED65" s="111"/>
      <c r="EE65" s="111"/>
      <c r="EF65" s="6"/>
      <c r="EG65" s="6"/>
      <c r="EH65" s="6"/>
      <c r="EI65" s="6"/>
      <c r="EJ65" s="6"/>
      <c r="EK65" s="6"/>
      <c r="EL65" s="112"/>
      <c r="EM65" s="112"/>
      <c r="EN65" s="118"/>
      <c r="EO65" s="118"/>
      <c r="EP65" s="112"/>
      <c r="EQ65" s="112"/>
      <c r="ER65" s="112"/>
      <c r="ES65" s="112"/>
      <c r="ET65" s="112"/>
      <c r="EU65" s="112"/>
      <c r="EV65" s="6"/>
      <c r="EW65" s="6"/>
      <c r="EX65" s="118"/>
      <c r="EY65" s="113"/>
      <c r="EZ65" s="6"/>
      <c r="FA65" s="114"/>
      <c r="FB65" s="115"/>
      <c r="FC65" s="6"/>
    </row>
    <row r="66" spans="27:159">
      <c r="AA66" s="79" t="s">
        <v>175</v>
      </c>
      <c r="AB66" s="80" t="s">
        <v>193</v>
      </c>
      <c r="AC66" s="81">
        <v>2.74</v>
      </c>
      <c r="AD66" s="81">
        <v>6</v>
      </c>
      <c r="AE66" s="80">
        <v>273</v>
      </c>
      <c r="AF66" s="80">
        <v>6.35</v>
      </c>
      <c r="AG66" s="108" cm="1">
        <f t="array" ref="AG66">_xll.DCEPropSectPipe(AE66, AF66, "Area")/100</f>
        <v>53.19431074856206</v>
      </c>
      <c r="AH66" s="16" cm="1">
        <f t="array" ref="AH66">_xll.DCEPropSectPipe(AE66, AF66, "Ix")/10000</f>
        <v>4730.4733077169503</v>
      </c>
      <c r="AI66" s="16" cm="1">
        <f t="array" ref="AI66">_xll.DCEPropSectPipe(AE66, AF66, "Wx")/1000</f>
        <v>346.55482107816493</v>
      </c>
      <c r="AJ66" s="108">
        <f t="shared" si="1"/>
        <v>9.4301739777164251</v>
      </c>
      <c r="AK66" s="80" t="s">
        <v>207</v>
      </c>
      <c r="AL66" s="82">
        <v>-56.951344303807133</v>
      </c>
      <c r="AM66" s="82">
        <v>7.6995063132506045</v>
      </c>
      <c r="AN66" s="82">
        <v>2.9752686101511538</v>
      </c>
      <c r="AO66" s="82">
        <v>-8.1581865290344631</v>
      </c>
      <c r="AP66" s="82">
        <v>-21.112046310933156</v>
      </c>
      <c r="AQ66" s="82">
        <v>0.13558574187422093</v>
      </c>
      <c r="AR66" s="72">
        <v>1</v>
      </c>
      <c r="AS66" s="116">
        <f t="shared" si="2"/>
        <v>6</v>
      </c>
      <c r="AT66" s="7">
        <v>2</v>
      </c>
      <c r="AU66" s="6">
        <f t="shared" si="3"/>
        <v>12</v>
      </c>
      <c r="AV66" s="111">
        <f t="shared" si="4"/>
        <v>4.6839996199385198E-2</v>
      </c>
      <c r="AW66" s="117">
        <f t="shared" si="5"/>
        <v>105</v>
      </c>
      <c r="AX66" s="111">
        <f t="shared" si="6"/>
        <v>1</v>
      </c>
      <c r="AY66" s="111">
        <f t="shared" si="7"/>
        <v>1</v>
      </c>
      <c r="AZ66" s="111">
        <f t="shared" si="8"/>
        <v>1</v>
      </c>
      <c r="BA66" s="111">
        <f t="shared" si="9"/>
        <v>4.9305259157247587E-2</v>
      </c>
      <c r="BB66" s="111">
        <f t="shared" si="10"/>
        <v>0.10841169584803313</v>
      </c>
      <c r="BC66" s="111">
        <f t="shared" si="11"/>
        <v>0.28055165633254503</v>
      </c>
      <c r="BD66" s="111">
        <v>0</v>
      </c>
      <c r="BE66" s="111">
        <f t="shared" si="12"/>
        <v>0.43826861133782574</v>
      </c>
      <c r="BF66" s="6" t="str">
        <f t="shared" si="13"/>
        <v>OK</v>
      </c>
      <c r="BG66" s="16">
        <f t="shared" si="14"/>
        <v>63.625549371390676</v>
      </c>
      <c r="BH66" s="118">
        <f t="shared" si="15"/>
        <v>2.1193803644775273</v>
      </c>
      <c r="BI66" s="108">
        <f t="shared" si="16"/>
        <v>2.1987856407422868</v>
      </c>
      <c r="BJ66" s="6">
        <f t="shared" si="17"/>
        <v>1.1806923308658528</v>
      </c>
      <c r="BK66" s="108">
        <f t="shared" si="18"/>
        <v>2.5960893432423782</v>
      </c>
      <c r="BL66" s="118" cm="1">
        <f t="array" ref="BL66">IF(AO66=0,FactorPhi7121(BH66,"a"),noisuy2chieu(BK66,BH66,Data!$A$63:$M$85))</f>
        <v>0</v>
      </c>
      <c r="BM66" s="111">
        <v>1.26</v>
      </c>
      <c r="BN66" s="118">
        <f t="shared" si="19"/>
        <v>0.97896053636935465</v>
      </c>
      <c r="BO66" s="108" t="e">
        <f t="shared" si="20"/>
        <v>#DIV/0!</v>
      </c>
      <c r="BP66" s="6" t="e">
        <f t="shared" si="21"/>
        <v>#DIV/0!</v>
      </c>
      <c r="BQ66" s="16">
        <f t="shared" si="22"/>
        <v>127.25109874278135</v>
      </c>
      <c r="BR66" s="118">
        <f t="shared" si="23"/>
        <v>4.2387607289550546</v>
      </c>
      <c r="BS66" s="108">
        <f t="shared" si="24"/>
        <v>5.6900959680141057</v>
      </c>
      <c r="BT66" s="118">
        <f t="shared" si="25"/>
        <v>1.1000000000000001</v>
      </c>
      <c r="BU66" s="108">
        <f t="shared" si="26"/>
        <v>6.2591055648155169</v>
      </c>
      <c r="BV66" s="6" cm="1">
        <f t="array" ref="BV66">IF(AP66=0,FactorPhi7121(BR66,"a"),noisuy2chieu(BU66,BR66,Data!$A$63:$M$85))</f>
        <v>0</v>
      </c>
      <c r="BW66" s="111">
        <v>1.26</v>
      </c>
      <c r="BX66" s="111">
        <f t="shared" si="27"/>
        <v>0.9158421454774186</v>
      </c>
      <c r="BY66" s="113" t="e">
        <f t="shared" si="28"/>
        <v>#DIV/0!</v>
      </c>
      <c r="BZ66" s="6" t="e">
        <f t="shared" si="29"/>
        <v>#DIV/0!</v>
      </c>
      <c r="CA66" s="114">
        <f t="shared" si="30"/>
        <v>127.25109874278135</v>
      </c>
      <c r="CB66" s="115" t="e">
        <f t="shared" si="31"/>
        <v>#DIV/0!</v>
      </c>
      <c r="CC66" s="6" t="e">
        <f t="shared" si="32"/>
        <v>#DIV/0!</v>
      </c>
      <c r="DG66" s="108"/>
      <c r="DH66" s="108"/>
      <c r="DI66" s="16"/>
      <c r="DJ66" s="108"/>
      <c r="DT66" s="6"/>
      <c r="DU66" s="6"/>
      <c r="DV66" s="111"/>
      <c r="DW66" s="111"/>
      <c r="DX66" s="111"/>
      <c r="DY66" s="111"/>
      <c r="DZ66" s="111"/>
      <c r="EA66" s="111"/>
      <c r="EB66" s="111"/>
      <c r="EC66" s="111"/>
      <c r="ED66" s="111"/>
      <c r="EE66" s="111"/>
      <c r="EF66" s="6"/>
      <c r="EG66" s="6"/>
      <c r="EH66" s="6"/>
      <c r="EI66" s="6"/>
      <c r="EJ66" s="6"/>
      <c r="EK66" s="6"/>
      <c r="EL66" s="112"/>
      <c r="EM66" s="112"/>
      <c r="EN66" s="118"/>
      <c r="EO66" s="118"/>
      <c r="EP66" s="112"/>
      <c r="EQ66" s="112"/>
      <c r="ER66" s="112"/>
      <c r="ES66" s="112"/>
      <c r="ET66" s="112"/>
      <c r="EU66" s="112"/>
      <c r="EV66" s="6"/>
      <c r="EW66" s="6"/>
      <c r="EX66" s="118"/>
      <c r="EY66" s="113"/>
      <c r="EZ66" s="6"/>
      <c r="FA66" s="114"/>
      <c r="FB66" s="115"/>
      <c r="FC66" s="6"/>
    </row>
    <row r="67" spans="27:159">
      <c r="AA67" s="79" t="s">
        <v>175</v>
      </c>
      <c r="AB67" s="80" t="s">
        <v>193</v>
      </c>
      <c r="AC67" s="81">
        <v>5.48</v>
      </c>
      <c r="AD67" s="81">
        <v>6</v>
      </c>
      <c r="AE67" s="80">
        <v>273</v>
      </c>
      <c r="AF67" s="80">
        <v>6.35</v>
      </c>
      <c r="AG67" s="108" cm="1">
        <f t="array" ref="AG67">_xll.DCEPropSectPipe(AE67, AF67, "Area")/100</f>
        <v>53.19431074856206</v>
      </c>
      <c r="AH67" s="16" cm="1">
        <f t="array" ref="AH67">_xll.DCEPropSectPipe(AE67, AF67, "Ix")/10000</f>
        <v>4730.4733077169503</v>
      </c>
      <c r="AI67" s="16" cm="1">
        <f t="array" ref="AI67">_xll.DCEPropSectPipe(AE67, AF67, "Wx")/1000</f>
        <v>346.55482107816493</v>
      </c>
      <c r="AJ67" s="108">
        <f t="shared" si="1"/>
        <v>9.4301739777164251</v>
      </c>
      <c r="AK67" s="80" t="s">
        <v>207</v>
      </c>
      <c r="AL67" s="82">
        <v>-55.60408395507509</v>
      </c>
      <c r="AM67" s="82">
        <v>7.6995063132506045</v>
      </c>
      <c r="AN67" s="82">
        <v>2.9752686101511538</v>
      </c>
      <c r="AO67" s="82">
        <v>-16.316373058068926</v>
      </c>
      <c r="AP67" s="82">
        <v>-42.224092621866312</v>
      </c>
      <c r="AQ67" s="82">
        <v>0.13558574187422093</v>
      </c>
      <c r="AR67" s="72">
        <v>1</v>
      </c>
      <c r="AS67" s="116">
        <f t="shared" si="2"/>
        <v>6</v>
      </c>
      <c r="AT67" s="7">
        <v>2</v>
      </c>
      <c r="AU67" s="6">
        <f t="shared" si="3"/>
        <v>12</v>
      </c>
      <c r="AV67" s="111">
        <f t="shared" si="4"/>
        <v>4.5731933336504327E-2</v>
      </c>
      <c r="AW67" s="117">
        <f t="shared" si="5"/>
        <v>105</v>
      </c>
      <c r="AX67" s="111">
        <f t="shared" si="6"/>
        <v>1</v>
      </c>
      <c r="AY67" s="111">
        <f t="shared" si="7"/>
        <v>1</v>
      </c>
      <c r="AZ67" s="111">
        <f t="shared" si="8"/>
        <v>1</v>
      </c>
      <c r="BA67" s="111">
        <f t="shared" si="9"/>
        <v>4.8138877196320345E-2</v>
      </c>
      <c r="BB67" s="111">
        <f t="shared" si="10"/>
        <v>0.21682339169606626</v>
      </c>
      <c r="BC67" s="111">
        <f t="shared" si="11"/>
        <v>0.56110331266509006</v>
      </c>
      <c r="BD67" s="111">
        <v>0</v>
      </c>
      <c r="BE67" s="111">
        <f t="shared" si="12"/>
        <v>0.82606558155747667</v>
      </c>
      <c r="BF67" s="6" t="str">
        <f t="shared" si="13"/>
        <v>OK</v>
      </c>
      <c r="BG67" s="16">
        <f t="shared" si="14"/>
        <v>63.625549371390676</v>
      </c>
      <c r="BH67" s="118">
        <f t="shared" si="15"/>
        <v>2.1193803644775273</v>
      </c>
      <c r="BI67" s="108">
        <f t="shared" si="16"/>
        <v>4.5041223294805031</v>
      </c>
      <c r="BJ67" s="6">
        <f t="shared" si="17"/>
        <v>1.1142843495451562</v>
      </c>
      <c r="BK67" s="108">
        <f t="shared" si="18"/>
        <v>5.0188730201769962</v>
      </c>
      <c r="BL67" s="118" cm="1">
        <f t="array" ref="BL67">IF(AO67=0,FactorPhi7121(BH67,"a"),noisuy2chieu(BK67,BH67,Data!$A$63:$M$85))</f>
        <v>0</v>
      </c>
      <c r="BM67" s="111">
        <v>1.26</v>
      </c>
      <c r="BN67" s="118">
        <f t="shared" si="19"/>
        <v>0.97945825306866463</v>
      </c>
      <c r="BO67" s="108" t="e">
        <f t="shared" si="20"/>
        <v>#DIV/0!</v>
      </c>
      <c r="BP67" s="6" t="e">
        <f t="shared" si="21"/>
        <v>#DIV/0!</v>
      </c>
      <c r="BQ67" s="16">
        <f t="shared" si="22"/>
        <v>127.25109874278135</v>
      </c>
      <c r="BR67" s="118">
        <f t="shared" si="23"/>
        <v>4.2387607289550546</v>
      </c>
      <c r="BS67" s="108">
        <f t="shared" si="24"/>
        <v>11.655928541432202</v>
      </c>
      <c r="BT67" s="118">
        <f t="shared" si="25"/>
        <v>1.1000000000000001</v>
      </c>
      <c r="BU67" s="108">
        <f t="shared" si="26"/>
        <v>12.821521395575422</v>
      </c>
      <c r="BV67" s="6" cm="1">
        <f t="array" ref="BV67">IF(AP67=0,FactorPhi7121(BR67,"a"),noisuy2chieu(BU67,BR67,Data!$A$63:$M$85))</f>
        <v>0</v>
      </c>
      <c r="BW67" s="111">
        <v>1.26</v>
      </c>
      <c r="BX67" s="111">
        <f t="shared" si="27"/>
        <v>0.91783301227465863</v>
      </c>
      <c r="BY67" s="113" t="e">
        <f t="shared" si="28"/>
        <v>#DIV/0!</v>
      </c>
      <c r="BZ67" s="6" t="e">
        <f t="shared" si="29"/>
        <v>#DIV/0!</v>
      </c>
      <c r="CA67" s="114">
        <f t="shared" si="30"/>
        <v>127.25109874278135</v>
      </c>
      <c r="CB67" s="115" t="e">
        <f t="shared" si="31"/>
        <v>#DIV/0!</v>
      </c>
      <c r="CC67" s="6" t="e">
        <f t="shared" si="32"/>
        <v>#DIV/0!</v>
      </c>
      <c r="DG67" s="108"/>
      <c r="DH67" s="108"/>
      <c r="DI67" s="16"/>
      <c r="DJ67" s="108"/>
      <c r="DT67" s="6"/>
      <c r="DU67" s="6"/>
      <c r="DV67" s="111"/>
      <c r="DW67" s="111"/>
      <c r="DX67" s="111"/>
      <c r="DY67" s="111"/>
      <c r="DZ67" s="111"/>
      <c r="EA67" s="111"/>
      <c r="EB67" s="111"/>
      <c r="EC67" s="111"/>
      <c r="ED67" s="111"/>
      <c r="EE67" s="111"/>
      <c r="EF67" s="6"/>
      <c r="EG67" s="6"/>
      <c r="EH67" s="6"/>
      <c r="EI67" s="6"/>
      <c r="EJ67" s="6"/>
      <c r="EK67" s="6"/>
      <c r="EL67" s="112"/>
      <c r="EM67" s="112"/>
      <c r="EN67" s="118"/>
      <c r="EO67" s="118"/>
      <c r="EP67" s="112"/>
      <c r="EQ67" s="112"/>
      <c r="ER67" s="112"/>
      <c r="ES67" s="112"/>
      <c r="ET67" s="112"/>
      <c r="EU67" s="112"/>
      <c r="EV67" s="6"/>
      <c r="EW67" s="6"/>
      <c r="EX67" s="118"/>
      <c r="EY67" s="113"/>
      <c r="EZ67" s="6"/>
      <c r="FA67" s="114"/>
      <c r="FB67" s="115"/>
      <c r="FC67" s="6"/>
    </row>
    <row r="68" spans="27:159">
      <c r="AA68" s="79" t="s">
        <v>175</v>
      </c>
      <c r="AB68" s="80" t="s">
        <v>193</v>
      </c>
      <c r="AC68" s="81">
        <v>0</v>
      </c>
      <c r="AD68" s="81">
        <v>6</v>
      </c>
      <c r="AE68" s="80">
        <v>273</v>
      </c>
      <c r="AF68" s="80">
        <v>6.35</v>
      </c>
      <c r="AG68" s="108" cm="1">
        <f t="array" ref="AG68">_xll.DCEPropSectPipe(AE68, AF68, "Area")/100</f>
        <v>53.19431074856206</v>
      </c>
      <c r="AH68" s="16" cm="1">
        <f t="array" ref="AH68">_xll.DCEPropSectPipe(AE68, AF68, "Ix")/10000</f>
        <v>4730.4733077169503</v>
      </c>
      <c r="AI68" s="16" cm="1">
        <f t="array" ref="AI68">_xll.DCEPropSectPipe(AE68, AF68, "Wx")/1000</f>
        <v>346.55482107816493</v>
      </c>
      <c r="AJ68" s="108">
        <f t="shared" si="1"/>
        <v>9.4301739777164251</v>
      </c>
      <c r="AK68" s="80" t="s">
        <v>208</v>
      </c>
      <c r="AL68" s="82">
        <v>-73.488197718828317</v>
      </c>
      <c r="AM68" s="82">
        <v>7.6732396872002564</v>
      </c>
      <c r="AN68" s="82">
        <v>3.1888155046499413</v>
      </c>
      <c r="AO68" s="82">
        <v>0</v>
      </c>
      <c r="AP68" s="82">
        <v>0</v>
      </c>
      <c r="AQ68" s="82">
        <v>0.17774966998675118</v>
      </c>
      <c r="AR68" s="72">
        <v>1</v>
      </c>
      <c r="AS68" s="116">
        <f t="shared" si="2"/>
        <v>6</v>
      </c>
      <c r="AT68" s="7">
        <v>2</v>
      </c>
      <c r="AU68" s="6">
        <f t="shared" si="3"/>
        <v>12</v>
      </c>
      <c r="AV68" s="111">
        <f t="shared" si="4"/>
        <v>6.044083671646501E-2</v>
      </c>
      <c r="AW68" s="117">
        <f t="shared" si="5"/>
        <v>105</v>
      </c>
      <c r="AX68" s="111">
        <f t="shared" si="6"/>
        <v>1</v>
      </c>
      <c r="AY68" s="111">
        <f t="shared" si="7"/>
        <v>1</v>
      </c>
      <c r="AZ68" s="111">
        <f t="shared" si="8"/>
        <v>1</v>
      </c>
      <c r="BA68" s="111">
        <f t="shared" si="9"/>
        <v>6.3621933385752658E-2</v>
      </c>
      <c r="BB68" s="111">
        <f t="shared" si="10"/>
        <v>0</v>
      </c>
      <c r="BC68" s="111">
        <f t="shared" si="11"/>
        <v>0</v>
      </c>
      <c r="BD68" s="111">
        <v>0</v>
      </c>
      <c r="BE68" s="111">
        <f t="shared" si="12"/>
        <v>6.3621933385752658E-2</v>
      </c>
      <c r="BF68" s="6" t="str">
        <f t="shared" si="13"/>
        <v>OK</v>
      </c>
      <c r="BG68" s="16">
        <f t="shared" si="14"/>
        <v>63.625549371390676</v>
      </c>
      <c r="BH68" s="118">
        <f t="shared" si="15"/>
        <v>2.1193803644775273</v>
      </c>
      <c r="BI68" s="108">
        <f t="shared" si="16"/>
        <v>0</v>
      </c>
      <c r="BJ68" s="6">
        <f t="shared" si="17"/>
        <v>1.2440309817761237</v>
      </c>
      <c r="BK68" s="108">
        <f t="shared" si="18"/>
        <v>0</v>
      </c>
      <c r="BL68" s="118" cm="1">
        <f t="array" ref="BL68">IF(AO68=0,FactorPhi7121(BH68,"a"),noisuy2chieu(BK68,BH68,Data!$A$63:$M$85))</f>
        <v>0.86214274110469236</v>
      </c>
      <c r="BM68" s="111">
        <v>1.26</v>
      </c>
      <c r="BN68" s="118">
        <f t="shared" si="19"/>
        <v>0.97285134737225853</v>
      </c>
      <c r="BO68" s="108">
        <f t="shared" si="20"/>
        <v>0.15040806335714557</v>
      </c>
      <c r="BP68" s="6" t="str">
        <f t="shared" si="21"/>
        <v>OK</v>
      </c>
      <c r="BQ68" s="16">
        <f t="shared" si="22"/>
        <v>127.25109874278135</v>
      </c>
      <c r="BR68" s="118">
        <f t="shared" si="23"/>
        <v>4.2387607289550546</v>
      </c>
      <c r="BS68" s="108">
        <f t="shared" si="24"/>
        <v>0</v>
      </c>
      <c r="BT68" s="118">
        <f t="shared" si="25"/>
        <v>1.1380619635522473</v>
      </c>
      <c r="BU68" s="108">
        <f t="shared" si="26"/>
        <v>0</v>
      </c>
      <c r="BV68" s="6" cm="1">
        <f t="array" ref="BV68">IF(AP68=0,FactorPhi7121(BR68,"a"),noisuy2chieu(BU68,BR68,Data!$A$63:$M$85))</f>
        <v>0.42299549615688942</v>
      </c>
      <c r="BW68" s="111">
        <v>1.26</v>
      </c>
      <c r="BX68" s="111">
        <f t="shared" si="27"/>
        <v>0.89140538948903414</v>
      </c>
      <c r="BY68" s="113">
        <f t="shared" si="28"/>
        <v>7.3795127363981208E-2</v>
      </c>
      <c r="BZ68" s="6" t="str">
        <f t="shared" si="29"/>
        <v>OK</v>
      </c>
      <c r="CA68" s="114">
        <f t="shared" si="30"/>
        <v>127.25109874278135</v>
      </c>
      <c r="CB68" s="115">
        <f t="shared" si="31"/>
        <v>150</v>
      </c>
      <c r="CC68" s="6" t="str">
        <f t="shared" si="32"/>
        <v>OK</v>
      </c>
      <c r="DG68" s="108"/>
      <c r="DH68" s="108"/>
      <c r="DI68" s="16"/>
      <c r="DJ68" s="108"/>
      <c r="DT68" s="6"/>
      <c r="DU68" s="6"/>
      <c r="DV68" s="111"/>
      <c r="DW68" s="111"/>
      <c r="DX68" s="111"/>
      <c r="DY68" s="111"/>
      <c r="DZ68" s="111"/>
      <c r="EA68" s="111"/>
      <c r="EB68" s="111"/>
      <c r="EC68" s="111"/>
      <c r="ED68" s="111"/>
      <c r="EE68" s="111"/>
      <c r="EF68" s="6"/>
      <c r="EG68" s="6"/>
      <c r="EH68" s="6"/>
      <c r="EI68" s="6"/>
      <c r="EJ68" s="6"/>
      <c r="EK68" s="6"/>
      <c r="EL68" s="112"/>
      <c r="EM68" s="112"/>
      <c r="EN68" s="118"/>
      <c r="EO68" s="118"/>
      <c r="EP68" s="112"/>
      <c r="EQ68" s="112"/>
      <c r="ER68" s="112"/>
      <c r="ES68" s="112"/>
      <c r="ET68" s="112"/>
      <c r="EU68" s="112"/>
      <c r="EV68" s="6"/>
      <c r="EW68" s="6"/>
      <c r="EX68" s="118"/>
      <c r="EY68" s="113"/>
      <c r="EZ68" s="6"/>
      <c r="FA68" s="114"/>
      <c r="FB68" s="115"/>
      <c r="FC68" s="6"/>
    </row>
    <row r="69" spans="27:159">
      <c r="AA69" s="79" t="s">
        <v>175</v>
      </c>
      <c r="AB69" s="80" t="s">
        <v>193</v>
      </c>
      <c r="AC69" s="81">
        <v>2.74</v>
      </c>
      <c r="AD69" s="81">
        <v>6</v>
      </c>
      <c r="AE69" s="80">
        <v>273</v>
      </c>
      <c r="AF69" s="80">
        <v>6.35</v>
      </c>
      <c r="AG69" s="108" cm="1">
        <f t="array" ref="AG69">_xll.DCEPropSectPipe(AE69, AF69, "Area")/100</f>
        <v>53.19431074856206</v>
      </c>
      <c r="AH69" s="16" cm="1">
        <f t="array" ref="AH69">_xll.DCEPropSectPipe(AE69, AF69, "Ix")/10000</f>
        <v>4730.4733077169503</v>
      </c>
      <c r="AI69" s="16" cm="1">
        <f t="array" ref="AI69">_xll.DCEPropSectPipe(AE69, AF69, "Wx")/1000</f>
        <v>346.55482107816493</v>
      </c>
      <c r="AJ69" s="108">
        <f t="shared" si="1"/>
        <v>9.4301739777164251</v>
      </c>
      <c r="AK69" s="80" t="s">
        <v>208</v>
      </c>
      <c r="AL69" s="82">
        <v>-72.140937370096282</v>
      </c>
      <c r="AM69" s="82">
        <v>7.6732396872002564</v>
      </c>
      <c r="AN69" s="82">
        <v>3.1888155046499413</v>
      </c>
      <c r="AO69" s="82">
        <v>-8.7437321137501396</v>
      </c>
      <c r="AP69" s="82">
        <v>-21.040023222303102</v>
      </c>
      <c r="AQ69" s="82">
        <v>0.17774966998675118</v>
      </c>
      <c r="AR69" s="72">
        <v>1</v>
      </c>
      <c r="AS69" s="116">
        <f t="shared" si="2"/>
        <v>6</v>
      </c>
      <c r="AT69" s="7">
        <v>2</v>
      </c>
      <c r="AU69" s="6">
        <f t="shared" si="3"/>
        <v>12</v>
      </c>
      <c r="AV69" s="111">
        <f t="shared" si="4"/>
        <v>5.9332773853584132E-2</v>
      </c>
      <c r="AW69" s="117">
        <f t="shared" si="5"/>
        <v>105</v>
      </c>
      <c r="AX69" s="111">
        <f t="shared" si="6"/>
        <v>1</v>
      </c>
      <c r="AY69" s="111">
        <f t="shared" si="7"/>
        <v>1</v>
      </c>
      <c r="AZ69" s="111">
        <f t="shared" si="8"/>
        <v>1</v>
      </c>
      <c r="BA69" s="111">
        <f t="shared" si="9"/>
        <v>6.2455551424825409E-2</v>
      </c>
      <c r="BB69" s="111">
        <f t="shared" si="10"/>
        <v>0.11619283564048988</v>
      </c>
      <c r="BC69" s="111">
        <f t="shared" si="11"/>
        <v>0.27959456309242253</v>
      </c>
      <c r="BD69" s="111">
        <v>0</v>
      </c>
      <c r="BE69" s="111">
        <f t="shared" si="12"/>
        <v>0.45824295015773781</v>
      </c>
      <c r="BF69" s="6" t="str">
        <f t="shared" si="13"/>
        <v>OK</v>
      </c>
      <c r="BG69" s="16">
        <f t="shared" si="14"/>
        <v>63.625549371390676</v>
      </c>
      <c r="BH69" s="118">
        <f t="shared" si="15"/>
        <v>2.1193803644775273</v>
      </c>
      <c r="BI69" s="108">
        <f t="shared" si="16"/>
        <v>1.860408450325594</v>
      </c>
      <c r="BJ69" s="6">
        <f t="shared" si="17"/>
        <v>1.1904396906551253</v>
      </c>
      <c r="BK69" s="108">
        <f t="shared" si="18"/>
        <v>2.2147040600977812</v>
      </c>
      <c r="BL69" s="118" cm="1">
        <f t="array" ref="BL69">IF(AO69=0,FactorPhi7121(BH69,"a"),noisuy2chieu(BK69,BH69,Data!$A$63:$M$85))</f>
        <v>0</v>
      </c>
      <c r="BM69" s="111">
        <v>1.26</v>
      </c>
      <c r="BN69" s="118">
        <f t="shared" si="19"/>
        <v>0.97334906407156851</v>
      </c>
      <c r="BO69" s="108" t="e">
        <f t="shared" si="20"/>
        <v>#DIV/0!</v>
      </c>
      <c r="BP69" s="6" t="e">
        <f t="shared" si="21"/>
        <v>#DIV/0!</v>
      </c>
      <c r="BQ69" s="16">
        <f t="shared" si="22"/>
        <v>127.25109874278135</v>
      </c>
      <c r="BR69" s="118">
        <f t="shared" si="23"/>
        <v>4.2387607289550546</v>
      </c>
      <c r="BS69" s="108">
        <f t="shared" si="24"/>
        <v>4.4766967341399013</v>
      </c>
      <c r="BT69" s="118">
        <f t="shared" si="25"/>
        <v>1.1039835899663879</v>
      </c>
      <c r="BU69" s="108">
        <f t="shared" si="26"/>
        <v>4.9421997317465722</v>
      </c>
      <c r="BV69" s="6" cm="1">
        <f t="array" ref="BV69">IF(AP69=0,FactorPhi7121(BR69,"a"),noisuy2chieu(BU69,BR69,Data!$A$63:$M$85))</f>
        <v>0</v>
      </c>
      <c r="BW69" s="111">
        <v>1.26</v>
      </c>
      <c r="BX69" s="111">
        <f t="shared" si="27"/>
        <v>0.89339625628627406</v>
      </c>
      <c r="BY69" s="113" t="e">
        <f t="shared" si="28"/>
        <v>#DIV/0!</v>
      </c>
      <c r="BZ69" s="6" t="e">
        <f t="shared" si="29"/>
        <v>#DIV/0!</v>
      </c>
      <c r="CA69" s="114">
        <f t="shared" si="30"/>
        <v>127.25109874278135</v>
      </c>
      <c r="CB69" s="115" t="e">
        <f t="shared" si="31"/>
        <v>#DIV/0!</v>
      </c>
      <c r="CC69" s="6" t="e">
        <f t="shared" si="32"/>
        <v>#DIV/0!</v>
      </c>
      <c r="DG69" s="108"/>
      <c r="DH69" s="108"/>
      <c r="DI69" s="16"/>
      <c r="DJ69" s="108"/>
      <c r="DT69" s="6"/>
      <c r="DU69" s="6"/>
      <c r="DV69" s="111"/>
      <c r="DW69" s="111"/>
      <c r="DX69" s="111"/>
      <c r="DY69" s="111"/>
      <c r="DZ69" s="111"/>
      <c r="EA69" s="111"/>
      <c r="EB69" s="111"/>
      <c r="EC69" s="111"/>
      <c r="ED69" s="111"/>
      <c r="EE69" s="111"/>
      <c r="EF69" s="6"/>
      <c r="EG69" s="6"/>
      <c r="EH69" s="6"/>
      <c r="EI69" s="6"/>
      <c r="EJ69" s="6"/>
      <c r="EK69" s="6"/>
      <c r="EL69" s="112"/>
      <c r="EM69" s="112"/>
      <c r="EN69" s="118"/>
      <c r="EO69" s="118"/>
      <c r="EP69" s="112"/>
      <c r="EQ69" s="112"/>
      <c r="ER69" s="112"/>
      <c r="ES69" s="112"/>
      <c r="ET69" s="112"/>
      <c r="EU69" s="112"/>
      <c r="EV69" s="6"/>
      <c r="EW69" s="6"/>
      <c r="EX69" s="118"/>
      <c r="EY69" s="113"/>
      <c r="EZ69" s="6"/>
      <c r="FA69" s="114"/>
      <c r="FB69" s="115"/>
      <c r="FC69" s="6"/>
    </row>
    <row r="70" spans="27:159">
      <c r="AA70" s="79" t="s">
        <v>175</v>
      </c>
      <c r="AB70" s="80" t="s">
        <v>193</v>
      </c>
      <c r="AC70" s="81">
        <v>5.48</v>
      </c>
      <c r="AD70" s="81">
        <v>6</v>
      </c>
      <c r="AE70" s="80">
        <v>273</v>
      </c>
      <c r="AF70" s="80">
        <v>6.35</v>
      </c>
      <c r="AG70" s="108" cm="1">
        <f t="array" ref="AG70">_xll.DCEPropSectPipe(AE70, AF70, "Area")/100</f>
        <v>53.19431074856206</v>
      </c>
      <c r="AH70" s="16" cm="1">
        <f t="array" ref="AH70">_xll.DCEPropSectPipe(AE70, AF70, "Ix")/10000</f>
        <v>4730.4733077169503</v>
      </c>
      <c r="AI70" s="16" cm="1">
        <f t="array" ref="AI70">_xll.DCEPropSectPipe(AE70, AF70, "Wx")/1000</f>
        <v>346.55482107816493</v>
      </c>
      <c r="AJ70" s="108">
        <f t="shared" si="1"/>
        <v>9.4301739777164251</v>
      </c>
      <c r="AK70" s="80" t="s">
        <v>208</v>
      </c>
      <c r="AL70" s="82">
        <v>-70.793677021364246</v>
      </c>
      <c r="AM70" s="82">
        <v>7.6732396872002564</v>
      </c>
      <c r="AN70" s="82">
        <v>3.1888155046499413</v>
      </c>
      <c r="AO70" s="82">
        <v>-17.487464227500279</v>
      </c>
      <c r="AP70" s="82">
        <v>-42.080046444606204</v>
      </c>
      <c r="AQ70" s="82">
        <v>0.17774966998675118</v>
      </c>
      <c r="AR70" s="72">
        <v>1</v>
      </c>
      <c r="AS70" s="116">
        <f t="shared" si="2"/>
        <v>6</v>
      </c>
      <c r="AT70" s="7">
        <v>2</v>
      </c>
      <c r="AU70" s="6">
        <f t="shared" si="3"/>
        <v>12</v>
      </c>
      <c r="AV70" s="111">
        <f t="shared" si="4"/>
        <v>5.8224710990703268E-2</v>
      </c>
      <c r="AW70" s="117">
        <f t="shared" si="5"/>
        <v>105</v>
      </c>
      <c r="AX70" s="111">
        <f t="shared" si="6"/>
        <v>1</v>
      </c>
      <c r="AY70" s="111">
        <f t="shared" si="7"/>
        <v>1</v>
      </c>
      <c r="AZ70" s="111">
        <f t="shared" si="8"/>
        <v>1</v>
      </c>
      <c r="BA70" s="111">
        <f t="shared" si="9"/>
        <v>6.1289169463898181E-2</v>
      </c>
      <c r="BB70" s="111">
        <f t="shared" si="10"/>
        <v>0.23238567128097976</v>
      </c>
      <c r="BC70" s="111">
        <f t="shared" si="11"/>
        <v>0.55918912618484506</v>
      </c>
      <c r="BD70" s="111">
        <v>0</v>
      </c>
      <c r="BE70" s="111">
        <f t="shared" si="12"/>
        <v>0.85286396692972299</v>
      </c>
      <c r="BF70" s="6" t="str">
        <f t="shared" si="13"/>
        <v>OK</v>
      </c>
      <c r="BG70" s="16">
        <f t="shared" si="14"/>
        <v>63.625549371390676</v>
      </c>
      <c r="BH70" s="118">
        <f t="shared" si="15"/>
        <v>2.1193803644775273</v>
      </c>
      <c r="BI70" s="108">
        <f t="shared" si="16"/>
        <v>3.7916270250303263</v>
      </c>
      <c r="BJ70" s="6">
        <f t="shared" si="17"/>
        <v>1.1348086291873236</v>
      </c>
      <c r="BK70" s="108">
        <f t="shared" si="18"/>
        <v>4.3027710666642749</v>
      </c>
      <c r="BL70" s="118" cm="1">
        <f t="array" ref="BL70">IF(AO70=0,FactorPhi7121(BH70,"a"),noisuy2chieu(BK70,BH70,Data!$A$63:$M$85))</f>
        <v>0</v>
      </c>
      <c r="BM70" s="111">
        <v>1.26</v>
      </c>
      <c r="BN70" s="118">
        <f t="shared" si="19"/>
        <v>0.9738467807708785</v>
      </c>
      <c r="BO70" s="108" t="e">
        <f t="shared" si="20"/>
        <v>#DIV/0!</v>
      </c>
      <c r="BP70" s="6" t="e">
        <f t="shared" si="21"/>
        <v>#DIV/0!</v>
      </c>
      <c r="BQ70" s="16">
        <f t="shared" si="22"/>
        <v>127.25109874278135</v>
      </c>
      <c r="BR70" s="118">
        <f t="shared" si="23"/>
        <v>4.2387607289550546</v>
      </c>
      <c r="BS70" s="108">
        <f t="shared" si="24"/>
        <v>9.1237837137641478</v>
      </c>
      <c r="BT70" s="118">
        <f t="shared" si="25"/>
        <v>1.1000000000000001</v>
      </c>
      <c r="BU70" s="108">
        <f t="shared" si="26"/>
        <v>10.036162085140564</v>
      </c>
      <c r="BV70" s="6" cm="1">
        <f t="array" ref="BV70">IF(AP70=0,FactorPhi7121(BR70,"a"),noisuy2chieu(BU70,BR70,Data!$A$63:$M$85))</f>
        <v>0</v>
      </c>
      <c r="BW70" s="111">
        <v>1.26</v>
      </c>
      <c r="BX70" s="111">
        <f t="shared" si="27"/>
        <v>0.89538712308351409</v>
      </c>
      <c r="BY70" s="113" t="e">
        <f t="shared" si="28"/>
        <v>#DIV/0!</v>
      </c>
      <c r="BZ70" s="6" t="e">
        <f t="shared" si="29"/>
        <v>#DIV/0!</v>
      </c>
      <c r="CA70" s="114">
        <f t="shared" si="30"/>
        <v>127.25109874278135</v>
      </c>
      <c r="CB70" s="115" t="e">
        <f t="shared" si="31"/>
        <v>#DIV/0!</v>
      </c>
      <c r="CC70" s="6" t="e">
        <f t="shared" si="32"/>
        <v>#DIV/0!</v>
      </c>
      <c r="DG70" s="108"/>
      <c r="DH70" s="108"/>
      <c r="DI70" s="16"/>
      <c r="DJ70" s="108"/>
      <c r="DT70" s="6"/>
      <c r="DU70" s="6"/>
      <c r="DV70" s="111"/>
      <c r="DW70" s="111"/>
      <c r="DX70" s="111"/>
      <c r="DY70" s="111"/>
      <c r="DZ70" s="111"/>
      <c r="EA70" s="111"/>
      <c r="EB70" s="111"/>
      <c r="EC70" s="111"/>
      <c r="ED70" s="111"/>
      <c r="EE70" s="111"/>
      <c r="EF70" s="6"/>
      <c r="EG70" s="6"/>
      <c r="EH70" s="6"/>
      <c r="EI70" s="6"/>
      <c r="EJ70" s="6"/>
      <c r="EK70" s="6"/>
      <c r="EL70" s="112"/>
      <c r="EM70" s="112"/>
      <c r="EN70" s="118"/>
      <c r="EO70" s="118"/>
      <c r="EP70" s="112"/>
      <c r="EQ70" s="112"/>
      <c r="ER70" s="112"/>
      <c r="ES70" s="112"/>
      <c r="ET70" s="112"/>
      <c r="EU70" s="112"/>
      <c r="EV70" s="6"/>
      <c r="EW70" s="6"/>
      <c r="EX70" s="118"/>
      <c r="EY70" s="113"/>
      <c r="EZ70" s="6"/>
      <c r="FA70" s="114"/>
      <c r="FB70" s="115"/>
      <c r="FC70" s="6"/>
    </row>
    <row r="71" spans="27:159">
      <c r="AA71" s="79" t="s">
        <v>175</v>
      </c>
      <c r="AB71" s="80" t="s">
        <v>193</v>
      </c>
      <c r="AC71" s="81">
        <v>0</v>
      </c>
      <c r="AD71" s="81">
        <v>6</v>
      </c>
      <c r="AE71" s="80">
        <v>273</v>
      </c>
      <c r="AF71" s="80">
        <v>6.35</v>
      </c>
      <c r="AG71" s="108" cm="1">
        <f t="array" ref="AG71">_xll.DCEPropSectPipe(AE71, AF71, "Area")/100</f>
        <v>53.19431074856206</v>
      </c>
      <c r="AH71" s="16" cm="1">
        <f t="array" ref="AH71">_xll.DCEPropSectPipe(AE71, AF71, "Ix")/10000</f>
        <v>4730.4733077169503</v>
      </c>
      <c r="AI71" s="16" cm="1">
        <f t="array" ref="AI71">_xll.DCEPropSectPipe(AE71, AF71, "Wx")/1000</f>
        <v>346.55482107816493</v>
      </c>
      <c r="AJ71" s="108">
        <f t="shared" si="1"/>
        <v>9.4301739777164251</v>
      </c>
      <c r="AK71" s="80" t="s">
        <v>209</v>
      </c>
      <c r="AL71" s="82">
        <v>1.6534926240023666</v>
      </c>
      <c r="AM71" s="82">
        <v>-2.1558518138710427</v>
      </c>
      <c r="AN71" s="82">
        <v>-0.63986147907111635</v>
      </c>
      <c r="AO71" s="82">
        <v>0</v>
      </c>
      <c r="AP71" s="82">
        <v>0</v>
      </c>
      <c r="AQ71" s="82">
        <v>-4.8067414259411308E-2</v>
      </c>
      <c r="AR71" s="72">
        <v>1</v>
      </c>
      <c r="AS71" s="116">
        <f t="shared" si="2"/>
        <v>6</v>
      </c>
      <c r="AT71" s="7">
        <v>2</v>
      </c>
      <c r="AU71" s="6">
        <f t="shared" si="3"/>
        <v>12</v>
      </c>
      <c r="AV71" s="111">
        <f t="shared" si="4"/>
        <v>1.3599255499716957E-3</v>
      </c>
      <c r="AW71" s="117">
        <f t="shared" si="5"/>
        <v>105</v>
      </c>
      <c r="AX71" s="111">
        <f t="shared" si="6"/>
        <v>1</v>
      </c>
      <c r="AY71" s="111">
        <f t="shared" si="7"/>
        <v>1</v>
      </c>
      <c r="AZ71" s="111">
        <f t="shared" si="8"/>
        <v>1</v>
      </c>
      <c r="BA71" s="111">
        <f t="shared" si="9"/>
        <v>1.4315005789175745E-3</v>
      </c>
      <c r="BB71" s="111">
        <f t="shared" si="10"/>
        <v>0</v>
      </c>
      <c r="BC71" s="111">
        <f t="shared" si="11"/>
        <v>0</v>
      </c>
      <c r="BD71" s="111">
        <v>0</v>
      </c>
      <c r="BE71" s="111">
        <f t="shared" si="12"/>
        <v>1.4315005789175745E-3</v>
      </c>
      <c r="BF71" s="6" t="str">
        <f t="shared" si="13"/>
        <v>OK</v>
      </c>
      <c r="BG71" s="16">
        <f t="shared" si="14"/>
        <v>63.625549371390676</v>
      </c>
      <c r="BH71" s="118">
        <f t="shared" si="15"/>
        <v>2.1193803644775273</v>
      </c>
      <c r="BI71" s="108">
        <f t="shared" si="16"/>
        <v>0</v>
      </c>
      <c r="BJ71" s="6">
        <f t="shared" si="17"/>
        <v>1.2440309817761237</v>
      </c>
      <c r="BK71" s="108">
        <f t="shared" si="18"/>
        <v>0</v>
      </c>
      <c r="BL71" s="118" cm="1">
        <f t="array" ref="BL71">IF(AO71=0,FactorPhi7121(BH71,"a"),noisuy2chieu(BK71,BH71,Data!$A$63:$M$85))</f>
        <v>0.86214274110469236</v>
      </c>
      <c r="BM71" s="111">
        <v>1.26</v>
      </c>
      <c r="BN71" s="118">
        <f t="shared" si="19"/>
        <v>0.99938915229567438</v>
      </c>
      <c r="BO71" s="108">
        <f t="shared" si="20"/>
        <v>3.3841981579553976E-3</v>
      </c>
      <c r="BP71" s="6" t="str">
        <f t="shared" si="21"/>
        <v>OK</v>
      </c>
      <c r="BQ71" s="16">
        <f t="shared" si="22"/>
        <v>127.25109874278135</v>
      </c>
      <c r="BR71" s="118">
        <f t="shared" si="23"/>
        <v>4.2387607289550546</v>
      </c>
      <c r="BS71" s="108">
        <f t="shared" si="24"/>
        <v>0</v>
      </c>
      <c r="BT71" s="118">
        <f t="shared" si="25"/>
        <v>1.1380619635522473</v>
      </c>
      <c r="BU71" s="108">
        <f t="shared" si="26"/>
        <v>0</v>
      </c>
      <c r="BV71" s="6" cm="1">
        <f t="array" ref="BV71">IF(AP71=0,FactorPhi7121(BR71,"a"),noisuy2chieu(BU71,BR71,Data!$A$63:$M$85))</f>
        <v>0.42299549615688942</v>
      </c>
      <c r="BW71" s="111">
        <v>1.26</v>
      </c>
      <c r="BX71" s="111">
        <f t="shared" si="27"/>
        <v>0.99755660918269751</v>
      </c>
      <c r="BY71" s="113">
        <f t="shared" si="28"/>
        <v>1.6603985751632553E-3</v>
      </c>
      <c r="BZ71" s="6" t="str">
        <f t="shared" si="29"/>
        <v>OK</v>
      </c>
      <c r="CA71" s="114">
        <f t="shared" si="30"/>
        <v>127.25109874278135</v>
      </c>
      <c r="CB71" s="115">
        <f t="shared" si="31"/>
        <v>150</v>
      </c>
      <c r="CC71" s="6" t="str">
        <f t="shared" si="32"/>
        <v>OK</v>
      </c>
      <c r="DG71" s="108"/>
      <c r="DH71" s="108"/>
      <c r="DI71" s="16"/>
      <c r="DJ71" s="108"/>
      <c r="DT71" s="6"/>
      <c r="DU71" s="6"/>
      <c r="DV71" s="111"/>
      <c r="DW71" s="111"/>
      <c r="DX71" s="111"/>
      <c r="DY71" s="111"/>
      <c r="DZ71" s="111"/>
      <c r="EA71" s="111"/>
      <c r="EB71" s="111"/>
      <c r="EC71" s="111"/>
      <c r="ED71" s="111"/>
      <c r="EE71" s="111"/>
      <c r="EF71" s="6"/>
      <c r="EG71" s="6"/>
      <c r="EH71" s="6"/>
      <c r="EI71" s="6"/>
      <c r="EJ71" s="6"/>
      <c r="EK71" s="6"/>
      <c r="EL71" s="112"/>
      <c r="EM71" s="112"/>
      <c r="EN71" s="118"/>
      <c r="EO71" s="118"/>
      <c r="EP71" s="112"/>
      <c r="EQ71" s="112"/>
      <c r="ER71" s="112"/>
      <c r="ES71" s="112"/>
      <c r="ET71" s="112"/>
      <c r="EU71" s="112"/>
      <c r="EV71" s="6"/>
      <c r="EW71" s="6"/>
      <c r="EX71" s="118"/>
      <c r="EY71" s="113"/>
      <c r="EZ71" s="6"/>
      <c r="FA71" s="114"/>
      <c r="FB71" s="115"/>
      <c r="FC71" s="6"/>
    </row>
    <row r="72" spans="27:159">
      <c r="AA72" s="79" t="s">
        <v>175</v>
      </c>
      <c r="AB72" s="80" t="s">
        <v>193</v>
      </c>
      <c r="AC72" s="81">
        <v>2.74</v>
      </c>
      <c r="AD72" s="81">
        <v>6</v>
      </c>
      <c r="AE72" s="80">
        <v>273</v>
      </c>
      <c r="AF72" s="80">
        <v>6.35</v>
      </c>
      <c r="AG72" s="108" cm="1">
        <f t="array" ref="AG72">_xll.DCEPropSectPipe(AE72, AF72, "Area")/100</f>
        <v>53.19431074856206</v>
      </c>
      <c r="AH72" s="16" cm="1">
        <f t="array" ref="AH72">_xll.DCEPropSectPipe(AE72, AF72, "Ix")/10000</f>
        <v>4730.4733077169503</v>
      </c>
      <c r="AI72" s="16" cm="1">
        <f t="array" ref="AI72">_xll.DCEPropSectPipe(AE72, AF72, "Wx")/1000</f>
        <v>346.55482107816493</v>
      </c>
      <c r="AJ72" s="108">
        <f t="shared" si="1"/>
        <v>9.4301739777164251</v>
      </c>
      <c r="AK72" s="80" t="s">
        <v>209</v>
      </c>
      <c r="AL72" s="82">
        <v>3.0007529727344004</v>
      </c>
      <c r="AM72" s="82">
        <v>-2.1558518138710427</v>
      </c>
      <c r="AN72" s="82">
        <v>-0.63986147907111635</v>
      </c>
      <c r="AO72" s="82">
        <v>1.754500175613001</v>
      </c>
      <c r="AP72" s="82">
        <v>5.9113456736343979</v>
      </c>
      <c r="AQ72" s="82">
        <v>-4.8067414259411308E-2</v>
      </c>
      <c r="AR72" s="72">
        <v>1</v>
      </c>
      <c r="AS72" s="116">
        <f t="shared" si="2"/>
        <v>6</v>
      </c>
      <c r="AT72" s="7">
        <v>2</v>
      </c>
      <c r="AU72" s="6">
        <f t="shared" si="3"/>
        <v>12</v>
      </c>
      <c r="AV72" s="111">
        <f t="shared" si="4"/>
        <v>2.4679884128525689E-3</v>
      </c>
      <c r="AW72" s="117">
        <f t="shared" si="5"/>
        <v>105</v>
      </c>
      <c r="AX72" s="111">
        <f t="shared" si="6"/>
        <v>1</v>
      </c>
      <c r="AY72" s="111">
        <f t="shared" si="7"/>
        <v>1</v>
      </c>
      <c r="AZ72" s="111">
        <f t="shared" si="8"/>
        <v>1</v>
      </c>
      <c r="BA72" s="111">
        <f t="shared" si="9"/>
        <v>2.5978825398448096E-3</v>
      </c>
      <c r="BB72" s="111">
        <f t="shared" si="10"/>
        <v>2.331502702554521E-2</v>
      </c>
      <c r="BC72" s="111">
        <f t="shared" si="11"/>
        <v>7.8554101078942326E-2</v>
      </c>
      <c r="BD72" s="111">
        <v>0</v>
      </c>
      <c r="BE72" s="111">
        <f t="shared" si="12"/>
        <v>0.10446701064433235</v>
      </c>
      <c r="BF72" s="6" t="str">
        <f t="shared" si="13"/>
        <v>OK</v>
      </c>
      <c r="BG72" s="16">
        <f t="shared" si="14"/>
        <v>63.625549371390676</v>
      </c>
      <c r="BH72" s="118">
        <f t="shared" si="15"/>
        <v>2.1193803644775273</v>
      </c>
      <c r="BI72" s="108">
        <f t="shared" si="16"/>
        <v>8.9746270926236651</v>
      </c>
      <c r="BJ72" s="6">
        <f t="shared" si="17"/>
        <v>1.1000000000000001</v>
      </c>
      <c r="BK72" s="108">
        <f t="shared" si="18"/>
        <v>9.8720898018860321</v>
      </c>
      <c r="BL72" s="118" cm="1">
        <f t="array" ref="BL72">IF(AO72=0,FactorPhi7121(BH72,"a"),noisuy2chieu(BK72,BH72,Data!$A$63:$M$85))</f>
        <v>0</v>
      </c>
      <c r="BM72" s="111">
        <v>1.26</v>
      </c>
      <c r="BN72" s="118">
        <f t="shared" si="19"/>
        <v>0.9988914355963644</v>
      </c>
      <c r="BO72" s="108" t="e">
        <f t="shared" si="20"/>
        <v>#DIV/0!</v>
      </c>
      <c r="BP72" s="6" t="e">
        <f t="shared" si="21"/>
        <v>#DIV/0!</v>
      </c>
      <c r="BQ72" s="16">
        <f t="shared" si="22"/>
        <v>127.25109874278135</v>
      </c>
      <c r="BR72" s="118">
        <f t="shared" si="23"/>
        <v>4.2387607289550546</v>
      </c>
      <c r="BS72" s="108">
        <f t="shared" si="24"/>
        <v>30.237741650796476</v>
      </c>
      <c r="BT72" s="118">
        <f t="shared" si="25"/>
        <v>1.1000000000000001</v>
      </c>
      <c r="BU72" s="108">
        <f t="shared" si="26"/>
        <v>33.261515815876123</v>
      </c>
      <c r="BV72" s="6" cm="1">
        <f t="array" ref="BV72">IF(AP72=0,FactorPhi7121(BR72,"a"),noisuy2chieu(BU72,BR72,Data!$A$63:$M$85))</f>
        <v>0</v>
      </c>
      <c r="BW72" s="111">
        <v>1.26</v>
      </c>
      <c r="BX72" s="111">
        <f t="shared" si="27"/>
        <v>0.99556574238545759</v>
      </c>
      <c r="BY72" s="113" t="e">
        <f t="shared" si="28"/>
        <v>#DIV/0!</v>
      </c>
      <c r="BZ72" s="6" t="e">
        <f t="shared" si="29"/>
        <v>#DIV/0!</v>
      </c>
      <c r="CA72" s="114">
        <f t="shared" si="30"/>
        <v>127.25109874278135</v>
      </c>
      <c r="CB72" s="115" t="e">
        <f t="shared" si="31"/>
        <v>#DIV/0!</v>
      </c>
      <c r="CC72" s="6" t="e">
        <f t="shared" si="32"/>
        <v>#DIV/0!</v>
      </c>
      <c r="DG72" s="108"/>
      <c r="DH72" s="108"/>
      <c r="DI72" s="16"/>
      <c r="DJ72" s="108"/>
      <c r="DT72" s="6"/>
      <c r="DU72" s="6"/>
      <c r="DV72" s="111"/>
      <c r="DW72" s="111"/>
      <c r="DX72" s="111"/>
      <c r="DY72" s="111"/>
      <c r="DZ72" s="111"/>
      <c r="EA72" s="111"/>
      <c r="EB72" s="111"/>
      <c r="EC72" s="111"/>
      <c r="ED72" s="111"/>
      <c r="EE72" s="111"/>
      <c r="EF72" s="6"/>
      <c r="EG72" s="6"/>
      <c r="EH72" s="6"/>
      <c r="EI72" s="6"/>
      <c r="EJ72" s="6"/>
      <c r="EK72" s="6"/>
      <c r="EL72" s="112"/>
      <c r="EM72" s="112"/>
      <c r="EN72" s="118"/>
      <c r="EO72" s="118"/>
      <c r="EP72" s="112"/>
      <c r="EQ72" s="112"/>
      <c r="ER72" s="112"/>
      <c r="ES72" s="112"/>
      <c r="ET72" s="112"/>
      <c r="EU72" s="112"/>
      <c r="EV72" s="6"/>
      <c r="EW72" s="6"/>
      <c r="EX72" s="118"/>
      <c r="EY72" s="113"/>
      <c r="EZ72" s="6"/>
      <c r="FA72" s="114"/>
      <c r="FB72" s="115"/>
      <c r="FC72" s="6"/>
    </row>
    <row r="73" spans="27:159">
      <c r="AA73" s="79" t="s">
        <v>175</v>
      </c>
      <c r="AB73" s="80" t="s">
        <v>193</v>
      </c>
      <c r="AC73" s="81">
        <v>5.48</v>
      </c>
      <c r="AD73" s="81">
        <v>6</v>
      </c>
      <c r="AE73" s="80">
        <v>273</v>
      </c>
      <c r="AF73" s="80">
        <v>6.35</v>
      </c>
      <c r="AG73" s="108" cm="1">
        <f t="array" ref="AG73">_xll.DCEPropSectPipe(AE73, AF73, "Area")/100</f>
        <v>53.19431074856206</v>
      </c>
      <c r="AH73" s="16" cm="1">
        <f t="array" ref="AH73">_xll.DCEPropSectPipe(AE73, AF73, "Ix")/10000</f>
        <v>4730.4733077169503</v>
      </c>
      <c r="AI73" s="16" cm="1">
        <f t="array" ref="AI73">_xll.DCEPropSectPipe(AE73, AF73, "Wx")/1000</f>
        <v>346.55482107816493</v>
      </c>
      <c r="AJ73" s="108">
        <f t="shared" si="1"/>
        <v>9.4301739777164251</v>
      </c>
      <c r="AK73" s="80" t="s">
        <v>209</v>
      </c>
      <c r="AL73" s="82">
        <v>4.3480133214664338</v>
      </c>
      <c r="AM73" s="82">
        <v>-2.1558518138710427</v>
      </c>
      <c r="AN73" s="82">
        <v>-0.63986147907111635</v>
      </c>
      <c r="AO73" s="82">
        <v>3.509000351226002</v>
      </c>
      <c r="AP73" s="82">
        <v>11.822691347268796</v>
      </c>
      <c r="AQ73" s="82">
        <v>-4.8067414259411308E-2</v>
      </c>
      <c r="AR73" s="72">
        <v>1</v>
      </c>
      <c r="AS73" s="116">
        <f t="shared" si="2"/>
        <v>6</v>
      </c>
      <c r="AT73" s="7">
        <v>2</v>
      </c>
      <c r="AU73" s="6">
        <f t="shared" si="3"/>
        <v>12</v>
      </c>
      <c r="AV73" s="111">
        <f t="shared" si="4"/>
        <v>3.576051275733442E-3</v>
      </c>
      <c r="AW73" s="117">
        <f t="shared" si="5"/>
        <v>105</v>
      </c>
      <c r="AX73" s="111">
        <f t="shared" si="6"/>
        <v>1</v>
      </c>
      <c r="AY73" s="111">
        <f t="shared" si="7"/>
        <v>1</v>
      </c>
      <c r="AZ73" s="111">
        <f t="shared" si="8"/>
        <v>1</v>
      </c>
      <c r="BA73" s="111">
        <f t="shared" si="9"/>
        <v>3.7642645007720447E-3</v>
      </c>
      <c r="BB73" s="111">
        <f t="shared" si="10"/>
        <v>4.6630054051090421E-2</v>
      </c>
      <c r="BC73" s="111">
        <f t="shared" si="11"/>
        <v>0.15710820215788465</v>
      </c>
      <c r="BD73" s="111">
        <v>0</v>
      </c>
      <c r="BE73" s="111">
        <f t="shared" si="12"/>
        <v>0.20750252070974712</v>
      </c>
      <c r="BF73" s="6" t="str">
        <f t="shared" si="13"/>
        <v>OK</v>
      </c>
      <c r="BG73" s="16">
        <f t="shared" si="14"/>
        <v>63.625549371390676</v>
      </c>
      <c r="BH73" s="118">
        <f t="shared" si="15"/>
        <v>2.1193803644775273</v>
      </c>
      <c r="BI73" s="108">
        <f t="shared" si="16"/>
        <v>12.387560449465408</v>
      </c>
      <c r="BJ73" s="6">
        <f t="shared" si="17"/>
        <v>1.1000000000000001</v>
      </c>
      <c r="BK73" s="108">
        <f t="shared" si="18"/>
        <v>13.626316494411949</v>
      </c>
      <c r="BL73" s="118" cm="1">
        <f t="array" ref="BL73">IF(AO73=0,FactorPhi7121(BH73,"a"),noisuy2chieu(BK73,BH73,Data!$A$63:$M$85))</f>
        <v>0</v>
      </c>
      <c r="BM73" s="111">
        <v>1.26</v>
      </c>
      <c r="BN73" s="118">
        <f t="shared" si="19"/>
        <v>0.99839371889705442</v>
      </c>
      <c r="BO73" s="108" t="e">
        <f t="shared" si="20"/>
        <v>#DIV/0!</v>
      </c>
      <c r="BP73" s="6" t="e">
        <f t="shared" si="21"/>
        <v>#DIV/0!</v>
      </c>
      <c r="BQ73" s="16">
        <f t="shared" si="22"/>
        <v>127.25109874278135</v>
      </c>
      <c r="BR73" s="118">
        <f t="shared" si="23"/>
        <v>4.2387607289550546</v>
      </c>
      <c r="BS73" s="108">
        <f t="shared" si="24"/>
        <v>41.736759498611761</v>
      </c>
      <c r="BT73" s="118">
        <f t="shared" si="25"/>
        <v>1.1000000000000001</v>
      </c>
      <c r="BU73" s="108">
        <f t="shared" si="26"/>
        <v>45.910435448472938</v>
      </c>
      <c r="BV73" s="6" cm="1">
        <f t="array" ref="BV73">IF(AP73=0,FactorPhi7121(BR73,"a"),noisuy2chieu(BU73,BR73,Data!$A$63:$M$85))</f>
        <v>0</v>
      </c>
      <c r="BW73" s="111">
        <v>1.26</v>
      </c>
      <c r="BX73" s="111">
        <f t="shared" si="27"/>
        <v>0.99357487558821755</v>
      </c>
      <c r="BY73" s="113" t="e">
        <f t="shared" si="28"/>
        <v>#DIV/0!</v>
      </c>
      <c r="BZ73" s="6" t="e">
        <f t="shared" si="29"/>
        <v>#DIV/0!</v>
      </c>
      <c r="CA73" s="114">
        <f t="shared" si="30"/>
        <v>127.25109874278135</v>
      </c>
      <c r="CB73" s="115" t="e">
        <f t="shared" si="31"/>
        <v>#DIV/0!</v>
      </c>
      <c r="CC73" s="6" t="e">
        <f t="shared" si="32"/>
        <v>#DIV/0!</v>
      </c>
      <c r="DG73" s="108"/>
      <c r="DH73" s="108"/>
      <c r="DI73" s="16"/>
      <c r="DJ73" s="108"/>
      <c r="DT73" s="6"/>
      <c r="DU73" s="6"/>
      <c r="DV73" s="111"/>
      <c r="DW73" s="111"/>
      <c r="DX73" s="111"/>
      <c r="DY73" s="111"/>
      <c r="DZ73" s="111"/>
      <c r="EA73" s="111"/>
      <c r="EB73" s="111"/>
      <c r="EC73" s="111"/>
      <c r="ED73" s="111"/>
      <c r="EE73" s="111"/>
      <c r="EF73" s="6"/>
      <c r="EG73" s="6"/>
      <c r="EH73" s="6"/>
      <c r="EI73" s="6"/>
      <c r="EJ73" s="6"/>
      <c r="EK73" s="6"/>
      <c r="EL73" s="112"/>
      <c r="EM73" s="112"/>
      <c r="EN73" s="118"/>
      <c r="EO73" s="118"/>
      <c r="EP73" s="112"/>
      <c r="EQ73" s="112"/>
      <c r="ER73" s="112"/>
      <c r="ES73" s="112"/>
      <c r="ET73" s="112"/>
      <c r="EU73" s="112"/>
      <c r="EV73" s="6"/>
      <c r="EW73" s="6"/>
      <c r="EX73" s="118"/>
      <c r="EY73" s="113"/>
      <c r="EZ73" s="6"/>
      <c r="FA73" s="114"/>
      <c r="FB73" s="115"/>
      <c r="FC73" s="6"/>
    </row>
    <row r="74" spans="27:159">
      <c r="AA74" s="79" t="s">
        <v>175</v>
      </c>
      <c r="AB74" s="80" t="s">
        <v>193</v>
      </c>
      <c r="AC74" s="81">
        <v>0</v>
      </c>
      <c r="AD74" s="81">
        <v>6</v>
      </c>
      <c r="AE74" s="80">
        <v>273</v>
      </c>
      <c r="AF74" s="80">
        <v>6.35</v>
      </c>
      <c r="AG74" s="108" cm="1">
        <f t="array" ref="AG74">_xll.DCEPropSectPipe(AE74, AF74, "Area")/100</f>
        <v>53.19431074856206</v>
      </c>
      <c r="AH74" s="16" cm="1">
        <f t="array" ref="AH74">_xll.DCEPropSectPipe(AE74, AF74, "Ix")/10000</f>
        <v>4730.4733077169503</v>
      </c>
      <c r="AI74" s="16" cm="1">
        <f t="array" ref="AI74">_xll.DCEPropSectPipe(AE74, AF74, "Wx")/1000</f>
        <v>346.55482107816493</v>
      </c>
      <c r="AJ74" s="108">
        <f t="shared" si="1"/>
        <v>9.4301739777164251</v>
      </c>
      <c r="AK74" s="80" t="s">
        <v>210</v>
      </c>
      <c r="AL74" s="82">
        <v>18.362044996920432</v>
      </c>
      <c r="AM74" s="82">
        <v>-2.1269585252156582</v>
      </c>
      <c r="AN74" s="82">
        <v>-0.87476306301978146</v>
      </c>
      <c r="AO74" s="82">
        <v>0</v>
      </c>
      <c r="AP74" s="82">
        <v>0</v>
      </c>
      <c r="AQ74" s="82">
        <v>-9.444773518319366E-2</v>
      </c>
      <c r="AR74" s="72">
        <v>1</v>
      </c>
      <c r="AS74" s="116">
        <f t="shared" si="2"/>
        <v>6</v>
      </c>
      <c r="AT74" s="7">
        <v>2</v>
      </c>
      <c r="AU74" s="6">
        <f t="shared" si="3"/>
        <v>12</v>
      </c>
      <c r="AV74" s="111">
        <f t="shared" si="4"/>
        <v>1.5101980969590525E-2</v>
      </c>
      <c r="AW74" s="117">
        <f t="shared" si="5"/>
        <v>105</v>
      </c>
      <c r="AX74" s="111">
        <f t="shared" si="6"/>
        <v>1</v>
      </c>
      <c r="AY74" s="111">
        <f t="shared" si="7"/>
        <v>1</v>
      </c>
      <c r="AZ74" s="111">
        <f t="shared" si="8"/>
        <v>1</v>
      </c>
      <c r="BA74" s="111">
        <f t="shared" si="9"/>
        <v>1.5896822073253186E-2</v>
      </c>
      <c r="BB74" s="111">
        <f t="shared" si="10"/>
        <v>0</v>
      </c>
      <c r="BC74" s="111">
        <f t="shared" si="11"/>
        <v>0</v>
      </c>
      <c r="BD74" s="111">
        <v>0</v>
      </c>
      <c r="BE74" s="111">
        <f t="shared" si="12"/>
        <v>1.5896822073253186E-2</v>
      </c>
      <c r="BF74" s="6" t="str">
        <f t="shared" si="13"/>
        <v>OK</v>
      </c>
      <c r="BG74" s="16">
        <f t="shared" si="14"/>
        <v>63.625549371390676</v>
      </c>
      <c r="BH74" s="118">
        <f t="shared" si="15"/>
        <v>2.1193803644775273</v>
      </c>
      <c r="BI74" s="108">
        <f t="shared" si="16"/>
        <v>0</v>
      </c>
      <c r="BJ74" s="6">
        <f t="shared" si="17"/>
        <v>1.2440309817761237</v>
      </c>
      <c r="BK74" s="108">
        <f t="shared" si="18"/>
        <v>0</v>
      </c>
      <c r="BL74" s="118" cm="1">
        <f t="array" ref="BL74">IF(AO74=0,FactorPhi7121(BH74,"a"),noisuy2chieu(BK74,BH74,Data!$A$63:$M$85))</f>
        <v>0.86214274110469236</v>
      </c>
      <c r="BM74" s="111">
        <v>1.26</v>
      </c>
      <c r="BN74" s="118">
        <f t="shared" si="19"/>
        <v>0.99321653276810962</v>
      </c>
      <c r="BO74" s="108">
        <f t="shared" si="20"/>
        <v>3.7581539798137803E-2</v>
      </c>
      <c r="BP74" s="6" t="str">
        <f t="shared" si="21"/>
        <v>OK</v>
      </c>
      <c r="BQ74" s="16">
        <f t="shared" si="22"/>
        <v>127.25109874278135</v>
      </c>
      <c r="BR74" s="118">
        <f t="shared" si="23"/>
        <v>4.2387607289550546</v>
      </c>
      <c r="BS74" s="108">
        <f t="shared" si="24"/>
        <v>0</v>
      </c>
      <c r="BT74" s="118">
        <f t="shared" si="25"/>
        <v>1.1380619635522473</v>
      </c>
      <c r="BU74" s="108">
        <f t="shared" si="26"/>
        <v>0</v>
      </c>
      <c r="BV74" s="6" cm="1">
        <f t="array" ref="BV74">IF(AP74=0,FactorPhi7121(BR74,"a"),noisuy2chieu(BU74,BR74,Data!$A$63:$M$85))</f>
        <v>0.42299549615688942</v>
      </c>
      <c r="BW74" s="111">
        <v>1.26</v>
      </c>
      <c r="BX74" s="111">
        <f t="shared" si="27"/>
        <v>0.97286613107243858</v>
      </c>
      <c r="BY74" s="113">
        <f t="shared" si="28"/>
        <v>1.8438735623852794E-2</v>
      </c>
      <c r="BZ74" s="6" t="str">
        <f t="shared" si="29"/>
        <v>OK</v>
      </c>
      <c r="CA74" s="114">
        <f t="shared" si="30"/>
        <v>127.25109874278135</v>
      </c>
      <c r="CB74" s="115">
        <f t="shared" si="31"/>
        <v>150</v>
      </c>
      <c r="CC74" s="6" t="str">
        <f t="shared" si="32"/>
        <v>OK</v>
      </c>
      <c r="DG74" s="108"/>
      <c r="DH74" s="108"/>
      <c r="DI74" s="16"/>
      <c r="DJ74" s="108"/>
      <c r="DT74" s="6"/>
      <c r="DU74" s="6"/>
      <c r="DV74" s="111"/>
      <c r="DW74" s="111"/>
      <c r="DX74" s="111"/>
      <c r="DY74" s="111"/>
      <c r="DZ74" s="111"/>
      <c r="EA74" s="111"/>
      <c r="EB74" s="111"/>
      <c r="EC74" s="111"/>
      <c r="ED74" s="111"/>
      <c r="EE74" s="111"/>
      <c r="EF74" s="6"/>
      <c r="EG74" s="6"/>
      <c r="EH74" s="6"/>
      <c r="EI74" s="6"/>
      <c r="EJ74" s="6"/>
      <c r="EK74" s="6"/>
      <c r="EL74" s="112"/>
      <c r="EM74" s="112"/>
      <c r="EN74" s="118"/>
      <c r="EO74" s="118"/>
      <c r="EP74" s="112"/>
      <c r="EQ74" s="112"/>
      <c r="ER74" s="112"/>
      <c r="ES74" s="112"/>
      <c r="ET74" s="112"/>
      <c r="EU74" s="112"/>
      <c r="EV74" s="6"/>
      <c r="EW74" s="6"/>
      <c r="EX74" s="118"/>
      <c r="EY74" s="113"/>
      <c r="EZ74" s="6"/>
      <c r="FA74" s="114"/>
      <c r="FB74" s="115"/>
      <c r="FC74" s="6"/>
    </row>
    <row r="75" spans="27:159">
      <c r="AA75" s="79" t="s">
        <v>175</v>
      </c>
      <c r="AB75" s="80" t="s">
        <v>193</v>
      </c>
      <c r="AC75" s="81">
        <v>2.74</v>
      </c>
      <c r="AD75" s="81">
        <v>6</v>
      </c>
      <c r="AE75" s="80">
        <v>273</v>
      </c>
      <c r="AF75" s="80">
        <v>6.35</v>
      </c>
      <c r="AG75" s="108" cm="1">
        <f t="array" ref="AG75">_xll.DCEPropSectPipe(AE75, AF75, "Area")/100</f>
        <v>53.19431074856206</v>
      </c>
      <c r="AH75" s="16" cm="1">
        <f t="array" ref="AH75">_xll.DCEPropSectPipe(AE75, AF75, "Ix")/10000</f>
        <v>4730.4733077169503</v>
      </c>
      <c r="AI75" s="16" cm="1">
        <f t="array" ref="AI75">_xll.DCEPropSectPipe(AE75, AF75, "Wx")/1000</f>
        <v>346.55482107816493</v>
      </c>
      <c r="AJ75" s="108">
        <f t="shared" si="1"/>
        <v>9.4301739777164251</v>
      </c>
      <c r="AK75" s="80" t="s">
        <v>210</v>
      </c>
      <c r="AL75" s="82">
        <v>19.709305345652464</v>
      </c>
      <c r="AM75" s="82">
        <v>-2.1269585252156582</v>
      </c>
      <c r="AN75" s="82">
        <v>-0.87476306301978146</v>
      </c>
      <c r="AO75" s="82">
        <v>2.3986003188002405</v>
      </c>
      <c r="AP75" s="82">
        <v>5.8321202761413318</v>
      </c>
      <c r="AQ75" s="82">
        <v>-9.444773518319366E-2</v>
      </c>
      <c r="AR75" s="72">
        <v>1</v>
      </c>
      <c r="AS75" s="116">
        <f t="shared" si="2"/>
        <v>6</v>
      </c>
      <c r="AT75" s="7">
        <v>2</v>
      </c>
      <c r="AU75" s="6">
        <f t="shared" si="3"/>
        <v>12</v>
      </c>
      <c r="AV75" s="111">
        <f t="shared" si="4"/>
        <v>1.6210043832471398E-2</v>
      </c>
      <c r="AW75" s="117">
        <f t="shared" si="5"/>
        <v>105</v>
      </c>
      <c r="AX75" s="111">
        <f t="shared" si="6"/>
        <v>1</v>
      </c>
      <c r="AY75" s="111">
        <f t="shared" si="7"/>
        <v>1</v>
      </c>
      <c r="AZ75" s="111">
        <f t="shared" si="8"/>
        <v>1</v>
      </c>
      <c r="BA75" s="111">
        <f t="shared" si="9"/>
        <v>1.7063204034180421E-2</v>
      </c>
      <c r="BB75" s="111">
        <f t="shared" si="10"/>
        <v>3.1874280797247571E-2</v>
      </c>
      <c r="BC75" s="111">
        <f t="shared" si="11"/>
        <v>7.7501298514807485E-2</v>
      </c>
      <c r="BD75" s="111">
        <v>0</v>
      </c>
      <c r="BE75" s="111">
        <f t="shared" si="12"/>
        <v>0.12643878334623548</v>
      </c>
      <c r="BF75" s="6" t="str">
        <f t="shared" si="13"/>
        <v>OK</v>
      </c>
      <c r="BG75" s="16">
        <f t="shared" si="14"/>
        <v>63.625549371390676</v>
      </c>
      <c r="BH75" s="118">
        <f t="shared" si="15"/>
        <v>2.1193803644775273</v>
      </c>
      <c r="BI75" s="108">
        <f t="shared" si="16"/>
        <v>1.8680126389743752</v>
      </c>
      <c r="BJ75" s="6">
        <f t="shared" si="17"/>
        <v>1.1902206429037863</v>
      </c>
      <c r="BK75" s="108">
        <f t="shared" si="18"/>
        <v>2.2233472041124793</v>
      </c>
      <c r="BL75" s="118" cm="1">
        <f t="array" ref="BL75">IF(AO75=0,FactorPhi7121(BH75,"a"),noisuy2chieu(BK75,BH75,Data!$A$63:$M$85))</f>
        <v>0</v>
      </c>
      <c r="BM75" s="111">
        <v>1.26</v>
      </c>
      <c r="BN75" s="118">
        <f t="shared" si="19"/>
        <v>0.99271881606879964</v>
      </c>
      <c r="BO75" s="108" t="e">
        <f t="shared" si="20"/>
        <v>#DIV/0!</v>
      </c>
      <c r="BP75" s="6" t="e">
        <f t="shared" si="21"/>
        <v>#DIV/0!</v>
      </c>
      <c r="BQ75" s="16">
        <f t="shared" si="22"/>
        <v>127.25109874278135</v>
      </c>
      <c r="BR75" s="118">
        <f t="shared" si="23"/>
        <v>4.2387607289550546</v>
      </c>
      <c r="BS75" s="108">
        <f t="shared" si="24"/>
        <v>4.5420132326589755</v>
      </c>
      <c r="BT75" s="118">
        <f t="shared" si="25"/>
        <v>1.1034863751291892</v>
      </c>
      <c r="BU75" s="108">
        <f t="shared" si="26"/>
        <v>5.012049717895664</v>
      </c>
      <c r="BV75" s="6" cm="1">
        <f t="array" ref="BV75">IF(AP75=0,FactorPhi7121(BR75,"a"),noisuy2chieu(BU75,BR75,Data!$A$63:$M$85))</f>
        <v>0</v>
      </c>
      <c r="BW75" s="111">
        <v>1.26</v>
      </c>
      <c r="BX75" s="111">
        <f t="shared" si="27"/>
        <v>0.97087526427519866</v>
      </c>
      <c r="BY75" s="113" t="e">
        <f t="shared" si="28"/>
        <v>#DIV/0!</v>
      </c>
      <c r="BZ75" s="6" t="e">
        <f t="shared" si="29"/>
        <v>#DIV/0!</v>
      </c>
      <c r="CA75" s="114">
        <f t="shared" si="30"/>
        <v>127.25109874278135</v>
      </c>
      <c r="CB75" s="115" t="e">
        <f t="shared" si="31"/>
        <v>#DIV/0!</v>
      </c>
      <c r="CC75" s="6" t="e">
        <f t="shared" si="32"/>
        <v>#DIV/0!</v>
      </c>
      <c r="DG75" s="108"/>
      <c r="DH75" s="108"/>
      <c r="DI75" s="16"/>
      <c r="DJ75" s="108"/>
      <c r="DT75" s="6"/>
      <c r="DU75" s="6"/>
      <c r="DV75" s="111"/>
      <c r="DW75" s="111"/>
      <c r="DX75" s="111"/>
      <c r="DY75" s="111"/>
      <c r="DZ75" s="111"/>
      <c r="EA75" s="111"/>
      <c r="EB75" s="111"/>
      <c r="EC75" s="111"/>
      <c r="ED75" s="111"/>
      <c r="EE75" s="111"/>
      <c r="EF75" s="6"/>
      <c r="EG75" s="6"/>
      <c r="EH75" s="6"/>
      <c r="EI75" s="6"/>
      <c r="EJ75" s="6"/>
      <c r="EK75" s="6"/>
      <c r="EL75" s="112"/>
      <c r="EM75" s="112"/>
      <c r="EN75" s="118"/>
      <c r="EO75" s="118"/>
      <c r="EP75" s="112"/>
      <c r="EQ75" s="112"/>
      <c r="ER75" s="112"/>
      <c r="ES75" s="112"/>
      <c r="ET75" s="112"/>
      <c r="EU75" s="112"/>
      <c r="EV75" s="6"/>
      <c r="EW75" s="6"/>
      <c r="EX75" s="118"/>
      <c r="EY75" s="113"/>
      <c r="EZ75" s="6"/>
      <c r="FA75" s="114"/>
      <c r="FB75" s="115"/>
      <c r="FC75" s="6"/>
    </row>
    <row r="76" spans="27:159">
      <c r="AA76" s="79" t="s">
        <v>175</v>
      </c>
      <c r="AB76" s="80" t="s">
        <v>193</v>
      </c>
      <c r="AC76" s="81">
        <v>5.48</v>
      </c>
      <c r="AD76" s="81">
        <v>6</v>
      </c>
      <c r="AE76" s="80">
        <v>273</v>
      </c>
      <c r="AF76" s="80">
        <v>6.35</v>
      </c>
      <c r="AG76" s="108" cm="1">
        <f t="array" ref="AG76">_xll.DCEPropSectPipe(AE76, AF76, "Area")/100</f>
        <v>53.19431074856206</v>
      </c>
      <c r="AH76" s="16" cm="1">
        <f t="array" ref="AH76">_xll.DCEPropSectPipe(AE76, AF76, "Ix")/10000</f>
        <v>4730.4733077169503</v>
      </c>
      <c r="AI76" s="16" cm="1">
        <f t="array" ref="AI76">_xll.DCEPropSectPipe(AE76, AF76, "Wx")/1000</f>
        <v>346.55482107816493</v>
      </c>
      <c r="AJ76" s="108">
        <f t="shared" si="1"/>
        <v>9.4301739777164251</v>
      </c>
      <c r="AK76" s="80" t="s">
        <v>210</v>
      </c>
      <c r="AL76" s="82">
        <v>21.056565694384499</v>
      </c>
      <c r="AM76" s="82">
        <v>-2.1269585252156582</v>
      </c>
      <c r="AN76" s="82">
        <v>-0.87476306301978146</v>
      </c>
      <c r="AO76" s="82">
        <v>4.797200637600481</v>
      </c>
      <c r="AP76" s="82">
        <v>11.664240552282664</v>
      </c>
      <c r="AQ76" s="82">
        <v>-9.444773518319366E-2</v>
      </c>
      <c r="AR76" s="72">
        <v>1</v>
      </c>
      <c r="AS76" s="116">
        <f t="shared" si="2"/>
        <v>6</v>
      </c>
      <c r="AT76" s="7">
        <v>2</v>
      </c>
      <c r="AU76" s="6">
        <f t="shared" si="3"/>
        <v>12</v>
      </c>
      <c r="AV76" s="111">
        <f t="shared" si="4"/>
        <v>1.7318106695352272E-2</v>
      </c>
      <c r="AW76" s="117">
        <f t="shared" si="5"/>
        <v>105</v>
      </c>
      <c r="AX76" s="111">
        <f t="shared" si="6"/>
        <v>1</v>
      </c>
      <c r="AY76" s="111">
        <f t="shared" si="7"/>
        <v>1</v>
      </c>
      <c r="AZ76" s="111">
        <f t="shared" si="8"/>
        <v>1</v>
      </c>
      <c r="BA76" s="111">
        <f t="shared" si="9"/>
        <v>1.8229585995107656E-2</v>
      </c>
      <c r="BB76" s="111">
        <f t="shared" si="10"/>
        <v>6.3748561594495143E-2</v>
      </c>
      <c r="BC76" s="111">
        <f t="shared" si="11"/>
        <v>0.15500259702961497</v>
      </c>
      <c r="BD76" s="111">
        <v>0</v>
      </c>
      <c r="BE76" s="111">
        <f t="shared" si="12"/>
        <v>0.23698074461921775</v>
      </c>
      <c r="BF76" s="6" t="str">
        <f t="shared" si="13"/>
        <v>OK</v>
      </c>
      <c r="BG76" s="16">
        <f t="shared" si="14"/>
        <v>63.625549371390676</v>
      </c>
      <c r="BH76" s="118">
        <f t="shared" si="15"/>
        <v>2.1193803644775273</v>
      </c>
      <c r="BI76" s="108">
        <f t="shared" si="16"/>
        <v>3.4969835086547545</v>
      </c>
      <c r="BJ76" s="6">
        <f t="shared" si="17"/>
        <v>1.1432961881748323</v>
      </c>
      <c r="BK76" s="108">
        <f t="shared" si="18"/>
        <v>3.9980879155552311</v>
      </c>
      <c r="BL76" s="118" cm="1">
        <f t="array" ref="BL76">IF(AO76=0,FactorPhi7121(BH76,"a"),noisuy2chieu(BK76,BH76,Data!$A$63:$M$85))</f>
        <v>0</v>
      </c>
      <c r="BM76" s="111">
        <v>1.26</v>
      </c>
      <c r="BN76" s="118">
        <f t="shared" si="19"/>
        <v>0.99222109936948966</v>
      </c>
      <c r="BO76" s="108" t="e">
        <f t="shared" si="20"/>
        <v>#DIV/0!</v>
      </c>
      <c r="BP76" s="6" t="e">
        <f t="shared" si="21"/>
        <v>#DIV/0!</v>
      </c>
      <c r="BQ76" s="16">
        <f t="shared" si="22"/>
        <v>127.25109874278135</v>
      </c>
      <c r="BR76" s="118">
        <f t="shared" si="23"/>
        <v>4.2387607289550546</v>
      </c>
      <c r="BS76" s="108">
        <f t="shared" si="24"/>
        <v>8.5028040171188533</v>
      </c>
      <c r="BT76" s="118">
        <f t="shared" si="25"/>
        <v>1.1000000000000001</v>
      </c>
      <c r="BU76" s="108">
        <f t="shared" si="26"/>
        <v>9.3530844188307398</v>
      </c>
      <c r="BV76" s="6" cm="1">
        <f t="array" ref="BV76">IF(AP76=0,FactorPhi7121(BR76,"a"),noisuy2chieu(BU76,BR76,Data!$A$63:$M$85))</f>
        <v>0</v>
      </c>
      <c r="BW76" s="111">
        <v>1.26</v>
      </c>
      <c r="BX76" s="111">
        <f t="shared" si="27"/>
        <v>0.96888439747795863</v>
      </c>
      <c r="BY76" s="113" t="e">
        <f t="shared" si="28"/>
        <v>#DIV/0!</v>
      </c>
      <c r="BZ76" s="6" t="e">
        <f t="shared" si="29"/>
        <v>#DIV/0!</v>
      </c>
      <c r="CA76" s="114">
        <f t="shared" si="30"/>
        <v>127.25109874278135</v>
      </c>
      <c r="CB76" s="115" t="e">
        <f t="shared" si="31"/>
        <v>#DIV/0!</v>
      </c>
      <c r="CC76" s="6" t="e">
        <f t="shared" si="32"/>
        <v>#DIV/0!</v>
      </c>
      <c r="DG76" s="108"/>
      <c r="DH76" s="108"/>
      <c r="DI76" s="16"/>
      <c r="DJ76" s="108"/>
      <c r="DT76" s="6"/>
      <c r="DU76" s="6"/>
      <c r="DV76" s="111"/>
      <c r="DW76" s="111"/>
      <c r="DX76" s="111"/>
      <c r="DY76" s="111"/>
      <c r="DZ76" s="111"/>
      <c r="EA76" s="111"/>
      <c r="EB76" s="111"/>
      <c r="EC76" s="111"/>
      <c r="ED76" s="111"/>
      <c r="EE76" s="111"/>
      <c r="EF76" s="6"/>
      <c r="EG76" s="6"/>
      <c r="EH76" s="6"/>
      <c r="EI76" s="6"/>
      <c r="EJ76" s="6"/>
      <c r="EK76" s="6"/>
      <c r="EL76" s="112"/>
      <c r="EM76" s="112"/>
      <c r="EN76" s="118"/>
      <c r="EO76" s="118"/>
      <c r="EP76" s="112"/>
      <c r="EQ76" s="112"/>
      <c r="ER76" s="112"/>
      <c r="ES76" s="112"/>
      <c r="ET76" s="112"/>
      <c r="EU76" s="112"/>
      <c r="EV76" s="6"/>
      <c r="EW76" s="6"/>
      <c r="EX76" s="118"/>
      <c r="EY76" s="113"/>
      <c r="EZ76" s="6"/>
      <c r="FA76" s="114"/>
      <c r="FB76" s="115"/>
      <c r="FC76" s="6"/>
    </row>
    <row r="77" spans="27:159">
      <c r="AA77" s="79" t="s">
        <v>175</v>
      </c>
      <c r="AB77" s="80" t="s">
        <v>193</v>
      </c>
      <c r="AC77" s="81">
        <v>0</v>
      </c>
      <c r="AD77" s="81">
        <v>6</v>
      </c>
      <c r="AE77" s="80">
        <v>273</v>
      </c>
      <c r="AF77" s="80">
        <v>6.35</v>
      </c>
      <c r="AG77" s="108" cm="1">
        <f t="array" ref="AG77">_xll.DCEPropSectPipe(AE77, AF77, "Area")/100</f>
        <v>53.19431074856206</v>
      </c>
      <c r="AH77" s="16" cm="1">
        <f t="array" ref="AH77">_xll.DCEPropSectPipe(AE77, AF77, "Ix")/10000</f>
        <v>4730.4733077169503</v>
      </c>
      <c r="AI77" s="16" cm="1">
        <f t="array" ref="AI77">_xll.DCEPropSectPipe(AE77, AF77, "Wx")/1000</f>
        <v>346.55482107816493</v>
      </c>
      <c r="AJ77" s="108">
        <f t="shared" si="1"/>
        <v>9.4301739777164251</v>
      </c>
      <c r="AK77" s="80" t="s">
        <v>211</v>
      </c>
      <c r="AL77" s="82">
        <v>-75.114211577089989</v>
      </c>
      <c r="AM77" s="82">
        <v>9.7771603693454097</v>
      </c>
      <c r="AN77" s="82">
        <v>3.7981226543924769</v>
      </c>
      <c r="AO77" s="82">
        <v>0</v>
      </c>
      <c r="AP77" s="82">
        <v>0</v>
      </c>
      <c r="AQ77" s="82">
        <v>0.18590923344147903</v>
      </c>
      <c r="AR77" s="72">
        <v>1</v>
      </c>
      <c r="AS77" s="116">
        <f t="shared" si="2"/>
        <v>6</v>
      </c>
      <c r="AT77" s="7">
        <v>2</v>
      </c>
      <c r="AU77" s="6">
        <f t="shared" si="3"/>
        <v>12</v>
      </c>
      <c r="AV77" s="111">
        <f t="shared" si="4"/>
        <v>6.1778162180370397E-2</v>
      </c>
      <c r="AW77" s="117">
        <f t="shared" si="5"/>
        <v>105</v>
      </c>
      <c r="AX77" s="111">
        <f t="shared" si="6"/>
        <v>1</v>
      </c>
      <c r="AY77" s="111">
        <f t="shared" si="7"/>
        <v>1</v>
      </c>
      <c r="AZ77" s="111">
        <f t="shared" si="8"/>
        <v>1</v>
      </c>
      <c r="BA77" s="111">
        <f t="shared" si="9"/>
        <v>6.5029644400389899E-2</v>
      </c>
      <c r="BB77" s="111">
        <f t="shared" si="10"/>
        <v>0</v>
      </c>
      <c r="BC77" s="111">
        <f t="shared" si="11"/>
        <v>0</v>
      </c>
      <c r="BD77" s="111">
        <v>0</v>
      </c>
      <c r="BE77" s="111">
        <f t="shared" si="12"/>
        <v>6.5029644400389899E-2</v>
      </c>
      <c r="BF77" s="6" t="str">
        <f t="shared" si="13"/>
        <v>OK</v>
      </c>
      <c r="BG77" s="16">
        <f t="shared" si="14"/>
        <v>63.625549371390676</v>
      </c>
      <c r="BH77" s="118">
        <f t="shared" si="15"/>
        <v>2.1193803644775273</v>
      </c>
      <c r="BI77" s="108">
        <f t="shared" si="16"/>
        <v>0</v>
      </c>
      <c r="BJ77" s="6">
        <f t="shared" si="17"/>
        <v>1.2440309817761237</v>
      </c>
      <c r="BK77" s="108">
        <f t="shared" si="18"/>
        <v>0</v>
      </c>
      <c r="BL77" s="118" cm="1">
        <f t="array" ref="BL77">IF(AO77=0,FactorPhi7121(BH77,"a"),noisuy2chieu(BK77,BH77,Data!$A$63:$M$85))</f>
        <v>0.86214274110469236</v>
      </c>
      <c r="BM77" s="111">
        <v>1.26</v>
      </c>
      <c r="BN77" s="118">
        <f t="shared" si="19"/>
        <v>0.97225065111386422</v>
      </c>
      <c r="BO77" s="108">
        <f t="shared" si="20"/>
        <v>0.15373602081160304</v>
      </c>
      <c r="BP77" s="6" t="str">
        <f t="shared" si="21"/>
        <v>OK</v>
      </c>
      <c r="BQ77" s="16">
        <f t="shared" si="22"/>
        <v>127.25109874278135</v>
      </c>
      <c r="BR77" s="118">
        <f t="shared" si="23"/>
        <v>4.2387607289550546</v>
      </c>
      <c r="BS77" s="108">
        <f t="shared" si="24"/>
        <v>0</v>
      </c>
      <c r="BT77" s="118">
        <f t="shared" si="25"/>
        <v>1.1380619635522473</v>
      </c>
      <c r="BU77" s="108">
        <f t="shared" si="26"/>
        <v>0</v>
      </c>
      <c r="BV77" s="6" cm="1">
        <f t="array" ref="BV77">IF(AP77=0,FactorPhi7121(BR77,"a"),noisuy2chieu(BU77,BR77,Data!$A$63:$M$85))</f>
        <v>0.42299549615688942</v>
      </c>
      <c r="BW77" s="111">
        <v>1.26</v>
      </c>
      <c r="BX77" s="111">
        <f t="shared" si="27"/>
        <v>0.88900260445545698</v>
      </c>
      <c r="BY77" s="113">
        <f t="shared" si="28"/>
        <v>7.5427932406025064E-2</v>
      </c>
      <c r="BZ77" s="6" t="str">
        <f t="shared" si="29"/>
        <v>OK</v>
      </c>
      <c r="CA77" s="114">
        <f t="shared" si="30"/>
        <v>127.25109874278135</v>
      </c>
      <c r="CB77" s="115">
        <f t="shared" si="31"/>
        <v>150</v>
      </c>
      <c r="CC77" s="6" t="str">
        <f t="shared" si="32"/>
        <v>OK</v>
      </c>
      <c r="DG77" s="108"/>
      <c r="DH77" s="108"/>
      <c r="DI77" s="16"/>
      <c r="DJ77" s="108"/>
      <c r="DT77" s="6"/>
      <c r="DU77" s="6"/>
      <c r="DV77" s="111"/>
      <c r="DW77" s="111"/>
      <c r="DX77" s="111"/>
      <c r="DY77" s="111"/>
      <c r="DZ77" s="111"/>
      <c r="EA77" s="111"/>
      <c r="EB77" s="111"/>
      <c r="EC77" s="111"/>
      <c r="ED77" s="111"/>
      <c r="EE77" s="111"/>
      <c r="EF77" s="6"/>
      <c r="EG77" s="6"/>
      <c r="EH77" s="6"/>
      <c r="EI77" s="6"/>
      <c r="EJ77" s="6"/>
      <c r="EK77" s="6"/>
      <c r="EL77" s="112"/>
      <c r="EM77" s="112"/>
      <c r="EN77" s="118"/>
      <c r="EO77" s="118"/>
      <c r="EP77" s="112"/>
      <c r="EQ77" s="112"/>
      <c r="ER77" s="112"/>
      <c r="ES77" s="112"/>
      <c r="ET77" s="112"/>
      <c r="EU77" s="112"/>
      <c r="EV77" s="6"/>
      <c r="EW77" s="6"/>
      <c r="EX77" s="118"/>
      <c r="EY77" s="113"/>
      <c r="EZ77" s="6"/>
      <c r="FA77" s="114"/>
      <c r="FB77" s="115"/>
      <c r="FC77" s="6"/>
    </row>
    <row r="78" spans="27:159">
      <c r="AA78" s="79" t="s">
        <v>175</v>
      </c>
      <c r="AB78" s="80" t="s">
        <v>193</v>
      </c>
      <c r="AC78" s="81">
        <v>2.74</v>
      </c>
      <c r="AD78" s="81">
        <v>6</v>
      </c>
      <c r="AE78" s="80">
        <v>273</v>
      </c>
      <c r="AF78" s="80">
        <v>6.35</v>
      </c>
      <c r="AG78" s="108" cm="1">
        <f t="array" ref="AG78">_xll.DCEPropSectPipe(AE78, AF78, "Area")/100</f>
        <v>53.19431074856206</v>
      </c>
      <c r="AH78" s="16" cm="1">
        <f t="array" ref="AH78">_xll.DCEPropSectPipe(AE78, AF78, "Ix")/10000</f>
        <v>4730.4733077169503</v>
      </c>
      <c r="AI78" s="16" cm="1">
        <f t="array" ref="AI78">_xll.DCEPropSectPipe(AE78, AF78, "Wx")/1000</f>
        <v>346.55482107816493</v>
      </c>
      <c r="AJ78" s="108">
        <f t="shared" si="1"/>
        <v>9.4301739777164251</v>
      </c>
      <c r="AK78" s="80" t="s">
        <v>211</v>
      </c>
      <c r="AL78" s="82">
        <v>-73.766951228357954</v>
      </c>
      <c r="AM78" s="82">
        <v>9.7771603693454097</v>
      </c>
      <c r="AN78" s="82">
        <v>3.7981226543924769</v>
      </c>
      <c r="AO78" s="82">
        <v>-10.414452318344171</v>
      </c>
      <c r="AP78" s="82">
        <v>-26.808973732745113</v>
      </c>
      <c r="AQ78" s="82">
        <v>0.18590923344147903</v>
      </c>
      <c r="AR78" s="72">
        <v>1</v>
      </c>
      <c r="AS78" s="116">
        <f t="shared" si="2"/>
        <v>6</v>
      </c>
      <c r="AT78" s="7">
        <v>2</v>
      </c>
      <c r="AU78" s="6">
        <f t="shared" si="3"/>
        <v>12</v>
      </c>
      <c r="AV78" s="111">
        <f t="shared" si="4"/>
        <v>6.0670099317489526E-2</v>
      </c>
      <c r="AW78" s="117">
        <f t="shared" si="5"/>
        <v>105</v>
      </c>
      <c r="AX78" s="111">
        <f t="shared" si="6"/>
        <v>1</v>
      </c>
      <c r="AY78" s="111">
        <f t="shared" si="7"/>
        <v>1</v>
      </c>
      <c r="AZ78" s="111">
        <f t="shared" si="8"/>
        <v>1</v>
      </c>
      <c r="BA78" s="111">
        <f t="shared" si="9"/>
        <v>6.3863262439462665E-2</v>
      </c>
      <c r="BB78" s="111">
        <f t="shared" si="10"/>
        <v>0.1383945357392799</v>
      </c>
      <c r="BC78" s="111">
        <f t="shared" si="11"/>
        <v>0.3562564175222715</v>
      </c>
      <c r="BD78" s="111">
        <v>0</v>
      </c>
      <c r="BE78" s="111">
        <f t="shared" si="12"/>
        <v>0.55851421570101412</v>
      </c>
      <c r="BF78" s="6" t="str">
        <f t="shared" si="13"/>
        <v>OK</v>
      </c>
      <c r="BG78" s="16">
        <f t="shared" si="14"/>
        <v>63.625549371390676</v>
      </c>
      <c r="BH78" s="118">
        <f t="shared" si="15"/>
        <v>2.1193803644775273</v>
      </c>
      <c r="BI78" s="108">
        <f t="shared" si="16"/>
        <v>2.1670445644781617</v>
      </c>
      <c r="BJ78" s="6">
        <f t="shared" si="17"/>
        <v>1.1816066705412434</v>
      </c>
      <c r="BK78" s="108">
        <f t="shared" si="18"/>
        <v>2.5605943127475395</v>
      </c>
      <c r="BL78" s="118" cm="1">
        <f t="array" ref="BL78">IF(AO78=0,FactorPhi7121(BH78,"a"),noisuy2chieu(BK78,BH78,Data!$A$63:$M$85))</f>
        <v>0</v>
      </c>
      <c r="BM78" s="111">
        <v>1.26</v>
      </c>
      <c r="BN78" s="118">
        <f t="shared" si="19"/>
        <v>0.9727483678131742</v>
      </c>
      <c r="BO78" s="108" t="e">
        <f t="shared" si="20"/>
        <v>#DIV/0!</v>
      </c>
      <c r="BP78" s="6" t="e">
        <f t="shared" si="21"/>
        <v>#DIV/0!</v>
      </c>
      <c r="BQ78" s="16">
        <f t="shared" si="22"/>
        <v>127.25109874278135</v>
      </c>
      <c r="BR78" s="118">
        <f t="shared" si="23"/>
        <v>4.2387607289550546</v>
      </c>
      <c r="BS78" s="108">
        <f t="shared" si="24"/>
        <v>5.5784249647436122</v>
      </c>
      <c r="BT78" s="118">
        <f t="shared" si="25"/>
        <v>1.1000000000000001</v>
      </c>
      <c r="BU78" s="108">
        <f t="shared" si="26"/>
        <v>6.1362674612179742</v>
      </c>
      <c r="BV78" s="6" cm="1">
        <f t="array" ref="BV78">IF(AP78=0,FactorPhi7121(BR78,"a"),noisuy2chieu(BU78,BR78,Data!$A$63:$M$85))</f>
        <v>0</v>
      </c>
      <c r="BW78" s="111">
        <v>1.26</v>
      </c>
      <c r="BX78" s="111">
        <f t="shared" si="27"/>
        <v>0.89099347125269701</v>
      </c>
      <c r="BY78" s="113" t="e">
        <f t="shared" si="28"/>
        <v>#DIV/0!</v>
      </c>
      <c r="BZ78" s="6" t="e">
        <f t="shared" si="29"/>
        <v>#DIV/0!</v>
      </c>
      <c r="CA78" s="114">
        <f t="shared" si="30"/>
        <v>127.25109874278135</v>
      </c>
      <c r="CB78" s="115" t="e">
        <f t="shared" si="31"/>
        <v>#DIV/0!</v>
      </c>
      <c r="CC78" s="6" t="e">
        <f t="shared" si="32"/>
        <v>#DIV/0!</v>
      </c>
      <c r="DG78" s="108"/>
      <c r="DH78" s="108"/>
      <c r="DI78" s="16"/>
      <c r="DJ78" s="108"/>
      <c r="DT78" s="6"/>
      <c r="DU78" s="6"/>
      <c r="DV78" s="111"/>
      <c r="DW78" s="111"/>
      <c r="DX78" s="111"/>
      <c r="DY78" s="111"/>
      <c r="DZ78" s="111"/>
      <c r="EA78" s="111"/>
      <c r="EB78" s="111"/>
      <c r="EC78" s="111"/>
      <c r="ED78" s="111"/>
      <c r="EE78" s="111"/>
      <c r="EF78" s="6"/>
      <c r="EG78" s="6"/>
      <c r="EH78" s="6"/>
      <c r="EI78" s="6"/>
      <c r="EJ78" s="6"/>
      <c r="EK78" s="6"/>
      <c r="EL78" s="112"/>
      <c r="EM78" s="112"/>
      <c r="EN78" s="118"/>
      <c r="EO78" s="118"/>
      <c r="EP78" s="112"/>
      <c r="EQ78" s="112"/>
      <c r="ER78" s="112"/>
      <c r="ES78" s="112"/>
      <c r="ET78" s="112"/>
      <c r="EU78" s="112"/>
      <c r="EV78" s="6"/>
      <c r="EW78" s="6"/>
      <c r="EX78" s="118"/>
      <c r="EY78" s="113"/>
      <c r="EZ78" s="6"/>
      <c r="FA78" s="114"/>
      <c r="FB78" s="115"/>
      <c r="FC78" s="6"/>
    </row>
    <row r="79" spans="27:159">
      <c r="AA79" s="79" t="s">
        <v>175</v>
      </c>
      <c r="AB79" s="80" t="s">
        <v>193</v>
      </c>
      <c r="AC79" s="81">
        <v>5.48</v>
      </c>
      <c r="AD79" s="81">
        <v>6</v>
      </c>
      <c r="AE79" s="80">
        <v>273</v>
      </c>
      <c r="AF79" s="80">
        <v>6.35</v>
      </c>
      <c r="AG79" s="108" cm="1">
        <f t="array" ref="AG79">_xll.DCEPropSectPipe(AE79, AF79, "Area")/100</f>
        <v>53.19431074856206</v>
      </c>
      <c r="AH79" s="16" cm="1">
        <f t="array" ref="AH79">_xll.DCEPropSectPipe(AE79, AF79, "Ix")/10000</f>
        <v>4730.4733077169503</v>
      </c>
      <c r="AI79" s="16" cm="1">
        <f t="array" ref="AI79">_xll.DCEPropSectPipe(AE79, AF79, "Wx")/1000</f>
        <v>346.55482107816493</v>
      </c>
      <c r="AJ79" s="108">
        <f t="shared" si="1"/>
        <v>9.4301739777164251</v>
      </c>
      <c r="AK79" s="80" t="s">
        <v>211</v>
      </c>
      <c r="AL79" s="82">
        <v>-72.419690879625918</v>
      </c>
      <c r="AM79" s="82">
        <v>9.7771603693454097</v>
      </c>
      <c r="AN79" s="82">
        <v>3.7981226543924769</v>
      </c>
      <c r="AO79" s="82">
        <v>-20.828904636688343</v>
      </c>
      <c r="AP79" s="82">
        <v>-53.617947465490225</v>
      </c>
      <c r="AQ79" s="82">
        <v>0.18590923344147903</v>
      </c>
      <c r="AR79" s="72">
        <v>1</v>
      </c>
      <c r="AS79" s="116">
        <f t="shared" si="2"/>
        <v>6</v>
      </c>
      <c r="AT79" s="7">
        <v>2</v>
      </c>
      <c r="AU79" s="6">
        <f t="shared" si="3"/>
        <v>12</v>
      </c>
      <c r="AV79" s="111">
        <f t="shared" si="4"/>
        <v>5.9562036454608655E-2</v>
      </c>
      <c r="AW79" s="117">
        <f t="shared" si="5"/>
        <v>105</v>
      </c>
      <c r="AX79" s="111">
        <f t="shared" si="6"/>
        <v>1</v>
      </c>
      <c r="AY79" s="111">
        <f t="shared" si="7"/>
        <v>1</v>
      </c>
      <c r="AZ79" s="111">
        <f t="shared" si="8"/>
        <v>1</v>
      </c>
      <c r="BA79" s="111">
        <f t="shared" si="9"/>
        <v>6.269688047853543E-2</v>
      </c>
      <c r="BB79" s="111">
        <f t="shared" si="10"/>
        <v>0.2767890714785598</v>
      </c>
      <c r="BC79" s="111">
        <f t="shared" si="11"/>
        <v>0.71251283504454299</v>
      </c>
      <c r="BD79" s="111">
        <v>0</v>
      </c>
      <c r="BE79" s="111">
        <f t="shared" si="12"/>
        <v>1.0519987870016383</v>
      </c>
      <c r="BF79" s="6" t="str">
        <f t="shared" si="13"/>
        <v>Check</v>
      </c>
      <c r="BG79" s="16">
        <f t="shared" si="14"/>
        <v>63.625549371390676</v>
      </c>
      <c r="BH79" s="118">
        <f t="shared" si="15"/>
        <v>2.1193803644775273</v>
      </c>
      <c r="BI79" s="108">
        <f t="shared" si="16"/>
        <v>4.4147183937376262</v>
      </c>
      <c r="BJ79" s="6">
        <f t="shared" si="17"/>
        <v>1.1168597368730955</v>
      </c>
      <c r="BK79" s="108">
        <f t="shared" si="18"/>
        <v>4.93062122359862</v>
      </c>
      <c r="BL79" s="118" cm="1">
        <f t="array" ref="BL79">IF(AO79=0,FactorPhi7121(BH79,"a"),noisuy2chieu(BK79,BH79,Data!$A$63:$M$85))</f>
        <v>0</v>
      </c>
      <c r="BM79" s="111">
        <v>1.26</v>
      </c>
      <c r="BN79" s="118">
        <f t="shared" si="19"/>
        <v>0.97324608451248429</v>
      </c>
      <c r="BO79" s="108" t="e">
        <f t="shared" si="20"/>
        <v>#DIV/0!</v>
      </c>
      <c r="BP79" s="6" t="e">
        <f t="shared" si="21"/>
        <v>#DIV/0!</v>
      </c>
      <c r="BQ79" s="16">
        <f t="shared" si="22"/>
        <v>127.25109874278135</v>
      </c>
      <c r="BR79" s="118">
        <f t="shared" si="23"/>
        <v>4.2387607289550546</v>
      </c>
      <c r="BS79" s="108">
        <f t="shared" si="24"/>
        <v>11.364406484122846</v>
      </c>
      <c r="BT79" s="118">
        <f t="shared" si="25"/>
        <v>1.1000000000000001</v>
      </c>
      <c r="BU79" s="108">
        <f t="shared" si="26"/>
        <v>12.500847132535132</v>
      </c>
      <c r="BV79" s="6" cm="1">
        <f t="array" ref="BV79">IF(AP79=0,FactorPhi7121(BR79,"a"),noisuy2chieu(BU79,BR79,Data!$A$63:$M$85))</f>
        <v>0</v>
      </c>
      <c r="BW79" s="111">
        <v>1.26</v>
      </c>
      <c r="BX79" s="111">
        <f t="shared" si="27"/>
        <v>0.89298433804993693</v>
      </c>
      <c r="BY79" s="113" t="e">
        <f t="shared" si="28"/>
        <v>#DIV/0!</v>
      </c>
      <c r="BZ79" s="6" t="e">
        <f t="shared" si="29"/>
        <v>#DIV/0!</v>
      </c>
      <c r="CA79" s="114">
        <f t="shared" si="30"/>
        <v>127.25109874278135</v>
      </c>
      <c r="CB79" s="115" t="e">
        <f t="shared" si="31"/>
        <v>#DIV/0!</v>
      </c>
      <c r="CC79" s="6" t="e">
        <f t="shared" si="32"/>
        <v>#DIV/0!</v>
      </c>
      <c r="DG79" s="108"/>
      <c r="DH79" s="108"/>
      <c r="DI79" s="16"/>
      <c r="DJ79" s="108"/>
      <c r="DT79" s="6"/>
      <c r="DU79" s="6"/>
      <c r="DV79" s="111"/>
      <c r="DW79" s="111"/>
      <c r="DX79" s="111"/>
      <c r="DY79" s="111"/>
      <c r="DZ79" s="111"/>
      <c r="EA79" s="111"/>
      <c r="EB79" s="111"/>
      <c r="EC79" s="111"/>
      <c r="ED79" s="111"/>
      <c r="EE79" s="111"/>
      <c r="EF79" s="6"/>
      <c r="EG79" s="6"/>
      <c r="EH79" s="6"/>
      <c r="EI79" s="6"/>
      <c r="EJ79" s="6"/>
      <c r="EK79" s="6"/>
      <c r="EL79" s="112"/>
      <c r="EM79" s="112"/>
      <c r="EN79" s="118"/>
      <c r="EO79" s="118"/>
      <c r="EP79" s="112"/>
      <c r="EQ79" s="112"/>
      <c r="ER79" s="112"/>
      <c r="ES79" s="112"/>
      <c r="ET79" s="112"/>
      <c r="EU79" s="112"/>
      <c r="EV79" s="6"/>
      <c r="EW79" s="6"/>
      <c r="EX79" s="118"/>
      <c r="EY79" s="113"/>
      <c r="EZ79" s="6"/>
      <c r="FA79" s="114"/>
      <c r="FB79" s="115"/>
      <c r="FC79" s="6"/>
    </row>
    <row r="80" spans="27:159">
      <c r="AA80" s="79" t="s">
        <v>175</v>
      </c>
      <c r="AB80" s="80" t="s">
        <v>193</v>
      </c>
      <c r="AC80" s="81">
        <v>0</v>
      </c>
      <c r="AD80" s="81">
        <v>6</v>
      </c>
      <c r="AE80" s="80">
        <v>273</v>
      </c>
      <c r="AF80" s="80">
        <v>6.35</v>
      </c>
      <c r="AG80" s="108" cm="1">
        <f t="array" ref="AG80">_xll.DCEPropSectPipe(AE80, AF80, "Area")/100</f>
        <v>53.19431074856206</v>
      </c>
      <c r="AH80" s="16" cm="1">
        <f t="array" ref="AH80">_xll.DCEPropSectPipe(AE80, AF80, "Ix")/10000</f>
        <v>4730.4733077169503</v>
      </c>
      <c r="AI80" s="16" cm="1">
        <f t="array" ref="AI80">_xll.DCEPropSectPipe(AE80, AF80, "Wx")/1000</f>
        <v>346.55482107816493</v>
      </c>
      <c r="AJ80" s="108">
        <f t="shared" si="1"/>
        <v>9.4301739777164251</v>
      </c>
      <c r="AK80" s="80" t="s">
        <v>212</v>
      </c>
      <c r="AL80" s="82">
        <v>-88.784845336750223</v>
      </c>
      <c r="AM80" s="82">
        <v>9.7535204059000957</v>
      </c>
      <c r="AN80" s="82">
        <v>3.9903148594413858</v>
      </c>
      <c r="AO80" s="82">
        <v>0</v>
      </c>
      <c r="AP80" s="82">
        <v>0</v>
      </c>
      <c r="AQ80" s="82">
        <v>0.22385676874275623</v>
      </c>
      <c r="AR80" s="72">
        <v>1</v>
      </c>
      <c r="AS80" s="116">
        <f t="shared" si="2"/>
        <v>6</v>
      </c>
      <c r="AT80" s="7">
        <v>2</v>
      </c>
      <c r="AU80" s="6">
        <f t="shared" si="3"/>
        <v>12</v>
      </c>
      <c r="AV80" s="111">
        <f t="shared" si="4"/>
        <v>7.3021662069149437E-2</v>
      </c>
      <c r="AW80" s="117">
        <f t="shared" si="5"/>
        <v>105</v>
      </c>
      <c r="AX80" s="111">
        <f t="shared" si="6"/>
        <v>1</v>
      </c>
      <c r="AY80" s="111">
        <f t="shared" si="7"/>
        <v>1</v>
      </c>
      <c r="AZ80" s="111">
        <f t="shared" si="8"/>
        <v>1</v>
      </c>
      <c r="BA80" s="111">
        <f t="shared" si="9"/>
        <v>7.686490744120994E-2</v>
      </c>
      <c r="BB80" s="111">
        <f t="shared" si="10"/>
        <v>0</v>
      </c>
      <c r="BC80" s="111">
        <f t="shared" si="11"/>
        <v>0</v>
      </c>
      <c r="BD80" s="111">
        <v>0</v>
      </c>
      <c r="BE80" s="111">
        <f t="shared" si="12"/>
        <v>7.686490744120994E-2</v>
      </c>
      <c r="BF80" s="6" t="str">
        <f t="shared" si="13"/>
        <v>OK</v>
      </c>
      <c r="BG80" s="16">
        <f t="shared" si="14"/>
        <v>63.625549371390676</v>
      </c>
      <c r="BH80" s="118">
        <f t="shared" si="15"/>
        <v>2.1193803644775273</v>
      </c>
      <c r="BI80" s="108">
        <f t="shared" si="16"/>
        <v>0</v>
      </c>
      <c r="BJ80" s="6">
        <f t="shared" si="17"/>
        <v>1.2440309817761237</v>
      </c>
      <c r="BK80" s="108">
        <f t="shared" si="18"/>
        <v>0</v>
      </c>
      <c r="BL80" s="118" cm="1">
        <f t="array" ref="BL80">IF(AO80=0,FactorPhi7121(BH80,"a"),noisuy2chieu(BK80,BH80,Data!$A$63:$M$85))</f>
        <v>0.86214274110469236</v>
      </c>
      <c r="BM80" s="111">
        <v>1.26</v>
      </c>
      <c r="BN80" s="118">
        <f t="shared" si="19"/>
        <v>0.96720032604585671</v>
      </c>
      <c r="BO80" s="108">
        <f t="shared" si="20"/>
        <v>0.18171566397175226</v>
      </c>
      <c r="BP80" s="6" t="str">
        <f t="shared" si="21"/>
        <v>OK</v>
      </c>
      <c r="BQ80" s="16">
        <f t="shared" si="22"/>
        <v>127.25109874278135</v>
      </c>
      <c r="BR80" s="118">
        <f t="shared" si="23"/>
        <v>4.2387607289550546</v>
      </c>
      <c r="BS80" s="108">
        <f t="shared" si="24"/>
        <v>0</v>
      </c>
      <c r="BT80" s="118">
        <f t="shared" si="25"/>
        <v>1.1380619635522473</v>
      </c>
      <c r="BU80" s="108">
        <f t="shared" si="26"/>
        <v>0</v>
      </c>
      <c r="BV80" s="6" cm="1">
        <f t="array" ref="BV80">IF(AP80=0,FactorPhi7121(BR80,"a"),noisuy2chieu(BU80,BR80,Data!$A$63:$M$85))</f>
        <v>0.42299549615688942</v>
      </c>
      <c r="BW80" s="111">
        <v>1.26</v>
      </c>
      <c r="BX80" s="111">
        <f t="shared" si="27"/>
        <v>0.86880130418342694</v>
      </c>
      <c r="BY80" s="113">
        <f t="shared" si="28"/>
        <v>8.9155662718589226E-2</v>
      </c>
      <c r="BZ80" s="6" t="str">
        <f t="shared" si="29"/>
        <v>OK</v>
      </c>
      <c r="CA80" s="114">
        <f t="shared" si="30"/>
        <v>127.25109874278135</v>
      </c>
      <c r="CB80" s="115">
        <f t="shared" si="31"/>
        <v>150</v>
      </c>
      <c r="CC80" s="6" t="str">
        <f t="shared" si="32"/>
        <v>OK</v>
      </c>
      <c r="DG80" s="108"/>
      <c r="DH80" s="108"/>
      <c r="DI80" s="16"/>
      <c r="DJ80" s="108"/>
      <c r="DT80" s="6"/>
      <c r="DU80" s="6"/>
      <c r="DV80" s="111"/>
      <c r="DW80" s="111"/>
      <c r="DX80" s="111"/>
      <c r="DY80" s="111"/>
      <c r="DZ80" s="111"/>
      <c r="EA80" s="111"/>
      <c r="EB80" s="111"/>
      <c r="EC80" s="111"/>
      <c r="ED80" s="111"/>
      <c r="EE80" s="111"/>
      <c r="EF80" s="6"/>
      <c r="EG80" s="6"/>
      <c r="EH80" s="6"/>
      <c r="EI80" s="6"/>
      <c r="EJ80" s="6"/>
      <c r="EK80" s="6"/>
      <c r="EL80" s="112"/>
      <c r="EM80" s="112"/>
      <c r="EN80" s="118"/>
      <c r="EO80" s="118"/>
      <c r="EP80" s="112"/>
      <c r="EQ80" s="112"/>
      <c r="ER80" s="112"/>
      <c r="ES80" s="112"/>
      <c r="ET80" s="112"/>
      <c r="EU80" s="112"/>
      <c r="EV80" s="6"/>
      <c r="EW80" s="6"/>
      <c r="EX80" s="118"/>
      <c r="EY80" s="113"/>
      <c r="EZ80" s="6"/>
      <c r="FA80" s="114"/>
      <c r="FB80" s="115"/>
      <c r="FC80" s="6"/>
    </row>
    <row r="81" spans="27:159">
      <c r="AA81" s="79" t="s">
        <v>175</v>
      </c>
      <c r="AB81" s="80" t="s">
        <v>193</v>
      </c>
      <c r="AC81" s="81">
        <v>2.74</v>
      </c>
      <c r="AD81" s="81">
        <v>6</v>
      </c>
      <c r="AE81" s="80">
        <v>273</v>
      </c>
      <c r="AF81" s="80">
        <v>6.35</v>
      </c>
      <c r="AG81" s="108" cm="1">
        <f t="array" ref="AG81">_xll.DCEPropSectPipe(AE81, AF81, "Area")/100</f>
        <v>53.19431074856206</v>
      </c>
      <c r="AH81" s="16" cm="1">
        <f t="array" ref="AH81">_xll.DCEPropSectPipe(AE81, AF81, "Ix")/10000</f>
        <v>4730.4733077169503</v>
      </c>
      <c r="AI81" s="16" cm="1">
        <f t="array" ref="AI81">_xll.DCEPropSectPipe(AE81, AF81, "Wx")/1000</f>
        <v>346.55482107816493</v>
      </c>
      <c r="AJ81" s="108">
        <f t="shared" si="1"/>
        <v>9.4301739777164251</v>
      </c>
      <c r="AK81" s="80" t="s">
        <v>212</v>
      </c>
      <c r="AL81" s="82">
        <v>-87.437584988018187</v>
      </c>
      <c r="AM81" s="82">
        <v>9.7535204059000957</v>
      </c>
      <c r="AN81" s="82">
        <v>3.9903148594413858</v>
      </c>
      <c r="AO81" s="82">
        <v>-10.941443344588281</v>
      </c>
      <c r="AP81" s="82">
        <v>-26.744152952978059</v>
      </c>
      <c r="AQ81" s="82">
        <v>0.22385676874275623</v>
      </c>
      <c r="AR81" s="72">
        <v>1</v>
      </c>
      <c r="AS81" s="116">
        <f t="shared" si="2"/>
        <v>6</v>
      </c>
      <c r="AT81" s="7">
        <v>2</v>
      </c>
      <c r="AU81" s="6">
        <f t="shared" si="3"/>
        <v>12</v>
      </c>
      <c r="AV81" s="111">
        <f t="shared" si="4"/>
        <v>7.1913599206268566E-2</v>
      </c>
      <c r="AW81" s="117">
        <f t="shared" si="5"/>
        <v>105</v>
      </c>
      <c r="AX81" s="111">
        <f t="shared" si="6"/>
        <v>1</v>
      </c>
      <c r="AY81" s="111">
        <f t="shared" si="7"/>
        <v>1</v>
      </c>
      <c r="AZ81" s="111">
        <f t="shared" si="8"/>
        <v>1</v>
      </c>
      <c r="BA81" s="111">
        <f t="shared" si="9"/>
        <v>7.5698525480282705E-2</v>
      </c>
      <c r="BB81" s="111">
        <f t="shared" si="10"/>
        <v>0.14539756155249098</v>
      </c>
      <c r="BC81" s="111">
        <f t="shared" si="11"/>
        <v>0.3553950336061612</v>
      </c>
      <c r="BD81" s="111">
        <v>0</v>
      </c>
      <c r="BE81" s="111">
        <f t="shared" si="12"/>
        <v>0.57649112063893493</v>
      </c>
      <c r="BF81" s="6" t="str">
        <f t="shared" si="13"/>
        <v>OK</v>
      </c>
      <c r="BG81" s="16">
        <f t="shared" si="14"/>
        <v>63.625549371390676</v>
      </c>
      <c r="BH81" s="118">
        <f t="shared" si="15"/>
        <v>2.1193803644775273</v>
      </c>
      <c r="BI81" s="108">
        <f t="shared" si="16"/>
        <v>1.9207449633924889</v>
      </c>
      <c r="BJ81" s="6">
        <f t="shared" si="17"/>
        <v>1.1887016252123308</v>
      </c>
      <c r="BK81" s="108">
        <f t="shared" si="18"/>
        <v>2.2831926596030505</v>
      </c>
      <c r="BL81" s="118" cm="1">
        <f t="array" ref="BL81">IF(AO81=0,FactorPhi7121(BH81,"a"),noisuy2chieu(BK81,BH81,Data!$A$63:$M$85))</f>
        <v>0</v>
      </c>
      <c r="BM81" s="111">
        <v>1.26</v>
      </c>
      <c r="BN81" s="118">
        <f t="shared" si="19"/>
        <v>0.96769804274516669</v>
      </c>
      <c r="BO81" s="108" t="e">
        <f t="shared" si="20"/>
        <v>#DIV/0!</v>
      </c>
      <c r="BP81" s="6" t="e">
        <f t="shared" si="21"/>
        <v>#DIV/0!</v>
      </c>
      <c r="BQ81" s="16">
        <f t="shared" si="22"/>
        <v>127.25109874278135</v>
      </c>
      <c r="BR81" s="118">
        <f t="shared" si="23"/>
        <v>4.2387607289550546</v>
      </c>
      <c r="BS81" s="108">
        <f t="shared" si="24"/>
        <v>4.6948739272171345</v>
      </c>
      <c r="BT81" s="118">
        <f t="shared" si="25"/>
        <v>1.1023227394922206</v>
      </c>
      <c r="BU81" s="108">
        <f t="shared" si="26"/>
        <v>5.175266289020592</v>
      </c>
      <c r="BV81" s="6" cm="1">
        <f t="array" ref="BV81">IF(AP81=0,FactorPhi7121(BR81,"a"),noisuy2chieu(BU81,BR81,Data!$A$63:$M$85))</f>
        <v>0</v>
      </c>
      <c r="BW81" s="111">
        <v>1.26</v>
      </c>
      <c r="BX81" s="111">
        <f t="shared" si="27"/>
        <v>0.87079217098066697</v>
      </c>
      <c r="BY81" s="113" t="e">
        <f t="shared" si="28"/>
        <v>#DIV/0!</v>
      </c>
      <c r="BZ81" s="6" t="e">
        <f t="shared" si="29"/>
        <v>#DIV/0!</v>
      </c>
      <c r="CA81" s="114">
        <f t="shared" si="30"/>
        <v>127.25109874278135</v>
      </c>
      <c r="CB81" s="115" t="e">
        <f t="shared" si="31"/>
        <v>#DIV/0!</v>
      </c>
      <c r="CC81" s="6" t="e">
        <f t="shared" si="32"/>
        <v>#DIV/0!</v>
      </c>
      <c r="DG81" s="108"/>
      <c r="DH81" s="108"/>
      <c r="DI81" s="16"/>
      <c r="DJ81" s="108"/>
      <c r="DT81" s="6"/>
      <c r="DU81" s="6"/>
      <c r="DV81" s="111"/>
      <c r="DW81" s="111"/>
      <c r="DX81" s="111"/>
      <c r="DY81" s="111"/>
      <c r="DZ81" s="111"/>
      <c r="EA81" s="111"/>
      <c r="EB81" s="111"/>
      <c r="EC81" s="111"/>
      <c r="ED81" s="111"/>
      <c r="EE81" s="111"/>
      <c r="EF81" s="6"/>
      <c r="EG81" s="6"/>
      <c r="EH81" s="6"/>
      <c r="EI81" s="6"/>
      <c r="EJ81" s="6"/>
      <c r="EK81" s="6"/>
      <c r="EL81" s="112"/>
      <c r="EM81" s="112"/>
      <c r="EN81" s="118"/>
      <c r="EO81" s="118"/>
      <c r="EP81" s="112"/>
      <c r="EQ81" s="112"/>
      <c r="ER81" s="112"/>
      <c r="ES81" s="112"/>
      <c r="ET81" s="112"/>
      <c r="EU81" s="112"/>
      <c r="EV81" s="6"/>
      <c r="EW81" s="6"/>
      <c r="EX81" s="118"/>
      <c r="EY81" s="113"/>
      <c r="EZ81" s="6"/>
      <c r="FA81" s="114"/>
      <c r="FB81" s="115"/>
      <c r="FC81" s="6"/>
    </row>
    <row r="82" spans="27:159">
      <c r="AA82" s="79" t="s">
        <v>175</v>
      </c>
      <c r="AB82" s="80" t="s">
        <v>193</v>
      </c>
      <c r="AC82" s="81">
        <v>5.48</v>
      </c>
      <c r="AD82" s="81">
        <v>6</v>
      </c>
      <c r="AE82" s="80">
        <v>273</v>
      </c>
      <c r="AF82" s="80">
        <v>6.35</v>
      </c>
      <c r="AG82" s="108" cm="1">
        <f t="array" ref="AG82">_xll.DCEPropSectPipe(AE82, AF82, "Area")/100</f>
        <v>53.19431074856206</v>
      </c>
      <c r="AH82" s="16" cm="1">
        <f t="array" ref="AH82">_xll.DCEPropSectPipe(AE82, AF82, "Ix")/10000</f>
        <v>4730.4733077169503</v>
      </c>
      <c r="AI82" s="16" cm="1">
        <f t="array" ref="AI82">_xll.DCEPropSectPipe(AE82, AF82, "Wx")/1000</f>
        <v>346.55482107816493</v>
      </c>
      <c r="AJ82" s="108">
        <f t="shared" si="1"/>
        <v>9.4301739777164251</v>
      </c>
      <c r="AK82" s="80" t="s">
        <v>212</v>
      </c>
      <c r="AL82" s="82">
        <v>-86.090324639286166</v>
      </c>
      <c r="AM82" s="82">
        <v>9.7535204059000957</v>
      </c>
      <c r="AN82" s="82">
        <v>3.9903148594413858</v>
      </c>
      <c r="AO82" s="82">
        <v>-21.882886689176562</v>
      </c>
      <c r="AP82" s="82">
        <v>-53.488305905956118</v>
      </c>
      <c r="AQ82" s="82">
        <v>0.22385676874275623</v>
      </c>
      <c r="AR82" s="72">
        <v>1</v>
      </c>
      <c r="AS82" s="116">
        <f t="shared" si="2"/>
        <v>6</v>
      </c>
      <c r="AT82" s="7">
        <v>2</v>
      </c>
      <c r="AU82" s="6">
        <f t="shared" si="3"/>
        <v>12</v>
      </c>
      <c r="AV82" s="111">
        <f t="shared" si="4"/>
        <v>7.0805536343387709E-2</v>
      </c>
      <c r="AW82" s="117">
        <f t="shared" si="5"/>
        <v>105</v>
      </c>
      <c r="AX82" s="111">
        <f t="shared" si="6"/>
        <v>1</v>
      </c>
      <c r="AY82" s="111">
        <f t="shared" si="7"/>
        <v>1</v>
      </c>
      <c r="AZ82" s="111">
        <f t="shared" si="8"/>
        <v>1</v>
      </c>
      <c r="BA82" s="111">
        <f t="shared" si="9"/>
        <v>7.4532143519355484E-2</v>
      </c>
      <c r="BB82" s="111">
        <f t="shared" si="10"/>
        <v>0.29079512310498196</v>
      </c>
      <c r="BC82" s="111">
        <f t="shared" si="11"/>
        <v>0.71079006721232241</v>
      </c>
      <c r="BD82" s="111">
        <v>0</v>
      </c>
      <c r="BE82" s="111">
        <f t="shared" si="12"/>
        <v>1.0761173338366599</v>
      </c>
      <c r="BF82" s="6" t="str">
        <f t="shared" si="13"/>
        <v>Check</v>
      </c>
      <c r="BG82" s="16">
        <f t="shared" si="14"/>
        <v>63.625549371390676</v>
      </c>
      <c r="BH82" s="118">
        <f t="shared" si="15"/>
        <v>2.1193803644775273</v>
      </c>
      <c r="BI82" s="108">
        <f t="shared" si="16"/>
        <v>3.9016068688466543</v>
      </c>
      <c r="BJ82" s="6">
        <f t="shared" si="17"/>
        <v>1.1316405282112334</v>
      </c>
      <c r="BK82" s="108">
        <f t="shared" si="18"/>
        <v>4.4152164579342044</v>
      </c>
      <c r="BL82" s="118" cm="1">
        <f t="array" ref="BL82">IF(AO82=0,FactorPhi7121(BH82,"a"),noisuy2chieu(BK82,BH82,Data!$A$63:$M$85))</f>
        <v>0</v>
      </c>
      <c r="BM82" s="111">
        <v>1.26</v>
      </c>
      <c r="BN82" s="118">
        <f t="shared" si="19"/>
        <v>0.96819575944447678</v>
      </c>
      <c r="BO82" s="108" t="e">
        <f t="shared" si="20"/>
        <v>#DIV/0!</v>
      </c>
      <c r="BP82" s="6" t="e">
        <f t="shared" si="21"/>
        <v>#DIV/0!</v>
      </c>
      <c r="BQ82" s="16">
        <f t="shared" si="22"/>
        <v>127.25109874278135</v>
      </c>
      <c r="BR82" s="118">
        <f t="shared" si="23"/>
        <v>4.2387607289550546</v>
      </c>
      <c r="BS82" s="108">
        <f t="shared" si="24"/>
        <v>9.5366916024323789</v>
      </c>
      <c r="BT82" s="118">
        <f t="shared" si="25"/>
        <v>1.1000000000000001</v>
      </c>
      <c r="BU82" s="108">
        <f t="shared" si="26"/>
        <v>10.490360762675618</v>
      </c>
      <c r="BV82" s="6" cm="1">
        <f t="array" ref="BV82">IF(AP82=0,FactorPhi7121(BR82,"a"),noisuy2chieu(BU82,BR82,Data!$A$63:$M$85))</f>
        <v>0</v>
      </c>
      <c r="BW82" s="111">
        <v>1.26</v>
      </c>
      <c r="BX82" s="111">
        <f t="shared" si="27"/>
        <v>0.87278303777790689</v>
      </c>
      <c r="BY82" s="113" t="e">
        <f t="shared" si="28"/>
        <v>#DIV/0!</v>
      </c>
      <c r="BZ82" s="6" t="e">
        <f t="shared" si="29"/>
        <v>#DIV/0!</v>
      </c>
      <c r="CA82" s="114">
        <f t="shared" si="30"/>
        <v>127.25109874278135</v>
      </c>
      <c r="CB82" s="115" t="e">
        <f t="shared" si="31"/>
        <v>#DIV/0!</v>
      </c>
      <c r="CC82" s="6" t="e">
        <f t="shared" si="32"/>
        <v>#DIV/0!</v>
      </c>
      <c r="DG82" s="108"/>
      <c r="DH82" s="108"/>
      <c r="DI82" s="16"/>
      <c r="DJ82" s="108"/>
      <c r="DT82" s="6"/>
      <c r="DU82" s="6"/>
      <c r="DV82" s="111"/>
      <c r="DW82" s="111"/>
      <c r="DX82" s="111"/>
      <c r="DY82" s="111"/>
      <c r="DZ82" s="111"/>
      <c r="EA82" s="111"/>
      <c r="EB82" s="111"/>
      <c r="EC82" s="111"/>
      <c r="ED82" s="111"/>
      <c r="EE82" s="111"/>
      <c r="EF82" s="6"/>
      <c r="EG82" s="6"/>
      <c r="EH82" s="6"/>
      <c r="EI82" s="6"/>
      <c r="EJ82" s="6"/>
      <c r="EK82" s="6"/>
      <c r="EL82" s="112"/>
      <c r="EM82" s="112"/>
      <c r="EN82" s="118"/>
      <c r="EO82" s="118"/>
      <c r="EP82" s="112"/>
      <c r="EQ82" s="112"/>
      <c r="ER82" s="112"/>
      <c r="ES82" s="112"/>
      <c r="ET82" s="112"/>
      <c r="EU82" s="112"/>
      <c r="EV82" s="6"/>
      <c r="EW82" s="6"/>
      <c r="EX82" s="118"/>
      <c r="EY82" s="113"/>
      <c r="EZ82" s="6"/>
      <c r="FA82" s="114"/>
      <c r="FB82" s="115"/>
      <c r="FC82" s="6"/>
    </row>
    <row r="83" spans="27:159">
      <c r="AA83" s="79" t="s">
        <v>175</v>
      </c>
      <c r="AB83" s="80" t="s">
        <v>193</v>
      </c>
      <c r="AC83" s="81">
        <v>0</v>
      </c>
      <c r="AD83" s="81">
        <v>6</v>
      </c>
      <c r="AE83" s="80">
        <v>273</v>
      </c>
      <c r="AF83" s="80">
        <v>6.35</v>
      </c>
      <c r="AG83" s="108" cm="1">
        <f t="array" ref="AG83">_xll.DCEPropSectPipe(AE83, AF83, "Area")/100</f>
        <v>53.19431074856206</v>
      </c>
      <c r="AH83" s="16" cm="1">
        <f t="array" ref="AH83">_xll.DCEPropSectPipe(AE83, AF83, "Ix")/10000</f>
        <v>4730.4733077169503</v>
      </c>
      <c r="AI83" s="16" cm="1">
        <f t="array" ref="AI83">_xll.DCEPropSectPipe(AE83, AF83, "Wx")/1000</f>
        <v>346.55482107816493</v>
      </c>
      <c r="AJ83" s="108">
        <f t="shared" si="1"/>
        <v>9.4301739777164251</v>
      </c>
      <c r="AK83" s="80" t="s">
        <v>213</v>
      </c>
      <c r="AL83" s="82">
        <v>-21.157324028202613</v>
      </c>
      <c r="AM83" s="82">
        <v>0.9073380549359279</v>
      </c>
      <c r="AN83" s="82">
        <v>0.54450557409243416</v>
      </c>
      <c r="AO83" s="82">
        <v>0</v>
      </c>
      <c r="AP83" s="82">
        <v>0</v>
      </c>
      <c r="AQ83" s="82">
        <v>2.0621392921210013E-2</v>
      </c>
      <c r="AR83" s="72">
        <v>1</v>
      </c>
      <c r="AS83" s="116">
        <f t="shared" si="2"/>
        <v>6</v>
      </c>
      <c r="AT83" s="7">
        <v>2</v>
      </c>
      <c r="AU83" s="6">
        <f t="shared" si="3"/>
        <v>12</v>
      </c>
      <c r="AV83" s="111">
        <f t="shared" si="4"/>
        <v>1.7400976029356412E-2</v>
      </c>
      <c r="AW83" s="117">
        <f t="shared" si="5"/>
        <v>105</v>
      </c>
      <c r="AX83" s="111">
        <f t="shared" si="6"/>
        <v>1</v>
      </c>
      <c r="AY83" s="111">
        <f t="shared" si="7"/>
        <v>1</v>
      </c>
      <c r="AZ83" s="111">
        <f t="shared" si="8"/>
        <v>1</v>
      </c>
      <c r="BA83" s="111">
        <f t="shared" si="9"/>
        <v>1.831681687300675E-2</v>
      </c>
      <c r="BB83" s="111">
        <f t="shared" si="10"/>
        <v>0</v>
      </c>
      <c r="BC83" s="111">
        <f t="shared" si="11"/>
        <v>0</v>
      </c>
      <c r="BD83" s="111">
        <v>0</v>
      </c>
      <c r="BE83" s="111">
        <f t="shared" si="12"/>
        <v>1.831681687300675E-2</v>
      </c>
      <c r="BF83" s="6" t="str">
        <f t="shared" si="13"/>
        <v>OK</v>
      </c>
      <c r="BG83" s="16">
        <f t="shared" si="14"/>
        <v>63.625549371390676</v>
      </c>
      <c r="BH83" s="118">
        <f t="shared" si="15"/>
        <v>2.1193803644775273</v>
      </c>
      <c r="BI83" s="108">
        <f t="shared" si="16"/>
        <v>0</v>
      </c>
      <c r="BJ83" s="6">
        <f t="shared" si="17"/>
        <v>1.2440309817761237</v>
      </c>
      <c r="BK83" s="108">
        <f t="shared" si="18"/>
        <v>0</v>
      </c>
      <c r="BL83" s="118" cm="1">
        <f t="array" ref="BL83">IF(AO83=0,FactorPhi7121(BH83,"a"),noisuy2chieu(BK83,BH83,Data!$A$63:$M$85))</f>
        <v>0.86214274110469236</v>
      </c>
      <c r="BM83" s="111">
        <v>1.26</v>
      </c>
      <c r="BN83" s="118">
        <f t="shared" si="19"/>
        <v>0.99218387634471705</v>
      </c>
      <c r="BO83" s="108">
        <f t="shared" si="20"/>
        <v>4.3302628608161406E-2</v>
      </c>
      <c r="BP83" s="6" t="str">
        <f t="shared" si="21"/>
        <v>OK</v>
      </c>
      <c r="BQ83" s="16">
        <f t="shared" si="22"/>
        <v>127.25109874278135</v>
      </c>
      <c r="BR83" s="118">
        <f t="shared" si="23"/>
        <v>4.2387607289550546</v>
      </c>
      <c r="BS83" s="108">
        <f t="shared" si="24"/>
        <v>0</v>
      </c>
      <c r="BT83" s="118">
        <f t="shared" si="25"/>
        <v>1.1380619635522473</v>
      </c>
      <c r="BU83" s="108">
        <f t="shared" si="26"/>
        <v>0</v>
      </c>
      <c r="BV83" s="6" cm="1">
        <f t="array" ref="BV83">IF(AP83=0,FactorPhi7121(BR83,"a"),noisuy2chieu(BU83,BR83,Data!$A$63:$M$85))</f>
        <v>0.42299549615688942</v>
      </c>
      <c r="BW83" s="111">
        <v>1.26</v>
      </c>
      <c r="BX83" s="111">
        <f t="shared" si="27"/>
        <v>0.96873550537886843</v>
      </c>
      <c r="BY83" s="113">
        <f t="shared" si="28"/>
        <v>2.1245689373359213E-2</v>
      </c>
      <c r="BZ83" s="6" t="str">
        <f t="shared" si="29"/>
        <v>OK</v>
      </c>
      <c r="CA83" s="114">
        <f t="shared" si="30"/>
        <v>127.25109874278135</v>
      </c>
      <c r="CB83" s="115">
        <f t="shared" si="31"/>
        <v>150</v>
      </c>
      <c r="CC83" s="6" t="str">
        <f t="shared" si="32"/>
        <v>OK</v>
      </c>
      <c r="DG83" s="108"/>
      <c r="DH83" s="108"/>
      <c r="DI83" s="16"/>
      <c r="DJ83" s="108"/>
      <c r="DT83" s="6"/>
      <c r="DU83" s="6"/>
      <c r="DV83" s="111"/>
      <c r="DW83" s="111"/>
      <c r="DX83" s="111"/>
      <c r="DY83" s="111"/>
      <c r="DZ83" s="111"/>
      <c r="EA83" s="111"/>
      <c r="EB83" s="111"/>
      <c r="EC83" s="111"/>
      <c r="ED83" s="111"/>
      <c r="EE83" s="111"/>
      <c r="EF83" s="6"/>
      <c r="EG83" s="6"/>
      <c r="EH83" s="6"/>
      <c r="EI83" s="6"/>
      <c r="EJ83" s="6"/>
      <c r="EK83" s="6"/>
      <c r="EL83" s="112"/>
      <c r="EM83" s="112"/>
      <c r="EN83" s="118"/>
      <c r="EO83" s="118"/>
      <c r="EP83" s="112"/>
      <c r="EQ83" s="112"/>
      <c r="ER83" s="112"/>
      <c r="ES83" s="112"/>
      <c r="ET83" s="112"/>
      <c r="EU83" s="112"/>
      <c r="EV83" s="6"/>
      <c r="EW83" s="6"/>
      <c r="EX83" s="118"/>
      <c r="EY83" s="113"/>
      <c r="EZ83" s="6"/>
      <c r="FA83" s="114"/>
      <c r="FB83" s="115"/>
      <c r="FC83" s="6"/>
    </row>
    <row r="84" spans="27:159">
      <c r="AA84" s="79" t="s">
        <v>175</v>
      </c>
      <c r="AB84" s="80" t="s">
        <v>193</v>
      </c>
      <c r="AC84" s="81">
        <v>2.74</v>
      </c>
      <c r="AD84" s="81">
        <v>6</v>
      </c>
      <c r="AE84" s="80">
        <v>273</v>
      </c>
      <c r="AF84" s="80">
        <v>6.35</v>
      </c>
      <c r="AG84" s="108" cm="1">
        <f t="array" ref="AG84">_xll.DCEPropSectPipe(AE84, AF84, "Area")/100</f>
        <v>53.19431074856206</v>
      </c>
      <c r="AH84" s="16" cm="1">
        <f t="array" ref="AH84">_xll.DCEPropSectPipe(AE84, AF84, "Ix")/10000</f>
        <v>4730.4733077169503</v>
      </c>
      <c r="AI84" s="16" cm="1">
        <f t="array" ref="AI84">_xll.DCEPropSectPipe(AE84, AF84, "Wx")/1000</f>
        <v>346.55482107816493</v>
      </c>
      <c r="AJ84" s="108">
        <f t="shared" si="1"/>
        <v>9.4301739777164251</v>
      </c>
      <c r="AK84" s="80" t="s">
        <v>213</v>
      </c>
      <c r="AL84" s="82">
        <v>-19.810063679470574</v>
      </c>
      <c r="AM84" s="82">
        <v>0.9073380549359279</v>
      </c>
      <c r="AN84" s="82">
        <v>0.54450557409243416</v>
      </c>
      <c r="AO84" s="82">
        <v>-1.4930342841614541</v>
      </c>
      <c r="AP84" s="82">
        <v>-2.4879209466343126</v>
      </c>
      <c r="AQ84" s="82">
        <v>2.0621392921210013E-2</v>
      </c>
      <c r="AR84" s="72">
        <v>1</v>
      </c>
      <c r="AS84" s="116">
        <f t="shared" si="2"/>
        <v>6</v>
      </c>
      <c r="AT84" s="7">
        <v>2</v>
      </c>
      <c r="AU84" s="6">
        <f t="shared" si="3"/>
        <v>12</v>
      </c>
      <c r="AV84" s="111">
        <f t="shared" si="4"/>
        <v>1.629291316647553E-2</v>
      </c>
      <c r="AW84" s="117">
        <f t="shared" si="5"/>
        <v>105</v>
      </c>
      <c r="AX84" s="111">
        <f t="shared" si="6"/>
        <v>1</v>
      </c>
      <c r="AY84" s="111">
        <f t="shared" si="7"/>
        <v>1</v>
      </c>
      <c r="AZ84" s="111">
        <f t="shared" si="8"/>
        <v>1</v>
      </c>
      <c r="BA84" s="111">
        <f t="shared" si="9"/>
        <v>1.7150434912079508E-2</v>
      </c>
      <c r="BB84" s="111">
        <f t="shared" si="10"/>
        <v>1.9840485153059396E-2</v>
      </c>
      <c r="BC84" s="111">
        <f t="shared" si="11"/>
        <v>3.3061235851932845E-2</v>
      </c>
      <c r="BD84" s="111">
        <v>0</v>
      </c>
      <c r="BE84" s="111">
        <f t="shared" si="12"/>
        <v>7.0052155917071757E-2</v>
      </c>
      <c r="BF84" s="6" t="str">
        <f t="shared" si="13"/>
        <v>OK</v>
      </c>
      <c r="BG84" s="16">
        <f t="shared" si="14"/>
        <v>63.625549371390676</v>
      </c>
      <c r="BH84" s="118">
        <f t="shared" si="15"/>
        <v>2.1193803644775273</v>
      </c>
      <c r="BI84" s="108">
        <f t="shared" si="16"/>
        <v>1.1568502638428844</v>
      </c>
      <c r="BJ84" s="6">
        <f t="shared" si="17"/>
        <v>1.210706525922272</v>
      </c>
      <c r="BK84" s="108">
        <f t="shared" si="18"/>
        <v>1.4006061639494822</v>
      </c>
      <c r="BL84" s="118" cm="1">
        <f t="array" ref="BL84">IF(AO84=0,FactorPhi7121(BH84,"a"),noisuy2chieu(BK84,BH84,Data!$A$63:$M$85))</f>
        <v>0</v>
      </c>
      <c r="BM84" s="111">
        <v>1.26</v>
      </c>
      <c r="BN84" s="118">
        <f t="shared" si="19"/>
        <v>0.99268159304402714</v>
      </c>
      <c r="BO84" s="108" t="e">
        <f t="shared" si="20"/>
        <v>#DIV/0!</v>
      </c>
      <c r="BP84" s="6" t="e">
        <f t="shared" si="21"/>
        <v>#DIV/0!</v>
      </c>
      <c r="BQ84" s="16">
        <f t="shared" si="22"/>
        <v>127.25109874278135</v>
      </c>
      <c r="BR84" s="118">
        <f t="shared" si="23"/>
        <v>4.2387607289550546</v>
      </c>
      <c r="BS84" s="108">
        <f t="shared" si="24"/>
        <v>1.9277199687016062</v>
      </c>
      <c r="BT84" s="118">
        <f t="shared" si="25"/>
        <v>1.1233874021147154</v>
      </c>
      <c r="BU84" s="108">
        <f t="shared" si="26"/>
        <v>2.165576327644358</v>
      </c>
      <c r="BV84" s="6" cm="1">
        <f t="array" ref="BV84">IF(AP84=0,FactorPhi7121(BR84,"a"),noisuy2chieu(BU84,BR84,Data!$A$63:$M$85))</f>
        <v>0</v>
      </c>
      <c r="BW84" s="111">
        <v>1.26</v>
      </c>
      <c r="BX84" s="111">
        <f t="shared" si="27"/>
        <v>0.97072637217610847</v>
      </c>
      <c r="BY84" s="113" t="e">
        <f t="shared" si="28"/>
        <v>#DIV/0!</v>
      </c>
      <c r="BZ84" s="6" t="e">
        <f t="shared" si="29"/>
        <v>#DIV/0!</v>
      </c>
      <c r="CA84" s="114">
        <f t="shared" si="30"/>
        <v>127.25109874278135</v>
      </c>
      <c r="CB84" s="115" t="e">
        <f t="shared" si="31"/>
        <v>#DIV/0!</v>
      </c>
      <c r="CC84" s="6" t="e">
        <f t="shared" si="32"/>
        <v>#DIV/0!</v>
      </c>
      <c r="DG84" s="108"/>
      <c r="DH84" s="108"/>
      <c r="DI84" s="16"/>
      <c r="DJ84" s="108"/>
      <c r="DT84" s="6"/>
      <c r="DU84" s="6"/>
      <c r="DV84" s="111"/>
      <c r="DW84" s="111"/>
      <c r="DX84" s="111"/>
      <c r="DY84" s="111"/>
      <c r="DZ84" s="111"/>
      <c r="EA84" s="111"/>
      <c r="EB84" s="111"/>
      <c r="EC84" s="111"/>
      <c r="ED84" s="111"/>
      <c r="EE84" s="111"/>
      <c r="EF84" s="6"/>
      <c r="EG84" s="6"/>
      <c r="EH84" s="6"/>
      <c r="EI84" s="6"/>
      <c r="EJ84" s="6"/>
      <c r="EK84" s="6"/>
      <c r="EL84" s="112"/>
      <c r="EM84" s="112"/>
      <c r="EN84" s="118"/>
      <c r="EO84" s="118"/>
      <c r="EP84" s="112"/>
      <c r="EQ84" s="112"/>
      <c r="ER84" s="112"/>
      <c r="ES84" s="112"/>
      <c r="ET84" s="112"/>
      <c r="EU84" s="112"/>
      <c r="EV84" s="6"/>
      <c r="EW84" s="6"/>
      <c r="EX84" s="118"/>
      <c r="EY84" s="113"/>
      <c r="EZ84" s="6"/>
      <c r="FA84" s="114"/>
      <c r="FB84" s="115"/>
      <c r="FC84" s="6"/>
    </row>
    <row r="85" spans="27:159">
      <c r="AA85" s="79" t="s">
        <v>175</v>
      </c>
      <c r="AB85" s="80" t="s">
        <v>193</v>
      </c>
      <c r="AC85" s="81">
        <v>5.48</v>
      </c>
      <c r="AD85" s="81">
        <v>6</v>
      </c>
      <c r="AE85" s="80">
        <v>273</v>
      </c>
      <c r="AF85" s="80">
        <v>6.35</v>
      </c>
      <c r="AG85" s="108" cm="1">
        <f t="array" ref="AG85">_xll.DCEPropSectPipe(AE85, AF85, "Area")/100</f>
        <v>53.19431074856206</v>
      </c>
      <c r="AH85" s="16" cm="1">
        <f t="array" ref="AH85">_xll.DCEPropSectPipe(AE85, AF85, "Ix")/10000</f>
        <v>4730.4733077169503</v>
      </c>
      <c r="AI85" s="16" cm="1">
        <f t="array" ref="AI85">_xll.DCEPropSectPipe(AE85, AF85, "Wx")/1000</f>
        <v>346.55482107816493</v>
      </c>
      <c r="AJ85" s="108">
        <f t="shared" si="1"/>
        <v>9.4301739777164251</v>
      </c>
      <c r="AK85" s="80" t="s">
        <v>213</v>
      </c>
      <c r="AL85" s="82">
        <v>-18.462803330738545</v>
      </c>
      <c r="AM85" s="82">
        <v>0.9073380549359279</v>
      </c>
      <c r="AN85" s="82">
        <v>0.54450557409243416</v>
      </c>
      <c r="AO85" s="82">
        <v>-2.9860685683229082</v>
      </c>
      <c r="AP85" s="82">
        <v>-4.9758418932686252</v>
      </c>
      <c r="AQ85" s="82">
        <v>2.0621392921210013E-2</v>
      </c>
      <c r="AR85" s="72">
        <v>1</v>
      </c>
      <c r="AS85" s="116">
        <f t="shared" si="2"/>
        <v>6</v>
      </c>
      <c r="AT85" s="7">
        <v>2</v>
      </c>
      <c r="AU85" s="6">
        <f t="shared" si="3"/>
        <v>12</v>
      </c>
      <c r="AV85" s="111">
        <f t="shared" si="4"/>
        <v>1.5184850303594663E-2</v>
      </c>
      <c r="AW85" s="117">
        <f t="shared" si="5"/>
        <v>105</v>
      </c>
      <c r="AX85" s="111">
        <f t="shared" si="6"/>
        <v>1</v>
      </c>
      <c r="AY85" s="111">
        <f t="shared" si="7"/>
        <v>1</v>
      </c>
      <c r="AZ85" s="111">
        <f t="shared" si="8"/>
        <v>1</v>
      </c>
      <c r="BA85" s="111">
        <f t="shared" si="9"/>
        <v>1.5984052951152277E-2</v>
      </c>
      <c r="BB85" s="111">
        <f t="shared" si="10"/>
        <v>3.9680970306118793E-2</v>
      </c>
      <c r="BC85" s="111">
        <f t="shared" si="11"/>
        <v>6.612247170386569E-2</v>
      </c>
      <c r="BD85" s="111">
        <v>0</v>
      </c>
      <c r="BE85" s="111">
        <f t="shared" si="12"/>
        <v>0.12178749496113676</v>
      </c>
      <c r="BF85" s="6" t="str">
        <f t="shared" si="13"/>
        <v>OK</v>
      </c>
      <c r="BG85" s="16">
        <f t="shared" si="14"/>
        <v>63.625549371390676</v>
      </c>
      <c r="BH85" s="118">
        <f t="shared" si="15"/>
        <v>2.1193803644775273</v>
      </c>
      <c r="BI85" s="108">
        <f t="shared" si="16"/>
        <v>2.4825349632777729</v>
      </c>
      <c r="BJ85" s="6">
        <f t="shared" si="17"/>
        <v>1.1725185921652337</v>
      </c>
      <c r="BK85" s="108">
        <f t="shared" si="18"/>
        <v>2.9108184001434245</v>
      </c>
      <c r="BL85" s="118" cm="1">
        <f t="array" ref="BL85">IF(AO85=0,FactorPhi7121(BH85,"a"),noisuy2chieu(BK85,BH85,Data!$A$63:$M$85))</f>
        <v>0</v>
      </c>
      <c r="BM85" s="111">
        <v>1.26</v>
      </c>
      <c r="BN85" s="118">
        <f t="shared" si="19"/>
        <v>0.99317930974333712</v>
      </c>
      <c r="BO85" s="108" t="e">
        <f t="shared" si="20"/>
        <v>#DIV/0!</v>
      </c>
      <c r="BP85" s="6" t="e">
        <f t="shared" si="21"/>
        <v>#DIV/0!</v>
      </c>
      <c r="BQ85" s="16">
        <f t="shared" si="22"/>
        <v>127.25109874278135</v>
      </c>
      <c r="BR85" s="118">
        <f t="shared" si="23"/>
        <v>4.2387607289550546</v>
      </c>
      <c r="BS85" s="108">
        <f t="shared" si="24"/>
        <v>4.1367775686140336</v>
      </c>
      <c r="BT85" s="118">
        <f t="shared" si="25"/>
        <v>1.1065711881441789</v>
      </c>
      <c r="BU85" s="108">
        <f t="shared" si="26"/>
        <v>4.5776388691894185</v>
      </c>
      <c r="BV85" s="6" cm="1">
        <f t="array" ref="BV85">IF(AP85=0,FactorPhi7121(BR85,"a"),noisuy2chieu(BU85,BR85,Data!$A$63:$M$85))</f>
        <v>0</v>
      </c>
      <c r="BW85" s="111">
        <v>1.26</v>
      </c>
      <c r="BX85" s="111">
        <f t="shared" si="27"/>
        <v>0.97271723897334839</v>
      </c>
      <c r="BY85" s="113" t="e">
        <f t="shared" si="28"/>
        <v>#DIV/0!</v>
      </c>
      <c r="BZ85" s="6" t="e">
        <f t="shared" si="29"/>
        <v>#DIV/0!</v>
      </c>
      <c r="CA85" s="114">
        <f t="shared" si="30"/>
        <v>127.25109874278135</v>
      </c>
      <c r="CB85" s="115" t="e">
        <f t="shared" si="31"/>
        <v>#DIV/0!</v>
      </c>
      <c r="CC85" s="6" t="e">
        <f t="shared" si="32"/>
        <v>#DIV/0!</v>
      </c>
      <c r="DG85" s="108"/>
      <c r="DH85" s="108"/>
      <c r="DI85" s="16"/>
      <c r="DJ85" s="108"/>
      <c r="DT85" s="6"/>
      <c r="DU85" s="6"/>
      <c r="DV85" s="111"/>
      <c r="DW85" s="111"/>
      <c r="DX85" s="111"/>
      <c r="DY85" s="111"/>
      <c r="DZ85" s="111"/>
      <c r="EA85" s="111"/>
      <c r="EB85" s="111"/>
      <c r="EC85" s="111"/>
      <c r="ED85" s="111"/>
      <c r="EE85" s="111"/>
      <c r="EF85" s="6"/>
      <c r="EG85" s="6"/>
      <c r="EH85" s="6"/>
      <c r="EI85" s="6"/>
      <c r="EJ85" s="6"/>
      <c r="EK85" s="6"/>
      <c r="EL85" s="112"/>
      <c r="EM85" s="112"/>
      <c r="EN85" s="118"/>
      <c r="EO85" s="118"/>
      <c r="EP85" s="112"/>
      <c r="EQ85" s="112"/>
      <c r="ER85" s="112"/>
      <c r="ES85" s="112"/>
      <c r="ET85" s="112"/>
      <c r="EU85" s="112"/>
      <c r="EV85" s="6"/>
      <c r="EW85" s="6"/>
      <c r="EX85" s="118"/>
      <c r="EY85" s="113"/>
      <c r="EZ85" s="6"/>
      <c r="FA85" s="114"/>
      <c r="FB85" s="115"/>
      <c r="FC85" s="6"/>
    </row>
    <row r="86" spans="27:159">
      <c r="AA86" s="79" t="s">
        <v>175</v>
      </c>
      <c r="AB86" s="80" t="s">
        <v>193</v>
      </c>
      <c r="AC86" s="81">
        <v>0</v>
      </c>
      <c r="AD86" s="81">
        <v>6</v>
      </c>
      <c r="AE86" s="80">
        <v>273</v>
      </c>
      <c r="AF86" s="80">
        <v>6.35</v>
      </c>
      <c r="AG86" s="108" cm="1">
        <f t="array" ref="AG86">_xll.DCEPropSectPipe(AE86, AF86, "Area")/100</f>
        <v>53.19431074856206</v>
      </c>
      <c r="AH86" s="16" cm="1">
        <f t="array" ref="AH86">_xll.DCEPropSectPipe(AE86, AF86, "Ix")/10000</f>
        <v>4730.4733077169503</v>
      </c>
      <c r="AI86" s="16" cm="1">
        <f t="array" ref="AI86">_xll.DCEPropSectPipe(AE86, AF86, "Wx")/1000</f>
        <v>346.55482107816493</v>
      </c>
      <c r="AJ86" s="108">
        <f t="shared" si="1"/>
        <v>9.4301739777164251</v>
      </c>
      <c r="AK86" s="80" t="s">
        <v>214</v>
      </c>
      <c r="AL86" s="82">
        <v>-6.1196268925763642</v>
      </c>
      <c r="AM86" s="82">
        <v>0.93334201472577416</v>
      </c>
      <c r="AN86" s="82">
        <v>0.33309414853863556</v>
      </c>
      <c r="AO86" s="82">
        <v>0</v>
      </c>
      <c r="AP86" s="82">
        <v>0</v>
      </c>
      <c r="AQ86" s="82">
        <v>-2.1120895910194094E-2</v>
      </c>
      <c r="AR86" s="72">
        <v>1</v>
      </c>
      <c r="AS86" s="116">
        <f t="shared" si="2"/>
        <v>6</v>
      </c>
      <c r="AT86" s="7">
        <v>2</v>
      </c>
      <c r="AU86" s="6">
        <f t="shared" si="3"/>
        <v>12</v>
      </c>
      <c r="AV86" s="111">
        <f t="shared" si="4"/>
        <v>5.0331261516994713E-3</v>
      </c>
      <c r="AW86" s="117">
        <f t="shared" si="5"/>
        <v>105</v>
      </c>
      <c r="AX86" s="111">
        <f t="shared" si="6"/>
        <v>1</v>
      </c>
      <c r="AY86" s="111">
        <f t="shared" si="7"/>
        <v>1</v>
      </c>
      <c r="AZ86" s="111">
        <f t="shared" si="8"/>
        <v>1</v>
      </c>
      <c r="BA86" s="111">
        <f t="shared" si="9"/>
        <v>5.2980275281047061E-3</v>
      </c>
      <c r="BB86" s="111">
        <f t="shared" si="10"/>
        <v>0</v>
      </c>
      <c r="BC86" s="111">
        <f t="shared" si="11"/>
        <v>0</v>
      </c>
      <c r="BD86" s="111">
        <v>0</v>
      </c>
      <c r="BE86" s="111">
        <f t="shared" si="12"/>
        <v>5.2980275281047061E-3</v>
      </c>
      <c r="BF86" s="6" t="str">
        <f t="shared" si="13"/>
        <v>OK</v>
      </c>
      <c r="BG86" s="16">
        <f t="shared" si="14"/>
        <v>63.625549371390676</v>
      </c>
      <c r="BH86" s="118">
        <f t="shared" si="15"/>
        <v>2.1193803644775273</v>
      </c>
      <c r="BI86" s="108">
        <f t="shared" si="16"/>
        <v>0</v>
      </c>
      <c r="BJ86" s="6">
        <f t="shared" si="17"/>
        <v>1.2440309817761237</v>
      </c>
      <c r="BK86" s="108">
        <f t="shared" si="18"/>
        <v>0</v>
      </c>
      <c r="BL86" s="118" cm="1">
        <f t="array" ref="BL86">IF(AO86=0,FactorPhi7121(BH86,"a"),noisuy2chieu(BK86,BH86,Data!$A$63:$M$85))</f>
        <v>0.86214274110469236</v>
      </c>
      <c r="BM86" s="111">
        <v>1.26</v>
      </c>
      <c r="BN86" s="118">
        <f t="shared" si="19"/>
        <v>0.99773923391952535</v>
      </c>
      <c r="BO86" s="108">
        <f t="shared" si="20"/>
        <v>1.2525021131997263E-2</v>
      </c>
      <c r="BP86" s="6" t="str">
        <f t="shared" si="21"/>
        <v>OK</v>
      </c>
      <c r="BQ86" s="16">
        <f t="shared" si="22"/>
        <v>127.25109874278135</v>
      </c>
      <c r="BR86" s="118">
        <f t="shared" si="23"/>
        <v>4.2387607289550546</v>
      </c>
      <c r="BS86" s="108">
        <f t="shared" si="24"/>
        <v>0</v>
      </c>
      <c r="BT86" s="118">
        <f t="shared" si="25"/>
        <v>1.1380619635522473</v>
      </c>
      <c r="BU86" s="108">
        <f t="shared" si="26"/>
        <v>0</v>
      </c>
      <c r="BV86" s="6" cm="1">
        <f t="array" ref="BV86">IF(AP86=0,FactorPhi7121(BR86,"a"),noisuy2chieu(BU86,BR86,Data!$A$63:$M$85))</f>
        <v>0.42299549615688942</v>
      </c>
      <c r="BW86" s="111">
        <v>1.26</v>
      </c>
      <c r="BX86" s="111">
        <f t="shared" si="27"/>
        <v>0.9909569356781015</v>
      </c>
      <c r="BY86" s="113">
        <f t="shared" si="28"/>
        <v>6.1451860295386428E-3</v>
      </c>
      <c r="BZ86" s="6" t="str">
        <f t="shared" si="29"/>
        <v>OK</v>
      </c>
      <c r="CA86" s="114">
        <f t="shared" si="30"/>
        <v>127.25109874278135</v>
      </c>
      <c r="CB86" s="115">
        <f t="shared" si="31"/>
        <v>150</v>
      </c>
      <c r="CC86" s="6" t="str">
        <f t="shared" si="32"/>
        <v>OK</v>
      </c>
      <c r="DG86" s="108"/>
      <c r="DH86" s="108"/>
      <c r="DI86" s="16"/>
      <c r="DJ86" s="108"/>
      <c r="DT86" s="6"/>
      <c r="DU86" s="6"/>
      <c r="DV86" s="111"/>
      <c r="DW86" s="111"/>
      <c r="DX86" s="111"/>
      <c r="DY86" s="111"/>
      <c r="DZ86" s="111"/>
      <c r="EA86" s="111"/>
      <c r="EB86" s="111"/>
      <c r="EC86" s="111"/>
      <c r="ED86" s="111"/>
      <c r="EE86" s="111"/>
      <c r="EF86" s="6"/>
      <c r="EG86" s="6"/>
      <c r="EH86" s="6"/>
      <c r="EI86" s="6"/>
      <c r="EJ86" s="6"/>
      <c r="EK86" s="6"/>
      <c r="EL86" s="112"/>
      <c r="EM86" s="112"/>
      <c r="EN86" s="118"/>
      <c r="EO86" s="118"/>
      <c r="EP86" s="112"/>
      <c r="EQ86" s="112"/>
      <c r="ER86" s="112"/>
      <c r="ES86" s="112"/>
      <c r="ET86" s="112"/>
      <c r="EU86" s="112"/>
      <c r="EV86" s="6"/>
      <c r="EW86" s="6"/>
      <c r="EX86" s="118"/>
      <c r="EY86" s="113"/>
      <c r="EZ86" s="6"/>
      <c r="FA86" s="114"/>
      <c r="FB86" s="115"/>
      <c r="FC86" s="6"/>
    </row>
    <row r="87" spans="27:159">
      <c r="AA87" s="79" t="s">
        <v>175</v>
      </c>
      <c r="AB87" s="80" t="s">
        <v>193</v>
      </c>
      <c r="AC87" s="81">
        <v>2.74</v>
      </c>
      <c r="AD87" s="81">
        <v>6</v>
      </c>
      <c r="AE87" s="80">
        <v>273</v>
      </c>
      <c r="AF87" s="80">
        <v>6.35</v>
      </c>
      <c r="AG87" s="108" cm="1">
        <f t="array" ref="AG87">_xll.DCEPropSectPipe(AE87, AF87, "Area")/100</f>
        <v>53.19431074856206</v>
      </c>
      <c r="AH87" s="16" cm="1">
        <f t="array" ref="AH87">_xll.DCEPropSectPipe(AE87, AF87, "Ix")/10000</f>
        <v>4730.4733077169503</v>
      </c>
      <c r="AI87" s="16" cm="1">
        <f t="array" ref="AI87">_xll.DCEPropSectPipe(AE87, AF87, "Wx")/1000</f>
        <v>346.55482107816493</v>
      </c>
      <c r="AJ87" s="108">
        <f t="shared" si="1"/>
        <v>9.4301739777164251</v>
      </c>
      <c r="AK87" s="80" t="s">
        <v>214</v>
      </c>
      <c r="AL87" s="82">
        <v>-4.7723665438443268</v>
      </c>
      <c r="AM87" s="82">
        <v>0.93334201472577416</v>
      </c>
      <c r="AN87" s="82">
        <v>0.33309414853863556</v>
      </c>
      <c r="AO87" s="82">
        <v>-0.91334415529293911</v>
      </c>
      <c r="AP87" s="82">
        <v>-2.5592238043780728</v>
      </c>
      <c r="AQ87" s="82">
        <v>-2.1120895910194094E-2</v>
      </c>
      <c r="AR87" s="72">
        <v>1</v>
      </c>
      <c r="AS87" s="116">
        <f t="shared" si="2"/>
        <v>6</v>
      </c>
      <c r="AT87" s="7">
        <v>2</v>
      </c>
      <c r="AU87" s="6">
        <f t="shared" si="3"/>
        <v>12</v>
      </c>
      <c r="AV87" s="111">
        <f t="shared" si="4"/>
        <v>3.9250632888185944E-3</v>
      </c>
      <c r="AW87" s="117">
        <f t="shared" si="5"/>
        <v>105</v>
      </c>
      <c r="AX87" s="111">
        <f t="shared" si="6"/>
        <v>1</v>
      </c>
      <c r="AY87" s="111">
        <f t="shared" si="7"/>
        <v>1</v>
      </c>
      <c r="AZ87" s="111">
        <f t="shared" si="8"/>
        <v>1</v>
      </c>
      <c r="BA87" s="111">
        <f t="shared" si="9"/>
        <v>4.1316455671774679E-3</v>
      </c>
      <c r="BB87" s="111">
        <f t="shared" si="10"/>
        <v>1.2137156758527282E-2</v>
      </c>
      <c r="BC87" s="111">
        <f t="shared" si="11"/>
        <v>3.4008758159654214E-2</v>
      </c>
      <c r="BD87" s="111">
        <v>0</v>
      </c>
      <c r="BE87" s="111">
        <f t="shared" si="12"/>
        <v>5.027756048535896E-2</v>
      </c>
      <c r="BF87" s="6" t="str">
        <f t="shared" si="13"/>
        <v>OK</v>
      </c>
      <c r="BG87" s="16">
        <f t="shared" si="14"/>
        <v>63.625549371390676</v>
      </c>
      <c r="BH87" s="118">
        <f t="shared" si="15"/>
        <v>2.1193803644775273</v>
      </c>
      <c r="BI87" s="108">
        <f t="shared" si="16"/>
        <v>2.9376084083656706</v>
      </c>
      <c r="BJ87" s="6">
        <f t="shared" si="17"/>
        <v>1.159409657149983</v>
      </c>
      <c r="BK87" s="108">
        <f t="shared" si="18"/>
        <v>3.4058915575841495</v>
      </c>
      <c r="BL87" s="118" cm="1">
        <f t="array" ref="BL87">IF(AO87=0,FactorPhi7121(BH87,"a"),noisuy2chieu(BK87,BH87,Data!$A$63:$M$85))</f>
        <v>0</v>
      </c>
      <c r="BM87" s="111">
        <v>1.26</v>
      </c>
      <c r="BN87" s="118">
        <f t="shared" si="19"/>
        <v>0.99823695061883533</v>
      </c>
      <c r="BO87" s="108" t="e">
        <f t="shared" si="20"/>
        <v>#DIV/0!</v>
      </c>
      <c r="BP87" s="6" t="e">
        <f t="shared" si="21"/>
        <v>#DIV/0!</v>
      </c>
      <c r="BQ87" s="16">
        <f t="shared" si="22"/>
        <v>127.25109874278135</v>
      </c>
      <c r="BR87" s="118">
        <f t="shared" si="23"/>
        <v>4.2387607289550546</v>
      </c>
      <c r="BS87" s="108">
        <f t="shared" si="24"/>
        <v>8.2312864466947211</v>
      </c>
      <c r="BT87" s="118">
        <f t="shared" si="25"/>
        <v>1.1000000000000001</v>
      </c>
      <c r="BU87" s="108">
        <f t="shared" si="26"/>
        <v>9.0544150913641932</v>
      </c>
      <c r="BV87" s="6" cm="1">
        <f t="array" ref="BV87">IF(AP87=0,FactorPhi7121(BR87,"a"),noisuy2chieu(BU87,BR87,Data!$A$63:$M$85))</f>
        <v>0</v>
      </c>
      <c r="BW87" s="111">
        <v>1.26</v>
      </c>
      <c r="BX87" s="111">
        <f t="shared" si="27"/>
        <v>0.99294780247534142</v>
      </c>
      <c r="BY87" s="113" t="e">
        <f t="shared" si="28"/>
        <v>#DIV/0!</v>
      </c>
      <c r="BZ87" s="6" t="e">
        <f t="shared" si="29"/>
        <v>#DIV/0!</v>
      </c>
      <c r="CA87" s="114">
        <f t="shared" si="30"/>
        <v>127.25109874278135</v>
      </c>
      <c r="CB87" s="115" t="e">
        <f t="shared" si="31"/>
        <v>#DIV/0!</v>
      </c>
      <c r="CC87" s="6" t="e">
        <f t="shared" si="32"/>
        <v>#DIV/0!</v>
      </c>
      <c r="DG87" s="108"/>
      <c r="DH87" s="108"/>
      <c r="DI87" s="16"/>
      <c r="DJ87" s="108"/>
      <c r="DT87" s="6"/>
      <c r="DU87" s="6"/>
      <c r="DV87" s="111"/>
      <c r="DW87" s="111"/>
      <c r="DX87" s="111"/>
      <c r="DY87" s="111"/>
      <c r="DZ87" s="111"/>
      <c r="EA87" s="111"/>
      <c r="EB87" s="111"/>
      <c r="EC87" s="111"/>
      <c r="ED87" s="111"/>
      <c r="EE87" s="111"/>
      <c r="EF87" s="6"/>
      <c r="EG87" s="6"/>
      <c r="EH87" s="6"/>
      <c r="EI87" s="6"/>
      <c r="EJ87" s="6"/>
      <c r="EK87" s="6"/>
      <c r="EL87" s="112"/>
      <c r="EM87" s="112"/>
      <c r="EN87" s="118"/>
      <c r="EO87" s="118"/>
      <c r="EP87" s="112"/>
      <c r="EQ87" s="112"/>
      <c r="ER87" s="112"/>
      <c r="ES87" s="112"/>
      <c r="ET87" s="112"/>
      <c r="EU87" s="112"/>
      <c r="EV87" s="6"/>
      <c r="EW87" s="6"/>
      <c r="EX87" s="118"/>
      <c r="EY87" s="113"/>
      <c r="EZ87" s="6"/>
      <c r="FA87" s="114"/>
      <c r="FB87" s="115"/>
      <c r="FC87" s="6"/>
    </row>
    <row r="88" spans="27:159">
      <c r="AA88" s="79" t="s">
        <v>175</v>
      </c>
      <c r="AB88" s="80" t="s">
        <v>193</v>
      </c>
      <c r="AC88" s="81">
        <v>5.48</v>
      </c>
      <c r="AD88" s="81">
        <v>6</v>
      </c>
      <c r="AE88" s="80">
        <v>273</v>
      </c>
      <c r="AF88" s="80">
        <v>6.35</v>
      </c>
      <c r="AG88" s="108" cm="1">
        <f t="array" ref="AG88">_xll.DCEPropSectPipe(AE88, AF88, "Area")/100</f>
        <v>53.19431074856206</v>
      </c>
      <c r="AH88" s="16" cm="1">
        <f t="array" ref="AH88">_xll.DCEPropSectPipe(AE88, AF88, "Ix")/10000</f>
        <v>4730.4733077169503</v>
      </c>
      <c r="AI88" s="16" cm="1">
        <f t="array" ref="AI88">_xll.DCEPropSectPipe(AE88, AF88, "Wx")/1000</f>
        <v>346.55482107816493</v>
      </c>
      <c r="AJ88" s="108">
        <f t="shared" ref="AJ88:AJ151" si="33">SQRT(AH88/AG88)</f>
        <v>9.4301739777164251</v>
      </c>
      <c r="AK88" s="80" t="s">
        <v>214</v>
      </c>
      <c r="AL88" s="82">
        <v>-3.425106195112297</v>
      </c>
      <c r="AM88" s="82">
        <v>0.93334201472577416</v>
      </c>
      <c r="AN88" s="82">
        <v>0.33309414853863556</v>
      </c>
      <c r="AO88" s="82">
        <v>-1.8266883105858782</v>
      </c>
      <c r="AP88" s="82">
        <v>-5.1184476087561457</v>
      </c>
      <c r="AQ88" s="82">
        <v>-2.1120895910194094E-2</v>
      </c>
      <c r="AR88" s="72">
        <v>1</v>
      </c>
      <c r="AS88" s="116">
        <f t="shared" ref="AS88:AS151" si="34">AR88*AD88</f>
        <v>6</v>
      </c>
      <c r="AT88" s="7">
        <v>2</v>
      </c>
      <c r="AU88" s="6">
        <f t="shared" ref="AU88:AU151" si="35">AT88*AD88</f>
        <v>12</v>
      </c>
      <c r="AV88" s="111">
        <f t="shared" ref="AV88:AV151" si="36">ABS(AL88)/(AG88*$F$23)*10</f>
        <v>2.8170004259377248E-3</v>
      </c>
      <c r="AW88" s="117">
        <f t="shared" ref="AW88:AW151" si="37">IF(AV88&gt;0.1,104,105)</f>
        <v>105</v>
      </c>
      <c r="AX88" s="111">
        <f t="shared" ref="AX88:AX151" si="38">IF(AW88=104,1.5,1)</f>
        <v>1</v>
      </c>
      <c r="AY88" s="111">
        <f t="shared" ref="AY88:AY151" si="39">IF(AW88=104,1.26,1)</f>
        <v>1</v>
      </c>
      <c r="AZ88" s="111">
        <f t="shared" ref="AZ88:AZ151" si="40">IF(AW88=104,1.26,1)</f>
        <v>1</v>
      </c>
      <c r="BA88" s="111">
        <f t="shared" ref="BA88:BA151" si="41">(ABS(AL88)/(AG88*$F$23*$I$23)*10)^AX88</f>
        <v>2.9652636062502367E-3</v>
      </c>
      <c r="BB88" s="111">
        <f t="shared" ref="BB88:BB151" si="42">ABS(AO88)/(AY88*AI88*$F$23*$I$23)*1000</f>
        <v>2.4274313517054565E-2</v>
      </c>
      <c r="BC88" s="111">
        <f t="shared" ref="BC88:BC151" si="43">ABS(AP88)/(AZ88*AI88*$F$23*$I$23)*1000</f>
        <v>6.8017516319308427E-2</v>
      </c>
      <c r="BD88" s="111">
        <v>0</v>
      </c>
      <c r="BE88" s="111">
        <f t="shared" ref="BE88:BE151" si="44">BA88+BB88+BC88+BD88</f>
        <v>9.5257093442613225E-2</v>
      </c>
      <c r="BF88" s="6" t="str">
        <f t="shared" ref="BF88:BF151" si="45">IF(BE88&lt;=1,"OK","Check")</f>
        <v>OK</v>
      </c>
      <c r="BG88" s="16">
        <f t="shared" ref="BG88:BG151" si="46">AS88*100/AJ88</f>
        <v>63.625549371390676</v>
      </c>
      <c r="BH88" s="118">
        <f t="shared" ref="BH88:BH151" si="47">BG88*SQRT($F$23/$D$23)</f>
        <v>2.1193803644775273</v>
      </c>
      <c r="BI88" s="108">
        <f t="shared" ref="BI88:BI151" si="48">ABS((AO88/AL88)*100*AG88/AI88)</f>
        <v>8.1862244779481728</v>
      </c>
      <c r="BJ88" s="6">
        <f t="shared" ref="BJ88:BJ151" si="49">IF(AND(BH88&lt;=5,BI88&lt;=5),(1.35-0.05*BI88)-0.01*(5-BI88)*BH88,1.1)</f>
        <v>1.1000000000000001</v>
      </c>
      <c r="BK88" s="108">
        <f t="shared" ref="BK88:BK151" si="50">BI88*BJ88</f>
        <v>9.0048469257429904</v>
      </c>
      <c r="BL88" s="118" cm="1">
        <f t="array" ref="BL88">IF(AO88=0,FactorPhi7121(BH88,"a"),noisuy2chieu(BK88,BH88,Data!$A$63:$M$85))</f>
        <v>0</v>
      </c>
      <c r="BM88" s="111">
        <v>1.26</v>
      </c>
      <c r="BN88" s="118">
        <f t="shared" ref="BN88:BN151" si="51">IF(BH88&lt;=1,1,1-0.1*ABS(AL88)*BH88^2/(AG88*$F$23)*10)</f>
        <v>0.99873466731814531</v>
      </c>
      <c r="BO88" s="108" t="e">
        <f t="shared" ref="BO88:BO151" si="52">ABS(AL88)/(BV88*AG88*$F$23*$I$23)*10+ABS(AO88)*1000/(BM88*BN88*AI88*$F$23*$I$23)</f>
        <v>#DIV/0!</v>
      </c>
      <c r="BP88" s="6" t="e">
        <f t="shared" ref="BP88:BP151" si="53">IF(BO88&lt;=1,"OK","Check")</f>
        <v>#DIV/0!</v>
      </c>
      <c r="BQ88" s="16">
        <f t="shared" ref="BQ88:BQ151" si="54">AU88*100/AJ88</f>
        <v>127.25109874278135</v>
      </c>
      <c r="BR88" s="118">
        <f t="shared" ref="BR88:BR151" si="55">BQ88*SQRT($F$23/$D$23)</f>
        <v>4.2387607289550546</v>
      </c>
      <c r="BS88" s="108">
        <f t="shared" ref="BS88:BS151" si="56">ABS((AP88/AL88)*100*AG88/AI88)</f>
        <v>22.938101076727165</v>
      </c>
      <c r="BT88" s="118">
        <f t="shared" ref="BT88:BT151" si="57">IF(AND(BR88&lt;=5,BS88&lt;=5),(1.35-0.05*BS88)-0.01*(5-BS88)*BR88,1.1)</f>
        <v>1.1000000000000001</v>
      </c>
      <c r="BU88" s="108">
        <f t="shared" ref="BU88:BU151" si="58">BS88*BT88</f>
        <v>25.231911184399884</v>
      </c>
      <c r="BV88" s="6" cm="1">
        <f t="array" ref="BV88">IF(AP88=0,FactorPhi7121(BR88,"a"),noisuy2chieu(BU88,BR88,Data!$A$63:$M$85))</f>
        <v>0</v>
      </c>
      <c r="BW88" s="111">
        <v>1.26</v>
      </c>
      <c r="BX88" s="111">
        <f t="shared" ref="BX88:BX151" si="59">IF(BR88&lt;=1,1,1-0.1*ABS(AL88)*BR88^2/(AG88*$F$23)*10)</f>
        <v>0.99493866927258146</v>
      </c>
      <c r="BY88" s="113" t="e">
        <f t="shared" ref="BY88:BY151" si="60">ABS(AL88)/(BL88*AG88*$F$23*$I$23)*10+ABS(AP88)*1000/(BW88*BX88*AI88*$F$23*$I$23)</f>
        <v>#DIV/0!</v>
      </c>
      <c r="BZ88" s="6" t="e">
        <f t="shared" ref="BZ88:BZ151" si="61">IF(BY88&lt;=1,"OK","Check")</f>
        <v>#DIV/0!</v>
      </c>
      <c r="CA88" s="114">
        <f t="shared" ref="CA88:CA151" si="62">MAX(BG88,BQ88)</f>
        <v>127.25109874278135</v>
      </c>
      <c r="CB88" s="115" t="e">
        <f t="shared" ref="CB88:CB151" si="63">180-60*MAX(ABS(AL88)/(BV88*AG88*$F$23*$I$23)*10,ABS(AL88)/(BL88*AG88*$F$23*$I$23)*10,0.5)</f>
        <v>#DIV/0!</v>
      </c>
      <c r="CC88" s="6" t="e">
        <f t="shared" ref="CC88:CC151" si="64">IF(CA88&lt;=CB88,"OK","Check")</f>
        <v>#DIV/0!</v>
      </c>
      <c r="DG88" s="108"/>
      <c r="DH88" s="108"/>
      <c r="DI88" s="16"/>
      <c r="DJ88" s="108"/>
      <c r="DT88" s="6"/>
      <c r="DU88" s="6"/>
      <c r="DV88" s="111"/>
      <c r="DW88" s="111"/>
      <c r="DX88" s="111"/>
      <c r="DY88" s="111"/>
      <c r="DZ88" s="111"/>
      <c r="EA88" s="111"/>
      <c r="EB88" s="111"/>
      <c r="EC88" s="111"/>
      <c r="ED88" s="111"/>
      <c r="EE88" s="111"/>
      <c r="EF88" s="6"/>
      <c r="EG88" s="6"/>
      <c r="EH88" s="6"/>
      <c r="EI88" s="6"/>
      <c r="EJ88" s="6"/>
      <c r="EK88" s="6"/>
      <c r="EL88" s="112"/>
      <c r="EM88" s="112"/>
      <c r="EN88" s="118"/>
      <c r="EO88" s="118"/>
      <c r="EP88" s="112"/>
      <c r="EQ88" s="112"/>
      <c r="ER88" s="112"/>
      <c r="ES88" s="112"/>
      <c r="ET88" s="112"/>
      <c r="EU88" s="112"/>
      <c r="EV88" s="6"/>
      <c r="EW88" s="6"/>
      <c r="EX88" s="118"/>
      <c r="EY88" s="113"/>
      <c r="EZ88" s="6"/>
      <c r="FA88" s="114"/>
      <c r="FB88" s="115"/>
      <c r="FC88" s="6"/>
    </row>
    <row r="89" spans="27:159">
      <c r="AA89" s="79" t="s">
        <v>175</v>
      </c>
      <c r="AB89" s="80" t="s">
        <v>193</v>
      </c>
      <c r="AC89" s="81">
        <v>0</v>
      </c>
      <c r="AD89" s="81">
        <v>6</v>
      </c>
      <c r="AE89" s="80">
        <v>273</v>
      </c>
      <c r="AF89" s="80">
        <v>6.35</v>
      </c>
      <c r="AG89" s="108" cm="1">
        <f t="array" ref="AG89">_xll.DCEPropSectPipe(AE89, AF89, "Area")/100</f>
        <v>53.19431074856206</v>
      </c>
      <c r="AH89" s="16" cm="1">
        <f t="array" ref="AH89">_xll.DCEPropSectPipe(AE89, AF89, "Ix")/10000</f>
        <v>4730.4733077169503</v>
      </c>
      <c r="AI89" s="16" cm="1">
        <f t="array" ref="AI89">_xll.DCEPropSectPipe(AE89, AF89, "Wx")/1000</f>
        <v>346.55482107816493</v>
      </c>
      <c r="AJ89" s="108">
        <f t="shared" si="33"/>
        <v>9.4301739777164251</v>
      </c>
      <c r="AK89" s="80" t="s">
        <v>215</v>
      </c>
      <c r="AL89" s="82">
        <v>-76.47517663282629</v>
      </c>
      <c r="AM89" s="82">
        <v>10.053031526605935</v>
      </c>
      <c r="AN89" s="82">
        <v>3.8947050340214302</v>
      </c>
      <c r="AO89" s="82">
        <v>0</v>
      </c>
      <c r="AP89" s="82">
        <v>0</v>
      </c>
      <c r="AQ89" s="82">
        <v>0.19016856675168631</v>
      </c>
      <c r="AR89" s="72">
        <v>1</v>
      </c>
      <c r="AS89" s="116">
        <f t="shared" si="34"/>
        <v>6</v>
      </c>
      <c r="AT89" s="7">
        <v>2</v>
      </c>
      <c r="AU89" s="6">
        <f t="shared" si="35"/>
        <v>12</v>
      </c>
      <c r="AV89" s="111">
        <f t="shared" si="36"/>
        <v>6.2897496566897304E-2</v>
      </c>
      <c r="AW89" s="117">
        <f t="shared" si="37"/>
        <v>105</v>
      </c>
      <c r="AX89" s="111">
        <f t="shared" si="38"/>
        <v>1</v>
      </c>
      <c r="AY89" s="111">
        <f t="shared" si="39"/>
        <v>1</v>
      </c>
      <c r="AZ89" s="111">
        <f t="shared" si="40"/>
        <v>1</v>
      </c>
      <c r="BA89" s="111">
        <f t="shared" si="41"/>
        <v>6.6207891123049797E-2</v>
      </c>
      <c r="BB89" s="111">
        <f t="shared" si="42"/>
        <v>0</v>
      </c>
      <c r="BC89" s="111">
        <f t="shared" si="43"/>
        <v>0</v>
      </c>
      <c r="BD89" s="111">
        <v>0</v>
      </c>
      <c r="BE89" s="111">
        <f t="shared" si="44"/>
        <v>6.6207891123049797E-2</v>
      </c>
      <c r="BF89" s="6" t="str">
        <f t="shared" si="45"/>
        <v>OK</v>
      </c>
      <c r="BG89" s="16">
        <f t="shared" si="46"/>
        <v>63.625549371390676</v>
      </c>
      <c r="BH89" s="118">
        <f t="shared" si="47"/>
        <v>2.1193803644775273</v>
      </c>
      <c r="BI89" s="108">
        <f t="shared" si="48"/>
        <v>0</v>
      </c>
      <c r="BJ89" s="6">
        <f t="shared" si="49"/>
        <v>1.2440309817761237</v>
      </c>
      <c r="BK89" s="108">
        <f t="shared" si="50"/>
        <v>0</v>
      </c>
      <c r="BL89" s="118" cm="1">
        <f t="array" ref="BL89">IF(AO89=0,FactorPhi7121(BH89,"a"),noisuy2chieu(BK89,BH89,Data!$A$63:$M$85))</f>
        <v>0.86214274110469236</v>
      </c>
      <c r="BM89" s="111">
        <v>1.26</v>
      </c>
      <c r="BN89" s="118">
        <f t="shared" si="51"/>
        <v>0.97174787150185027</v>
      </c>
      <c r="BO89" s="108">
        <f t="shared" si="52"/>
        <v>0.15652150371476586</v>
      </c>
      <c r="BP89" s="6" t="str">
        <f t="shared" si="53"/>
        <v>OK</v>
      </c>
      <c r="BQ89" s="16">
        <f t="shared" si="54"/>
        <v>127.25109874278135</v>
      </c>
      <c r="BR89" s="118">
        <f t="shared" si="55"/>
        <v>4.2387607289550546</v>
      </c>
      <c r="BS89" s="108">
        <f t="shared" si="56"/>
        <v>0</v>
      </c>
      <c r="BT89" s="118">
        <f t="shared" si="57"/>
        <v>1.1380619635522473</v>
      </c>
      <c r="BU89" s="108">
        <f t="shared" si="58"/>
        <v>0</v>
      </c>
      <c r="BV89" s="6" cm="1">
        <f t="array" ref="BV89">IF(AP89=0,FactorPhi7121(BR89,"a"),noisuy2chieu(BU89,BR89,Data!$A$63:$M$85))</f>
        <v>0.42299549615688942</v>
      </c>
      <c r="BW89" s="111">
        <v>1.26</v>
      </c>
      <c r="BX89" s="111">
        <f t="shared" si="59"/>
        <v>0.88699148600740108</v>
      </c>
      <c r="BY89" s="113">
        <f t="shared" si="60"/>
        <v>7.6794581646903864E-2</v>
      </c>
      <c r="BZ89" s="6" t="str">
        <f t="shared" si="61"/>
        <v>OK</v>
      </c>
      <c r="CA89" s="114">
        <f t="shared" si="62"/>
        <v>127.25109874278135</v>
      </c>
      <c r="CB89" s="115">
        <f t="shared" si="63"/>
        <v>150</v>
      </c>
      <c r="CC89" s="6" t="str">
        <f t="shared" si="64"/>
        <v>OK</v>
      </c>
      <c r="DG89" s="108"/>
      <c r="DH89" s="108"/>
      <c r="DI89" s="16"/>
      <c r="DJ89" s="108"/>
      <c r="DT89" s="6"/>
      <c r="DU89" s="6"/>
      <c r="DV89" s="111"/>
      <c r="DW89" s="111"/>
      <c r="DX89" s="111"/>
      <c r="DY89" s="111"/>
      <c r="DZ89" s="111"/>
      <c r="EA89" s="111"/>
      <c r="EB89" s="111"/>
      <c r="EC89" s="111"/>
      <c r="ED89" s="111"/>
      <c r="EE89" s="111"/>
      <c r="EF89" s="6"/>
      <c r="EG89" s="6"/>
      <c r="EH89" s="6"/>
      <c r="EI89" s="6"/>
      <c r="EJ89" s="6"/>
      <c r="EK89" s="6"/>
      <c r="EL89" s="112"/>
      <c r="EM89" s="112"/>
      <c r="EN89" s="118"/>
      <c r="EO89" s="118"/>
      <c r="EP89" s="112"/>
      <c r="EQ89" s="112"/>
      <c r="ER89" s="112"/>
      <c r="ES89" s="112"/>
      <c r="ET89" s="112"/>
      <c r="EU89" s="112"/>
      <c r="EV89" s="6"/>
      <c r="EW89" s="6"/>
      <c r="EX89" s="118"/>
      <c r="EY89" s="113"/>
      <c r="EZ89" s="6"/>
      <c r="FA89" s="114"/>
      <c r="FB89" s="115"/>
      <c r="FC89" s="6"/>
    </row>
    <row r="90" spans="27:159">
      <c r="AA90" s="79" t="s">
        <v>175</v>
      </c>
      <c r="AB90" s="80" t="s">
        <v>193</v>
      </c>
      <c r="AC90" s="81">
        <v>2.74</v>
      </c>
      <c r="AD90" s="81">
        <v>6</v>
      </c>
      <c r="AE90" s="80">
        <v>273</v>
      </c>
      <c r="AF90" s="80">
        <v>6.35</v>
      </c>
      <c r="AG90" s="108" cm="1">
        <f t="array" ref="AG90">_xll.DCEPropSectPipe(AE90, AF90, "Area")/100</f>
        <v>53.19431074856206</v>
      </c>
      <c r="AH90" s="16" cm="1">
        <f t="array" ref="AH90">_xll.DCEPropSectPipe(AE90, AF90, "Ix")/10000</f>
        <v>4730.4733077169503</v>
      </c>
      <c r="AI90" s="16" cm="1">
        <f t="array" ref="AI90">_xll.DCEPropSectPipe(AE90, AF90, "Wx")/1000</f>
        <v>346.55482107816493</v>
      </c>
      <c r="AJ90" s="108">
        <f t="shared" si="33"/>
        <v>9.4301739777164251</v>
      </c>
      <c r="AK90" s="80" t="s">
        <v>215</v>
      </c>
      <c r="AL90" s="82">
        <v>-75.127916284094255</v>
      </c>
      <c r="AM90" s="82">
        <v>10.053031526605935</v>
      </c>
      <c r="AN90" s="82">
        <v>3.8947050340214302</v>
      </c>
      <c r="AO90" s="82">
        <v>-10.679281203286761</v>
      </c>
      <c r="AP90" s="82">
        <v>-27.56541244595347</v>
      </c>
      <c r="AQ90" s="82">
        <v>0.19016856675168631</v>
      </c>
      <c r="AR90" s="72">
        <v>1</v>
      </c>
      <c r="AS90" s="116">
        <f t="shared" si="34"/>
        <v>6</v>
      </c>
      <c r="AT90" s="7">
        <v>2</v>
      </c>
      <c r="AU90" s="6">
        <f t="shared" si="35"/>
        <v>12</v>
      </c>
      <c r="AV90" s="111">
        <f t="shared" si="36"/>
        <v>6.1789433704016426E-2</v>
      </c>
      <c r="AW90" s="117">
        <f t="shared" si="37"/>
        <v>105</v>
      </c>
      <c r="AX90" s="111">
        <f t="shared" si="38"/>
        <v>1</v>
      </c>
      <c r="AY90" s="111">
        <f t="shared" si="39"/>
        <v>1</v>
      </c>
      <c r="AZ90" s="111">
        <f t="shared" si="40"/>
        <v>1</v>
      </c>
      <c r="BA90" s="111">
        <f t="shared" si="41"/>
        <v>6.5041509162122563E-2</v>
      </c>
      <c r="BB90" s="111">
        <f t="shared" si="42"/>
        <v>0.14191376742440878</v>
      </c>
      <c r="BC90" s="111">
        <f t="shared" si="43"/>
        <v>0.36630850488410921</v>
      </c>
      <c r="BD90" s="111">
        <v>0</v>
      </c>
      <c r="BE90" s="111">
        <f t="shared" si="44"/>
        <v>0.5732637814706405</v>
      </c>
      <c r="BF90" s="6" t="str">
        <f t="shared" si="45"/>
        <v>OK</v>
      </c>
      <c r="BG90" s="16">
        <f t="shared" si="46"/>
        <v>63.625549371390676</v>
      </c>
      <c r="BH90" s="118">
        <f t="shared" si="47"/>
        <v>2.1193803644775273</v>
      </c>
      <c r="BI90" s="108">
        <f t="shared" si="48"/>
        <v>2.1818953657836313</v>
      </c>
      <c r="BJ90" s="6">
        <f t="shared" si="49"/>
        <v>1.1811788754428054</v>
      </c>
      <c r="BK90" s="108">
        <f t="shared" si="50"/>
        <v>2.5772087144901783</v>
      </c>
      <c r="BL90" s="118" cm="1">
        <f t="array" ref="BL90">IF(AO90=0,FactorPhi7121(BH90,"a"),noisuy2chieu(BK90,BH90,Data!$A$63:$M$85))</f>
        <v>0</v>
      </c>
      <c r="BM90" s="111">
        <v>1.26</v>
      </c>
      <c r="BN90" s="118">
        <f t="shared" si="51"/>
        <v>0.97224558820116025</v>
      </c>
      <c r="BO90" s="108" t="e">
        <f t="shared" si="52"/>
        <v>#DIV/0!</v>
      </c>
      <c r="BP90" s="6" t="e">
        <f t="shared" si="53"/>
        <v>#DIV/0!</v>
      </c>
      <c r="BQ90" s="16">
        <f t="shared" si="54"/>
        <v>127.25109874278135</v>
      </c>
      <c r="BR90" s="118">
        <f t="shared" si="55"/>
        <v>4.2387607289550546</v>
      </c>
      <c r="BS90" s="108">
        <f t="shared" si="56"/>
        <v>5.6319189022974259</v>
      </c>
      <c r="BT90" s="118">
        <f t="shared" si="57"/>
        <v>1.1000000000000001</v>
      </c>
      <c r="BU90" s="108">
        <f t="shared" si="58"/>
        <v>6.1951107925271689</v>
      </c>
      <c r="BV90" s="6" cm="1">
        <f t="array" ref="BV90">IF(AP90=0,FactorPhi7121(BR90,"a"),noisuy2chieu(BU90,BR90,Data!$A$63:$M$85))</f>
        <v>0</v>
      </c>
      <c r="BW90" s="111">
        <v>1.26</v>
      </c>
      <c r="BX90" s="111">
        <f t="shared" si="59"/>
        <v>0.888982352804641</v>
      </c>
      <c r="BY90" s="113" t="e">
        <f t="shared" si="60"/>
        <v>#DIV/0!</v>
      </c>
      <c r="BZ90" s="6" t="e">
        <f t="shared" si="61"/>
        <v>#DIV/0!</v>
      </c>
      <c r="CA90" s="114">
        <f t="shared" si="62"/>
        <v>127.25109874278135</v>
      </c>
      <c r="CB90" s="115" t="e">
        <f t="shared" si="63"/>
        <v>#DIV/0!</v>
      </c>
      <c r="CC90" s="6" t="e">
        <f t="shared" si="64"/>
        <v>#DIV/0!</v>
      </c>
      <c r="DG90" s="108"/>
      <c r="DH90" s="108"/>
      <c r="DI90" s="16"/>
      <c r="DJ90" s="108"/>
      <c r="DT90" s="6"/>
      <c r="DU90" s="6"/>
      <c r="DV90" s="111"/>
      <c r="DW90" s="111"/>
      <c r="DX90" s="111"/>
      <c r="DY90" s="111"/>
      <c r="DZ90" s="111"/>
      <c r="EA90" s="111"/>
      <c r="EB90" s="111"/>
      <c r="EC90" s="111"/>
      <c r="ED90" s="111"/>
      <c r="EE90" s="111"/>
      <c r="EF90" s="6"/>
      <c r="EG90" s="6"/>
      <c r="EH90" s="6"/>
      <c r="EI90" s="6"/>
      <c r="EJ90" s="6"/>
      <c r="EK90" s="6"/>
      <c r="EL90" s="112"/>
      <c r="EM90" s="112"/>
      <c r="EN90" s="118"/>
      <c r="EO90" s="118"/>
      <c r="EP90" s="112"/>
      <c r="EQ90" s="112"/>
      <c r="ER90" s="112"/>
      <c r="ES90" s="112"/>
      <c r="ET90" s="112"/>
      <c r="EU90" s="112"/>
      <c r="EV90" s="6"/>
      <c r="EW90" s="6"/>
      <c r="EX90" s="118"/>
      <c r="EY90" s="113"/>
      <c r="EZ90" s="6"/>
      <c r="FA90" s="114"/>
      <c r="FB90" s="115"/>
      <c r="FC90" s="6"/>
    </row>
    <row r="91" spans="27:159">
      <c r="AA91" s="79" t="s">
        <v>175</v>
      </c>
      <c r="AB91" s="80" t="s">
        <v>193</v>
      </c>
      <c r="AC91" s="81">
        <v>5.48</v>
      </c>
      <c r="AD91" s="81">
        <v>6</v>
      </c>
      <c r="AE91" s="80">
        <v>273</v>
      </c>
      <c r="AF91" s="80">
        <v>6.35</v>
      </c>
      <c r="AG91" s="108" cm="1">
        <f t="array" ref="AG91">_xll.DCEPropSectPipe(AE91, AF91, "Area")/100</f>
        <v>53.19431074856206</v>
      </c>
      <c r="AH91" s="16" cm="1">
        <f t="array" ref="AH91">_xll.DCEPropSectPipe(AE91, AF91, "Ix")/10000</f>
        <v>4730.4733077169503</v>
      </c>
      <c r="AI91" s="16" cm="1">
        <f t="array" ref="AI91">_xll.DCEPropSectPipe(AE91, AF91, "Wx")/1000</f>
        <v>346.55482107816493</v>
      </c>
      <c r="AJ91" s="108">
        <f t="shared" si="33"/>
        <v>9.4301739777164251</v>
      </c>
      <c r="AK91" s="80" t="s">
        <v>215</v>
      </c>
      <c r="AL91" s="82">
        <v>-73.780655935362219</v>
      </c>
      <c r="AM91" s="82">
        <v>10.053031526605935</v>
      </c>
      <c r="AN91" s="82">
        <v>3.8947050340214302</v>
      </c>
      <c r="AO91" s="82">
        <v>-21.358562406573522</v>
      </c>
      <c r="AP91" s="82">
        <v>-55.13082489190694</v>
      </c>
      <c r="AQ91" s="82">
        <v>0.19016856675168631</v>
      </c>
      <c r="AR91" s="72">
        <v>1</v>
      </c>
      <c r="AS91" s="116">
        <f t="shared" si="34"/>
        <v>6</v>
      </c>
      <c r="AT91" s="7">
        <v>2</v>
      </c>
      <c r="AU91" s="6">
        <f t="shared" si="35"/>
        <v>12</v>
      </c>
      <c r="AV91" s="111">
        <f t="shared" si="36"/>
        <v>6.0681370841135562E-2</v>
      </c>
      <c r="AW91" s="117">
        <f t="shared" si="37"/>
        <v>105</v>
      </c>
      <c r="AX91" s="111">
        <f t="shared" si="38"/>
        <v>1</v>
      </c>
      <c r="AY91" s="111">
        <f t="shared" si="39"/>
        <v>1</v>
      </c>
      <c r="AZ91" s="111">
        <f t="shared" si="40"/>
        <v>1</v>
      </c>
      <c r="BA91" s="111">
        <f t="shared" si="41"/>
        <v>6.3875127201195328E-2</v>
      </c>
      <c r="BB91" s="111">
        <f t="shared" si="42"/>
        <v>0.28382753484881756</v>
      </c>
      <c r="BC91" s="111">
        <f t="shared" si="43"/>
        <v>0.73261700976821842</v>
      </c>
      <c r="BD91" s="111">
        <v>0</v>
      </c>
      <c r="BE91" s="111">
        <f t="shared" si="44"/>
        <v>1.0803196718182313</v>
      </c>
      <c r="BF91" s="6" t="str">
        <f t="shared" si="45"/>
        <v>Check</v>
      </c>
      <c r="BG91" s="16">
        <f t="shared" si="46"/>
        <v>63.625549371390676</v>
      </c>
      <c r="BH91" s="118">
        <f t="shared" si="47"/>
        <v>2.1193803644775273</v>
      </c>
      <c r="BI91" s="108">
        <f t="shared" si="48"/>
        <v>4.4434750627550406</v>
      </c>
      <c r="BJ91" s="6">
        <f t="shared" si="49"/>
        <v>1.1160313666188575</v>
      </c>
      <c r="BK91" s="108">
        <f t="shared" si="50"/>
        <v>4.9590575468233213</v>
      </c>
      <c r="BL91" s="118" cm="1">
        <f t="array" ref="BL91">IF(AO91=0,FactorPhi7121(BH91,"a"),noisuy2chieu(BK91,BH91,Data!$A$63:$M$85))</f>
        <v>0</v>
      </c>
      <c r="BM91" s="111">
        <v>1.26</v>
      </c>
      <c r="BN91" s="118">
        <f t="shared" si="51"/>
        <v>0.97274330490047023</v>
      </c>
      <c r="BO91" s="108" t="e">
        <f t="shared" si="52"/>
        <v>#DIV/0!</v>
      </c>
      <c r="BP91" s="6" t="e">
        <f t="shared" si="53"/>
        <v>#DIV/0!</v>
      </c>
      <c r="BQ91" s="16">
        <f t="shared" si="54"/>
        <v>127.25109874278135</v>
      </c>
      <c r="BR91" s="118">
        <f t="shared" si="55"/>
        <v>4.2387607289550546</v>
      </c>
      <c r="BS91" s="108">
        <f t="shared" si="56"/>
        <v>11.469519386796755</v>
      </c>
      <c r="BT91" s="118">
        <f t="shared" si="57"/>
        <v>1.1000000000000001</v>
      </c>
      <c r="BU91" s="108">
        <f t="shared" si="58"/>
        <v>12.61647132547643</v>
      </c>
      <c r="BV91" s="6" cm="1">
        <f t="array" ref="BV91">IF(AP91=0,FactorPhi7121(BR91,"a"),noisuy2chieu(BU91,BR91,Data!$A$63:$M$85))</f>
        <v>0</v>
      </c>
      <c r="BW91" s="111">
        <v>1.26</v>
      </c>
      <c r="BX91" s="111">
        <f t="shared" si="59"/>
        <v>0.89097321960188103</v>
      </c>
      <c r="BY91" s="113" t="e">
        <f t="shared" si="60"/>
        <v>#DIV/0!</v>
      </c>
      <c r="BZ91" s="6" t="e">
        <f t="shared" si="61"/>
        <v>#DIV/0!</v>
      </c>
      <c r="CA91" s="114">
        <f t="shared" si="62"/>
        <v>127.25109874278135</v>
      </c>
      <c r="CB91" s="115" t="e">
        <f t="shared" si="63"/>
        <v>#DIV/0!</v>
      </c>
      <c r="CC91" s="6" t="e">
        <f t="shared" si="64"/>
        <v>#DIV/0!</v>
      </c>
      <c r="DG91" s="108"/>
      <c r="DH91" s="108"/>
      <c r="DI91" s="16"/>
      <c r="DJ91" s="108"/>
      <c r="DT91" s="6"/>
      <c r="DU91" s="6"/>
      <c r="DV91" s="111"/>
      <c r="DW91" s="111"/>
      <c r="DX91" s="111"/>
      <c r="DY91" s="111"/>
      <c r="DZ91" s="111"/>
      <c r="EA91" s="111"/>
      <c r="EB91" s="111"/>
      <c r="EC91" s="111"/>
      <c r="ED91" s="111"/>
      <c r="EE91" s="111"/>
      <c r="EF91" s="6"/>
      <c r="EG91" s="6"/>
      <c r="EH91" s="6"/>
      <c r="EI91" s="6"/>
      <c r="EJ91" s="6"/>
      <c r="EK91" s="6"/>
      <c r="EL91" s="112"/>
      <c r="EM91" s="112"/>
      <c r="EN91" s="118"/>
      <c r="EO91" s="118"/>
      <c r="EP91" s="112"/>
      <c r="EQ91" s="112"/>
      <c r="ER91" s="112"/>
      <c r="ES91" s="112"/>
      <c r="ET91" s="112"/>
      <c r="EU91" s="112"/>
      <c r="EV91" s="6"/>
      <c r="EW91" s="6"/>
      <c r="EX91" s="118"/>
      <c r="EY91" s="113"/>
      <c r="EZ91" s="6"/>
      <c r="FA91" s="114"/>
      <c r="FB91" s="115"/>
      <c r="FC91" s="6"/>
    </row>
    <row r="92" spans="27:159">
      <c r="AA92" s="79" t="s">
        <v>175</v>
      </c>
      <c r="AB92" s="80" t="s">
        <v>193</v>
      </c>
      <c r="AC92" s="81">
        <v>0</v>
      </c>
      <c r="AD92" s="81">
        <v>6</v>
      </c>
      <c r="AE92" s="80">
        <v>273</v>
      </c>
      <c r="AF92" s="80">
        <v>6.35</v>
      </c>
      <c r="AG92" s="108" cm="1">
        <f t="array" ref="AG92">_xll.DCEPropSectPipe(AE92, AF92, "Area")/100</f>
        <v>53.19431074856206</v>
      </c>
      <c r="AH92" s="16" cm="1">
        <f t="array" ref="AH92">_xll.DCEPropSectPipe(AE92, AF92, "Ix")/10000</f>
        <v>4730.4733077169503</v>
      </c>
      <c r="AI92" s="16" cm="1">
        <f t="array" ref="AI92">_xll.DCEPropSectPipe(AE92, AF92, "Wx")/1000</f>
        <v>346.55482107816493</v>
      </c>
      <c r="AJ92" s="108">
        <f t="shared" si="33"/>
        <v>9.4301739777164251</v>
      </c>
      <c r="AK92" s="80" t="s">
        <v>216</v>
      </c>
      <c r="AL92" s="82">
        <v>-91.664769699115439</v>
      </c>
      <c r="AM92" s="82">
        <v>10.026764900555589</v>
      </c>
      <c r="AN92" s="82">
        <v>4.1082519285202173</v>
      </c>
      <c r="AO92" s="82">
        <v>0</v>
      </c>
      <c r="AP92" s="82">
        <v>0</v>
      </c>
      <c r="AQ92" s="82">
        <v>0.23233249486421656</v>
      </c>
      <c r="AR92" s="72">
        <v>1</v>
      </c>
      <c r="AS92" s="116">
        <f t="shared" si="34"/>
        <v>6</v>
      </c>
      <c r="AT92" s="7">
        <v>2</v>
      </c>
      <c r="AU92" s="6">
        <f t="shared" si="35"/>
        <v>12</v>
      </c>
      <c r="AV92" s="111">
        <f t="shared" si="36"/>
        <v>7.5390274221096232E-2</v>
      </c>
      <c r="AW92" s="117">
        <f t="shared" si="37"/>
        <v>105</v>
      </c>
      <c r="AX92" s="111">
        <f t="shared" si="38"/>
        <v>1</v>
      </c>
      <c r="AY92" s="111">
        <f t="shared" si="39"/>
        <v>1</v>
      </c>
      <c r="AZ92" s="111">
        <f t="shared" si="40"/>
        <v>1</v>
      </c>
      <c r="BA92" s="111">
        <f t="shared" si="41"/>
        <v>7.9358183390627626E-2</v>
      </c>
      <c r="BB92" s="111">
        <f t="shared" si="42"/>
        <v>0</v>
      </c>
      <c r="BC92" s="111">
        <f t="shared" si="43"/>
        <v>0</v>
      </c>
      <c r="BD92" s="111">
        <v>0</v>
      </c>
      <c r="BE92" s="111">
        <f t="shared" si="44"/>
        <v>7.9358183390627626E-2</v>
      </c>
      <c r="BF92" s="6" t="str">
        <f t="shared" si="45"/>
        <v>OK</v>
      </c>
      <c r="BG92" s="16">
        <f t="shared" si="46"/>
        <v>63.625549371390676</v>
      </c>
      <c r="BH92" s="118">
        <f t="shared" si="47"/>
        <v>2.1193803644775273</v>
      </c>
      <c r="BI92" s="108">
        <f t="shared" si="48"/>
        <v>0</v>
      </c>
      <c r="BJ92" s="6">
        <f t="shared" si="49"/>
        <v>1.2440309817761237</v>
      </c>
      <c r="BK92" s="108">
        <f t="shared" si="50"/>
        <v>0</v>
      </c>
      <c r="BL92" s="118" cm="1">
        <f t="array" ref="BL92">IF(AO92=0,FactorPhi7121(BH92,"a"),noisuy2chieu(BK92,BH92,Data!$A$63:$M$85))</f>
        <v>0.86214274110469236</v>
      </c>
      <c r="BM92" s="111">
        <v>1.26</v>
      </c>
      <c r="BN92" s="118">
        <f t="shared" si="51"/>
        <v>0.96613639920406413</v>
      </c>
      <c r="BO92" s="108">
        <f t="shared" si="52"/>
        <v>0.18760999611493168</v>
      </c>
      <c r="BP92" s="6" t="str">
        <f t="shared" si="53"/>
        <v>OK</v>
      </c>
      <c r="BQ92" s="16">
        <f t="shared" si="54"/>
        <v>127.25109874278135</v>
      </c>
      <c r="BR92" s="118">
        <f t="shared" si="55"/>
        <v>4.2387607289550546</v>
      </c>
      <c r="BS92" s="108">
        <f t="shared" si="56"/>
        <v>0</v>
      </c>
      <c r="BT92" s="118">
        <f t="shared" si="57"/>
        <v>1.1380619635522473</v>
      </c>
      <c r="BU92" s="108">
        <f t="shared" si="58"/>
        <v>0</v>
      </c>
      <c r="BV92" s="6" cm="1">
        <f t="array" ref="BV92">IF(AP92=0,FactorPhi7121(BR92,"a"),noisuy2chieu(BU92,BR92,Data!$A$63:$M$85))</f>
        <v>0.42299549615688942</v>
      </c>
      <c r="BW92" s="111">
        <v>1.26</v>
      </c>
      <c r="BX92" s="111">
        <f t="shared" si="59"/>
        <v>0.86454559681625653</v>
      </c>
      <c r="BY92" s="113">
        <f t="shared" si="60"/>
        <v>9.204761532753071E-2</v>
      </c>
      <c r="BZ92" s="6" t="str">
        <f t="shared" si="61"/>
        <v>OK</v>
      </c>
      <c r="CA92" s="114">
        <f t="shared" si="62"/>
        <v>127.25109874278135</v>
      </c>
      <c r="CB92" s="115">
        <f t="shared" si="63"/>
        <v>150</v>
      </c>
      <c r="CC92" s="6" t="str">
        <f t="shared" si="64"/>
        <v>OK</v>
      </c>
      <c r="DG92" s="108"/>
      <c r="DH92" s="108"/>
      <c r="DI92" s="16"/>
      <c r="DJ92" s="108"/>
      <c r="DT92" s="6"/>
      <c r="DU92" s="6"/>
      <c r="DV92" s="111"/>
      <c r="DW92" s="111"/>
      <c r="DX92" s="111"/>
      <c r="DY92" s="111"/>
      <c r="DZ92" s="111"/>
      <c r="EA92" s="111"/>
      <c r="EB92" s="111"/>
      <c r="EC92" s="111"/>
      <c r="ED92" s="111"/>
      <c r="EE92" s="111"/>
      <c r="EF92" s="6"/>
      <c r="EG92" s="6"/>
      <c r="EH92" s="6"/>
      <c r="EI92" s="6"/>
      <c r="EJ92" s="6"/>
      <c r="EK92" s="6"/>
      <c r="EL92" s="112"/>
      <c r="EM92" s="112"/>
      <c r="EN92" s="118"/>
      <c r="EO92" s="118"/>
      <c r="EP92" s="112"/>
      <c r="EQ92" s="112"/>
      <c r="ER92" s="112"/>
      <c r="ES92" s="112"/>
      <c r="ET92" s="112"/>
      <c r="EU92" s="112"/>
      <c r="EV92" s="6"/>
      <c r="EW92" s="6"/>
      <c r="EX92" s="118"/>
      <c r="EY92" s="113"/>
      <c r="EZ92" s="6"/>
      <c r="FA92" s="114"/>
      <c r="FB92" s="115"/>
      <c r="FC92" s="6"/>
    </row>
    <row r="93" spans="27:159">
      <c r="AA93" s="79" t="s">
        <v>175</v>
      </c>
      <c r="AB93" s="80" t="s">
        <v>193</v>
      </c>
      <c r="AC93" s="81">
        <v>2.74</v>
      </c>
      <c r="AD93" s="81">
        <v>6</v>
      </c>
      <c r="AE93" s="80">
        <v>273</v>
      </c>
      <c r="AF93" s="80">
        <v>6.35</v>
      </c>
      <c r="AG93" s="108" cm="1">
        <f t="array" ref="AG93">_xll.DCEPropSectPipe(AE93, AF93, "Area")/100</f>
        <v>53.19431074856206</v>
      </c>
      <c r="AH93" s="16" cm="1">
        <f t="array" ref="AH93">_xll.DCEPropSectPipe(AE93, AF93, "Ix")/10000</f>
        <v>4730.4733077169503</v>
      </c>
      <c r="AI93" s="16" cm="1">
        <f t="array" ref="AI93">_xll.DCEPropSectPipe(AE93, AF93, "Wx")/1000</f>
        <v>346.55482107816493</v>
      </c>
      <c r="AJ93" s="108">
        <f t="shared" si="33"/>
        <v>9.4301739777164251</v>
      </c>
      <c r="AK93" s="80" t="s">
        <v>216</v>
      </c>
      <c r="AL93" s="82">
        <v>-90.317509350383403</v>
      </c>
      <c r="AM93" s="82">
        <v>10.026764900555589</v>
      </c>
      <c r="AN93" s="82">
        <v>4.1082519285202173</v>
      </c>
      <c r="AO93" s="82">
        <v>-11.264826788002436</v>
      </c>
      <c r="AP93" s="82">
        <v>-27.493389357323416</v>
      </c>
      <c r="AQ93" s="82">
        <v>0.23233249486421656</v>
      </c>
      <c r="AR93" s="72">
        <v>1</v>
      </c>
      <c r="AS93" s="116">
        <f t="shared" si="34"/>
        <v>6</v>
      </c>
      <c r="AT93" s="7">
        <v>2</v>
      </c>
      <c r="AU93" s="6">
        <f t="shared" si="35"/>
        <v>12</v>
      </c>
      <c r="AV93" s="111">
        <f t="shared" si="36"/>
        <v>7.4282211358215361E-2</v>
      </c>
      <c r="AW93" s="117">
        <f t="shared" si="37"/>
        <v>105</v>
      </c>
      <c r="AX93" s="111">
        <f t="shared" si="38"/>
        <v>1</v>
      </c>
      <c r="AY93" s="111">
        <f t="shared" si="39"/>
        <v>1</v>
      </c>
      <c r="AZ93" s="111">
        <f t="shared" si="40"/>
        <v>1</v>
      </c>
      <c r="BA93" s="111">
        <f t="shared" si="41"/>
        <v>7.8191801429700392E-2</v>
      </c>
      <c r="BB93" s="111">
        <f t="shared" si="42"/>
        <v>0.14969490721686551</v>
      </c>
      <c r="BC93" s="111">
        <f t="shared" si="43"/>
        <v>0.36535141164398671</v>
      </c>
      <c r="BD93" s="111">
        <v>0</v>
      </c>
      <c r="BE93" s="111">
        <f t="shared" si="44"/>
        <v>0.59323812029055256</v>
      </c>
      <c r="BF93" s="6" t="str">
        <f t="shared" si="45"/>
        <v>OK</v>
      </c>
      <c r="BG93" s="16">
        <f t="shared" si="46"/>
        <v>63.625549371390676</v>
      </c>
      <c r="BH93" s="118">
        <f t="shared" si="47"/>
        <v>2.1193803644775273</v>
      </c>
      <c r="BI93" s="108">
        <f t="shared" si="48"/>
        <v>1.9144578393100606</v>
      </c>
      <c r="BJ93" s="6">
        <f t="shared" si="49"/>
        <v>1.1888827333431589</v>
      </c>
      <c r="BK93" s="108">
        <f t="shared" si="50"/>
        <v>2.2760658688691828</v>
      </c>
      <c r="BL93" s="118" cm="1">
        <f t="array" ref="BL93">IF(AO93=0,FactorPhi7121(BH93,"a"),noisuy2chieu(BK93,BH93,Data!$A$63:$M$85))</f>
        <v>0</v>
      </c>
      <c r="BM93" s="111">
        <v>1.26</v>
      </c>
      <c r="BN93" s="118">
        <f t="shared" si="51"/>
        <v>0.96663411590337411</v>
      </c>
      <c r="BO93" s="108" t="e">
        <f t="shared" si="52"/>
        <v>#DIV/0!</v>
      </c>
      <c r="BP93" s="6" t="e">
        <f t="shared" si="53"/>
        <v>#DIV/0!</v>
      </c>
      <c r="BQ93" s="16">
        <f t="shared" si="54"/>
        <v>127.25109874278135</v>
      </c>
      <c r="BR93" s="118">
        <f t="shared" si="55"/>
        <v>4.2387607289550546</v>
      </c>
      <c r="BS93" s="108">
        <f t="shared" si="56"/>
        <v>4.6725028067355865</v>
      </c>
      <c r="BT93" s="118">
        <f t="shared" si="57"/>
        <v>1.1024930372466988</v>
      </c>
      <c r="BU93" s="108">
        <f t="shared" si="58"/>
        <v>5.1514018109416417</v>
      </c>
      <c r="BV93" s="6" cm="1">
        <f t="array" ref="BV93">IF(AP93=0,FactorPhi7121(BR93,"a"),noisuy2chieu(BU93,BR93,Data!$A$63:$M$85))</f>
        <v>0</v>
      </c>
      <c r="BW93" s="111">
        <v>1.26</v>
      </c>
      <c r="BX93" s="111">
        <f t="shared" si="59"/>
        <v>0.86653646361349645</v>
      </c>
      <c r="BY93" s="113" t="e">
        <f t="shared" si="60"/>
        <v>#DIV/0!</v>
      </c>
      <c r="BZ93" s="6" t="e">
        <f t="shared" si="61"/>
        <v>#DIV/0!</v>
      </c>
      <c r="CA93" s="114">
        <f t="shared" si="62"/>
        <v>127.25109874278135</v>
      </c>
      <c r="CB93" s="115" t="e">
        <f t="shared" si="63"/>
        <v>#DIV/0!</v>
      </c>
      <c r="CC93" s="6" t="e">
        <f t="shared" si="64"/>
        <v>#DIV/0!</v>
      </c>
      <c r="DG93" s="108"/>
      <c r="DH93" s="108"/>
      <c r="DI93" s="16"/>
      <c r="DJ93" s="108"/>
      <c r="DT93" s="6"/>
      <c r="DU93" s="6"/>
      <c r="DV93" s="111"/>
      <c r="DW93" s="111"/>
      <c r="DX93" s="111"/>
      <c r="DY93" s="111"/>
      <c r="DZ93" s="111"/>
      <c r="EA93" s="111"/>
      <c r="EB93" s="111"/>
      <c r="EC93" s="111"/>
      <c r="ED93" s="111"/>
      <c r="EE93" s="111"/>
      <c r="EF93" s="6"/>
      <c r="EG93" s="6"/>
      <c r="EH93" s="6"/>
      <c r="EI93" s="6"/>
      <c r="EJ93" s="6"/>
      <c r="EK93" s="6"/>
      <c r="EL93" s="112"/>
      <c r="EM93" s="112"/>
      <c r="EN93" s="118"/>
      <c r="EO93" s="118"/>
      <c r="EP93" s="112"/>
      <c r="EQ93" s="112"/>
      <c r="ER93" s="112"/>
      <c r="ES93" s="112"/>
      <c r="ET93" s="112"/>
      <c r="EU93" s="112"/>
      <c r="EV93" s="6"/>
      <c r="EW93" s="6"/>
      <c r="EX93" s="118"/>
      <c r="EY93" s="113"/>
      <c r="EZ93" s="6"/>
      <c r="FA93" s="114"/>
      <c r="FB93" s="115"/>
      <c r="FC93" s="6"/>
    </row>
    <row r="94" spans="27:159">
      <c r="AA94" s="79" t="s">
        <v>175</v>
      </c>
      <c r="AB94" s="80" t="s">
        <v>193</v>
      </c>
      <c r="AC94" s="81">
        <v>5.48</v>
      </c>
      <c r="AD94" s="81">
        <v>6</v>
      </c>
      <c r="AE94" s="80">
        <v>273</v>
      </c>
      <c r="AF94" s="80">
        <v>6.35</v>
      </c>
      <c r="AG94" s="108" cm="1">
        <f t="array" ref="AG94">_xll.DCEPropSectPipe(AE94, AF94, "Area")/100</f>
        <v>53.19431074856206</v>
      </c>
      <c r="AH94" s="16" cm="1">
        <f t="array" ref="AH94">_xll.DCEPropSectPipe(AE94, AF94, "Ix")/10000</f>
        <v>4730.4733077169503</v>
      </c>
      <c r="AI94" s="16" cm="1">
        <f t="array" ref="AI94">_xll.DCEPropSectPipe(AE94, AF94, "Wx")/1000</f>
        <v>346.55482107816493</v>
      </c>
      <c r="AJ94" s="108">
        <f t="shared" si="33"/>
        <v>9.4301739777164251</v>
      </c>
      <c r="AK94" s="80" t="s">
        <v>216</v>
      </c>
      <c r="AL94" s="82">
        <v>-88.970249001651368</v>
      </c>
      <c r="AM94" s="82">
        <v>10.026764900555589</v>
      </c>
      <c r="AN94" s="82">
        <v>4.1082519285202173</v>
      </c>
      <c r="AO94" s="82">
        <v>-22.529653576004872</v>
      </c>
      <c r="AP94" s="82">
        <v>-54.986778714646832</v>
      </c>
      <c r="AQ94" s="82">
        <v>0.23233249486421656</v>
      </c>
      <c r="AR94" s="72">
        <v>1</v>
      </c>
      <c r="AS94" s="116">
        <f t="shared" si="34"/>
        <v>6</v>
      </c>
      <c r="AT94" s="7">
        <v>2</v>
      </c>
      <c r="AU94" s="6">
        <f t="shared" si="35"/>
        <v>12</v>
      </c>
      <c r="AV94" s="111">
        <f t="shared" si="36"/>
        <v>7.317414849533449E-2</v>
      </c>
      <c r="AW94" s="117">
        <f t="shared" si="37"/>
        <v>105</v>
      </c>
      <c r="AX94" s="111">
        <f t="shared" si="38"/>
        <v>1</v>
      </c>
      <c r="AY94" s="111">
        <f t="shared" si="39"/>
        <v>1</v>
      </c>
      <c r="AZ94" s="111">
        <f t="shared" si="40"/>
        <v>1</v>
      </c>
      <c r="BA94" s="111">
        <f t="shared" si="41"/>
        <v>7.7025419468773157E-2</v>
      </c>
      <c r="BB94" s="111">
        <f t="shared" si="42"/>
        <v>0.29938981443373103</v>
      </c>
      <c r="BC94" s="111">
        <f t="shared" si="43"/>
        <v>0.73070282328797342</v>
      </c>
      <c r="BD94" s="111">
        <v>0</v>
      </c>
      <c r="BE94" s="111">
        <f t="shared" si="44"/>
        <v>1.1071180571904775</v>
      </c>
      <c r="BF94" s="6" t="str">
        <f t="shared" si="45"/>
        <v>Check</v>
      </c>
      <c r="BG94" s="16">
        <f t="shared" si="46"/>
        <v>63.625549371390676</v>
      </c>
      <c r="BH94" s="118">
        <f t="shared" si="47"/>
        <v>2.1193803644775273</v>
      </c>
      <c r="BI94" s="108">
        <f t="shared" si="48"/>
        <v>3.8868962544904617</v>
      </c>
      <c r="BJ94" s="6">
        <f t="shared" si="49"/>
        <v>1.1320642850568838</v>
      </c>
      <c r="BK94" s="108">
        <f t="shared" si="50"/>
        <v>4.4002164294300243</v>
      </c>
      <c r="BL94" s="118" cm="1">
        <f t="array" ref="BL94">IF(AO94=0,FactorPhi7121(BH94,"a"),noisuy2chieu(BK94,BH94,Data!$A$63:$M$85))</f>
        <v>0</v>
      </c>
      <c r="BM94" s="111">
        <v>1.26</v>
      </c>
      <c r="BN94" s="118">
        <f t="shared" si="51"/>
        <v>0.96713183260268409</v>
      </c>
      <c r="BO94" s="108" t="e">
        <f t="shared" si="52"/>
        <v>#DIV/0!</v>
      </c>
      <c r="BP94" s="6" t="e">
        <f t="shared" si="53"/>
        <v>#DIV/0!</v>
      </c>
      <c r="BQ94" s="16">
        <f t="shared" si="54"/>
        <v>127.25109874278135</v>
      </c>
      <c r="BR94" s="118">
        <f t="shared" si="55"/>
        <v>4.2387607289550546</v>
      </c>
      <c r="BS94" s="108">
        <f t="shared" si="56"/>
        <v>9.4865153390590429</v>
      </c>
      <c r="BT94" s="118">
        <f t="shared" si="57"/>
        <v>1.1000000000000001</v>
      </c>
      <c r="BU94" s="108">
        <f t="shared" si="58"/>
        <v>10.435166872964947</v>
      </c>
      <c r="BV94" s="6" cm="1">
        <f t="array" ref="BV94">IF(AP94=0,FactorPhi7121(BR94,"a"),noisuy2chieu(BU94,BR94,Data!$A$63:$M$85))</f>
        <v>0</v>
      </c>
      <c r="BW94" s="111">
        <v>1.26</v>
      </c>
      <c r="BX94" s="111">
        <f t="shared" si="59"/>
        <v>0.86852733041073649</v>
      </c>
      <c r="BY94" s="113" t="e">
        <f t="shared" si="60"/>
        <v>#DIV/0!</v>
      </c>
      <c r="BZ94" s="6" t="e">
        <f t="shared" si="61"/>
        <v>#DIV/0!</v>
      </c>
      <c r="CA94" s="114">
        <f t="shared" si="62"/>
        <v>127.25109874278135</v>
      </c>
      <c r="CB94" s="115" t="e">
        <f t="shared" si="63"/>
        <v>#DIV/0!</v>
      </c>
      <c r="CC94" s="6" t="e">
        <f t="shared" si="64"/>
        <v>#DIV/0!</v>
      </c>
      <c r="DG94" s="108"/>
      <c r="DH94" s="108"/>
      <c r="DI94" s="16"/>
      <c r="DJ94" s="108"/>
      <c r="DT94" s="6"/>
      <c r="DU94" s="6"/>
      <c r="DV94" s="111"/>
      <c r="DW94" s="111"/>
      <c r="DX94" s="111"/>
      <c r="DY94" s="111"/>
      <c r="DZ94" s="111"/>
      <c r="EA94" s="111"/>
      <c r="EB94" s="111"/>
      <c r="EC94" s="111"/>
      <c r="ED94" s="111"/>
      <c r="EE94" s="111"/>
      <c r="EF94" s="6"/>
      <c r="EG94" s="6"/>
      <c r="EH94" s="6"/>
      <c r="EI94" s="6"/>
      <c r="EJ94" s="6"/>
      <c r="EK94" s="6"/>
      <c r="EL94" s="112"/>
      <c r="EM94" s="112"/>
      <c r="EN94" s="118"/>
      <c r="EO94" s="118"/>
      <c r="EP94" s="112"/>
      <c r="EQ94" s="112"/>
      <c r="ER94" s="112"/>
      <c r="ES94" s="112"/>
      <c r="ET94" s="112"/>
      <c r="EU94" s="112"/>
      <c r="EV94" s="6"/>
      <c r="EW94" s="6"/>
      <c r="EX94" s="118"/>
      <c r="EY94" s="113"/>
      <c r="EZ94" s="6"/>
      <c r="FA94" s="114"/>
      <c r="FB94" s="115"/>
      <c r="FC94" s="6"/>
    </row>
    <row r="95" spans="27:159">
      <c r="AA95" s="79" t="s">
        <v>175</v>
      </c>
      <c r="AB95" s="80" t="s">
        <v>193</v>
      </c>
      <c r="AC95" s="81">
        <v>0</v>
      </c>
      <c r="AD95" s="81">
        <v>6</v>
      </c>
      <c r="AE95" s="80">
        <v>273</v>
      </c>
      <c r="AF95" s="80">
        <v>6.35</v>
      </c>
      <c r="AG95" s="108" cm="1">
        <f t="array" ref="AG95">_xll.DCEPropSectPipe(AE95, AF95, "Area")/100</f>
        <v>53.19431074856206</v>
      </c>
      <c r="AH95" s="16" cm="1">
        <f t="array" ref="AH95">_xll.DCEPropSectPipe(AE95, AF95, "Ix")/10000</f>
        <v>4730.4733077169503</v>
      </c>
      <c r="AI95" s="16" cm="1">
        <f t="array" ref="AI95">_xll.DCEPropSectPipe(AE95, AF95, "Wx")/1000</f>
        <v>346.55482107816493</v>
      </c>
      <c r="AJ95" s="108">
        <f t="shared" si="33"/>
        <v>9.4301739777164251</v>
      </c>
      <c r="AK95" s="80" t="s">
        <v>217</v>
      </c>
      <c r="AL95" s="82">
        <v>-16.523079356284761</v>
      </c>
      <c r="AM95" s="82">
        <v>0.19767339948428794</v>
      </c>
      <c r="AN95" s="82">
        <v>0.27957494479915995</v>
      </c>
      <c r="AO95" s="82">
        <v>0</v>
      </c>
      <c r="AP95" s="82">
        <v>0</v>
      </c>
      <c r="AQ95" s="82">
        <v>6.5154106180540673E-3</v>
      </c>
      <c r="AR95" s="72">
        <v>1</v>
      </c>
      <c r="AS95" s="116">
        <f t="shared" si="34"/>
        <v>6</v>
      </c>
      <c r="AT95" s="7">
        <v>2</v>
      </c>
      <c r="AU95" s="6">
        <f t="shared" si="35"/>
        <v>12</v>
      </c>
      <c r="AV95" s="111">
        <f t="shared" si="36"/>
        <v>1.3589511954659537E-2</v>
      </c>
      <c r="AW95" s="117">
        <f t="shared" si="37"/>
        <v>105</v>
      </c>
      <c r="AX95" s="111">
        <f t="shared" si="38"/>
        <v>1</v>
      </c>
      <c r="AY95" s="111">
        <f t="shared" si="39"/>
        <v>1</v>
      </c>
      <c r="AZ95" s="111">
        <f t="shared" si="40"/>
        <v>1</v>
      </c>
      <c r="BA95" s="111">
        <f t="shared" si="41"/>
        <v>1.4304749425957407E-2</v>
      </c>
      <c r="BB95" s="111">
        <f t="shared" si="42"/>
        <v>0</v>
      </c>
      <c r="BC95" s="111">
        <f t="shared" si="43"/>
        <v>0</v>
      </c>
      <c r="BD95" s="111">
        <v>0</v>
      </c>
      <c r="BE95" s="111">
        <f t="shared" si="44"/>
        <v>1.4304749425957407E-2</v>
      </c>
      <c r="BF95" s="6" t="str">
        <f t="shared" si="45"/>
        <v>OK</v>
      </c>
      <c r="BG95" s="16">
        <f t="shared" si="46"/>
        <v>63.625549371390676</v>
      </c>
      <c r="BH95" s="118">
        <f t="shared" si="47"/>
        <v>2.1193803644775273</v>
      </c>
      <c r="BI95" s="108">
        <f t="shared" si="48"/>
        <v>0</v>
      </c>
      <c r="BJ95" s="6">
        <f t="shared" si="49"/>
        <v>1.2440309817761237</v>
      </c>
      <c r="BK95" s="108">
        <f t="shared" si="50"/>
        <v>0</v>
      </c>
      <c r="BL95" s="118" cm="1">
        <f t="array" ref="BL95">IF(AO95=0,FactorPhi7121(BH95,"a"),noisuy2chieu(BK95,BH95,Data!$A$63:$M$85))</f>
        <v>0.86214274110469236</v>
      </c>
      <c r="BM95" s="111">
        <v>1.26</v>
      </c>
      <c r="BN95" s="118">
        <f t="shared" si="51"/>
        <v>0.99389589953613122</v>
      </c>
      <c r="BO95" s="108">
        <f t="shared" si="52"/>
        <v>3.3817734599830729E-2</v>
      </c>
      <c r="BP95" s="6" t="str">
        <f t="shared" si="53"/>
        <v>OK</v>
      </c>
      <c r="BQ95" s="16">
        <f t="shared" si="54"/>
        <v>127.25109874278135</v>
      </c>
      <c r="BR95" s="118">
        <f t="shared" si="55"/>
        <v>4.2387607289550546</v>
      </c>
      <c r="BS95" s="108">
        <f t="shared" si="56"/>
        <v>0</v>
      </c>
      <c r="BT95" s="118">
        <f t="shared" si="57"/>
        <v>1.1380619635522473</v>
      </c>
      <c r="BU95" s="108">
        <f t="shared" si="58"/>
        <v>0</v>
      </c>
      <c r="BV95" s="6" cm="1">
        <f t="array" ref="BV95">IF(AP95=0,FactorPhi7121(BR95,"a"),noisuy2chieu(BU95,BR95,Data!$A$63:$M$85))</f>
        <v>0.42299549615688942</v>
      </c>
      <c r="BW95" s="111">
        <v>1.26</v>
      </c>
      <c r="BX95" s="111">
        <f t="shared" si="59"/>
        <v>0.97558359814452489</v>
      </c>
      <c r="BY95" s="113">
        <f t="shared" si="60"/>
        <v>1.6592089388386258E-2</v>
      </c>
      <c r="BZ95" s="6" t="str">
        <f t="shared" si="61"/>
        <v>OK</v>
      </c>
      <c r="CA95" s="114">
        <f t="shared" si="62"/>
        <v>127.25109874278135</v>
      </c>
      <c r="CB95" s="115">
        <f t="shared" si="63"/>
        <v>150</v>
      </c>
      <c r="CC95" s="6" t="str">
        <f t="shared" si="64"/>
        <v>OK</v>
      </c>
      <c r="DG95" s="108"/>
      <c r="DH95" s="108"/>
      <c r="DI95" s="16"/>
      <c r="DJ95" s="108"/>
      <c r="DT95" s="6"/>
      <c r="DU95" s="6"/>
      <c r="DV95" s="111"/>
      <c r="DW95" s="111"/>
      <c r="DX95" s="111"/>
      <c r="DY95" s="111"/>
      <c r="DZ95" s="111"/>
      <c r="EA95" s="111"/>
      <c r="EB95" s="111"/>
      <c r="EC95" s="111"/>
      <c r="ED95" s="111"/>
      <c r="EE95" s="111"/>
      <c r="EF95" s="6"/>
      <c r="EG95" s="6"/>
      <c r="EH95" s="6"/>
      <c r="EI95" s="6"/>
      <c r="EJ95" s="6"/>
      <c r="EK95" s="6"/>
      <c r="EL95" s="112"/>
      <c r="EM95" s="112"/>
      <c r="EN95" s="118"/>
      <c r="EO95" s="118"/>
      <c r="EP95" s="112"/>
      <c r="EQ95" s="112"/>
      <c r="ER95" s="112"/>
      <c r="ES95" s="112"/>
      <c r="ET95" s="112"/>
      <c r="EU95" s="112"/>
      <c r="EV95" s="6"/>
      <c r="EW95" s="6"/>
      <c r="EX95" s="118"/>
      <c r="EY95" s="113"/>
      <c r="EZ95" s="6"/>
      <c r="FA95" s="114"/>
      <c r="FB95" s="115"/>
      <c r="FC95" s="6"/>
    </row>
    <row r="96" spans="27:159">
      <c r="AA96" s="79" t="s">
        <v>175</v>
      </c>
      <c r="AB96" s="80" t="s">
        <v>193</v>
      </c>
      <c r="AC96" s="81">
        <v>2.74</v>
      </c>
      <c r="AD96" s="81">
        <v>6</v>
      </c>
      <c r="AE96" s="80">
        <v>273</v>
      </c>
      <c r="AF96" s="80">
        <v>6.35</v>
      </c>
      <c r="AG96" s="108" cm="1">
        <f t="array" ref="AG96">_xll.DCEPropSectPipe(AE96, AF96, "Area")/100</f>
        <v>53.19431074856206</v>
      </c>
      <c r="AH96" s="16" cm="1">
        <f t="array" ref="AH96">_xll.DCEPropSectPipe(AE96, AF96, "Ix")/10000</f>
        <v>4730.4733077169503</v>
      </c>
      <c r="AI96" s="16" cm="1">
        <f t="array" ref="AI96">_xll.DCEPropSectPipe(AE96, AF96, "Wx")/1000</f>
        <v>346.55482107816493</v>
      </c>
      <c r="AJ96" s="108">
        <f t="shared" si="33"/>
        <v>9.4301739777164251</v>
      </c>
      <c r="AK96" s="80" t="s">
        <v>217</v>
      </c>
      <c r="AL96" s="82">
        <v>-15.175819007552724</v>
      </c>
      <c r="AM96" s="82">
        <v>0.19767339948428794</v>
      </c>
      <c r="AN96" s="82">
        <v>0.27957494479915995</v>
      </c>
      <c r="AO96" s="82">
        <v>-0.76659449863929563</v>
      </c>
      <c r="AP96" s="82">
        <v>-0.54202046138591675</v>
      </c>
      <c r="AQ96" s="82">
        <v>6.5154106180540673E-3</v>
      </c>
      <c r="AR96" s="72">
        <v>1</v>
      </c>
      <c r="AS96" s="116">
        <f t="shared" si="34"/>
        <v>6</v>
      </c>
      <c r="AT96" s="7">
        <v>2</v>
      </c>
      <c r="AU96" s="6">
        <f t="shared" si="35"/>
        <v>12</v>
      </c>
      <c r="AV96" s="111">
        <f t="shared" si="36"/>
        <v>1.248144909177866E-2</v>
      </c>
      <c r="AW96" s="117">
        <f t="shared" si="37"/>
        <v>105</v>
      </c>
      <c r="AX96" s="111">
        <f t="shared" si="38"/>
        <v>1</v>
      </c>
      <c r="AY96" s="111">
        <f t="shared" si="39"/>
        <v>1</v>
      </c>
      <c r="AZ96" s="111">
        <f t="shared" si="40"/>
        <v>1</v>
      </c>
      <c r="BA96" s="111">
        <f t="shared" si="41"/>
        <v>1.3138367465030169E-2</v>
      </c>
      <c r="BB96" s="111">
        <f t="shared" si="42"/>
        <v>1.0187044550830433E-2</v>
      </c>
      <c r="BC96" s="111">
        <f t="shared" si="43"/>
        <v>7.2027474726218494E-3</v>
      </c>
      <c r="BD96" s="111">
        <v>0</v>
      </c>
      <c r="BE96" s="111">
        <f t="shared" si="44"/>
        <v>3.0528159488482452E-2</v>
      </c>
      <c r="BF96" s="6" t="str">
        <f t="shared" si="45"/>
        <v>OK</v>
      </c>
      <c r="BG96" s="16">
        <f t="shared" si="46"/>
        <v>63.625549371390676</v>
      </c>
      <c r="BH96" s="118">
        <f t="shared" si="47"/>
        <v>2.1193803644775273</v>
      </c>
      <c r="BI96" s="108">
        <f t="shared" si="48"/>
        <v>0.77536608547027275</v>
      </c>
      <c r="BJ96" s="6">
        <f t="shared" si="49"/>
        <v>1.2216956340708851</v>
      </c>
      <c r="BK96" s="108">
        <f t="shared" si="50"/>
        <v>0.94726136142566497</v>
      </c>
      <c r="BL96" s="118" cm="1">
        <f t="array" ref="BL96">IF(AO96=0,FactorPhi7121(BH96,"a"),noisuy2chieu(BK96,BH96,Data!$A$63:$M$85))</f>
        <v>0</v>
      </c>
      <c r="BM96" s="111">
        <v>1.26</v>
      </c>
      <c r="BN96" s="118">
        <f t="shared" si="51"/>
        <v>0.9943936162354412</v>
      </c>
      <c r="BO96" s="108" t="e">
        <f t="shared" si="52"/>
        <v>#DIV/0!</v>
      </c>
      <c r="BP96" s="6" t="e">
        <f t="shared" si="53"/>
        <v>#DIV/0!</v>
      </c>
      <c r="BQ96" s="16">
        <f t="shared" si="54"/>
        <v>127.25109874278135</v>
      </c>
      <c r="BR96" s="118">
        <f t="shared" si="55"/>
        <v>4.2387607289550546</v>
      </c>
      <c r="BS96" s="108">
        <f t="shared" si="56"/>
        <v>0.54822240980799897</v>
      </c>
      <c r="BT96" s="118">
        <f t="shared" si="57"/>
        <v>1.1338886792761198</v>
      </c>
      <c r="BU96" s="108">
        <f t="shared" si="58"/>
        <v>0.62162318420676366</v>
      </c>
      <c r="BV96" s="6" cm="1">
        <f t="array" ref="BV96">IF(AP96=0,FactorPhi7121(BR96,"a"),noisuy2chieu(BU96,BR96,Data!$A$63:$M$85))</f>
        <v>0</v>
      </c>
      <c r="BW96" s="111">
        <v>1.26</v>
      </c>
      <c r="BX96" s="111">
        <f t="shared" si="59"/>
        <v>0.97757446494176481</v>
      </c>
      <c r="BY96" s="113" t="e">
        <f t="shared" si="60"/>
        <v>#DIV/0!</v>
      </c>
      <c r="BZ96" s="6" t="e">
        <f t="shared" si="61"/>
        <v>#DIV/0!</v>
      </c>
      <c r="CA96" s="114">
        <f t="shared" si="62"/>
        <v>127.25109874278135</v>
      </c>
      <c r="CB96" s="115" t="e">
        <f t="shared" si="63"/>
        <v>#DIV/0!</v>
      </c>
      <c r="CC96" s="6" t="e">
        <f t="shared" si="64"/>
        <v>#DIV/0!</v>
      </c>
      <c r="DG96" s="108"/>
      <c r="DH96" s="108"/>
      <c r="DI96" s="16"/>
      <c r="DJ96" s="108"/>
      <c r="DT96" s="6"/>
      <c r="DU96" s="6"/>
      <c r="DV96" s="111"/>
      <c r="DW96" s="111"/>
      <c r="DX96" s="111"/>
      <c r="DY96" s="111"/>
      <c r="DZ96" s="111"/>
      <c r="EA96" s="111"/>
      <c r="EB96" s="111"/>
      <c r="EC96" s="111"/>
      <c r="ED96" s="111"/>
      <c r="EE96" s="111"/>
      <c r="EF96" s="6"/>
      <c r="EG96" s="6"/>
      <c r="EH96" s="6"/>
      <c r="EI96" s="6"/>
      <c r="EJ96" s="6"/>
      <c r="EK96" s="6"/>
      <c r="EL96" s="112"/>
      <c r="EM96" s="112"/>
      <c r="EN96" s="118"/>
      <c r="EO96" s="118"/>
      <c r="EP96" s="112"/>
      <c r="EQ96" s="112"/>
      <c r="ER96" s="112"/>
      <c r="ES96" s="112"/>
      <c r="ET96" s="112"/>
      <c r="EU96" s="112"/>
      <c r="EV96" s="6"/>
      <c r="EW96" s="6"/>
      <c r="EX96" s="118"/>
      <c r="EY96" s="113"/>
      <c r="EZ96" s="6"/>
      <c r="FA96" s="114"/>
      <c r="FB96" s="115"/>
      <c r="FC96" s="6"/>
    </row>
    <row r="97" spans="27:159">
      <c r="AA97" s="79" t="s">
        <v>175</v>
      </c>
      <c r="AB97" s="80" t="s">
        <v>193</v>
      </c>
      <c r="AC97" s="81">
        <v>5.48</v>
      </c>
      <c r="AD97" s="81">
        <v>6</v>
      </c>
      <c r="AE97" s="80">
        <v>273</v>
      </c>
      <c r="AF97" s="80">
        <v>6.35</v>
      </c>
      <c r="AG97" s="108" cm="1">
        <f t="array" ref="AG97">_xll.DCEPropSectPipe(AE97, AF97, "Area")/100</f>
        <v>53.19431074856206</v>
      </c>
      <c r="AH97" s="16" cm="1">
        <f t="array" ref="AH97">_xll.DCEPropSectPipe(AE97, AF97, "Ix")/10000</f>
        <v>4730.4733077169503</v>
      </c>
      <c r="AI97" s="16" cm="1">
        <f t="array" ref="AI97">_xll.DCEPropSectPipe(AE97, AF97, "Wx")/1000</f>
        <v>346.55482107816493</v>
      </c>
      <c r="AJ97" s="108">
        <f t="shared" si="33"/>
        <v>9.4301739777164251</v>
      </c>
      <c r="AK97" s="80" t="s">
        <v>217</v>
      </c>
      <c r="AL97" s="82">
        <v>-13.828558658820688</v>
      </c>
      <c r="AM97" s="82">
        <v>0.19767339948428794</v>
      </c>
      <c r="AN97" s="82">
        <v>0.27957494479915995</v>
      </c>
      <c r="AO97" s="82">
        <v>-1.5331889972785913</v>
      </c>
      <c r="AP97" s="82">
        <v>-1.0840409227718335</v>
      </c>
      <c r="AQ97" s="82">
        <v>6.5154106180540673E-3</v>
      </c>
      <c r="AR97" s="72">
        <v>1</v>
      </c>
      <c r="AS97" s="116">
        <f t="shared" si="34"/>
        <v>6</v>
      </c>
      <c r="AT97" s="7">
        <v>2</v>
      </c>
      <c r="AU97" s="6">
        <f t="shared" si="35"/>
        <v>12</v>
      </c>
      <c r="AV97" s="111">
        <f t="shared" si="36"/>
        <v>1.1373386228897785E-2</v>
      </c>
      <c r="AW97" s="117">
        <f t="shared" si="37"/>
        <v>105</v>
      </c>
      <c r="AX97" s="111">
        <f t="shared" si="38"/>
        <v>1</v>
      </c>
      <c r="AY97" s="111">
        <f t="shared" si="39"/>
        <v>1</v>
      </c>
      <c r="AZ97" s="111">
        <f t="shared" si="40"/>
        <v>1</v>
      </c>
      <c r="BA97" s="111">
        <f t="shared" si="41"/>
        <v>1.1971985504102934E-2</v>
      </c>
      <c r="BB97" s="111">
        <f t="shared" si="42"/>
        <v>2.0374089101660865E-2</v>
      </c>
      <c r="BC97" s="111">
        <f t="shared" si="43"/>
        <v>1.4405494945243699E-2</v>
      </c>
      <c r="BD97" s="111">
        <v>0</v>
      </c>
      <c r="BE97" s="111">
        <f t="shared" si="44"/>
        <v>4.6751569551007503E-2</v>
      </c>
      <c r="BF97" s="6" t="str">
        <f t="shared" si="45"/>
        <v>OK</v>
      </c>
      <c r="BG97" s="16">
        <f t="shared" si="46"/>
        <v>63.625549371390676</v>
      </c>
      <c r="BH97" s="118">
        <f t="shared" si="47"/>
        <v>2.1193803644775273</v>
      </c>
      <c r="BI97" s="108">
        <f t="shared" si="48"/>
        <v>1.7018137129115667</v>
      </c>
      <c r="BJ97" s="6">
        <f t="shared" si="49"/>
        <v>1.195008201801979</v>
      </c>
      <c r="BK97" s="108">
        <f t="shared" si="50"/>
        <v>2.0336813448684006</v>
      </c>
      <c r="BL97" s="118" cm="1">
        <f t="array" ref="BL97">IF(AO97=0,FactorPhi7121(BH97,"a"),noisuy2chieu(BK97,BH97,Data!$A$63:$M$85))</f>
        <v>0</v>
      </c>
      <c r="BM97" s="111">
        <v>1.26</v>
      </c>
      <c r="BN97" s="118">
        <f t="shared" si="51"/>
        <v>0.99489133293475118</v>
      </c>
      <c r="BO97" s="108" t="e">
        <f t="shared" si="52"/>
        <v>#DIV/0!</v>
      </c>
      <c r="BP97" s="6" t="e">
        <f t="shared" si="53"/>
        <v>#DIV/0!</v>
      </c>
      <c r="BQ97" s="16">
        <f t="shared" si="54"/>
        <v>127.25109874278135</v>
      </c>
      <c r="BR97" s="118">
        <f t="shared" si="55"/>
        <v>4.2387607289550546</v>
      </c>
      <c r="BS97" s="108">
        <f t="shared" si="56"/>
        <v>1.2032669886132734</v>
      </c>
      <c r="BT97" s="118">
        <f t="shared" si="57"/>
        <v>1.1289022226994032</v>
      </c>
      <c r="BU97" s="108">
        <f t="shared" si="58"/>
        <v>1.3583707779463419</v>
      </c>
      <c r="BV97" s="6" cm="1">
        <f t="array" ref="BV97">IF(AP97=0,FactorPhi7121(BR97,"a"),noisuy2chieu(BU97,BR97,Data!$A$63:$M$85))</f>
        <v>0</v>
      </c>
      <c r="BW97" s="111">
        <v>1.26</v>
      </c>
      <c r="BX97" s="111">
        <f t="shared" si="59"/>
        <v>0.97956533173900484</v>
      </c>
      <c r="BY97" s="113" t="e">
        <f t="shared" si="60"/>
        <v>#DIV/0!</v>
      </c>
      <c r="BZ97" s="6" t="e">
        <f t="shared" si="61"/>
        <v>#DIV/0!</v>
      </c>
      <c r="CA97" s="114">
        <f t="shared" si="62"/>
        <v>127.25109874278135</v>
      </c>
      <c r="CB97" s="115" t="e">
        <f t="shared" si="63"/>
        <v>#DIV/0!</v>
      </c>
      <c r="CC97" s="6" t="e">
        <f t="shared" si="64"/>
        <v>#DIV/0!</v>
      </c>
      <c r="DG97" s="108"/>
      <c r="DH97" s="108"/>
      <c r="DI97" s="16"/>
      <c r="DJ97" s="108"/>
      <c r="DT97" s="6"/>
      <c r="DU97" s="6"/>
      <c r="DV97" s="111"/>
      <c r="DW97" s="111"/>
      <c r="DX97" s="111"/>
      <c r="DY97" s="111"/>
      <c r="DZ97" s="111"/>
      <c r="EA97" s="111"/>
      <c r="EB97" s="111"/>
      <c r="EC97" s="111"/>
      <c r="ED97" s="111"/>
      <c r="EE97" s="111"/>
      <c r="EF97" s="6"/>
      <c r="EG97" s="6"/>
      <c r="EH97" s="6"/>
      <c r="EI97" s="6"/>
      <c r="EJ97" s="6"/>
      <c r="EK97" s="6"/>
      <c r="EL97" s="112"/>
      <c r="EM97" s="112"/>
      <c r="EN97" s="118"/>
      <c r="EO97" s="118"/>
      <c r="EP97" s="112"/>
      <c r="EQ97" s="112"/>
      <c r="ER97" s="112"/>
      <c r="ES97" s="112"/>
      <c r="ET97" s="112"/>
      <c r="EU97" s="112"/>
      <c r="EV97" s="6"/>
      <c r="EW97" s="6"/>
      <c r="EX97" s="118"/>
      <c r="EY97" s="113"/>
      <c r="EZ97" s="6"/>
      <c r="FA97" s="114"/>
      <c r="FB97" s="115"/>
      <c r="FC97" s="6"/>
    </row>
    <row r="98" spans="27:159">
      <c r="AA98" s="79" t="s">
        <v>175</v>
      </c>
      <c r="AB98" s="80" t="s">
        <v>193</v>
      </c>
      <c r="AC98" s="81">
        <v>0</v>
      </c>
      <c r="AD98" s="81">
        <v>6</v>
      </c>
      <c r="AE98" s="80">
        <v>273</v>
      </c>
      <c r="AF98" s="80">
        <v>6.35</v>
      </c>
      <c r="AG98" s="108" cm="1">
        <f t="array" ref="AG98">_xll.DCEPropSectPipe(AE98, AF98, "Area")/100</f>
        <v>53.19431074856206</v>
      </c>
      <c r="AH98" s="16" cm="1">
        <f t="array" ref="AH98">_xll.DCEPropSectPipe(AE98, AF98, "Ix")/10000</f>
        <v>4730.4733077169503</v>
      </c>
      <c r="AI98" s="16" cm="1">
        <f t="array" ref="AI98">_xll.DCEPropSectPipe(AE98, AF98, "Wx")/1000</f>
        <v>346.55482107816493</v>
      </c>
      <c r="AJ98" s="108">
        <f t="shared" si="33"/>
        <v>9.4301739777164251</v>
      </c>
      <c r="AK98" s="80" t="s">
        <v>218</v>
      </c>
      <c r="AL98" s="82">
        <v>0.18547301663330287</v>
      </c>
      <c r="AM98" s="82">
        <v>0.22656668813967276</v>
      </c>
      <c r="AN98" s="82">
        <v>4.4673360850494864E-2</v>
      </c>
      <c r="AO98" s="82">
        <v>0</v>
      </c>
      <c r="AP98" s="82">
        <v>0</v>
      </c>
      <c r="AQ98" s="82">
        <v>-3.9864910305728279E-2</v>
      </c>
      <c r="AR98" s="72">
        <v>1</v>
      </c>
      <c r="AS98" s="116">
        <f t="shared" si="34"/>
        <v>6</v>
      </c>
      <c r="AT98" s="7">
        <v>2</v>
      </c>
      <c r="AU98" s="6">
        <f t="shared" si="35"/>
        <v>12</v>
      </c>
      <c r="AV98" s="111">
        <f t="shared" si="36"/>
        <v>1.5254346495929266E-4</v>
      </c>
      <c r="AW98" s="117">
        <f t="shared" si="37"/>
        <v>105</v>
      </c>
      <c r="AX98" s="111">
        <f t="shared" si="38"/>
        <v>1</v>
      </c>
      <c r="AY98" s="111">
        <f t="shared" si="39"/>
        <v>1</v>
      </c>
      <c r="AZ98" s="111">
        <f t="shared" si="40"/>
        <v>1</v>
      </c>
      <c r="BA98" s="111">
        <f t="shared" si="41"/>
        <v>1.6057206837820281E-4</v>
      </c>
      <c r="BB98" s="111">
        <f t="shared" si="42"/>
        <v>0</v>
      </c>
      <c r="BC98" s="111">
        <f t="shared" si="43"/>
        <v>0</v>
      </c>
      <c r="BD98" s="111">
        <v>0</v>
      </c>
      <c r="BE98" s="111">
        <f t="shared" si="44"/>
        <v>1.6057206837820281E-4</v>
      </c>
      <c r="BF98" s="6" t="str">
        <f t="shared" si="45"/>
        <v>OK</v>
      </c>
      <c r="BG98" s="16">
        <f t="shared" si="46"/>
        <v>63.625549371390676</v>
      </c>
      <c r="BH98" s="118">
        <f t="shared" si="47"/>
        <v>2.1193803644775273</v>
      </c>
      <c r="BI98" s="108">
        <f t="shared" si="48"/>
        <v>0</v>
      </c>
      <c r="BJ98" s="6">
        <f t="shared" si="49"/>
        <v>1.2440309817761237</v>
      </c>
      <c r="BK98" s="108">
        <f t="shared" si="50"/>
        <v>0</v>
      </c>
      <c r="BL98" s="118" cm="1">
        <f t="array" ref="BL98">IF(AO98=0,FactorPhi7121(BH98,"a"),noisuy2chieu(BK98,BH98,Data!$A$63:$M$85))</f>
        <v>0.86214274110469236</v>
      </c>
      <c r="BM98" s="111">
        <v>1.26</v>
      </c>
      <c r="BN98" s="118">
        <f t="shared" si="51"/>
        <v>0.99993148093630402</v>
      </c>
      <c r="BO98" s="108">
        <f t="shared" si="52"/>
        <v>3.796070403516695E-4</v>
      </c>
      <c r="BP98" s="6" t="str">
        <f t="shared" si="53"/>
        <v>OK</v>
      </c>
      <c r="BQ98" s="16">
        <f t="shared" si="54"/>
        <v>127.25109874278135</v>
      </c>
      <c r="BR98" s="118">
        <f t="shared" si="55"/>
        <v>4.2387607289550546</v>
      </c>
      <c r="BS98" s="108">
        <f t="shared" si="56"/>
        <v>0</v>
      </c>
      <c r="BT98" s="118">
        <f t="shared" si="57"/>
        <v>1.1380619635522473</v>
      </c>
      <c r="BU98" s="108">
        <f t="shared" si="58"/>
        <v>0</v>
      </c>
      <c r="BV98" s="6" cm="1">
        <f t="array" ref="BV98">IF(AP98=0,FactorPhi7121(BR98,"a"),noisuy2chieu(BU98,BR98,Data!$A$63:$M$85))</f>
        <v>0.42299549615688942</v>
      </c>
      <c r="BW98" s="111">
        <v>1.26</v>
      </c>
      <c r="BX98" s="111">
        <f t="shared" si="59"/>
        <v>0.99972592374521618</v>
      </c>
      <c r="BY98" s="113">
        <f t="shared" si="60"/>
        <v>1.8624766030327699E-4</v>
      </c>
      <c r="BZ98" s="6" t="str">
        <f t="shared" si="61"/>
        <v>OK</v>
      </c>
      <c r="CA98" s="114">
        <f t="shared" si="62"/>
        <v>127.25109874278135</v>
      </c>
      <c r="CB98" s="115">
        <f t="shared" si="63"/>
        <v>150</v>
      </c>
      <c r="CC98" s="6" t="str">
        <f t="shared" si="64"/>
        <v>OK</v>
      </c>
      <c r="DG98" s="108"/>
      <c r="DH98" s="108"/>
      <c r="DI98" s="16"/>
      <c r="DJ98" s="108"/>
      <c r="DT98" s="6"/>
      <c r="DU98" s="6"/>
      <c r="DV98" s="111"/>
      <c r="DW98" s="111"/>
      <c r="DX98" s="111"/>
      <c r="DY98" s="111"/>
      <c r="DZ98" s="111"/>
      <c r="EA98" s="111"/>
      <c r="EB98" s="111"/>
      <c r="EC98" s="111"/>
      <c r="ED98" s="111"/>
      <c r="EE98" s="111"/>
      <c r="EF98" s="6"/>
      <c r="EG98" s="6"/>
      <c r="EH98" s="6"/>
      <c r="EI98" s="6"/>
      <c r="EJ98" s="6"/>
      <c r="EK98" s="6"/>
      <c r="EL98" s="112"/>
      <c r="EM98" s="112"/>
      <c r="EN98" s="118"/>
      <c r="EO98" s="118"/>
      <c r="EP98" s="112"/>
      <c r="EQ98" s="112"/>
      <c r="ER98" s="112"/>
      <c r="ES98" s="112"/>
      <c r="ET98" s="112"/>
      <c r="EU98" s="112"/>
      <c r="EV98" s="6"/>
      <c r="EW98" s="6"/>
      <c r="EX98" s="118"/>
      <c r="EY98" s="113"/>
      <c r="EZ98" s="6"/>
      <c r="FA98" s="114"/>
      <c r="FB98" s="115"/>
      <c r="FC98" s="6"/>
    </row>
    <row r="99" spans="27:159">
      <c r="AA99" s="79" t="s">
        <v>175</v>
      </c>
      <c r="AB99" s="80" t="s">
        <v>193</v>
      </c>
      <c r="AC99" s="81">
        <v>2.74</v>
      </c>
      <c r="AD99" s="81">
        <v>6</v>
      </c>
      <c r="AE99" s="80">
        <v>273</v>
      </c>
      <c r="AF99" s="80">
        <v>6.35</v>
      </c>
      <c r="AG99" s="108" cm="1">
        <f t="array" ref="AG99">_xll.DCEPropSectPipe(AE99, AF99, "Area")/100</f>
        <v>53.19431074856206</v>
      </c>
      <c r="AH99" s="16" cm="1">
        <f t="array" ref="AH99">_xll.DCEPropSectPipe(AE99, AF99, "Ix")/10000</f>
        <v>4730.4733077169503</v>
      </c>
      <c r="AI99" s="16" cm="1">
        <f t="array" ref="AI99">_xll.DCEPropSectPipe(AE99, AF99, "Wx")/1000</f>
        <v>346.55482107816493</v>
      </c>
      <c r="AJ99" s="108">
        <f t="shared" si="33"/>
        <v>9.4301739777164251</v>
      </c>
      <c r="AK99" s="80" t="s">
        <v>218</v>
      </c>
      <c r="AL99" s="82">
        <v>1.5327333653653401</v>
      </c>
      <c r="AM99" s="82">
        <v>0.22656668813967276</v>
      </c>
      <c r="AN99" s="82">
        <v>4.4673360850494864E-2</v>
      </c>
      <c r="AO99" s="82">
        <v>-0.12249435545205602</v>
      </c>
      <c r="AP99" s="82">
        <v>-0.62124585887898298</v>
      </c>
      <c r="AQ99" s="82">
        <v>-3.9864910305728279E-2</v>
      </c>
      <c r="AR99" s="72">
        <v>1</v>
      </c>
      <c r="AS99" s="116">
        <f t="shared" si="34"/>
        <v>6</v>
      </c>
      <c r="AT99" s="7">
        <v>2</v>
      </c>
      <c r="AU99" s="6">
        <f t="shared" si="35"/>
        <v>12</v>
      </c>
      <c r="AV99" s="111">
        <f t="shared" si="36"/>
        <v>1.2606063278401689E-3</v>
      </c>
      <c r="AW99" s="117">
        <f t="shared" si="37"/>
        <v>105</v>
      </c>
      <c r="AX99" s="111">
        <f t="shared" si="38"/>
        <v>1</v>
      </c>
      <c r="AY99" s="111">
        <f t="shared" si="39"/>
        <v>1</v>
      </c>
      <c r="AZ99" s="111">
        <f t="shared" si="40"/>
        <v>1</v>
      </c>
      <c r="BA99" s="111">
        <f t="shared" si="41"/>
        <v>1.3269540293054411E-3</v>
      </c>
      <c r="BB99" s="111">
        <f t="shared" si="42"/>
        <v>1.6277907791280727E-3</v>
      </c>
      <c r="BC99" s="111">
        <f t="shared" si="43"/>
        <v>8.2555500367566918E-3</v>
      </c>
      <c r="BD99" s="111">
        <v>0</v>
      </c>
      <c r="BE99" s="111">
        <f t="shared" si="44"/>
        <v>1.1210294845190205E-2</v>
      </c>
      <c r="BF99" s="6" t="str">
        <f t="shared" si="45"/>
        <v>OK</v>
      </c>
      <c r="BG99" s="16">
        <f t="shared" si="46"/>
        <v>63.625549371390676</v>
      </c>
      <c r="BH99" s="118">
        <f t="shared" si="47"/>
        <v>2.1193803644775273</v>
      </c>
      <c r="BI99" s="108">
        <f t="shared" si="48"/>
        <v>1.226712262202555</v>
      </c>
      <c r="BJ99" s="6">
        <f t="shared" si="49"/>
        <v>1.2086940674797551</v>
      </c>
      <c r="BK99" s="108">
        <f t="shared" si="50"/>
        <v>1.482719833828898</v>
      </c>
      <c r="BL99" s="118" cm="1">
        <f t="array" ref="BL99">IF(AO99=0,FactorPhi7121(BH99,"a"),noisuy2chieu(BK99,BH99,Data!$A$63:$M$85))</f>
        <v>0</v>
      </c>
      <c r="BM99" s="111">
        <v>1.26</v>
      </c>
      <c r="BN99" s="118">
        <f t="shared" si="51"/>
        <v>0.99943376423699404</v>
      </c>
      <c r="BO99" s="108" t="e">
        <f t="shared" si="52"/>
        <v>#DIV/0!</v>
      </c>
      <c r="BP99" s="6" t="e">
        <f t="shared" si="53"/>
        <v>#DIV/0!</v>
      </c>
      <c r="BQ99" s="16">
        <f t="shared" si="54"/>
        <v>127.25109874278135</v>
      </c>
      <c r="BR99" s="118">
        <f t="shared" si="55"/>
        <v>4.2387607289550546</v>
      </c>
      <c r="BS99" s="108">
        <f t="shared" si="56"/>
        <v>6.2214288170011764</v>
      </c>
      <c r="BT99" s="118">
        <f t="shared" si="57"/>
        <v>1.1000000000000001</v>
      </c>
      <c r="BU99" s="108">
        <f t="shared" si="58"/>
        <v>6.8435716987012949</v>
      </c>
      <c r="BV99" s="6" cm="1">
        <f t="array" ref="BV99">IF(AP99=0,FactorPhi7121(BR99,"a"),noisuy2chieu(BU99,BR99,Data!$A$63:$M$85))</f>
        <v>0</v>
      </c>
      <c r="BW99" s="111">
        <v>1.26</v>
      </c>
      <c r="BX99" s="111">
        <f t="shared" si="59"/>
        <v>0.99773505694797615</v>
      </c>
      <c r="BY99" s="113" t="e">
        <f t="shared" si="60"/>
        <v>#DIV/0!</v>
      </c>
      <c r="BZ99" s="6" t="e">
        <f t="shared" si="61"/>
        <v>#DIV/0!</v>
      </c>
      <c r="CA99" s="114">
        <f t="shared" si="62"/>
        <v>127.25109874278135</v>
      </c>
      <c r="CB99" s="115" t="e">
        <f t="shared" si="63"/>
        <v>#DIV/0!</v>
      </c>
      <c r="CC99" s="6" t="e">
        <f t="shared" si="64"/>
        <v>#DIV/0!</v>
      </c>
      <c r="DG99" s="108"/>
      <c r="DH99" s="108"/>
      <c r="DI99" s="16"/>
      <c r="DJ99" s="108"/>
      <c r="DT99" s="6"/>
      <c r="DU99" s="6"/>
      <c r="DV99" s="111"/>
      <c r="DW99" s="111"/>
      <c r="DX99" s="111"/>
      <c r="DY99" s="111"/>
      <c r="DZ99" s="111"/>
      <c r="EA99" s="111"/>
      <c r="EB99" s="111"/>
      <c r="EC99" s="111"/>
      <c r="ED99" s="111"/>
      <c r="EE99" s="111"/>
      <c r="EF99" s="6"/>
      <c r="EG99" s="6"/>
      <c r="EH99" s="6"/>
      <c r="EI99" s="6"/>
      <c r="EJ99" s="6"/>
      <c r="EK99" s="6"/>
      <c r="EL99" s="112"/>
      <c r="EM99" s="112"/>
      <c r="EN99" s="118"/>
      <c r="EO99" s="118"/>
      <c r="EP99" s="112"/>
      <c r="EQ99" s="112"/>
      <c r="ER99" s="112"/>
      <c r="ES99" s="112"/>
      <c r="ET99" s="112"/>
      <c r="EU99" s="112"/>
      <c r="EV99" s="6"/>
      <c r="EW99" s="6"/>
      <c r="EX99" s="118"/>
      <c r="EY99" s="113"/>
      <c r="EZ99" s="6"/>
      <c r="FA99" s="114"/>
      <c r="FB99" s="115"/>
      <c r="FC99" s="6"/>
    </row>
    <row r="100" spans="27:159">
      <c r="AA100" s="79" t="s">
        <v>175</v>
      </c>
      <c r="AB100" s="80" t="s">
        <v>193</v>
      </c>
      <c r="AC100" s="81">
        <v>5.48</v>
      </c>
      <c r="AD100" s="81">
        <v>6</v>
      </c>
      <c r="AE100" s="80">
        <v>273</v>
      </c>
      <c r="AF100" s="80">
        <v>6.35</v>
      </c>
      <c r="AG100" s="108" cm="1">
        <f t="array" ref="AG100">_xll.DCEPropSectPipe(AE100, AF100, "Area")/100</f>
        <v>53.19431074856206</v>
      </c>
      <c r="AH100" s="16" cm="1">
        <f t="array" ref="AH100">_xll.DCEPropSectPipe(AE100, AF100, "Ix")/10000</f>
        <v>4730.4733077169503</v>
      </c>
      <c r="AI100" s="16" cm="1">
        <f t="array" ref="AI100">_xll.DCEPropSectPipe(AE100, AF100, "Wx")/1000</f>
        <v>346.55482107816493</v>
      </c>
      <c r="AJ100" s="108">
        <f t="shared" si="33"/>
        <v>9.4301739777164251</v>
      </c>
      <c r="AK100" s="80" t="s">
        <v>218</v>
      </c>
      <c r="AL100" s="82">
        <v>2.8799937140973775</v>
      </c>
      <c r="AM100" s="82">
        <v>0.22656668813967276</v>
      </c>
      <c r="AN100" s="82">
        <v>4.4673360850494864E-2</v>
      </c>
      <c r="AO100" s="82">
        <v>-0.24498871090411203</v>
      </c>
      <c r="AP100" s="82">
        <v>-1.242491717757966</v>
      </c>
      <c r="AQ100" s="82">
        <v>-3.9864910305728279E-2</v>
      </c>
      <c r="AR100" s="72">
        <v>1</v>
      </c>
      <c r="AS100" s="116">
        <f t="shared" si="34"/>
        <v>6</v>
      </c>
      <c r="AT100" s="7">
        <v>2</v>
      </c>
      <c r="AU100" s="6">
        <f t="shared" si="35"/>
        <v>12</v>
      </c>
      <c r="AV100" s="111">
        <f t="shared" si="36"/>
        <v>2.3686691907210448E-3</v>
      </c>
      <c r="AW100" s="117">
        <f t="shared" si="37"/>
        <v>105</v>
      </c>
      <c r="AX100" s="111">
        <f t="shared" si="38"/>
        <v>1</v>
      </c>
      <c r="AY100" s="111">
        <f t="shared" si="39"/>
        <v>1</v>
      </c>
      <c r="AZ100" s="111">
        <f t="shared" si="40"/>
        <v>1</v>
      </c>
      <c r="BA100" s="111">
        <f t="shared" si="41"/>
        <v>2.493335990232679E-3</v>
      </c>
      <c r="BB100" s="111">
        <f t="shared" si="42"/>
        <v>3.2555815582561453E-3</v>
      </c>
      <c r="BC100" s="111">
        <f t="shared" si="43"/>
        <v>1.6511100073513384E-2</v>
      </c>
      <c r="BD100" s="111">
        <v>0</v>
      </c>
      <c r="BE100" s="111">
        <f t="shared" si="44"/>
        <v>2.2260017622002207E-2</v>
      </c>
      <c r="BF100" s="6" t="str">
        <f t="shared" si="45"/>
        <v>OK</v>
      </c>
      <c r="BG100" s="16">
        <f t="shared" si="46"/>
        <v>63.625549371390676</v>
      </c>
      <c r="BH100" s="118">
        <f t="shared" si="47"/>
        <v>2.1193803644775273</v>
      </c>
      <c r="BI100" s="108">
        <f t="shared" si="48"/>
        <v>1.3057131373426867</v>
      </c>
      <c r="BJ100" s="6">
        <f t="shared" si="49"/>
        <v>1.2064183527582337</v>
      </c>
      <c r="BK100" s="108">
        <f t="shared" si="50"/>
        <v>1.5752362923277494</v>
      </c>
      <c r="BL100" s="118" cm="1">
        <f t="array" ref="BL100">IF(AO100=0,FactorPhi7121(BH100,"a"),noisuy2chieu(BK100,BH100,Data!$A$63:$M$85))</f>
        <v>0</v>
      </c>
      <c r="BM100" s="111">
        <v>1.26</v>
      </c>
      <c r="BN100" s="118">
        <f t="shared" si="51"/>
        <v>0.99893604753768406</v>
      </c>
      <c r="BO100" s="108" t="e">
        <f t="shared" si="52"/>
        <v>#DIV/0!</v>
      </c>
      <c r="BP100" s="6" t="e">
        <f t="shared" si="53"/>
        <v>#DIV/0!</v>
      </c>
      <c r="BQ100" s="16">
        <f t="shared" si="54"/>
        <v>127.25109874278135</v>
      </c>
      <c r="BR100" s="118">
        <f t="shared" si="55"/>
        <v>4.2387607289550546</v>
      </c>
      <c r="BS100" s="108">
        <f t="shared" si="56"/>
        <v>6.6220919034552441</v>
      </c>
      <c r="BT100" s="118">
        <f t="shared" si="57"/>
        <v>1.1000000000000001</v>
      </c>
      <c r="BU100" s="108">
        <f t="shared" si="58"/>
        <v>7.2843010938007691</v>
      </c>
      <c r="BV100" s="6" cm="1">
        <f t="array" ref="BV100">IF(AP100=0,FactorPhi7121(BR100,"a"),noisuy2chieu(BU100,BR100,Data!$A$63:$M$85))</f>
        <v>0</v>
      </c>
      <c r="BW100" s="111">
        <v>1.26</v>
      </c>
      <c r="BX100" s="111">
        <f t="shared" si="59"/>
        <v>0.99574419015073623</v>
      </c>
      <c r="BY100" s="113" t="e">
        <f t="shared" si="60"/>
        <v>#DIV/0!</v>
      </c>
      <c r="BZ100" s="6" t="e">
        <f t="shared" si="61"/>
        <v>#DIV/0!</v>
      </c>
      <c r="CA100" s="114">
        <f t="shared" si="62"/>
        <v>127.25109874278135</v>
      </c>
      <c r="CB100" s="115" t="e">
        <f t="shared" si="63"/>
        <v>#DIV/0!</v>
      </c>
      <c r="CC100" s="6" t="e">
        <f t="shared" si="64"/>
        <v>#DIV/0!</v>
      </c>
      <c r="DG100" s="108"/>
      <c r="DH100" s="108"/>
      <c r="DI100" s="16"/>
      <c r="DJ100" s="108"/>
      <c r="DT100" s="6"/>
      <c r="DU100" s="6"/>
      <c r="DV100" s="111"/>
      <c r="DW100" s="111"/>
      <c r="DX100" s="111"/>
      <c r="DY100" s="111"/>
      <c r="DZ100" s="111"/>
      <c r="EA100" s="111"/>
      <c r="EB100" s="111"/>
      <c r="EC100" s="111"/>
      <c r="ED100" s="111"/>
      <c r="EE100" s="111"/>
      <c r="EF100" s="6"/>
      <c r="EG100" s="6"/>
      <c r="EH100" s="6"/>
      <c r="EI100" s="6"/>
      <c r="EJ100" s="6"/>
      <c r="EK100" s="6"/>
      <c r="EL100" s="112"/>
      <c r="EM100" s="112"/>
      <c r="EN100" s="118"/>
      <c r="EO100" s="118"/>
      <c r="EP100" s="112"/>
      <c r="EQ100" s="112"/>
      <c r="ER100" s="112"/>
      <c r="ES100" s="112"/>
      <c r="ET100" s="112"/>
      <c r="EU100" s="112"/>
      <c r="EV100" s="6"/>
      <c r="EW100" s="6"/>
      <c r="EX100" s="118"/>
      <c r="EY100" s="113"/>
      <c r="EZ100" s="6"/>
      <c r="FA100" s="114"/>
      <c r="FB100" s="115"/>
      <c r="FC100" s="6"/>
    </row>
    <row r="101" spans="27:159">
      <c r="AA101" s="79" t="s">
        <v>175</v>
      </c>
      <c r="AB101" s="80" t="s">
        <v>194</v>
      </c>
      <c r="AC101" s="81">
        <v>0</v>
      </c>
      <c r="AD101" s="81">
        <v>6</v>
      </c>
      <c r="AE101" s="80">
        <v>273</v>
      </c>
      <c r="AF101" s="80">
        <v>6.35</v>
      </c>
      <c r="AG101" s="108" cm="1">
        <f t="array" ref="AG101">_xll.DCEPropSectPipe(AE101, AF101, "Area")/100</f>
        <v>53.19431074856206</v>
      </c>
      <c r="AH101" s="16" cm="1">
        <f t="array" ref="AH101">_xll.DCEPropSectPipe(AE101, AF101, "Ix")/10000</f>
        <v>4730.4733077169503</v>
      </c>
      <c r="AI101" s="16" cm="1">
        <f t="array" ref="AI101">_xll.DCEPropSectPipe(AE101, AF101, "Wx")/1000</f>
        <v>346.55482107816493</v>
      </c>
      <c r="AJ101" s="108">
        <f t="shared" si="33"/>
        <v>9.4301739777164251</v>
      </c>
      <c r="AK101" s="80" t="s">
        <v>206</v>
      </c>
      <c r="AL101" s="82">
        <v>-42.327452610796392</v>
      </c>
      <c r="AM101" s="82">
        <v>4.8052517621080444</v>
      </c>
      <c r="AN101" s="82">
        <v>0.96376391455272492</v>
      </c>
      <c r="AO101" s="82">
        <v>0</v>
      </c>
      <c r="AP101" s="82">
        <v>0</v>
      </c>
      <c r="AQ101" s="82">
        <v>5.7195221421497015E-2</v>
      </c>
      <c r="AR101" s="72">
        <v>1</v>
      </c>
      <c r="AS101" s="116">
        <f t="shared" si="34"/>
        <v>6</v>
      </c>
      <c r="AT101" s="7">
        <v>2</v>
      </c>
      <c r="AU101" s="6">
        <f t="shared" si="35"/>
        <v>12</v>
      </c>
      <c r="AV101" s="111">
        <f t="shared" si="36"/>
        <v>3.4812483246103545E-2</v>
      </c>
      <c r="AW101" s="117">
        <f t="shared" si="37"/>
        <v>105</v>
      </c>
      <c r="AX101" s="111">
        <f t="shared" si="38"/>
        <v>1</v>
      </c>
      <c r="AY101" s="111">
        <f t="shared" si="39"/>
        <v>1</v>
      </c>
      <c r="AZ101" s="111">
        <f t="shared" si="40"/>
        <v>1</v>
      </c>
      <c r="BA101" s="111">
        <f t="shared" si="41"/>
        <v>3.6644719206424786E-2</v>
      </c>
      <c r="BB101" s="111">
        <f t="shared" si="42"/>
        <v>0</v>
      </c>
      <c r="BC101" s="111">
        <f t="shared" si="43"/>
        <v>0</v>
      </c>
      <c r="BD101" s="111">
        <v>0</v>
      </c>
      <c r="BE101" s="111">
        <f t="shared" si="44"/>
        <v>3.6644719206424786E-2</v>
      </c>
      <c r="BF101" s="6" t="str">
        <f t="shared" si="45"/>
        <v>OK</v>
      </c>
      <c r="BG101" s="16">
        <f t="shared" si="46"/>
        <v>63.625549371390676</v>
      </c>
      <c r="BH101" s="118">
        <f t="shared" si="47"/>
        <v>2.1193803644775273</v>
      </c>
      <c r="BI101" s="108">
        <f t="shared" si="48"/>
        <v>0</v>
      </c>
      <c r="BJ101" s="6">
        <f t="shared" si="49"/>
        <v>1.2440309817761237</v>
      </c>
      <c r="BK101" s="108">
        <f t="shared" si="50"/>
        <v>0</v>
      </c>
      <c r="BL101" s="118" cm="1">
        <f t="array" ref="BL101">IF(AO101=0,FactorPhi7121(BH101,"a"),noisuy2chieu(BK101,BH101,Data!$A$63:$M$85))</f>
        <v>0.86214274110469236</v>
      </c>
      <c r="BM101" s="111">
        <v>1.26</v>
      </c>
      <c r="BN101" s="118">
        <f t="shared" si="51"/>
        <v>0.9843630223189801</v>
      </c>
      <c r="BO101" s="108">
        <f t="shared" si="52"/>
        <v>8.6631464257560853E-2</v>
      </c>
      <c r="BP101" s="6" t="str">
        <f t="shared" si="53"/>
        <v>OK</v>
      </c>
      <c r="BQ101" s="16">
        <f t="shared" si="54"/>
        <v>127.25109874278135</v>
      </c>
      <c r="BR101" s="118">
        <f t="shared" si="55"/>
        <v>4.2387607289550546</v>
      </c>
      <c r="BS101" s="108">
        <f t="shared" si="56"/>
        <v>0</v>
      </c>
      <c r="BT101" s="118">
        <f t="shared" si="57"/>
        <v>1.1380619635522473</v>
      </c>
      <c r="BU101" s="108">
        <f t="shared" si="58"/>
        <v>0</v>
      </c>
      <c r="BV101" s="6" cm="1">
        <f t="array" ref="BV101">IF(AP101=0,FactorPhi7121(BR101,"a"),noisuy2chieu(BU101,BR101,Data!$A$63:$M$85))</f>
        <v>0.42299549615688942</v>
      </c>
      <c r="BW101" s="111">
        <v>1.26</v>
      </c>
      <c r="BX101" s="111">
        <f t="shared" si="59"/>
        <v>0.93745208927592016</v>
      </c>
      <c r="BY101" s="113">
        <f t="shared" si="60"/>
        <v>4.2504236780409099E-2</v>
      </c>
      <c r="BZ101" s="6" t="str">
        <f t="shared" si="61"/>
        <v>OK</v>
      </c>
      <c r="CA101" s="114">
        <f t="shared" si="62"/>
        <v>127.25109874278135</v>
      </c>
      <c r="CB101" s="115">
        <f t="shared" si="63"/>
        <v>150</v>
      </c>
      <c r="CC101" s="6" t="str">
        <f t="shared" si="64"/>
        <v>OK</v>
      </c>
      <c r="DG101" s="108"/>
      <c r="DH101" s="108"/>
      <c r="DI101" s="16"/>
      <c r="DJ101" s="108"/>
      <c r="DT101" s="6"/>
      <c r="DU101" s="6"/>
      <c r="DV101" s="111"/>
      <c r="DW101" s="111"/>
      <c r="DX101" s="111"/>
      <c r="DY101" s="111"/>
      <c r="DZ101" s="111"/>
      <c r="EA101" s="111"/>
      <c r="EB101" s="111"/>
      <c r="EC101" s="111"/>
      <c r="ED101" s="111"/>
      <c r="EE101" s="111"/>
      <c r="EF101" s="6"/>
      <c r="EG101" s="6"/>
      <c r="EH101" s="6"/>
      <c r="EI101" s="6"/>
      <c r="EJ101" s="6"/>
      <c r="EK101" s="6"/>
      <c r="EL101" s="112"/>
      <c r="EM101" s="112"/>
      <c r="EN101" s="118"/>
      <c r="EO101" s="118"/>
      <c r="EP101" s="112"/>
      <c r="EQ101" s="112"/>
      <c r="ER101" s="112"/>
      <c r="ES101" s="112"/>
      <c r="ET101" s="112"/>
      <c r="EU101" s="112"/>
      <c r="EV101" s="6"/>
      <c r="EW101" s="6"/>
      <c r="EX101" s="118"/>
      <c r="EY101" s="113"/>
      <c r="EZ101" s="6"/>
      <c r="FA101" s="114"/>
      <c r="FB101" s="115"/>
      <c r="FC101" s="6"/>
    </row>
    <row r="102" spans="27:159">
      <c r="AA102" s="79" t="s">
        <v>175</v>
      </c>
      <c r="AB102" s="80" t="s">
        <v>194</v>
      </c>
      <c r="AC102" s="81">
        <v>2.74</v>
      </c>
      <c r="AD102" s="81">
        <v>6</v>
      </c>
      <c r="AE102" s="80">
        <v>273</v>
      </c>
      <c r="AF102" s="80">
        <v>6.35</v>
      </c>
      <c r="AG102" s="108" cm="1">
        <f t="array" ref="AG102">_xll.DCEPropSectPipe(AE102, AF102, "Area")/100</f>
        <v>53.19431074856206</v>
      </c>
      <c r="AH102" s="16" cm="1">
        <f t="array" ref="AH102">_xll.DCEPropSectPipe(AE102, AF102, "Ix")/10000</f>
        <v>4730.4733077169503</v>
      </c>
      <c r="AI102" s="16" cm="1">
        <f t="array" ref="AI102">_xll.DCEPropSectPipe(AE102, AF102, "Wx")/1000</f>
        <v>346.55482107816493</v>
      </c>
      <c r="AJ102" s="108">
        <f t="shared" si="33"/>
        <v>9.4301739777164251</v>
      </c>
      <c r="AK102" s="80" t="s">
        <v>206</v>
      </c>
      <c r="AL102" s="82">
        <v>-40.98019226206435</v>
      </c>
      <c r="AM102" s="82">
        <v>4.8052517621080444</v>
      </c>
      <c r="AN102" s="82">
        <v>0.96376391455272492</v>
      </c>
      <c r="AO102" s="82">
        <v>-2.6426406537035714</v>
      </c>
      <c r="AP102" s="82">
        <v>-13.176000331700255</v>
      </c>
      <c r="AQ102" s="82">
        <v>5.7195221421497015E-2</v>
      </c>
      <c r="AR102" s="72">
        <v>1</v>
      </c>
      <c r="AS102" s="116">
        <f t="shared" si="34"/>
        <v>6</v>
      </c>
      <c r="AT102" s="7">
        <v>2</v>
      </c>
      <c r="AU102" s="6">
        <f t="shared" si="35"/>
        <v>12</v>
      </c>
      <c r="AV102" s="111">
        <f t="shared" si="36"/>
        <v>3.3704420383222661E-2</v>
      </c>
      <c r="AW102" s="117">
        <f t="shared" si="37"/>
        <v>105</v>
      </c>
      <c r="AX102" s="111">
        <f t="shared" si="38"/>
        <v>1</v>
      </c>
      <c r="AY102" s="111">
        <f t="shared" si="39"/>
        <v>1</v>
      </c>
      <c r="AZ102" s="111">
        <f t="shared" si="40"/>
        <v>1</v>
      </c>
      <c r="BA102" s="111">
        <f t="shared" si="41"/>
        <v>3.5478337245497545E-2</v>
      </c>
      <c r="BB102" s="111">
        <f t="shared" si="42"/>
        <v>3.5117259671049228E-2</v>
      </c>
      <c r="BC102" s="111">
        <f t="shared" si="43"/>
        <v>0.17509191967726795</v>
      </c>
      <c r="BD102" s="111">
        <v>0</v>
      </c>
      <c r="BE102" s="111">
        <f t="shared" si="44"/>
        <v>0.24568751659381471</v>
      </c>
      <c r="BF102" s="6" t="str">
        <f t="shared" si="45"/>
        <v>OK</v>
      </c>
      <c r="BG102" s="16">
        <f t="shared" si="46"/>
        <v>63.625549371390676</v>
      </c>
      <c r="BH102" s="118">
        <f t="shared" si="47"/>
        <v>2.1193803644775273</v>
      </c>
      <c r="BI102" s="108">
        <f t="shared" si="48"/>
        <v>0.98982259027671504</v>
      </c>
      <c r="BJ102" s="6">
        <f t="shared" si="49"/>
        <v>1.2155179578837754</v>
      </c>
      <c r="BK102" s="108">
        <f t="shared" si="50"/>
        <v>1.2031471336003816</v>
      </c>
      <c r="BL102" s="118" cm="1">
        <f t="array" ref="BL102">IF(AO102=0,FactorPhi7121(BH102,"a"),noisuy2chieu(BK102,BH102,Data!$A$63:$M$85))</f>
        <v>0</v>
      </c>
      <c r="BM102" s="111">
        <v>1.26</v>
      </c>
      <c r="BN102" s="118">
        <f t="shared" si="51"/>
        <v>0.98486073901829008</v>
      </c>
      <c r="BO102" s="108" t="e">
        <f t="shared" si="52"/>
        <v>#DIV/0!</v>
      </c>
      <c r="BP102" s="6" t="e">
        <f t="shared" si="53"/>
        <v>#DIV/0!</v>
      </c>
      <c r="BQ102" s="16">
        <f t="shared" si="54"/>
        <v>127.25109874278135</v>
      </c>
      <c r="BR102" s="118">
        <f t="shared" si="55"/>
        <v>4.2387607289550546</v>
      </c>
      <c r="BS102" s="108">
        <f t="shared" si="56"/>
        <v>4.9351782882521755</v>
      </c>
      <c r="BT102" s="118">
        <f t="shared" si="57"/>
        <v>1.1004934483259881</v>
      </c>
      <c r="BU102" s="108">
        <f t="shared" si="58"/>
        <v>5.4311313725421835</v>
      </c>
      <c r="BV102" s="6" cm="1">
        <f t="array" ref="BV102">IF(AP102=0,FactorPhi7121(BR102,"a"),noisuy2chieu(BU102,BR102,Data!$A$63:$M$85))</f>
        <v>0</v>
      </c>
      <c r="BW102" s="111">
        <v>1.26</v>
      </c>
      <c r="BX102" s="111">
        <f t="shared" si="59"/>
        <v>0.9394429560731602</v>
      </c>
      <c r="BY102" s="113" t="e">
        <f t="shared" si="60"/>
        <v>#DIV/0!</v>
      </c>
      <c r="BZ102" s="6" t="e">
        <f t="shared" si="61"/>
        <v>#DIV/0!</v>
      </c>
      <c r="CA102" s="114">
        <f t="shared" si="62"/>
        <v>127.25109874278135</v>
      </c>
      <c r="CB102" s="115" t="e">
        <f t="shared" si="63"/>
        <v>#DIV/0!</v>
      </c>
      <c r="CC102" s="6" t="e">
        <f t="shared" si="64"/>
        <v>#DIV/0!</v>
      </c>
      <c r="DG102" s="108"/>
      <c r="DH102" s="108"/>
      <c r="DI102" s="16"/>
      <c r="DJ102" s="108"/>
      <c r="DT102" s="6"/>
      <c r="DU102" s="6"/>
      <c r="DV102" s="111"/>
      <c r="DW102" s="111"/>
      <c r="DX102" s="111"/>
      <c r="DY102" s="111"/>
      <c r="DZ102" s="111"/>
      <c r="EA102" s="111"/>
      <c r="EB102" s="111"/>
      <c r="EC102" s="111"/>
      <c r="ED102" s="111"/>
      <c r="EE102" s="111"/>
      <c r="EF102" s="6"/>
      <c r="EG102" s="6"/>
      <c r="EH102" s="6"/>
      <c r="EI102" s="6"/>
      <c r="EJ102" s="6"/>
      <c r="EK102" s="6"/>
      <c r="EL102" s="112"/>
      <c r="EM102" s="112"/>
      <c r="EN102" s="118"/>
      <c r="EO102" s="118"/>
      <c r="EP102" s="112"/>
      <c r="EQ102" s="112"/>
      <c r="ER102" s="112"/>
      <c r="ES102" s="112"/>
      <c r="ET102" s="112"/>
      <c r="EU102" s="112"/>
      <c r="EV102" s="6"/>
      <c r="EW102" s="6"/>
      <c r="EX102" s="118"/>
      <c r="EY102" s="113"/>
      <c r="EZ102" s="6"/>
      <c r="FA102" s="114"/>
      <c r="FB102" s="115"/>
      <c r="FC102" s="6"/>
    </row>
    <row r="103" spans="27:159">
      <c r="AA103" s="79" t="s">
        <v>175</v>
      </c>
      <c r="AB103" s="80" t="s">
        <v>194</v>
      </c>
      <c r="AC103" s="81">
        <v>5.48</v>
      </c>
      <c r="AD103" s="81">
        <v>6</v>
      </c>
      <c r="AE103" s="80">
        <v>273</v>
      </c>
      <c r="AF103" s="80">
        <v>6.35</v>
      </c>
      <c r="AG103" s="108" cm="1">
        <f t="array" ref="AG103">_xll.DCEPropSectPipe(AE103, AF103, "Area")/100</f>
        <v>53.19431074856206</v>
      </c>
      <c r="AH103" s="16" cm="1">
        <f t="array" ref="AH103">_xll.DCEPropSectPipe(AE103, AF103, "Ix")/10000</f>
        <v>4730.4733077169503</v>
      </c>
      <c r="AI103" s="16" cm="1">
        <f t="array" ref="AI103">_xll.DCEPropSectPipe(AE103, AF103, "Wx")/1000</f>
        <v>346.55482107816493</v>
      </c>
      <c r="AJ103" s="108">
        <f t="shared" si="33"/>
        <v>9.4301739777164251</v>
      </c>
      <c r="AK103" s="80" t="s">
        <v>206</v>
      </c>
      <c r="AL103" s="82">
        <v>-39.632931913332321</v>
      </c>
      <c r="AM103" s="82">
        <v>4.8052517621080444</v>
      </c>
      <c r="AN103" s="82">
        <v>0.96376391455272492</v>
      </c>
      <c r="AO103" s="82">
        <v>-5.2852813074071427</v>
      </c>
      <c r="AP103" s="82">
        <v>-26.35200066340051</v>
      </c>
      <c r="AQ103" s="82">
        <v>5.7195221421497015E-2</v>
      </c>
      <c r="AR103" s="72">
        <v>1</v>
      </c>
      <c r="AS103" s="116">
        <f t="shared" si="34"/>
        <v>6</v>
      </c>
      <c r="AT103" s="7">
        <v>2</v>
      </c>
      <c r="AU103" s="6">
        <f t="shared" si="35"/>
        <v>12</v>
      </c>
      <c r="AV103" s="111">
        <f t="shared" si="36"/>
        <v>3.2596357520341797E-2</v>
      </c>
      <c r="AW103" s="117">
        <f t="shared" si="37"/>
        <v>105</v>
      </c>
      <c r="AX103" s="111">
        <f t="shared" si="38"/>
        <v>1</v>
      </c>
      <c r="AY103" s="111">
        <f t="shared" si="39"/>
        <v>1</v>
      </c>
      <c r="AZ103" s="111">
        <f t="shared" si="40"/>
        <v>1</v>
      </c>
      <c r="BA103" s="111">
        <f t="shared" si="41"/>
        <v>3.4311955284570317E-2</v>
      </c>
      <c r="BB103" s="111">
        <f t="shared" si="42"/>
        <v>7.0234519342098456E-2</v>
      </c>
      <c r="BC103" s="111">
        <f t="shared" si="43"/>
        <v>0.3501838393545359</v>
      </c>
      <c r="BD103" s="111">
        <v>0</v>
      </c>
      <c r="BE103" s="111">
        <f t="shared" si="44"/>
        <v>0.45473031398120467</v>
      </c>
      <c r="BF103" s="6" t="str">
        <f t="shared" si="45"/>
        <v>OK</v>
      </c>
      <c r="BG103" s="16">
        <f t="shared" si="46"/>
        <v>63.625549371390676</v>
      </c>
      <c r="BH103" s="118">
        <f t="shared" si="47"/>
        <v>2.1193803644775273</v>
      </c>
      <c r="BI103" s="108">
        <f t="shared" si="48"/>
        <v>2.0469401629723531</v>
      </c>
      <c r="BJ103" s="6">
        <f t="shared" si="49"/>
        <v>1.1850664215141464</v>
      </c>
      <c r="BK103" s="108">
        <f t="shared" si="50"/>
        <v>2.4257600539872302</v>
      </c>
      <c r="BL103" s="118" cm="1">
        <f t="array" ref="BL103">IF(AO103=0,FactorPhi7121(BH103,"a"),noisuy2chieu(BK103,BH103,Data!$A$63:$M$85))</f>
        <v>0</v>
      </c>
      <c r="BM103" s="111">
        <v>1.26</v>
      </c>
      <c r="BN103" s="118">
        <f t="shared" si="51"/>
        <v>0.98535845571760006</v>
      </c>
      <c r="BO103" s="108" t="e">
        <f t="shared" si="52"/>
        <v>#DIV/0!</v>
      </c>
      <c r="BP103" s="6" t="e">
        <f t="shared" si="53"/>
        <v>#DIV/0!</v>
      </c>
      <c r="BQ103" s="16">
        <f t="shared" si="54"/>
        <v>127.25109874278135</v>
      </c>
      <c r="BR103" s="118">
        <f t="shared" si="55"/>
        <v>4.2387607289550546</v>
      </c>
      <c r="BS103" s="108">
        <f t="shared" si="56"/>
        <v>10.205884113867727</v>
      </c>
      <c r="BT103" s="118">
        <f t="shared" si="57"/>
        <v>1.1000000000000001</v>
      </c>
      <c r="BU103" s="108">
        <f t="shared" si="58"/>
        <v>11.226472525254501</v>
      </c>
      <c r="BV103" s="6" cm="1">
        <f t="array" ref="BV103">IF(AP103=0,FactorPhi7121(BR103,"a"),noisuy2chieu(BU103,BR103,Data!$A$63:$M$85))</f>
        <v>0</v>
      </c>
      <c r="BW103" s="111">
        <v>1.26</v>
      </c>
      <c r="BX103" s="111">
        <f t="shared" si="59"/>
        <v>0.94143382287040023</v>
      </c>
      <c r="BY103" s="113" t="e">
        <f t="shared" si="60"/>
        <v>#DIV/0!</v>
      </c>
      <c r="BZ103" s="6" t="e">
        <f t="shared" si="61"/>
        <v>#DIV/0!</v>
      </c>
      <c r="CA103" s="114">
        <f t="shared" si="62"/>
        <v>127.25109874278135</v>
      </c>
      <c r="CB103" s="115" t="e">
        <f t="shared" si="63"/>
        <v>#DIV/0!</v>
      </c>
      <c r="CC103" s="6" t="e">
        <f t="shared" si="64"/>
        <v>#DIV/0!</v>
      </c>
      <c r="DG103" s="108"/>
      <c r="DH103" s="108"/>
      <c r="DI103" s="16"/>
      <c r="DJ103" s="108"/>
      <c r="DT103" s="6"/>
      <c r="DU103" s="6"/>
      <c r="DV103" s="111"/>
      <c r="DW103" s="111"/>
      <c r="DX103" s="111"/>
      <c r="DY103" s="111"/>
      <c r="DZ103" s="111"/>
      <c r="EA103" s="111"/>
      <c r="EB103" s="111"/>
      <c r="EC103" s="111"/>
      <c r="ED103" s="111"/>
      <c r="EE103" s="111"/>
      <c r="EF103" s="6"/>
      <c r="EG103" s="6"/>
      <c r="EH103" s="6"/>
      <c r="EI103" s="6"/>
      <c r="EJ103" s="6"/>
      <c r="EK103" s="6"/>
      <c r="EL103" s="112"/>
      <c r="EM103" s="112"/>
      <c r="EN103" s="118"/>
      <c r="EO103" s="118"/>
      <c r="EP103" s="112"/>
      <c r="EQ103" s="112"/>
      <c r="ER103" s="112"/>
      <c r="ES103" s="112"/>
      <c r="ET103" s="112"/>
      <c r="EU103" s="112"/>
      <c r="EV103" s="6"/>
      <c r="EW103" s="6"/>
      <c r="EX103" s="118"/>
      <c r="EY103" s="113"/>
      <c r="EZ103" s="6"/>
      <c r="FA103" s="114"/>
      <c r="FB103" s="115"/>
      <c r="FC103" s="6"/>
    </row>
    <row r="104" spans="27:159">
      <c r="AA104" s="79" t="s">
        <v>175</v>
      </c>
      <c r="AB104" s="80" t="s">
        <v>194</v>
      </c>
      <c r="AC104" s="81">
        <v>0</v>
      </c>
      <c r="AD104" s="81">
        <v>6</v>
      </c>
      <c r="AE104" s="80">
        <v>273</v>
      </c>
      <c r="AF104" s="80">
        <v>6.35</v>
      </c>
      <c r="AG104" s="108" cm="1">
        <f t="array" ref="AG104">_xll.DCEPropSectPipe(AE104, AF104, "Area")/100</f>
        <v>53.19431074856206</v>
      </c>
      <c r="AH104" s="16" cm="1">
        <f t="array" ref="AH104">_xll.DCEPropSectPipe(AE104, AF104, "Ix")/10000</f>
        <v>4730.4733077169503</v>
      </c>
      <c r="AI104" s="16" cm="1">
        <f t="array" ref="AI104">_xll.DCEPropSectPipe(AE104, AF104, "Wx")/1000</f>
        <v>346.55482107816493</v>
      </c>
      <c r="AJ104" s="108">
        <f t="shared" si="33"/>
        <v>9.4301739777164251</v>
      </c>
      <c r="AK104" s="80" t="s">
        <v>207</v>
      </c>
      <c r="AL104" s="82">
        <v>-55.4114121951635</v>
      </c>
      <c r="AM104" s="82">
        <v>7.4258708355541021</v>
      </c>
      <c r="AN104" s="82">
        <v>1.4374416884336174</v>
      </c>
      <c r="AO104" s="82">
        <v>0</v>
      </c>
      <c r="AP104" s="82">
        <v>0</v>
      </c>
      <c r="AQ104" s="82">
        <v>4.8400897988669582E-2</v>
      </c>
      <c r="AR104" s="72">
        <v>1</v>
      </c>
      <c r="AS104" s="116">
        <f t="shared" si="34"/>
        <v>6</v>
      </c>
      <c r="AT104" s="7">
        <v>2</v>
      </c>
      <c r="AU104" s="6">
        <f t="shared" si="35"/>
        <v>12</v>
      </c>
      <c r="AV104" s="111">
        <f t="shared" si="36"/>
        <v>4.557346921924231E-2</v>
      </c>
      <c r="AW104" s="117">
        <f t="shared" si="37"/>
        <v>105</v>
      </c>
      <c r="AX104" s="111">
        <f t="shared" si="38"/>
        <v>1</v>
      </c>
      <c r="AY104" s="111">
        <f t="shared" si="39"/>
        <v>1</v>
      </c>
      <c r="AZ104" s="111">
        <f t="shared" si="40"/>
        <v>1</v>
      </c>
      <c r="BA104" s="111">
        <f t="shared" si="41"/>
        <v>4.7972072862360327E-2</v>
      </c>
      <c r="BB104" s="111">
        <f t="shared" si="42"/>
        <v>0</v>
      </c>
      <c r="BC104" s="111">
        <f t="shared" si="43"/>
        <v>0</v>
      </c>
      <c r="BD104" s="111">
        <v>0</v>
      </c>
      <c r="BE104" s="111">
        <f t="shared" si="44"/>
        <v>4.7972072862360327E-2</v>
      </c>
      <c r="BF104" s="6" t="str">
        <f t="shared" si="45"/>
        <v>OK</v>
      </c>
      <c r="BG104" s="16">
        <f t="shared" si="46"/>
        <v>63.625549371390676</v>
      </c>
      <c r="BH104" s="118">
        <f t="shared" si="47"/>
        <v>2.1193803644775273</v>
      </c>
      <c r="BI104" s="108">
        <f t="shared" si="48"/>
        <v>0</v>
      </c>
      <c r="BJ104" s="6">
        <f t="shared" si="49"/>
        <v>1.2440309817761237</v>
      </c>
      <c r="BK104" s="108">
        <f t="shared" si="50"/>
        <v>0</v>
      </c>
      <c r="BL104" s="118" cm="1">
        <f t="array" ref="BL104">IF(AO104=0,FactorPhi7121(BH104,"a"),noisuy2chieu(BK104,BH104,Data!$A$63:$M$85))</f>
        <v>0.86214274110469236</v>
      </c>
      <c r="BM104" s="111">
        <v>1.26</v>
      </c>
      <c r="BN104" s="118">
        <f t="shared" si="51"/>
        <v>0.97952943155505279</v>
      </c>
      <c r="BO104" s="108">
        <f t="shared" si="52"/>
        <v>0.11341036322658017</v>
      </c>
      <c r="BP104" s="6" t="str">
        <f t="shared" si="53"/>
        <v>OK</v>
      </c>
      <c r="BQ104" s="16">
        <f t="shared" si="54"/>
        <v>127.25109874278135</v>
      </c>
      <c r="BR104" s="118">
        <f t="shared" si="55"/>
        <v>4.2387607289550546</v>
      </c>
      <c r="BS104" s="108">
        <f t="shared" si="56"/>
        <v>0</v>
      </c>
      <c r="BT104" s="118">
        <f t="shared" si="57"/>
        <v>1.1380619635522473</v>
      </c>
      <c r="BU104" s="108">
        <f t="shared" si="58"/>
        <v>0</v>
      </c>
      <c r="BV104" s="6" cm="1">
        <f t="array" ref="BV104">IF(AP104=0,FactorPhi7121(BR104,"a"),noisuy2chieu(BU104,BR104,Data!$A$63:$M$85))</f>
        <v>0.42299549615688942</v>
      </c>
      <c r="BW104" s="111">
        <v>1.26</v>
      </c>
      <c r="BX104" s="111">
        <f t="shared" si="59"/>
        <v>0.91811772622021104</v>
      </c>
      <c r="BY104" s="113">
        <f t="shared" si="60"/>
        <v>5.5642842623591662E-2</v>
      </c>
      <c r="BZ104" s="6" t="str">
        <f t="shared" si="61"/>
        <v>OK</v>
      </c>
      <c r="CA104" s="114">
        <f t="shared" si="62"/>
        <v>127.25109874278135</v>
      </c>
      <c r="CB104" s="115">
        <f t="shared" si="63"/>
        <v>150</v>
      </c>
      <c r="CC104" s="6" t="str">
        <f t="shared" si="64"/>
        <v>OK</v>
      </c>
      <c r="DG104" s="108"/>
      <c r="DH104" s="108"/>
      <c r="DI104" s="16"/>
      <c r="DJ104" s="108"/>
      <c r="DT104" s="6"/>
      <c r="DU104" s="6"/>
      <c r="DV104" s="111"/>
      <c r="DW104" s="111"/>
      <c r="DX104" s="111"/>
      <c r="DY104" s="111"/>
      <c r="DZ104" s="111"/>
      <c r="EA104" s="111"/>
      <c r="EB104" s="111"/>
      <c r="EC104" s="111"/>
      <c r="ED104" s="111"/>
      <c r="EE104" s="111"/>
      <c r="EF104" s="6"/>
      <c r="EG104" s="6"/>
      <c r="EH104" s="6"/>
      <c r="EI104" s="6"/>
      <c r="EJ104" s="6"/>
      <c r="EK104" s="6"/>
      <c r="EL104" s="112"/>
      <c r="EM104" s="112"/>
      <c r="EN104" s="118"/>
      <c r="EO104" s="118"/>
      <c r="EP104" s="112"/>
      <c r="EQ104" s="112"/>
      <c r="ER104" s="112"/>
      <c r="ES104" s="112"/>
      <c r="ET104" s="112"/>
      <c r="EU104" s="112"/>
      <c r="EV104" s="6"/>
      <c r="EW104" s="6"/>
      <c r="EX104" s="118"/>
      <c r="EY104" s="113"/>
      <c r="EZ104" s="6"/>
      <c r="FA104" s="114"/>
      <c r="FB104" s="115"/>
      <c r="FC104" s="6"/>
    </row>
    <row r="105" spans="27:159">
      <c r="AA105" s="79" t="s">
        <v>175</v>
      </c>
      <c r="AB105" s="80" t="s">
        <v>194</v>
      </c>
      <c r="AC105" s="81">
        <v>2.74</v>
      </c>
      <c r="AD105" s="81">
        <v>6</v>
      </c>
      <c r="AE105" s="80">
        <v>273</v>
      </c>
      <c r="AF105" s="80">
        <v>6.35</v>
      </c>
      <c r="AG105" s="108" cm="1">
        <f t="array" ref="AG105">_xll.DCEPropSectPipe(AE105, AF105, "Area")/100</f>
        <v>53.19431074856206</v>
      </c>
      <c r="AH105" s="16" cm="1">
        <f t="array" ref="AH105">_xll.DCEPropSectPipe(AE105, AF105, "Ix")/10000</f>
        <v>4730.4733077169503</v>
      </c>
      <c r="AI105" s="16" cm="1">
        <f t="array" ref="AI105">_xll.DCEPropSectPipe(AE105, AF105, "Wx")/1000</f>
        <v>346.55482107816493</v>
      </c>
      <c r="AJ105" s="108">
        <f t="shared" si="33"/>
        <v>9.4301739777164251</v>
      </c>
      <c r="AK105" s="80" t="s">
        <v>207</v>
      </c>
      <c r="AL105" s="82">
        <v>-54.064151846431464</v>
      </c>
      <c r="AM105" s="82">
        <v>7.4258708355541021</v>
      </c>
      <c r="AN105" s="82">
        <v>1.4374416884336174</v>
      </c>
      <c r="AO105" s="82">
        <v>-3.9414651096849789</v>
      </c>
      <c r="AP105" s="82">
        <v>-20.36173783108935</v>
      </c>
      <c r="AQ105" s="82">
        <v>4.8400897988669582E-2</v>
      </c>
      <c r="AR105" s="72">
        <v>1</v>
      </c>
      <c r="AS105" s="116">
        <f t="shared" si="34"/>
        <v>6</v>
      </c>
      <c r="AT105" s="7">
        <v>2</v>
      </c>
      <c r="AU105" s="6">
        <f t="shared" si="35"/>
        <v>12</v>
      </c>
      <c r="AV105" s="111">
        <f t="shared" si="36"/>
        <v>4.4465406356361432E-2</v>
      </c>
      <c r="AW105" s="117">
        <f t="shared" si="37"/>
        <v>105</v>
      </c>
      <c r="AX105" s="111">
        <f t="shared" si="38"/>
        <v>1</v>
      </c>
      <c r="AY105" s="111">
        <f t="shared" si="39"/>
        <v>1</v>
      </c>
      <c r="AZ105" s="111">
        <f t="shared" si="40"/>
        <v>1</v>
      </c>
      <c r="BA105" s="111">
        <f t="shared" si="41"/>
        <v>4.6805690901433092E-2</v>
      </c>
      <c r="BB105" s="111">
        <f t="shared" si="42"/>
        <v>5.2376948620390808E-2</v>
      </c>
      <c r="BC105" s="111">
        <f t="shared" si="43"/>
        <v>0.27058103180471216</v>
      </c>
      <c r="BD105" s="111">
        <v>0</v>
      </c>
      <c r="BE105" s="111">
        <f t="shared" si="44"/>
        <v>0.36976367132653609</v>
      </c>
      <c r="BF105" s="6" t="str">
        <f t="shared" si="45"/>
        <v>OK</v>
      </c>
      <c r="BG105" s="16">
        <f t="shared" si="46"/>
        <v>63.625549371390676</v>
      </c>
      <c r="BH105" s="118">
        <f t="shared" si="47"/>
        <v>2.1193803644775273</v>
      </c>
      <c r="BI105" s="108">
        <f t="shared" si="48"/>
        <v>1.1190294943127768</v>
      </c>
      <c r="BJ105" s="6">
        <f t="shared" si="49"/>
        <v>1.2117959984356621</v>
      </c>
      <c r="BK105" s="108">
        <f t="shared" si="50"/>
        <v>1.3560354633397054</v>
      </c>
      <c r="BL105" s="118" cm="1">
        <f t="array" ref="BL105">IF(AO105=0,FactorPhi7121(BH105,"a"),noisuy2chieu(BK105,BH105,Data!$A$63:$M$85))</f>
        <v>0</v>
      </c>
      <c r="BM105" s="111">
        <v>1.26</v>
      </c>
      <c r="BN105" s="118">
        <f t="shared" si="51"/>
        <v>0.98002714825436277</v>
      </c>
      <c r="BO105" s="108" t="e">
        <f t="shared" si="52"/>
        <v>#DIV/0!</v>
      </c>
      <c r="BP105" s="6" t="e">
        <f t="shared" si="53"/>
        <v>#DIV/0!</v>
      </c>
      <c r="BQ105" s="16">
        <f t="shared" si="54"/>
        <v>127.25109874278135</v>
      </c>
      <c r="BR105" s="118">
        <f t="shared" si="55"/>
        <v>4.2387607289550546</v>
      </c>
      <c r="BS105" s="108">
        <f t="shared" si="56"/>
        <v>5.7809430134152251</v>
      </c>
      <c r="BT105" s="118">
        <f t="shared" si="57"/>
        <v>1.1000000000000001</v>
      </c>
      <c r="BU105" s="108">
        <f t="shared" si="58"/>
        <v>6.3590373147567485</v>
      </c>
      <c r="BV105" s="6" cm="1">
        <f t="array" ref="BV105">IF(AP105=0,FactorPhi7121(BR105,"a"),noisuy2chieu(BU105,BR105,Data!$A$63:$M$85))</f>
        <v>0</v>
      </c>
      <c r="BW105" s="111">
        <v>1.26</v>
      </c>
      <c r="BX105" s="111">
        <f t="shared" si="59"/>
        <v>0.92010859301745096</v>
      </c>
      <c r="BY105" s="113" t="e">
        <f t="shared" si="60"/>
        <v>#DIV/0!</v>
      </c>
      <c r="BZ105" s="6" t="e">
        <f t="shared" si="61"/>
        <v>#DIV/0!</v>
      </c>
      <c r="CA105" s="114">
        <f t="shared" si="62"/>
        <v>127.25109874278135</v>
      </c>
      <c r="CB105" s="115" t="e">
        <f t="shared" si="63"/>
        <v>#DIV/0!</v>
      </c>
      <c r="CC105" s="6" t="e">
        <f t="shared" si="64"/>
        <v>#DIV/0!</v>
      </c>
      <c r="DG105" s="108"/>
      <c r="DH105" s="108"/>
      <c r="DI105" s="16"/>
      <c r="DJ105" s="108"/>
      <c r="DT105" s="6"/>
      <c r="DU105" s="6"/>
      <c r="DV105" s="111"/>
      <c r="DW105" s="111"/>
      <c r="DX105" s="111"/>
      <c r="DY105" s="111"/>
      <c r="DZ105" s="111"/>
      <c r="EA105" s="111"/>
      <c r="EB105" s="111"/>
      <c r="EC105" s="111"/>
      <c r="ED105" s="111"/>
      <c r="EE105" s="111"/>
      <c r="EF105" s="6"/>
      <c r="EG105" s="6"/>
      <c r="EH105" s="6"/>
      <c r="EI105" s="6"/>
      <c r="EJ105" s="6"/>
      <c r="EK105" s="6"/>
      <c r="EL105" s="112"/>
      <c r="EM105" s="112"/>
      <c r="EN105" s="118"/>
      <c r="EO105" s="118"/>
      <c r="EP105" s="112"/>
      <c r="EQ105" s="112"/>
      <c r="ER105" s="112"/>
      <c r="ES105" s="112"/>
      <c r="ET105" s="112"/>
      <c r="EU105" s="112"/>
      <c r="EV105" s="6"/>
      <c r="EW105" s="6"/>
      <c r="EX105" s="118"/>
      <c r="EY105" s="113"/>
      <c r="EZ105" s="6"/>
      <c r="FA105" s="114"/>
      <c r="FB105" s="115"/>
      <c r="FC105" s="6"/>
    </row>
    <row r="106" spans="27:159">
      <c r="AA106" s="79" t="s">
        <v>175</v>
      </c>
      <c r="AB106" s="80" t="s">
        <v>194</v>
      </c>
      <c r="AC106" s="81">
        <v>5.48</v>
      </c>
      <c r="AD106" s="81">
        <v>6</v>
      </c>
      <c r="AE106" s="80">
        <v>273</v>
      </c>
      <c r="AF106" s="80">
        <v>6.35</v>
      </c>
      <c r="AG106" s="108" cm="1">
        <f t="array" ref="AG106">_xll.DCEPropSectPipe(AE106, AF106, "Area")/100</f>
        <v>53.19431074856206</v>
      </c>
      <c r="AH106" s="16" cm="1">
        <f t="array" ref="AH106">_xll.DCEPropSectPipe(AE106, AF106, "Ix")/10000</f>
        <v>4730.4733077169503</v>
      </c>
      <c r="AI106" s="16" cm="1">
        <f t="array" ref="AI106">_xll.DCEPropSectPipe(AE106, AF106, "Wx")/1000</f>
        <v>346.55482107816493</v>
      </c>
      <c r="AJ106" s="108">
        <f t="shared" si="33"/>
        <v>9.4301739777164251</v>
      </c>
      <c r="AK106" s="80" t="s">
        <v>207</v>
      </c>
      <c r="AL106" s="82">
        <v>-52.716891497699429</v>
      </c>
      <c r="AM106" s="82">
        <v>7.4258708355541021</v>
      </c>
      <c r="AN106" s="82">
        <v>1.4374416884336174</v>
      </c>
      <c r="AO106" s="82">
        <v>-7.8829302193699577</v>
      </c>
      <c r="AP106" s="82">
        <v>-40.7234756621787</v>
      </c>
      <c r="AQ106" s="82">
        <v>4.8400897988669582E-2</v>
      </c>
      <c r="AR106" s="72">
        <v>1</v>
      </c>
      <c r="AS106" s="116">
        <f t="shared" si="34"/>
        <v>6</v>
      </c>
      <c r="AT106" s="7">
        <v>2</v>
      </c>
      <c r="AU106" s="6">
        <f t="shared" si="35"/>
        <v>12</v>
      </c>
      <c r="AV106" s="111">
        <f t="shared" si="36"/>
        <v>4.3357343493480555E-2</v>
      </c>
      <c r="AW106" s="117">
        <f t="shared" si="37"/>
        <v>105</v>
      </c>
      <c r="AX106" s="111">
        <f t="shared" si="38"/>
        <v>1</v>
      </c>
      <c r="AY106" s="111">
        <f t="shared" si="39"/>
        <v>1</v>
      </c>
      <c r="AZ106" s="111">
        <f t="shared" si="40"/>
        <v>1</v>
      </c>
      <c r="BA106" s="111">
        <f t="shared" si="41"/>
        <v>4.563930894050585E-2</v>
      </c>
      <c r="BB106" s="111">
        <f t="shared" si="42"/>
        <v>0.10475389724078162</v>
      </c>
      <c r="BC106" s="111">
        <f t="shared" si="43"/>
        <v>0.54116206360942432</v>
      </c>
      <c r="BD106" s="111">
        <v>0</v>
      </c>
      <c r="BE106" s="111">
        <f t="shared" si="44"/>
        <v>0.6915552697907118</v>
      </c>
      <c r="BF106" s="6" t="str">
        <f t="shared" si="45"/>
        <v>OK</v>
      </c>
      <c r="BG106" s="16">
        <f t="shared" si="46"/>
        <v>63.625549371390676</v>
      </c>
      <c r="BH106" s="118">
        <f t="shared" si="47"/>
        <v>2.1193803644775273</v>
      </c>
      <c r="BI106" s="108">
        <f t="shared" si="48"/>
        <v>2.2952559903423579</v>
      </c>
      <c r="BJ106" s="6">
        <f t="shared" si="49"/>
        <v>1.177913387032816</v>
      </c>
      <c r="BK106" s="108">
        <f t="shared" si="50"/>
        <v>2.7036127576915274</v>
      </c>
      <c r="BL106" s="118" cm="1">
        <f t="array" ref="BL106">IF(AO106=0,FactorPhi7121(BH106,"a"),noisuy2chieu(BK106,BH106,Data!$A$63:$M$85))</f>
        <v>0</v>
      </c>
      <c r="BM106" s="111">
        <v>1.26</v>
      </c>
      <c r="BN106" s="118">
        <f t="shared" si="51"/>
        <v>0.98052486495367275</v>
      </c>
      <c r="BO106" s="108" t="e">
        <f t="shared" si="52"/>
        <v>#DIV/0!</v>
      </c>
      <c r="BP106" s="6" t="e">
        <f t="shared" si="53"/>
        <v>#DIV/0!</v>
      </c>
      <c r="BQ106" s="16">
        <f t="shared" si="54"/>
        <v>127.25109874278135</v>
      </c>
      <c r="BR106" s="118">
        <f t="shared" si="55"/>
        <v>4.2387607289550546</v>
      </c>
      <c r="BS106" s="108">
        <f t="shared" si="56"/>
        <v>11.857367610777549</v>
      </c>
      <c r="BT106" s="118">
        <f t="shared" si="57"/>
        <v>1.1000000000000001</v>
      </c>
      <c r="BU106" s="108">
        <f t="shared" si="58"/>
        <v>13.043104371855305</v>
      </c>
      <c r="BV106" s="6" cm="1">
        <f t="array" ref="BV106">IF(AP106=0,FactorPhi7121(BR106,"a"),noisuy2chieu(BU106,BR106,Data!$A$63:$M$85))</f>
        <v>0</v>
      </c>
      <c r="BW106" s="111">
        <v>1.26</v>
      </c>
      <c r="BX106" s="111">
        <f t="shared" si="59"/>
        <v>0.92209945981469099</v>
      </c>
      <c r="BY106" s="113" t="e">
        <f t="shared" si="60"/>
        <v>#DIV/0!</v>
      </c>
      <c r="BZ106" s="6" t="e">
        <f t="shared" si="61"/>
        <v>#DIV/0!</v>
      </c>
      <c r="CA106" s="114">
        <f t="shared" si="62"/>
        <v>127.25109874278135</v>
      </c>
      <c r="CB106" s="115" t="e">
        <f t="shared" si="63"/>
        <v>#DIV/0!</v>
      </c>
      <c r="CC106" s="6" t="e">
        <f t="shared" si="64"/>
        <v>#DIV/0!</v>
      </c>
      <c r="DG106" s="108"/>
      <c r="DH106" s="108"/>
      <c r="DI106" s="16"/>
      <c r="DJ106" s="108"/>
      <c r="DT106" s="6"/>
      <c r="DU106" s="6"/>
      <c r="DV106" s="111"/>
      <c r="DW106" s="111"/>
      <c r="DX106" s="111"/>
      <c r="DY106" s="111"/>
      <c r="DZ106" s="111"/>
      <c r="EA106" s="111"/>
      <c r="EB106" s="111"/>
      <c r="EC106" s="111"/>
      <c r="ED106" s="111"/>
      <c r="EE106" s="111"/>
      <c r="EF106" s="6"/>
      <c r="EG106" s="6"/>
      <c r="EH106" s="6"/>
      <c r="EI106" s="6"/>
      <c r="EJ106" s="6"/>
      <c r="EK106" s="6"/>
      <c r="EL106" s="112"/>
      <c r="EM106" s="112"/>
      <c r="EN106" s="118"/>
      <c r="EO106" s="118"/>
      <c r="EP106" s="112"/>
      <c r="EQ106" s="112"/>
      <c r="ER106" s="112"/>
      <c r="ES106" s="112"/>
      <c r="ET106" s="112"/>
      <c r="EU106" s="112"/>
      <c r="EV106" s="6"/>
      <c r="EW106" s="6"/>
      <c r="EX106" s="118"/>
      <c r="EY106" s="113"/>
      <c r="EZ106" s="6"/>
      <c r="FA106" s="114"/>
      <c r="FB106" s="115"/>
      <c r="FC106" s="6"/>
    </row>
    <row r="107" spans="27:159">
      <c r="AA107" s="79" t="s">
        <v>175</v>
      </c>
      <c r="AB107" s="80" t="s">
        <v>194</v>
      </c>
      <c r="AC107" s="81">
        <v>0</v>
      </c>
      <c r="AD107" s="81">
        <v>6</v>
      </c>
      <c r="AE107" s="80">
        <v>273</v>
      </c>
      <c r="AF107" s="80">
        <v>6.35</v>
      </c>
      <c r="AG107" s="108" cm="1">
        <f t="array" ref="AG107">_xll.DCEPropSectPipe(AE107, AF107, "Area")/100</f>
        <v>53.19431074856206</v>
      </c>
      <c r="AH107" s="16" cm="1">
        <f t="array" ref="AH107">_xll.DCEPropSectPipe(AE107, AF107, "Ix")/10000</f>
        <v>4730.4733077169503</v>
      </c>
      <c r="AI107" s="16" cm="1">
        <f t="array" ref="AI107">_xll.DCEPropSectPipe(AE107, AF107, "Wx")/1000</f>
        <v>346.55482107816493</v>
      </c>
      <c r="AJ107" s="108">
        <f t="shared" si="33"/>
        <v>9.4301739777164251</v>
      </c>
      <c r="AK107" s="80" t="s">
        <v>208</v>
      </c>
      <c r="AL107" s="82">
        <v>-69.783198145368004</v>
      </c>
      <c r="AM107" s="82">
        <v>7.4838224473070376</v>
      </c>
      <c r="AN107" s="82">
        <v>1.5514501368332925</v>
      </c>
      <c r="AO107" s="82">
        <v>0</v>
      </c>
      <c r="AP107" s="82">
        <v>0</v>
      </c>
      <c r="AQ107" s="82">
        <v>0.13045129807124231</v>
      </c>
      <c r="AR107" s="72">
        <v>1</v>
      </c>
      <c r="AS107" s="116">
        <f t="shared" si="34"/>
        <v>6</v>
      </c>
      <c r="AT107" s="7">
        <v>2</v>
      </c>
      <c r="AU107" s="6">
        <f t="shared" si="35"/>
        <v>12</v>
      </c>
      <c r="AV107" s="111">
        <f t="shared" si="36"/>
        <v>5.7393636197126195E-2</v>
      </c>
      <c r="AW107" s="117">
        <f t="shared" si="37"/>
        <v>105</v>
      </c>
      <c r="AX107" s="111">
        <f t="shared" si="38"/>
        <v>1</v>
      </c>
      <c r="AY107" s="111">
        <f t="shared" si="39"/>
        <v>1</v>
      </c>
      <c r="AZ107" s="111">
        <f t="shared" si="40"/>
        <v>1</v>
      </c>
      <c r="BA107" s="111">
        <f t="shared" si="41"/>
        <v>6.0414353891711792E-2</v>
      </c>
      <c r="BB107" s="111">
        <f t="shared" si="42"/>
        <v>0</v>
      </c>
      <c r="BC107" s="111">
        <f t="shared" si="43"/>
        <v>0</v>
      </c>
      <c r="BD107" s="111">
        <v>0</v>
      </c>
      <c r="BE107" s="111">
        <f t="shared" si="44"/>
        <v>6.0414353891711792E-2</v>
      </c>
      <c r="BF107" s="6" t="str">
        <f t="shared" si="45"/>
        <v>OK</v>
      </c>
      <c r="BG107" s="16">
        <f t="shared" si="46"/>
        <v>63.625549371390676</v>
      </c>
      <c r="BH107" s="118">
        <f t="shared" si="47"/>
        <v>2.1193803644775273</v>
      </c>
      <c r="BI107" s="108">
        <f t="shared" si="48"/>
        <v>0</v>
      </c>
      <c r="BJ107" s="6">
        <f t="shared" si="49"/>
        <v>1.2440309817761237</v>
      </c>
      <c r="BK107" s="108">
        <f t="shared" si="50"/>
        <v>0</v>
      </c>
      <c r="BL107" s="118" cm="1">
        <f t="array" ref="BL107">IF(AO107=0,FactorPhi7121(BH107,"a"),noisuy2chieu(BK107,BH107,Data!$A$63:$M$85))</f>
        <v>0.86214274110469236</v>
      </c>
      <c r="BM107" s="111">
        <v>1.26</v>
      </c>
      <c r="BN107" s="118">
        <f t="shared" si="51"/>
        <v>0.97422008071350408</v>
      </c>
      <c r="BO107" s="108">
        <f t="shared" si="52"/>
        <v>0.14282505237196202</v>
      </c>
      <c r="BP107" s="6" t="str">
        <f t="shared" si="53"/>
        <v>OK</v>
      </c>
      <c r="BQ107" s="16">
        <f t="shared" si="54"/>
        <v>127.25109874278135</v>
      </c>
      <c r="BR107" s="118">
        <f t="shared" si="55"/>
        <v>4.2387607289550546</v>
      </c>
      <c r="BS107" s="108">
        <f t="shared" si="56"/>
        <v>0</v>
      </c>
      <c r="BT107" s="118">
        <f t="shared" si="57"/>
        <v>1.1380619635522473</v>
      </c>
      <c r="BU107" s="108">
        <f t="shared" si="58"/>
        <v>0</v>
      </c>
      <c r="BV107" s="6" cm="1">
        <f t="array" ref="BV107">IF(AP107=0,FactorPhi7121(BR107,"a"),noisuy2chieu(BU107,BR107,Data!$A$63:$M$85))</f>
        <v>0.42299549615688942</v>
      </c>
      <c r="BW107" s="111">
        <v>1.26</v>
      </c>
      <c r="BX107" s="111">
        <f t="shared" si="59"/>
        <v>0.89688032285401631</v>
      </c>
      <c r="BY107" s="113">
        <f t="shared" si="60"/>
        <v>7.0074653547857815E-2</v>
      </c>
      <c r="BZ107" s="6" t="str">
        <f t="shared" si="61"/>
        <v>OK</v>
      </c>
      <c r="CA107" s="114">
        <f t="shared" si="62"/>
        <v>127.25109874278135</v>
      </c>
      <c r="CB107" s="115">
        <f t="shared" si="63"/>
        <v>150</v>
      </c>
      <c r="CC107" s="6" t="str">
        <f t="shared" si="64"/>
        <v>OK</v>
      </c>
      <c r="DG107" s="108"/>
      <c r="DH107" s="108"/>
      <c r="DI107" s="16"/>
      <c r="DJ107" s="108"/>
      <c r="DT107" s="6"/>
      <c r="DU107" s="6"/>
      <c r="DV107" s="111"/>
      <c r="DW107" s="111"/>
      <c r="DX107" s="111"/>
      <c r="DY107" s="111"/>
      <c r="DZ107" s="111"/>
      <c r="EA107" s="111"/>
      <c r="EB107" s="111"/>
      <c r="EC107" s="111"/>
      <c r="ED107" s="111"/>
      <c r="EE107" s="111"/>
      <c r="EF107" s="6"/>
      <c r="EG107" s="6"/>
      <c r="EH107" s="6"/>
      <c r="EI107" s="6"/>
      <c r="EJ107" s="6"/>
      <c r="EK107" s="6"/>
      <c r="EL107" s="112"/>
      <c r="EM107" s="112"/>
      <c r="EN107" s="118"/>
      <c r="EO107" s="118"/>
      <c r="EP107" s="112"/>
      <c r="EQ107" s="112"/>
      <c r="ER107" s="112"/>
      <c r="ES107" s="112"/>
      <c r="ET107" s="112"/>
      <c r="EU107" s="112"/>
      <c r="EV107" s="6"/>
      <c r="EW107" s="6"/>
      <c r="EX107" s="118"/>
      <c r="EY107" s="113"/>
      <c r="EZ107" s="6"/>
      <c r="FA107" s="114"/>
      <c r="FB107" s="115"/>
      <c r="FC107" s="6"/>
    </row>
    <row r="108" spans="27:159">
      <c r="AA108" s="79" t="s">
        <v>175</v>
      </c>
      <c r="AB108" s="80" t="s">
        <v>194</v>
      </c>
      <c r="AC108" s="81">
        <v>2.74</v>
      </c>
      <c r="AD108" s="81">
        <v>6</v>
      </c>
      <c r="AE108" s="80">
        <v>273</v>
      </c>
      <c r="AF108" s="80">
        <v>6.35</v>
      </c>
      <c r="AG108" s="108" cm="1">
        <f t="array" ref="AG108">_xll.DCEPropSectPipe(AE108, AF108, "Area")/100</f>
        <v>53.19431074856206</v>
      </c>
      <c r="AH108" s="16" cm="1">
        <f t="array" ref="AH108">_xll.DCEPropSectPipe(AE108, AF108, "Ix")/10000</f>
        <v>4730.4733077169503</v>
      </c>
      <c r="AI108" s="16" cm="1">
        <f t="array" ref="AI108">_xll.DCEPropSectPipe(AE108, AF108, "Wx")/1000</f>
        <v>346.55482107816493</v>
      </c>
      <c r="AJ108" s="108">
        <f t="shared" si="33"/>
        <v>9.4301739777164251</v>
      </c>
      <c r="AK108" s="80" t="s">
        <v>208</v>
      </c>
      <c r="AL108" s="82">
        <v>-68.435937796635983</v>
      </c>
      <c r="AM108" s="82">
        <v>7.4838224473070376</v>
      </c>
      <c r="AN108" s="82">
        <v>1.5514501368332925</v>
      </c>
      <c r="AO108" s="82">
        <v>-4.254076275196887</v>
      </c>
      <c r="AP108" s="82">
        <v>-20.520641150515893</v>
      </c>
      <c r="AQ108" s="82">
        <v>0.13045129807124231</v>
      </c>
      <c r="AR108" s="72">
        <v>1</v>
      </c>
      <c r="AS108" s="116">
        <f t="shared" si="34"/>
        <v>6</v>
      </c>
      <c r="AT108" s="7">
        <v>2</v>
      </c>
      <c r="AU108" s="6">
        <f t="shared" si="35"/>
        <v>12</v>
      </c>
      <c r="AV108" s="111">
        <f t="shared" si="36"/>
        <v>5.6285573334245331E-2</v>
      </c>
      <c r="AW108" s="117">
        <f t="shared" si="37"/>
        <v>105</v>
      </c>
      <c r="AX108" s="111">
        <f t="shared" si="38"/>
        <v>1</v>
      </c>
      <c r="AY108" s="111">
        <f t="shared" si="39"/>
        <v>1</v>
      </c>
      <c r="AZ108" s="111">
        <f t="shared" si="40"/>
        <v>1</v>
      </c>
      <c r="BA108" s="111">
        <f t="shared" si="41"/>
        <v>5.9247971930784571E-2</v>
      </c>
      <c r="BB108" s="111">
        <f t="shared" si="42"/>
        <v>5.6531144712078742E-2</v>
      </c>
      <c r="BC108" s="111">
        <f t="shared" si="43"/>
        <v>0.2726926503946529</v>
      </c>
      <c r="BD108" s="111">
        <v>0</v>
      </c>
      <c r="BE108" s="111">
        <f t="shared" si="44"/>
        <v>0.38847176703751618</v>
      </c>
      <c r="BF108" s="6" t="str">
        <f t="shared" si="45"/>
        <v>OK</v>
      </c>
      <c r="BG108" s="16">
        <f t="shared" si="46"/>
        <v>63.625549371390676</v>
      </c>
      <c r="BH108" s="118">
        <f t="shared" si="47"/>
        <v>2.1193803644775273</v>
      </c>
      <c r="BI108" s="108">
        <f t="shared" si="48"/>
        <v>0.95414480647743161</v>
      </c>
      <c r="BJ108" s="6">
        <f t="shared" si="49"/>
        <v>1.2165456991294168</v>
      </c>
      <c r="BK108" s="108">
        <f t="shared" si="50"/>
        <v>1.1607607606667891</v>
      </c>
      <c r="BL108" s="118" cm="1">
        <f t="array" ref="BL108">IF(AO108=0,FactorPhi7121(BH108,"a"),noisuy2chieu(BK108,BH108,Data!$A$63:$M$85))</f>
        <v>0</v>
      </c>
      <c r="BM108" s="111">
        <v>1.26</v>
      </c>
      <c r="BN108" s="118">
        <f t="shared" si="51"/>
        <v>0.97471779741281406</v>
      </c>
      <c r="BO108" s="108" t="e">
        <f t="shared" si="52"/>
        <v>#DIV/0!</v>
      </c>
      <c r="BP108" s="6" t="e">
        <f t="shared" si="53"/>
        <v>#DIV/0!</v>
      </c>
      <c r="BQ108" s="16">
        <f t="shared" si="54"/>
        <v>127.25109874278135</v>
      </c>
      <c r="BR108" s="118">
        <f t="shared" si="55"/>
        <v>4.2387607289550546</v>
      </c>
      <c r="BS108" s="108">
        <f t="shared" si="56"/>
        <v>4.6025651428747878</v>
      </c>
      <c r="BT108" s="118">
        <f t="shared" si="57"/>
        <v>1.1030254302092586</v>
      </c>
      <c r="BU108" s="108">
        <f t="shared" si="58"/>
        <v>5.0767463967856008</v>
      </c>
      <c r="BV108" s="6" cm="1">
        <f t="array" ref="BV108">IF(AP108=0,FactorPhi7121(BR108,"a"),noisuy2chieu(BU108,BR108,Data!$A$63:$M$85))</f>
        <v>0</v>
      </c>
      <c r="BW108" s="111">
        <v>1.26</v>
      </c>
      <c r="BX108" s="111">
        <f t="shared" si="59"/>
        <v>0.89887118965125623</v>
      </c>
      <c r="BY108" s="113" t="e">
        <f t="shared" si="60"/>
        <v>#DIV/0!</v>
      </c>
      <c r="BZ108" s="6" t="e">
        <f t="shared" si="61"/>
        <v>#DIV/0!</v>
      </c>
      <c r="CA108" s="114">
        <f t="shared" si="62"/>
        <v>127.25109874278135</v>
      </c>
      <c r="CB108" s="115" t="e">
        <f t="shared" si="63"/>
        <v>#DIV/0!</v>
      </c>
      <c r="CC108" s="6" t="e">
        <f t="shared" si="64"/>
        <v>#DIV/0!</v>
      </c>
      <c r="DG108" s="108"/>
      <c r="DH108" s="108"/>
      <c r="DI108" s="16"/>
      <c r="DJ108" s="108"/>
      <c r="DT108" s="6"/>
      <c r="DU108" s="6"/>
      <c r="DV108" s="111"/>
      <c r="DW108" s="111"/>
      <c r="DX108" s="111"/>
      <c r="DY108" s="111"/>
      <c r="DZ108" s="111"/>
      <c r="EA108" s="111"/>
      <c r="EB108" s="111"/>
      <c r="EC108" s="111"/>
      <c r="ED108" s="111"/>
      <c r="EE108" s="111"/>
      <c r="EF108" s="6"/>
      <c r="EG108" s="6"/>
      <c r="EH108" s="6"/>
      <c r="EI108" s="6"/>
      <c r="EJ108" s="6"/>
      <c r="EK108" s="6"/>
      <c r="EL108" s="112"/>
      <c r="EM108" s="112"/>
      <c r="EN108" s="118"/>
      <c r="EO108" s="118"/>
      <c r="EP108" s="112"/>
      <c r="EQ108" s="112"/>
      <c r="ER108" s="112"/>
      <c r="ES108" s="112"/>
      <c r="ET108" s="112"/>
      <c r="EU108" s="112"/>
      <c r="EV108" s="6"/>
      <c r="EW108" s="6"/>
      <c r="EX108" s="118"/>
      <c r="EY108" s="113"/>
      <c r="EZ108" s="6"/>
      <c r="FA108" s="114"/>
      <c r="FB108" s="115"/>
      <c r="FC108" s="6"/>
    </row>
    <row r="109" spans="27:159">
      <c r="AA109" s="79" t="s">
        <v>175</v>
      </c>
      <c r="AB109" s="80" t="s">
        <v>194</v>
      </c>
      <c r="AC109" s="81">
        <v>5.48</v>
      </c>
      <c r="AD109" s="81">
        <v>6</v>
      </c>
      <c r="AE109" s="80">
        <v>273</v>
      </c>
      <c r="AF109" s="80">
        <v>6.35</v>
      </c>
      <c r="AG109" s="108" cm="1">
        <f t="array" ref="AG109">_xll.DCEPropSectPipe(AE109, AF109, "Area")/100</f>
        <v>53.19431074856206</v>
      </c>
      <c r="AH109" s="16" cm="1">
        <f t="array" ref="AH109">_xll.DCEPropSectPipe(AE109, AF109, "Ix")/10000</f>
        <v>4730.4733077169503</v>
      </c>
      <c r="AI109" s="16" cm="1">
        <f t="array" ref="AI109">_xll.DCEPropSectPipe(AE109, AF109, "Wx")/1000</f>
        <v>346.55482107816493</v>
      </c>
      <c r="AJ109" s="108">
        <f t="shared" si="33"/>
        <v>9.4301739777164251</v>
      </c>
      <c r="AK109" s="80" t="s">
        <v>208</v>
      </c>
      <c r="AL109" s="82">
        <v>-67.088677447903947</v>
      </c>
      <c r="AM109" s="82">
        <v>7.4838224473070376</v>
      </c>
      <c r="AN109" s="82">
        <v>1.5514501368332925</v>
      </c>
      <c r="AO109" s="82">
        <v>-8.508152550393774</v>
      </c>
      <c r="AP109" s="82">
        <v>-41.041282301031785</v>
      </c>
      <c r="AQ109" s="82">
        <v>0.13045129807124231</v>
      </c>
      <c r="AR109" s="72">
        <v>1</v>
      </c>
      <c r="AS109" s="116">
        <f t="shared" si="34"/>
        <v>6</v>
      </c>
      <c r="AT109" s="7">
        <v>2</v>
      </c>
      <c r="AU109" s="6">
        <f t="shared" si="35"/>
        <v>12</v>
      </c>
      <c r="AV109" s="111">
        <f t="shared" si="36"/>
        <v>5.517751047136446E-2</v>
      </c>
      <c r="AW109" s="117">
        <f t="shared" si="37"/>
        <v>105</v>
      </c>
      <c r="AX109" s="111">
        <f t="shared" si="38"/>
        <v>1</v>
      </c>
      <c r="AY109" s="111">
        <f t="shared" si="39"/>
        <v>1</v>
      </c>
      <c r="AZ109" s="111">
        <f t="shared" si="40"/>
        <v>1</v>
      </c>
      <c r="BA109" s="111">
        <f t="shared" si="41"/>
        <v>5.8081589969857322E-2</v>
      </c>
      <c r="BB109" s="111">
        <f t="shared" si="42"/>
        <v>0.11306228942415748</v>
      </c>
      <c r="BC109" s="111">
        <f t="shared" si="43"/>
        <v>0.5453853007893058</v>
      </c>
      <c r="BD109" s="111">
        <v>0</v>
      </c>
      <c r="BE109" s="111">
        <f t="shared" si="44"/>
        <v>0.71652918018332068</v>
      </c>
      <c r="BF109" s="6" t="str">
        <f t="shared" si="45"/>
        <v>OK</v>
      </c>
      <c r="BG109" s="16">
        <f t="shared" si="46"/>
        <v>63.625549371390676</v>
      </c>
      <c r="BH109" s="118">
        <f t="shared" si="47"/>
        <v>2.1193803644775273</v>
      </c>
      <c r="BI109" s="108">
        <f t="shared" si="48"/>
        <v>1.9466114733228475</v>
      </c>
      <c r="BJ109" s="6">
        <f t="shared" si="49"/>
        <v>1.1879565094482525</v>
      </c>
      <c r="BK109" s="108">
        <f t="shared" si="50"/>
        <v>2.3124897711005299</v>
      </c>
      <c r="BL109" s="118" cm="1">
        <f t="array" ref="BL109">IF(AO109=0,FactorPhi7121(BH109,"a"),noisuy2chieu(BK109,BH109,Data!$A$63:$M$85))</f>
        <v>0</v>
      </c>
      <c r="BM109" s="111">
        <v>1.26</v>
      </c>
      <c r="BN109" s="118">
        <f t="shared" si="51"/>
        <v>0.97521551411212404</v>
      </c>
      <c r="BO109" s="108" t="e">
        <f t="shared" si="52"/>
        <v>#DIV/0!</v>
      </c>
      <c r="BP109" s="6" t="e">
        <f t="shared" si="53"/>
        <v>#DIV/0!</v>
      </c>
      <c r="BQ109" s="16">
        <f t="shared" si="54"/>
        <v>127.25109874278135</v>
      </c>
      <c r="BR109" s="118">
        <f t="shared" si="55"/>
        <v>4.2387607289550546</v>
      </c>
      <c r="BS109" s="108">
        <f t="shared" si="56"/>
        <v>9.3899857264986206</v>
      </c>
      <c r="BT109" s="118">
        <f t="shared" si="57"/>
        <v>1.1000000000000001</v>
      </c>
      <c r="BU109" s="108">
        <f t="shared" si="58"/>
        <v>10.328984299148484</v>
      </c>
      <c r="BV109" s="6" cm="1">
        <f t="array" ref="BV109">IF(AP109=0,FactorPhi7121(BR109,"a"),noisuy2chieu(BU109,BR109,Data!$A$63:$M$85))</f>
        <v>0</v>
      </c>
      <c r="BW109" s="111">
        <v>1.26</v>
      </c>
      <c r="BX109" s="111">
        <f t="shared" si="59"/>
        <v>0.90086205644849626</v>
      </c>
      <c r="BY109" s="113" t="e">
        <f t="shared" si="60"/>
        <v>#DIV/0!</v>
      </c>
      <c r="BZ109" s="6" t="e">
        <f t="shared" si="61"/>
        <v>#DIV/0!</v>
      </c>
      <c r="CA109" s="114">
        <f t="shared" si="62"/>
        <v>127.25109874278135</v>
      </c>
      <c r="CB109" s="115" t="e">
        <f t="shared" si="63"/>
        <v>#DIV/0!</v>
      </c>
      <c r="CC109" s="6" t="e">
        <f t="shared" si="64"/>
        <v>#DIV/0!</v>
      </c>
      <c r="DG109" s="108"/>
      <c r="DH109" s="108"/>
      <c r="DI109" s="16"/>
      <c r="DJ109" s="108"/>
      <c r="DT109" s="6"/>
      <c r="DU109" s="6"/>
      <c r="DV109" s="111"/>
      <c r="DW109" s="111"/>
      <c r="DX109" s="111"/>
      <c r="DY109" s="111"/>
      <c r="DZ109" s="111"/>
      <c r="EA109" s="111"/>
      <c r="EB109" s="111"/>
      <c r="EC109" s="111"/>
      <c r="ED109" s="111"/>
      <c r="EE109" s="111"/>
      <c r="EF109" s="6"/>
      <c r="EG109" s="6"/>
      <c r="EH109" s="6"/>
      <c r="EI109" s="6"/>
      <c r="EJ109" s="6"/>
      <c r="EK109" s="6"/>
      <c r="EL109" s="112"/>
      <c r="EM109" s="112"/>
      <c r="EN109" s="118"/>
      <c r="EO109" s="118"/>
      <c r="EP109" s="112"/>
      <c r="EQ109" s="112"/>
      <c r="ER109" s="112"/>
      <c r="ES109" s="112"/>
      <c r="ET109" s="112"/>
      <c r="EU109" s="112"/>
      <c r="EV109" s="6"/>
      <c r="EW109" s="6"/>
      <c r="EX109" s="118"/>
      <c r="EY109" s="113"/>
      <c r="EZ109" s="6"/>
      <c r="FA109" s="114"/>
      <c r="FB109" s="115"/>
      <c r="FC109" s="6"/>
    </row>
    <row r="110" spans="27:159">
      <c r="AA110" s="79" t="s">
        <v>175</v>
      </c>
      <c r="AB110" s="80" t="s">
        <v>194</v>
      </c>
      <c r="AC110" s="81">
        <v>0</v>
      </c>
      <c r="AD110" s="81">
        <v>6</v>
      </c>
      <c r="AE110" s="80">
        <v>273</v>
      </c>
      <c r="AF110" s="80">
        <v>6.35</v>
      </c>
      <c r="AG110" s="108" cm="1">
        <f t="array" ref="AG110">_xll.DCEPropSectPipe(AE110, AF110, "Area")/100</f>
        <v>53.19431074856206</v>
      </c>
      <c r="AH110" s="16" cm="1">
        <f t="array" ref="AH110">_xll.DCEPropSectPipe(AE110, AF110, "Ix")/10000</f>
        <v>4730.4733077169503</v>
      </c>
      <c r="AI110" s="16" cm="1">
        <f t="array" ref="AI110">_xll.DCEPropSectPipe(AE110, AF110, "Wx")/1000</f>
        <v>346.55482107816493</v>
      </c>
      <c r="AJ110" s="108">
        <f t="shared" si="33"/>
        <v>9.4301739777164251</v>
      </c>
      <c r="AK110" s="80" t="s">
        <v>209</v>
      </c>
      <c r="AL110" s="82">
        <v>2.0540079686329151</v>
      </c>
      <c r="AM110" s="82">
        <v>-1.997486303823474</v>
      </c>
      <c r="AN110" s="82">
        <v>-0.34242193977457824</v>
      </c>
      <c r="AO110" s="82">
        <v>0</v>
      </c>
      <c r="AP110" s="82">
        <v>0</v>
      </c>
      <c r="AQ110" s="82">
        <v>1.9183620769987853E-2</v>
      </c>
      <c r="AR110" s="72">
        <v>1</v>
      </c>
      <c r="AS110" s="116">
        <f t="shared" si="34"/>
        <v>6</v>
      </c>
      <c r="AT110" s="7">
        <v>2</v>
      </c>
      <c r="AU110" s="6">
        <f t="shared" si="35"/>
        <v>12</v>
      </c>
      <c r="AV110" s="111">
        <f t="shared" si="36"/>
        <v>1.6893319485320937E-3</v>
      </c>
      <c r="AW110" s="117">
        <f t="shared" si="37"/>
        <v>105</v>
      </c>
      <c r="AX110" s="111">
        <f t="shared" si="38"/>
        <v>1</v>
      </c>
      <c r="AY110" s="111">
        <f t="shared" si="39"/>
        <v>1</v>
      </c>
      <c r="AZ110" s="111">
        <f t="shared" si="40"/>
        <v>1</v>
      </c>
      <c r="BA110" s="111">
        <f t="shared" si="41"/>
        <v>1.7782441563495726E-3</v>
      </c>
      <c r="BB110" s="111">
        <f t="shared" si="42"/>
        <v>0</v>
      </c>
      <c r="BC110" s="111">
        <f t="shared" si="43"/>
        <v>0</v>
      </c>
      <c r="BD110" s="111">
        <v>0</v>
      </c>
      <c r="BE110" s="111">
        <f t="shared" si="44"/>
        <v>1.7782441563495726E-3</v>
      </c>
      <c r="BF110" s="6" t="str">
        <f t="shared" si="45"/>
        <v>OK</v>
      </c>
      <c r="BG110" s="16">
        <f t="shared" si="46"/>
        <v>63.625549371390676</v>
      </c>
      <c r="BH110" s="118">
        <f t="shared" si="47"/>
        <v>2.1193803644775273</v>
      </c>
      <c r="BI110" s="108">
        <f t="shared" si="48"/>
        <v>0</v>
      </c>
      <c r="BJ110" s="6">
        <f t="shared" si="49"/>
        <v>1.2440309817761237</v>
      </c>
      <c r="BK110" s="108">
        <f t="shared" si="50"/>
        <v>0</v>
      </c>
      <c r="BL110" s="118" cm="1">
        <f t="array" ref="BL110">IF(AO110=0,FactorPhi7121(BH110,"a"),noisuy2chieu(BK110,BH110,Data!$A$63:$M$85))</f>
        <v>0.86214274110469236</v>
      </c>
      <c r="BM110" s="111">
        <v>1.26</v>
      </c>
      <c r="BN110" s="118">
        <f t="shared" si="51"/>
        <v>0.99924119041470605</v>
      </c>
      <c r="BO110" s="108">
        <f t="shared" si="52"/>
        <v>4.2039316553148832E-3</v>
      </c>
      <c r="BP110" s="6" t="str">
        <f t="shared" si="53"/>
        <v>OK</v>
      </c>
      <c r="BQ110" s="16">
        <f t="shared" si="54"/>
        <v>127.25109874278135</v>
      </c>
      <c r="BR110" s="118">
        <f t="shared" si="55"/>
        <v>4.2387607289550546</v>
      </c>
      <c r="BS110" s="108">
        <f t="shared" si="56"/>
        <v>0</v>
      </c>
      <c r="BT110" s="118">
        <f t="shared" si="57"/>
        <v>1.1380619635522473</v>
      </c>
      <c r="BU110" s="108">
        <f t="shared" si="58"/>
        <v>0</v>
      </c>
      <c r="BV110" s="6" cm="1">
        <f t="array" ref="BV110">IF(AP110=0,FactorPhi7121(BR110,"a"),noisuy2chieu(BU110,BR110,Data!$A$63:$M$85))</f>
        <v>0.42299549615688942</v>
      </c>
      <c r="BW110" s="111">
        <v>1.26</v>
      </c>
      <c r="BX110" s="111">
        <f t="shared" si="59"/>
        <v>0.99696476165882397</v>
      </c>
      <c r="BY110" s="113">
        <f t="shared" si="60"/>
        <v>2.0625867058522685E-3</v>
      </c>
      <c r="BZ110" s="6" t="str">
        <f t="shared" si="61"/>
        <v>OK</v>
      </c>
      <c r="CA110" s="114">
        <f t="shared" si="62"/>
        <v>127.25109874278135</v>
      </c>
      <c r="CB110" s="115">
        <f t="shared" si="63"/>
        <v>150</v>
      </c>
      <c r="CC110" s="6" t="str">
        <f t="shared" si="64"/>
        <v>OK</v>
      </c>
      <c r="DG110" s="108"/>
      <c r="DH110" s="108"/>
      <c r="DI110" s="16"/>
      <c r="DJ110" s="108"/>
      <c r="DT110" s="6"/>
      <c r="DU110" s="6"/>
      <c r="DV110" s="111"/>
      <c r="DW110" s="111"/>
      <c r="DX110" s="111"/>
      <c r="DY110" s="111"/>
      <c r="DZ110" s="111"/>
      <c r="EA110" s="111"/>
      <c r="EB110" s="111"/>
      <c r="EC110" s="111"/>
      <c r="ED110" s="111"/>
      <c r="EE110" s="111"/>
      <c r="EF110" s="6"/>
      <c r="EG110" s="6"/>
      <c r="EH110" s="6"/>
      <c r="EI110" s="6"/>
      <c r="EJ110" s="6"/>
      <c r="EK110" s="6"/>
      <c r="EL110" s="112"/>
      <c r="EM110" s="112"/>
      <c r="EN110" s="118"/>
      <c r="EO110" s="118"/>
      <c r="EP110" s="112"/>
      <c r="EQ110" s="112"/>
      <c r="ER110" s="112"/>
      <c r="ES110" s="112"/>
      <c r="ET110" s="112"/>
      <c r="EU110" s="112"/>
      <c r="EV110" s="6"/>
      <c r="EW110" s="6"/>
      <c r="EX110" s="118"/>
      <c r="EY110" s="113"/>
      <c r="EZ110" s="6"/>
      <c r="FA110" s="114"/>
      <c r="FB110" s="115"/>
      <c r="FC110" s="6"/>
    </row>
    <row r="111" spans="27:159">
      <c r="AA111" s="79" t="s">
        <v>175</v>
      </c>
      <c r="AB111" s="80" t="s">
        <v>194</v>
      </c>
      <c r="AC111" s="81">
        <v>2.74</v>
      </c>
      <c r="AD111" s="81">
        <v>6</v>
      </c>
      <c r="AE111" s="80">
        <v>273</v>
      </c>
      <c r="AF111" s="80">
        <v>6.35</v>
      </c>
      <c r="AG111" s="108" cm="1">
        <f t="array" ref="AG111">_xll.DCEPropSectPipe(AE111, AF111, "Area")/100</f>
        <v>53.19431074856206</v>
      </c>
      <c r="AH111" s="16" cm="1">
        <f t="array" ref="AH111">_xll.DCEPropSectPipe(AE111, AF111, "Ix")/10000</f>
        <v>4730.4733077169503</v>
      </c>
      <c r="AI111" s="16" cm="1">
        <f t="array" ref="AI111">_xll.DCEPropSectPipe(AE111, AF111, "Wx")/1000</f>
        <v>346.55482107816493</v>
      </c>
      <c r="AJ111" s="108">
        <f t="shared" si="33"/>
        <v>9.4301739777164251</v>
      </c>
      <c r="AK111" s="80" t="s">
        <v>209</v>
      </c>
      <c r="AL111" s="82">
        <v>3.4012683173649485</v>
      </c>
      <c r="AM111" s="82">
        <v>-1.997486303823474</v>
      </c>
      <c r="AN111" s="82">
        <v>-0.34242193977457824</v>
      </c>
      <c r="AO111" s="82">
        <v>0.93892095886189375</v>
      </c>
      <c r="AP111" s="82">
        <v>5.4771074450839645</v>
      </c>
      <c r="AQ111" s="82">
        <v>1.9183620769987853E-2</v>
      </c>
      <c r="AR111" s="72">
        <v>1</v>
      </c>
      <c r="AS111" s="116">
        <f t="shared" si="34"/>
        <v>6</v>
      </c>
      <c r="AT111" s="7">
        <v>2</v>
      </c>
      <c r="AU111" s="6">
        <f t="shared" si="35"/>
        <v>12</v>
      </c>
      <c r="AV111" s="111">
        <f t="shared" si="36"/>
        <v>2.7973948114129667E-3</v>
      </c>
      <c r="AW111" s="117">
        <f t="shared" si="37"/>
        <v>105</v>
      </c>
      <c r="AX111" s="111">
        <f t="shared" si="38"/>
        <v>1</v>
      </c>
      <c r="AY111" s="111">
        <f t="shared" si="39"/>
        <v>1</v>
      </c>
      <c r="AZ111" s="111">
        <f t="shared" si="40"/>
        <v>1</v>
      </c>
      <c r="BA111" s="111">
        <f t="shared" si="41"/>
        <v>2.9446261172768073E-3</v>
      </c>
      <c r="BB111" s="111">
        <f t="shared" si="42"/>
        <v>1.2477039236013435E-2</v>
      </c>
      <c r="BC111" s="111">
        <f t="shared" si="43"/>
        <v>7.2783639397089858E-2</v>
      </c>
      <c r="BD111" s="111">
        <v>0</v>
      </c>
      <c r="BE111" s="111">
        <f t="shared" si="44"/>
        <v>8.8205304750380104E-2</v>
      </c>
      <c r="BF111" s="6" t="str">
        <f t="shared" si="45"/>
        <v>OK</v>
      </c>
      <c r="BG111" s="16">
        <f t="shared" si="46"/>
        <v>63.625549371390676</v>
      </c>
      <c r="BH111" s="118">
        <f t="shared" si="47"/>
        <v>2.1193803644775273</v>
      </c>
      <c r="BI111" s="108">
        <f t="shared" si="48"/>
        <v>4.2372235859784517</v>
      </c>
      <c r="BJ111" s="6">
        <f t="shared" si="49"/>
        <v>1.1219726871574389</v>
      </c>
      <c r="BK111" s="108">
        <f t="shared" si="50"/>
        <v>4.7540491328471228</v>
      </c>
      <c r="BL111" s="118" cm="1">
        <f t="array" ref="BL111">IF(AO111=0,FactorPhi7121(BH111,"a"),noisuy2chieu(BK111,BH111,Data!$A$63:$M$85))</f>
        <v>0</v>
      </c>
      <c r="BM111" s="111">
        <v>1.26</v>
      </c>
      <c r="BN111" s="118">
        <f t="shared" si="51"/>
        <v>0.99874347371539596</v>
      </c>
      <c r="BO111" s="108" t="e">
        <f t="shared" si="52"/>
        <v>#DIV/0!</v>
      </c>
      <c r="BP111" s="6" t="e">
        <f t="shared" si="53"/>
        <v>#DIV/0!</v>
      </c>
      <c r="BQ111" s="16">
        <f t="shared" si="54"/>
        <v>127.25109874278135</v>
      </c>
      <c r="BR111" s="118">
        <f t="shared" si="55"/>
        <v>4.2387607289550546</v>
      </c>
      <c r="BS111" s="108">
        <f t="shared" si="56"/>
        <v>24.717446799120374</v>
      </c>
      <c r="BT111" s="118">
        <f t="shared" si="57"/>
        <v>1.1000000000000001</v>
      </c>
      <c r="BU111" s="108">
        <f t="shared" si="58"/>
        <v>27.189191479032413</v>
      </c>
      <c r="BV111" s="6" cm="1">
        <f t="array" ref="BV111">IF(AP111=0,FactorPhi7121(BR111,"a"),noisuy2chieu(BU111,BR111,Data!$A$63:$M$85))</f>
        <v>0</v>
      </c>
      <c r="BW111" s="111">
        <v>1.26</v>
      </c>
      <c r="BX111" s="111">
        <f t="shared" si="59"/>
        <v>0.99497389486158394</v>
      </c>
      <c r="BY111" s="113" t="e">
        <f t="shared" si="60"/>
        <v>#DIV/0!</v>
      </c>
      <c r="BZ111" s="6" t="e">
        <f t="shared" si="61"/>
        <v>#DIV/0!</v>
      </c>
      <c r="CA111" s="114">
        <f t="shared" si="62"/>
        <v>127.25109874278135</v>
      </c>
      <c r="CB111" s="115" t="e">
        <f t="shared" si="63"/>
        <v>#DIV/0!</v>
      </c>
      <c r="CC111" s="6" t="e">
        <f t="shared" si="64"/>
        <v>#DIV/0!</v>
      </c>
      <c r="DG111" s="108"/>
      <c r="DH111" s="108"/>
      <c r="DI111" s="16"/>
      <c r="DJ111" s="108"/>
      <c r="DT111" s="6"/>
      <c r="DU111" s="6"/>
      <c r="DV111" s="111"/>
      <c r="DW111" s="111"/>
      <c r="DX111" s="111"/>
      <c r="DY111" s="111"/>
      <c r="DZ111" s="111"/>
      <c r="EA111" s="111"/>
      <c r="EB111" s="111"/>
      <c r="EC111" s="111"/>
      <c r="ED111" s="111"/>
      <c r="EE111" s="111"/>
      <c r="EF111" s="6"/>
      <c r="EG111" s="6"/>
      <c r="EH111" s="6"/>
      <c r="EI111" s="6"/>
      <c r="EJ111" s="6"/>
      <c r="EK111" s="6"/>
      <c r="EL111" s="112"/>
      <c r="EM111" s="112"/>
      <c r="EN111" s="118"/>
      <c r="EO111" s="118"/>
      <c r="EP111" s="112"/>
      <c r="EQ111" s="112"/>
      <c r="ER111" s="112"/>
      <c r="ES111" s="112"/>
      <c r="ET111" s="112"/>
      <c r="EU111" s="112"/>
      <c r="EV111" s="6"/>
      <c r="EW111" s="6"/>
      <c r="EX111" s="118"/>
      <c r="EY111" s="113"/>
      <c r="EZ111" s="6"/>
      <c r="FA111" s="114"/>
      <c r="FB111" s="115"/>
      <c r="FC111" s="6"/>
    </row>
    <row r="112" spans="27:159">
      <c r="AA112" s="79" t="s">
        <v>175</v>
      </c>
      <c r="AB112" s="80" t="s">
        <v>194</v>
      </c>
      <c r="AC112" s="81">
        <v>5.48</v>
      </c>
      <c r="AD112" s="81">
        <v>6</v>
      </c>
      <c r="AE112" s="80">
        <v>273</v>
      </c>
      <c r="AF112" s="80">
        <v>6.35</v>
      </c>
      <c r="AG112" s="108" cm="1">
        <f t="array" ref="AG112">_xll.DCEPropSectPipe(AE112, AF112, "Area")/100</f>
        <v>53.19431074856206</v>
      </c>
      <c r="AH112" s="16" cm="1">
        <f t="array" ref="AH112">_xll.DCEPropSectPipe(AE112, AF112, "Ix")/10000</f>
        <v>4730.4733077169503</v>
      </c>
      <c r="AI112" s="16" cm="1">
        <f t="array" ref="AI112">_xll.DCEPropSectPipe(AE112, AF112, "Wx")/1000</f>
        <v>346.55482107816493</v>
      </c>
      <c r="AJ112" s="108">
        <f t="shared" si="33"/>
        <v>9.4301739777164251</v>
      </c>
      <c r="AK112" s="80" t="s">
        <v>209</v>
      </c>
      <c r="AL112" s="82">
        <v>4.7485286660969823</v>
      </c>
      <c r="AM112" s="82">
        <v>-1.997486303823474</v>
      </c>
      <c r="AN112" s="82">
        <v>-0.34242193977457824</v>
      </c>
      <c r="AO112" s="82">
        <v>1.8778419177237875</v>
      </c>
      <c r="AP112" s="82">
        <v>10.954214890167929</v>
      </c>
      <c r="AQ112" s="82">
        <v>1.9183620769987853E-2</v>
      </c>
      <c r="AR112" s="72">
        <v>1</v>
      </c>
      <c r="AS112" s="116">
        <f t="shared" si="34"/>
        <v>6</v>
      </c>
      <c r="AT112" s="7">
        <v>2</v>
      </c>
      <c r="AU112" s="6">
        <f t="shared" si="35"/>
        <v>12</v>
      </c>
      <c r="AV112" s="111">
        <f t="shared" si="36"/>
        <v>3.9054576742938397E-3</v>
      </c>
      <c r="AW112" s="117">
        <f t="shared" si="37"/>
        <v>105</v>
      </c>
      <c r="AX112" s="111">
        <f t="shared" si="38"/>
        <v>1</v>
      </c>
      <c r="AY112" s="111">
        <f t="shared" si="39"/>
        <v>1</v>
      </c>
      <c r="AZ112" s="111">
        <f t="shared" si="40"/>
        <v>1</v>
      </c>
      <c r="BA112" s="111">
        <f t="shared" si="41"/>
        <v>4.1110080782040424E-3</v>
      </c>
      <c r="BB112" s="111">
        <f t="shared" si="42"/>
        <v>2.495407847202687E-2</v>
      </c>
      <c r="BC112" s="111">
        <f t="shared" si="43"/>
        <v>0.14556727879417972</v>
      </c>
      <c r="BD112" s="111">
        <v>0</v>
      </c>
      <c r="BE112" s="111">
        <f t="shared" si="44"/>
        <v>0.17463236534441062</v>
      </c>
      <c r="BF112" s="6" t="str">
        <f t="shared" si="45"/>
        <v>OK</v>
      </c>
      <c r="BG112" s="16">
        <f t="shared" si="46"/>
        <v>63.625549371390676</v>
      </c>
      <c r="BH112" s="118">
        <f t="shared" si="47"/>
        <v>2.1193803644775273</v>
      </c>
      <c r="BI112" s="108">
        <f t="shared" si="48"/>
        <v>6.0700631079587772</v>
      </c>
      <c r="BJ112" s="6">
        <f t="shared" si="49"/>
        <v>1.1000000000000001</v>
      </c>
      <c r="BK112" s="108">
        <f t="shared" si="50"/>
        <v>6.6770694187546553</v>
      </c>
      <c r="BL112" s="118" cm="1">
        <f t="array" ref="BL112">IF(AO112=0,FactorPhi7121(BH112,"a"),noisuy2chieu(BK112,BH112,Data!$A$63:$M$85))</f>
        <v>0</v>
      </c>
      <c r="BM112" s="111">
        <v>1.26</v>
      </c>
      <c r="BN112" s="118">
        <f t="shared" si="51"/>
        <v>0.99824575701608598</v>
      </c>
      <c r="BO112" s="108" t="e">
        <f t="shared" si="52"/>
        <v>#DIV/0!</v>
      </c>
      <c r="BP112" s="6" t="e">
        <f t="shared" si="53"/>
        <v>#DIV/0!</v>
      </c>
      <c r="BQ112" s="16">
        <f t="shared" si="54"/>
        <v>127.25109874278135</v>
      </c>
      <c r="BR112" s="118">
        <f t="shared" si="55"/>
        <v>4.2387607289550546</v>
      </c>
      <c r="BS112" s="108">
        <f t="shared" si="56"/>
        <v>35.409144430037962</v>
      </c>
      <c r="BT112" s="118">
        <f t="shared" si="57"/>
        <v>1.1000000000000001</v>
      </c>
      <c r="BU112" s="108">
        <f t="shared" si="58"/>
        <v>38.950058873041762</v>
      </c>
      <c r="BV112" s="6" cm="1">
        <f t="array" ref="BV112">IF(AP112=0,FactorPhi7121(BR112,"a"),noisuy2chieu(BU112,BR112,Data!$A$63:$M$85))</f>
        <v>0</v>
      </c>
      <c r="BW112" s="111">
        <v>1.26</v>
      </c>
      <c r="BX112" s="111">
        <f t="shared" si="59"/>
        <v>0.99298302806434402</v>
      </c>
      <c r="BY112" s="113" t="e">
        <f t="shared" si="60"/>
        <v>#DIV/0!</v>
      </c>
      <c r="BZ112" s="6" t="e">
        <f t="shared" si="61"/>
        <v>#DIV/0!</v>
      </c>
      <c r="CA112" s="114">
        <f t="shared" si="62"/>
        <v>127.25109874278135</v>
      </c>
      <c r="CB112" s="115" t="e">
        <f t="shared" si="63"/>
        <v>#DIV/0!</v>
      </c>
      <c r="CC112" s="6" t="e">
        <f t="shared" si="64"/>
        <v>#DIV/0!</v>
      </c>
      <c r="DG112" s="108"/>
      <c r="DH112" s="108"/>
      <c r="DI112" s="16"/>
      <c r="DJ112" s="108"/>
      <c r="DT112" s="6"/>
      <c r="DU112" s="6"/>
      <c r="DV112" s="111"/>
      <c r="DW112" s="111"/>
      <c r="DX112" s="111"/>
      <c r="DY112" s="111"/>
      <c r="DZ112" s="111"/>
      <c r="EA112" s="111"/>
      <c r="EB112" s="111"/>
      <c r="EC112" s="111"/>
      <c r="ED112" s="111"/>
      <c r="EE112" s="111"/>
      <c r="EF112" s="6"/>
      <c r="EG112" s="6"/>
      <c r="EH112" s="6"/>
      <c r="EI112" s="6"/>
      <c r="EJ112" s="6"/>
      <c r="EK112" s="6"/>
      <c r="EL112" s="112"/>
      <c r="EM112" s="112"/>
      <c r="EN112" s="118"/>
      <c r="EO112" s="118"/>
      <c r="EP112" s="112"/>
      <c r="EQ112" s="112"/>
      <c r="ER112" s="112"/>
      <c r="ES112" s="112"/>
      <c r="ET112" s="112"/>
      <c r="EU112" s="112"/>
      <c r="EV112" s="6"/>
      <c r="EW112" s="6"/>
      <c r="EX112" s="118"/>
      <c r="EY112" s="113"/>
      <c r="EZ112" s="6"/>
      <c r="FA112" s="114"/>
      <c r="FB112" s="115"/>
      <c r="FC112" s="6"/>
    </row>
    <row r="113" spans="27:159">
      <c r="AA113" s="79" t="s">
        <v>175</v>
      </c>
      <c r="AB113" s="80" t="s">
        <v>194</v>
      </c>
      <c r="AC113" s="81">
        <v>0</v>
      </c>
      <c r="AD113" s="81">
        <v>6</v>
      </c>
      <c r="AE113" s="80">
        <v>273</v>
      </c>
      <c r="AF113" s="80">
        <v>6.35</v>
      </c>
      <c r="AG113" s="108" cm="1">
        <f t="array" ref="AG113">_xll.DCEPropSectPipe(AE113, AF113, "Area")/100</f>
        <v>53.19431074856206</v>
      </c>
      <c r="AH113" s="16" cm="1">
        <f t="array" ref="AH113">_xll.DCEPropSectPipe(AE113, AF113, "Ix")/10000</f>
        <v>4730.4733077169503</v>
      </c>
      <c r="AI113" s="16" cm="1">
        <f t="array" ref="AI113">_xll.DCEPropSectPipe(AE113, AF113, "Wx")/1000</f>
        <v>346.55482107816493</v>
      </c>
      <c r="AJ113" s="108">
        <f t="shared" si="33"/>
        <v>9.4301739777164251</v>
      </c>
      <c r="AK113" s="80" t="s">
        <v>210</v>
      </c>
      <c r="AL113" s="82">
        <v>17.862972513857883</v>
      </c>
      <c r="AM113" s="82">
        <v>-2.0612330767517011</v>
      </c>
      <c r="AN113" s="82">
        <v>-0.46783123301422047</v>
      </c>
      <c r="AO113" s="82">
        <v>0</v>
      </c>
      <c r="AP113" s="82">
        <v>0</v>
      </c>
      <c r="AQ113" s="82">
        <v>-7.1071819320842902E-2</v>
      </c>
      <c r="AR113" s="72">
        <v>1</v>
      </c>
      <c r="AS113" s="116">
        <f t="shared" si="34"/>
        <v>6</v>
      </c>
      <c r="AT113" s="7">
        <v>2</v>
      </c>
      <c r="AU113" s="6">
        <f t="shared" si="35"/>
        <v>12</v>
      </c>
      <c r="AV113" s="111">
        <f t="shared" si="36"/>
        <v>1.4691515624204381E-2</v>
      </c>
      <c r="AW113" s="117">
        <f t="shared" si="37"/>
        <v>105</v>
      </c>
      <c r="AX113" s="111">
        <f t="shared" si="38"/>
        <v>1</v>
      </c>
      <c r="AY113" s="111">
        <f t="shared" si="39"/>
        <v>1</v>
      </c>
      <c r="AZ113" s="111">
        <f t="shared" si="40"/>
        <v>1</v>
      </c>
      <c r="BA113" s="111">
        <f t="shared" si="41"/>
        <v>1.5464753288636191E-2</v>
      </c>
      <c r="BB113" s="111">
        <f t="shared" si="42"/>
        <v>0</v>
      </c>
      <c r="BC113" s="111">
        <f t="shared" si="43"/>
        <v>0</v>
      </c>
      <c r="BD113" s="111">
        <v>0</v>
      </c>
      <c r="BE113" s="111">
        <f t="shared" si="44"/>
        <v>1.5464753288636191E-2</v>
      </c>
      <c r="BF113" s="6" t="str">
        <f t="shared" si="45"/>
        <v>OK</v>
      </c>
      <c r="BG113" s="16">
        <f t="shared" si="46"/>
        <v>63.625549371390676</v>
      </c>
      <c r="BH113" s="118">
        <f t="shared" si="47"/>
        <v>2.1193803644775273</v>
      </c>
      <c r="BI113" s="108">
        <f t="shared" si="48"/>
        <v>0</v>
      </c>
      <c r="BJ113" s="6">
        <f t="shared" si="49"/>
        <v>1.2440309817761237</v>
      </c>
      <c r="BK113" s="108">
        <f t="shared" si="50"/>
        <v>0</v>
      </c>
      <c r="BL113" s="118" cm="1">
        <f t="array" ref="BL113">IF(AO113=0,FactorPhi7121(BH113,"a"),noisuy2chieu(BK113,BH113,Data!$A$63:$M$85))</f>
        <v>0.86214274110469236</v>
      </c>
      <c r="BM113" s="111">
        <v>1.26</v>
      </c>
      <c r="BN113" s="118">
        <f t="shared" si="51"/>
        <v>0.99340090448900242</v>
      </c>
      <c r="BO113" s="108">
        <f t="shared" si="52"/>
        <v>3.6560089715234931E-2</v>
      </c>
      <c r="BP113" s="6" t="str">
        <f t="shared" si="53"/>
        <v>OK</v>
      </c>
      <c r="BQ113" s="16">
        <f t="shared" si="54"/>
        <v>127.25109874278135</v>
      </c>
      <c r="BR113" s="118">
        <f t="shared" si="55"/>
        <v>4.2387607289550546</v>
      </c>
      <c r="BS113" s="108">
        <f t="shared" si="56"/>
        <v>0</v>
      </c>
      <c r="BT113" s="118">
        <f t="shared" si="57"/>
        <v>1.1380619635522473</v>
      </c>
      <c r="BU113" s="108">
        <f t="shared" si="58"/>
        <v>0</v>
      </c>
      <c r="BV113" s="6" cm="1">
        <f t="array" ref="BV113">IF(AP113=0,FactorPhi7121(BR113,"a"),noisuy2chieu(BU113,BR113,Data!$A$63:$M$85))</f>
        <v>0.42299549615688942</v>
      </c>
      <c r="BW113" s="111">
        <v>1.26</v>
      </c>
      <c r="BX113" s="111">
        <f t="shared" si="59"/>
        <v>0.97360361795600969</v>
      </c>
      <c r="BY113" s="113">
        <f t="shared" si="60"/>
        <v>1.7937578722545044E-2</v>
      </c>
      <c r="BZ113" s="6" t="str">
        <f t="shared" si="61"/>
        <v>OK</v>
      </c>
      <c r="CA113" s="114">
        <f t="shared" si="62"/>
        <v>127.25109874278135</v>
      </c>
      <c r="CB113" s="115">
        <f t="shared" si="63"/>
        <v>150</v>
      </c>
      <c r="CC113" s="6" t="str">
        <f t="shared" si="64"/>
        <v>OK</v>
      </c>
      <c r="DG113" s="108"/>
      <c r="DH113" s="108"/>
      <c r="DI113" s="16"/>
      <c r="DJ113" s="108"/>
      <c r="DT113" s="6"/>
      <c r="DU113" s="6"/>
      <c r="DV113" s="111"/>
      <c r="DW113" s="111"/>
      <c r="DX113" s="111"/>
      <c r="DY113" s="111"/>
      <c r="DZ113" s="111"/>
      <c r="EA113" s="111"/>
      <c r="EB113" s="111"/>
      <c r="EC113" s="111"/>
      <c r="ED113" s="111"/>
      <c r="EE113" s="111"/>
      <c r="EF113" s="6"/>
      <c r="EG113" s="6"/>
      <c r="EH113" s="6"/>
      <c r="EI113" s="6"/>
      <c r="EJ113" s="6"/>
      <c r="EK113" s="6"/>
      <c r="EL113" s="112"/>
      <c r="EM113" s="112"/>
      <c r="EN113" s="118"/>
      <c r="EO113" s="118"/>
      <c r="EP113" s="112"/>
      <c r="EQ113" s="112"/>
      <c r="ER113" s="112"/>
      <c r="ES113" s="112"/>
      <c r="ET113" s="112"/>
      <c r="EU113" s="112"/>
      <c r="EV113" s="6"/>
      <c r="EW113" s="6"/>
      <c r="EX113" s="118"/>
      <c r="EY113" s="113"/>
      <c r="EZ113" s="6"/>
      <c r="FA113" s="114"/>
      <c r="FB113" s="115"/>
      <c r="FC113" s="6"/>
    </row>
    <row r="114" spans="27:159">
      <c r="AA114" s="79" t="s">
        <v>175</v>
      </c>
      <c r="AB114" s="80" t="s">
        <v>194</v>
      </c>
      <c r="AC114" s="81">
        <v>2.74</v>
      </c>
      <c r="AD114" s="81">
        <v>6</v>
      </c>
      <c r="AE114" s="80">
        <v>273</v>
      </c>
      <c r="AF114" s="80">
        <v>6.35</v>
      </c>
      <c r="AG114" s="108" cm="1">
        <f t="array" ref="AG114">_xll.DCEPropSectPipe(AE114, AF114, "Area")/100</f>
        <v>53.19431074856206</v>
      </c>
      <c r="AH114" s="16" cm="1">
        <f t="array" ref="AH114">_xll.DCEPropSectPipe(AE114, AF114, "Ix")/10000</f>
        <v>4730.4733077169503</v>
      </c>
      <c r="AI114" s="16" cm="1">
        <f t="array" ref="AI114">_xll.DCEPropSectPipe(AE114, AF114, "Wx")/1000</f>
        <v>346.55482107816493</v>
      </c>
      <c r="AJ114" s="108">
        <f t="shared" si="33"/>
        <v>9.4301739777164251</v>
      </c>
      <c r="AK114" s="80" t="s">
        <v>210</v>
      </c>
      <c r="AL114" s="82">
        <v>19.210232862589915</v>
      </c>
      <c r="AM114" s="82">
        <v>-2.0612330767517011</v>
      </c>
      <c r="AN114" s="82">
        <v>-0.46783123301422047</v>
      </c>
      <c r="AO114" s="82">
        <v>1.2827932409249923</v>
      </c>
      <c r="AP114" s="82">
        <v>5.6519010964531651</v>
      </c>
      <c r="AQ114" s="82">
        <v>-7.1071819320842902E-2</v>
      </c>
      <c r="AR114" s="72">
        <v>1</v>
      </c>
      <c r="AS114" s="116">
        <f t="shared" si="34"/>
        <v>6</v>
      </c>
      <c r="AT114" s="7">
        <v>2</v>
      </c>
      <c r="AU114" s="6">
        <f t="shared" si="35"/>
        <v>12</v>
      </c>
      <c r="AV114" s="111">
        <f t="shared" si="36"/>
        <v>1.5799578487085252E-2</v>
      </c>
      <c r="AW114" s="117">
        <f t="shared" si="37"/>
        <v>105</v>
      </c>
      <c r="AX114" s="111">
        <f t="shared" si="38"/>
        <v>1</v>
      </c>
      <c r="AY114" s="111">
        <f t="shared" si="39"/>
        <v>1</v>
      </c>
      <c r="AZ114" s="111">
        <f t="shared" si="40"/>
        <v>1</v>
      </c>
      <c r="BA114" s="111">
        <f t="shared" si="41"/>
        <v>1.6631135249563424E-2</v>
      </c>
      <c r="BB114" s="111">
        <f t="shared" si="42"/>
        <v>1.7046654936870159E-2</v>
      </c>
      <c r="BC114" s="111">
        <f t="shared" si="43"/>
        <v>7.5106419846024716E-2</v>
      </c>
      <c r="BD114" s="111">
        <v>0</v>
      </c>
      <c r="BE114" s="111">
        <f t="shared" si="44"/>
        <v>0.10878421003245831</v>
      </c>
      <c r="BF114" s="6" t="str">
        <f t="shared" si="45"/>
        <v>OK</v>
      </c>
      <c r="BG114" s="16">
        <f t="shared" si="46"/>
        <v>63.625549371390676</v>
      </c>
      <c r="BH114" s="118">
        <f t="shared" si="47"/>
        <v>2.1193803644775273</v>
      </c>
      <c r="BI114" s="108">
        <f t="shared" si="48"/>
        <v>1.0249844452030203</v>
      </c>
      <c r="BJ114" s="6">
        <f t="shared" si="49"/>
        <v>1.2145050785865543</v>
      </c>
      <c r="BK114" s="108">
        <f t="shared" si="50"/>
        <v>1.2448488141712899</v>
      </c>
      <c r="BL114" s="118" cm="1">
        <f t="array" ref="BL114">IF(AO114=0,FactorPhi7121(BH114,"a"),noisuy2chieu(BK114,BH114,Data!$A$63:$M$85))</f>
        <v>0</v>
      </c>
      <c r="BM114" s="111">
        <v>1.26</v>
      </c>
      <c r="BN114" s="118">
        <f t="shared" si="51"/>
        <v>0.99290318778969244</v>
      </c>
      <c r="BO114" s="108" t="e">
        <f t="shared" si="52"/>
        <v>#DIV/0!</v>
      </c>
      <c r="BP114" s="6" t="e">
        <f t="shared" si="53"/>
        <v>#DIV/0!</v>
      </c>
      <c r="BQ114" s="16">
        <f t="shared" si="54"/>
        <v>127.25109874278135</v>
      </c>
      <c r="BR114" s="118">
        <f t="shared" si="55"/>
        <v>4.2387607289550546</v>
      </c>
      <c r="BS114" s="108">
        <f t="shared" si="56"/>
        <v>4.5160128108510396</v>
      </c>
      <c r="BT114" s="118">
        <f t="shared" si="57"/>
        <v>1.1036843005506287</v>
      </c>
      <c r="BU114" s="108">
        <f t="shared" si="58"/>
        <v>4.984252440421808</v>
      </c>
      <c r="BV114" s="6" cm="1">
        <f t="array" ref="BV114">IF(AP114=0,FactorPhi7121(BR114,"a"),noisuy2chieu(BU114,BR114,Data!$A$63:$M$85))</f>
        <v>0</v>
      </c>
      <c r="BW114" s="111">
        <v>1.26</v>
      </c>
      <c r="BX114" s="111">
        <f t="shared" si="59"/>
        <v>0.97161275115876977</v>
      </c>
      <c r="BY114" s="113" t="e">
        <f t="shared" si="60"/>
        <v>#DIV/0!</v>
      </c>
      <c r="BZ114" s="6" t="e">
        <f t="shared" si="61"/>
        <v>#DIV/0!</v>
      </c>
      <c r="CA114" s="114">
        <f t="shared" si="62"/>
        <v>127.25109874278135</v>
      </c>
      <c r="CB114" s="115" t="e">
        <f t="shared" si="63"/>
        <v>#DIV/0!</v>
      </c>
      <c r="CC114" s="6" t="e">
        <f t="shared" si="64"/>
        <v>#DIV/0!</v>
      </c>
      <c r="DG114" s="108"/>
      <c r="DH114" s="108"/>
      <c r="DI114" s="16"/>
      <c r="DJ114" s="108"/>
      <c r="DT114" s="6"/>
      <c r="DU114" s="6"/>
      <c r="DV114" s="111"/>
      <c r="DW114" s="111"/>
      <c r="DX114" s="111"/>
      <c r="DY114" s="111"/>
      <c r="DZ114" s="111"/>
      <c r="EA114" s="111"/>
      <c r="EB114" s="111"/>
      <c r="EC114" s="111"/>
      <c r="ED114" s="111"/>
      <c r="EE114" s="111"/>
      <c r="EF114" s="6"/>
      <c r="EG114" s="6"/>
      <c r="EH114" s="6"/>
      <c r="EI114" s="6"/>
      <c r="EJ114" s="6"/>
      <c r="EK114" s="6"/>
      <c r="EL114" s="112"/>
      <c r="EM114" s="112"/>
      <c r="EN114" s="118"/>
      <c r="EO114" s="118"/>
      <c r="EP114" s="112"/>
      <c r="EQ114" s="112"/>
      <c r="ER114" s="112"/>
      <c r="ES114" s="112"/>
      <c r="ET114" s="112"/>
      <c r="EU114" s="112"/>
      <c r="EV114" s="6"/>
      <c r="EW114" s="6"/>
      <c r="EX114" s="118"/>
      <c r="EY114" s="113"/>
      <c r="EZ114" s="6"/>
      <c r="FA114" s="114"/>
      <c r="FB114" s="115"/>
      <c r="FC114" s="6"/>
    </row>
    <row r="115" spans="27:159">
      <c r="AA115" s="79" t="s">
        <v>175</v>
      </c>
      <c r="AB115" s="80" t="s">
        <v>194</v>
      </c>
      <c r="AC115" s="81">
        <v>5.48</v>
      </c>
      <c r="AD115" s="81">
        <v>6</v>
      </c>
      <c r="AE115" s="80">
        <v>273</v>
      </c>
      <c r="AF115" s="80">
        <v>6.35</v>
      </c>
      <c r="AG115" s="108" cm="1">
        <f t="array" ref="AG115">_xll.DCEPropSectPipe(AE115, AF115, "Area")/100</f>
        <v>53.19431074856206</v>
      </c>
      <c r="AH115" s="16" cm="1">
        <f t="array" ref="AH115">_xll.DCEPropSectPipe(AE115, AF115, "Ix")/10000</f>
        <v>4730.4733077169503</v>
      </c>
      <c r="AI115" s="16" cm="1">
        <f t="array" ref="AI115">_xll.DCEPropSectPipe(AE115, AF115, "Wx")/1000</f>
        <v>346.55482107816493</v>
      </c>
      <c r="AJ115" s="108">
        <f t="shared" si="33"/>
        <v>9.4301739777164251</v>
      </c>
      <c r="AK115" s="80" t="s">
        <v>210</v>
      </c>
      <c r="AL115" s="82">
        <v>20.557493211321951</v>
      </c>
      <c r="AM115" s="82">
        <v>-2.0612330767517011</v>
      </c>
      <c r="AN115" s="82">
        <v>-0.46783123301422047</v>
      </c>
      <c r="AO115" s="82">
        <v>2.5655864818499845</v>
      </c>
      <c r="AP115" s="82">
        <v>11.30380219290633</v>
      </c>
      <c r="AQ115" s="82">
        <v>-7.1071819320842902E-2</v>
      </c>
      <c r="AR115" s="72">
        <v>1</v>
      </c>
      <c r="AS115" s="116">
        <f t="shared" si="34"/>
        <v>6</v>
      </c>
      <c r="AT115" s="7">
        <v>2</v>
      </c>
      <c r="AU115" s="6">
        <f t="shared" si="35"/>
        <v>12</v>
      </c>
      <c r="AV115" s="111">
        <f t="shared" si="36"/>
        <v>1.6907641349966127E-2</v>
      </c>
      <c r="AW115" s="117">
        <f t="shared" si="37"/>
        <v>105</v>
      </c>
      <c r="AX115" s="111">
        <f t="shared" si="38"/>
        <v>1</v>
      </c>
      <c r="AY115" s="111">
        <f t="shared" si="39"/>
        <v>1</v>
      </c>
      <c r="AZ115" s="111">
        <f t="shared" si="40"/>
        <v>1</v>
      </c>
      <c r="BA115" s="111">
        <f t="shared" si="41"/>
        <v>1.7797517210490662E-2</v>
      </c>
      <c r="BB115" s="111">
        <f t="shared" si="42"/>
        <v>3.4093309873740318E-2</v>
      </c>
      <c r="BC115" s="111">
        <f t="shared" si="43"/>
        <v>0.15021283969204943</v>
      </c>
      <c r="BD115" s="111">
        <v>0</v>
      </c>
      <c r="BE115" s="111">
        <f t="shared" si="44"/>
        <v>0.20210366677628042</v>
      </c>
      <c r="BF115" s="6" t="str">
        <f t="shared" si="45"/>
        <v>OK</v>
      </c>
      <c r="BG115" s="16">
        <f t="shared" si="46"/>
        <v>63.625549371390676</v>
      </c>
      <c r="BH115" s="118">
        <f t="shared" si="47"/>
        <v>2.1193803644775273</v>
      </c>
      <c r="BI115" s="108">
        <f t="shared" si="48"/>
        <v>1.9156216830988191</v>
      </c>
      <c r="BJ115" s="6">
        <f t="shared" si="49"/>
        <v>1.1888492074304531</v>
      </c>
      <c r="BK115" s="108">
        <f t="shared" si="50"/>
        <v>2.2773853196886216</v>
      </c>
      <c r="BL115" s="118" cm="1">
        <f t="array" ref="BL115">IF(AO115=0,FactorPhi7121(BH115,"a"),noisuy2chieu(BK115,BH115,Data!$A$63:$M$85))</f>
        <v>0</v>
      </c>
      <c r="BM115" s="111">
        <v>1.26</v>
      </c>
      <c r="BN115" s="118">
        <f t="shared" si="51"/>
        <v>0.99240547109038246</v>
      </c>
      <c r="BO115" s="108" t="e">
        <f t="shared" si="52"/>
        <v>#DIV/0!</v>
      </c>
      <c r="BP115" s="6" t="e">
        <f t="shared" si="53"/>
        <v>#DIV/0!</v>
      </c>
      <c r="BQ115" s="16">
        <f t="shared" si="54"/>
        <v>127.25109874278135</v>
      </c>
      <c r="BR115" s="118">
        <f t="shared" si="55"/>
        <v>4.2387607289550546</v>
      </c>
      <c r="BS115" s="108">
        <f t="shared" si="56"/>
        <v>8.4401008250469474</v>
      </c>
      <c r="BT115" s="118">
        <f t="shared" si="57"/>
        <v>1.1000000000000001</v>
      </c>
      <c r="BU115" s="108">
        <f t="shared" si="58"/>
        <v>9.2841109075516428</v>
      </c>
      <c r="BV115" s="6" cm="1">
        <f t="array" ref="BV115">IF(AP115=0,FactorPhi7121(BR115,"a"),noisuy2chieu(BU115,BR115,Data!$A$63:$M$85))</f>
        <v>0</v>
      </c>
      <c r="BW115" s="111">
        <v>1.26</v>
      </c>
      <c r="BX115" s="111">
        <f t="shared" si="59"/>
        <v>0.96962188436152974</v>
      </c>
      <c r="BY115" s="113" t="e">
        <f t="shared" si="60"/>
        <v>#DIV/0!</v>
      </c>
      <c r="BZ115" s="6" t="e">
        <f t="shared" si="61"/>
        <v>#DIV/0!</v>
      </c>
      <c r="CA115" s="114">
        <f t="shared" si="62"/>
        <v>127.25109874278135</v>
      </c>
      <c r="CB115" s="115" t="e">
        <f t="shared" si="63"/>
        <v>#DIV/0!</v>
      </c>
      <c r="CC115" s="6" t="e">
        <f t="shared" si="64"/>
        <v>#DIV/0!</v>
      </c>
      <c r="DG115" s="108"/>
      <c r="DH115" s="108"/>
      <c r="DI115" s="16"/>
      <c r="DJ115" s="108"/>
      <c r="DT115" s="6"/>
      <c r="DU115" s="6"/>
      <c r="DV115" s="111"/>
      <c r="DW115" s="111"/>
      <c r="DX115" s="111"/>
      <c r="DY115" s="111"/>
      <c r="DZ115" s="111"/>
      <c r="EA115" s="111"/>
      <c r="EB115" s="111"/>
      <c r="EC115" s="111"/>
      <c r="ED115" s="111"/>
      <c r="EE115" s="111"/>
      <c r="EF115" s="6"/>
      <c r="EG115" s="6"/>
      <c r="EH115" s="6"/>
      <c r="EI115" s="6"/>
      <c r="EJ115" s="6"/>
      <c r="EK115" s="6"/>
      <c r="EL115" s="112"/>
      <c r="EM115" s="112"/>
      <c r="EN115" s="118"/>
      <c r="EO115" s="118"/>
      <c r="EP115" s="112"/>
      <c r="EQ115" s="112"/>
      <c r="ER115" s="112"/>
      <c r="ES115" s="112"/>
      <c r="ET115" s="112"/>
      <c r="EU115" s="112"/>
      <c r="EV115" s="6"/>
      <c r="EW115" s="6"/>
      <c r="EX115" s="118"/>
      <c r="EY115" s="113"/>
      <c r="EZ115" s="6"/>
      <c r="FA115" s="114"/>
      <c r="FB115" s="115"/>
      <c r="FC115" s="6"/>
    </row>
    <row r="116" spans="27:159">
      <c r="AA116" s="79" t="s">
        <v>175</v>
      </c>
      <c r="AB116" s="80" t="s">
        <v>194</v>
      </c>
      <c r="AC116" s="81">
        <v>0</v>
      </c>
      <c r="AD116" s="81">
        <v>6</v>
      </c>
      <c r="AE116" s="80">
        <v>273</v>
      </c>
      <c r="AF116" s="80">
        <v>6.35</v>
      </c>
      <c r="AG116" s="108" cm="1">
        <f t="array" ref="AG116">_xll.DCEPropSectPipe(AE116, AF116, "Area")/100</f>
        <v>53.19431074856206</v>
      </c>
      <c r="AH116" s="16" cm="1">
        <f t="array" ref="AH116">_xll.DCEPropSectPipe(AE116, AF116, "Ix")/10000</f>
        <v>4730.4733077169503</v>
      </c>
      <c r="AI116" s="16" cm="1">
        <f t="array" ref="AI116">_xll.DCEPropSectPipe(AE116, AF116, "Wx")/1000</f>
        <v>346.55482107816493</v>
      </c>
      <c r="AJ116" s="108">
        <f t="shared" si="33"/>
        <v>9.4301739777164251</v>
      </c>
      <c r="AK116" s="80" t="s">
        <v>211</v>
      </c>
      <c r="AL116" s="82">
        <v>-71.478448498855272</v>
      </c>
      <c r="AM116" s="82">
        <v>9.4350566451172266</v>
      </c>
      <c r="AN116" s="82">
        <v>1.8449775213865451</v>
      </c>
      <c r="AO116" s="82">
        <v>0</v>
      </c>
      <c r="AP116" s="82">
        <v>0</v>
      </c>
      <c r="AQ116" s="82">
        <v>7.690882006152755E-2</v>
      </c>
      <c r="AR116" s="72">
        <v>1</v>
      </c>
      <c r="AS116" s="116">
        <f t="shared" si="34"/>
        <v>6</v>
      </c>
      <c r="AT116" s="7">
        <v>2</v>
      </c>
      <c r="AU116" s="6">
        <f t="shared" si="35"/>
        <v>12</v>
      </c>
      <c r="AV116" s="111">
        <f t="shared" si="36"/>
        <v>5.8787905657926999E-2</v>
      </c>
      <c r="AW116" s="117">
        <f t="shared" si="37"/>
        <v>105</v>
      </c>
      <c r="AX116" s="111">
        <f t="shared" si="38"/>
        <v>1</v>
      </c>
      <c r="AY116" s="111">
        <f t="shared" si="39"/>
        <v>1</v>
      </c>
      <c r="AZ116" s="111">
        <f t="shared" si="40"/>
        <v>1</v>
      </c>
      <c r="BA116" s="111">
        <f t="shared" si="41"/>
        <v>6.1882005955712638E-2</v>
      </c>
      <c r="BB116" s="111">
        <f t="shared" si="42"/>
        <v>0</v>
      </c>
      <c r="BC116" s="111">
        <f t="shared" si="43"/>
        <v>0</v>
      </c>
      <c r="BD116" s="111">
        <v>0</v>
      </c>
      <c r="BE116" s="111">
        <f t="shared" si="44"/>
        <v>6.1882005955712638E-2</v>
      </c>
      <c r="BF116" s="6" t="str">
        <f t="shared" si="45"/>
        <v>OK</v>
      </c>
      <c r="BG116" s="16">
        <f t="shared" si="46"/>
        <v>63.625549371390676</v>
      </c>
      <c r="BH116" s="118">
        <f t="shared" si="47"/>
        <v>2.1193803644775273</v>
      </c>
      <c r="BI116" s="108">
        <f t="shared" si="48"/>
        <v>0</v>
      </c>
      <c r="BJ116" s="6">
        <f t="shared" si="49"/>
        <v>1.2440309817761237</v>
      </c>
      <c r="BK116" s="108">
        <f t="shared" si="50"/>
        <v>0</v>
      </c>
      <c r="BL116" s="118" cm="1">
        <f t="array" ref="BL116">IF(AO116=0,FactorPhi7121(BH116,"a"),noisuy2chieu(BK116,BH116,Data!$A$63:$M$85))</f>
        <v>0.86214274110469236</v>
      </c>
      <c r="BM116" s="111">
        <v>1.26</v>
      </c>
      <c r="BN116" s="118">
        <f t="shared" si="51"/>
        <v>0.97359380650359661</v>
      </c>
      <c r="BO116" s="108">
        <f t="shared" si="52"/>
        <v>0.14629471594364338</v>
      </c>
      <c r="BP116" s="6" t="str">
        <f t="shared" si="53"/>
        <v>OK</v>
      </c>
      <c r="BQ116" s="16">
        <f t="shared" si="54"/>
        <v>127.25109874278135</v>
      </c>
      <c r="BR116" s="118">
        <f t="shared" si="55"/>
        <v>4.2387607289550546</v>
      </c>
      <c r="BS116" s="108">
        <f t="shared" si="56"/>
        <v>0</v>
      </c>
      <c r="BT116" s="118">
        <f t="shared" si="57"/>
        <v>1.1380619635522473</v>
      </c>
      <c r="BU116" s="108">
        <f t="shared" si="58"/>
        <v>0</v>
      </c>
      <c r="BV116" s="6" cm="1">
        <f t="array" ref="BV116">IF(AP116=0,FactorPhi7121(BR116,"a"),noisuy2chieu(BU116,BR116,Data!$A$63:$M$85))</f>
        <v>0.42299549615688942</v>
      </c>
      <c r="BW116" s="111">
        <v>1.26</v>
      </c>
      <c r="BX116" s="111">
        <f t="shared" si="59"/>
        <v>0.89437522601438646</v>
      </c>
      <c r="BY116" s="113">
        <f t="shared" si="60"/>
        <v>7.1776984257178975E-2</v>
      </c>
      <c r="BZ116" s="6" t="str">
        <f t="shared" si="61"/>
        <v>OK</v>
      </c>
      <c r="CA116" s="114">
        <f t="shared" si="62"/>
        <v>127.25109874278135</v>
      </c>
      <c r="CB116" s="115">
        <f t="shared" si="63"/>
        <v>150</v>
      </c>
      <c r="CC116" s="6" t="str">
        <f t="shared" si="64"/>
        <v>OK</v>
      </c>
      <c r="DG116" s="108"/>
      <c r="DH116" s="108"/>
      <c r="DI116" s="16"/>
      <c r="DJ116" s="108"/>
      <c r="DT116" s="6"/>
      <c r="DU116" s="6"/>
      <c r="DV116" s="111"/>
      <c r="DW116" s="111"/>
      <c r="DX116" s="111"/>
      <c r="DY116" s="111"/>
      <c r="DZ116" s="111"/>
      <c r="EA116" s="111"/>
      <c r="EB116" s="111"/>
      <c r="EC116" s="111"/>
      <c r="ED116" s="111"/>
      <c r="EE116" s="111"/>
      <c r="EF116" s="6"/>
      <c r="EG116" s="6"/>
      <c r="EH116" s="6"/>
      <c r="EI116" s="6"/>
      <c r="EJ116" s="6"/>
      <c r="EK116" s="6"/>
      <c r="EL116" s="112"/>
      <c r="EM116" s="112"/>
      <c r="EN116" s="118"/>
      <c r="EO116" s="118"/>
      <c r="EP116" s="112"/>
      <c r="EQ116" s="112"/>
      <c r="ER116" s="112"/>
      <c r="ES116" s="112"/>
      <c r="ET116" s="112"/>
      <c r="EU116" s="112"/>
      <c r="EV116" s="6"/>
      <c r="EW116" s="6"/>
      <c r="EX116" s="118"/>
      <c r="EY116" s="113"/>
      <c r="EZ116" s="6"/>
      <c r="FA116" s="114"/>
      <c r="FB116" s="115"/>
      <c r="FC116" s="6"/>
    </row>
    <row r="117" spans="27:159">
      <c r="AA117" s="79" t="s">
        <v>175</v>
      </c>
      <c r="AB117" s="80" t="s">
        <v>194</v>
      </c>
      <c r="AC117" s="81">
        <v>2.74</v>
      </c>
      <c r="AD117" s="81">
        <v>6</v>
      </c>
      <c r="AE117" s="80">
        <v>273</v>
      </c>
      <c r="AF117" s="80">
        <v>6.35</v>
      </c>
      <c r="AG117" s="108" cm="1">
        <f t="array" ref="AG117">_xll.DCEPropSectPipe(AE117, AF117, "Area")/100</f>
        <v>53.19431074856206</v>
      </c>
      <c r="AH117" s="16" cm="1">
        <f t="array" ref="AH117">_xll.DCEPropSectPipe(AE117, AF117, "Ix")/10000</f>
        <v>4730.4733077169503</v>
      </c>
      <c r="AI117" s="16" cm="1">
        <f t="array" ref="AI117">_xll.DCEPropSectPipe(AE117, AF117, "Wx")/1000</f>
        <v>346.55482107816493</v>
      </c>
      <c r="AJ117" s="108">
        <f t="shared" si="33"/>
        <v>9.4301739777164251</v>
      </c>
      <c r="AK117" s="80" t="s">
        <v>211</v>
      </c>
      <c r="AL117" s="82">
        <v>-70.131188150123236</v>
      </c>
      <c r="AM117" s="82">
        <v>9.4350566451172266</v>
      </c>
      <c r="AN117" s="82">
        <v>1.8449775213865451</v>
      </c>
      <c r="AO117" s="82">
        <v>-5.0589283636419058</v>
      </c>
      <c r="AP117" s="82">
        <v>-25.870925320911436</v>
      </c>
      <c r="AQ117" s="82">
        <v>7.690882006152755E-2</v>
      </c>
      <c r="AR117" s="72">
        <v>1</v>
      </c>
      <c r="AS117" s="116">
        <f t="shared" si="34"/>
        <v>6</v>
      </c>
      <c r="AT117" s="7">
        <v>2</v>
      </c>
      <c r="AU117" s="6">
        <f t="shared" si="35"/>
        <v>12</v>
      </c>
      <c r="AV117" s="111">
        <f t="shared" si="36"/>
        <v>5.7679842795046121E-2</v>
      </c>
      <c r="AW117" s="117">
        <f t="shared" si="37"/>
        <v>105</v>
      </c>
      <c r="AX117" s="111">
        <f t="shared" si="38"/>
        <v>1</v>
      </c>
      <c r="AY117" s="111">
        <f t="shared" si="39"/>
        <v>1</v>
      </c>
      <c r="AZ117" s="111">
        <f t="shared" si="40"/>
        <v>1</v>
      </c>
      <c r="BA117" s="111">
        <f t="shared" si="41"/>
        <v>6.0715623994785396E-2</v>
      </c>
      <c r="BB117" s="111">
        <f t="shared" si="42"/>
        <v>6.7226582908376339E-2</v>
      </c>
      <c r="BC117" s="111">
        <f t="shared" si="43"/>
        <v>0.34379097330222141</v>
      </c>
      <c r="BD117" s="111">
        <v>0</v>
      </c>
      <c r="BE117" s="111">
        <f t="shared" si="44"/>
        <v>0.47173318020538313</v>
      </c>
      <c r="BF117" s="6" t="str">
        <f t="shared" si="45"/>
        <v>OK</v>
      </c>
      <c r="BG117" s="16">
        <f t="shared" si="46"/>
        <v>63.625549371390676</v>
      </c>
      <c r="BH117" s="118">
        <f t="shared" si="47"/>
        <v>2.1193803644775273</v>
      </c>
      <c r="BI117" s="108">
        <f t="shared" si="48"/>
        <v>1.1072369595369742</v>
      </c>
      <c r="BJ117" s="6">
        <f t="shared" si="49"/>
        <v>1.2121356965079395</v>
      </c>
      <c r="BK117" s="108">
        <f t="shared" si="50"/>
        <v>1.3421214431476836</v>
      </c>
      <c r="BL117" s="118" cm="1">
        <f t="array" ref="BL117">IF(AO117=0,FactorPhi7121(BH117,"a"),noisuy2chieu(BK117,BH117,Data!$A$63:$M$85))</f>
        <v>0</v>
      </c>
      <c r="BM117" s="111">
        <v>1.26</v>
      </c>
      <c r="BN117" s="118">
        <f t="shared" si="51"/>
        <v>0.9740915232029066</v>
      </c>
      <c r="BO117" s="108" t="e">
        <f t="shared" si="52"/>
        <v>#DIV/0!</v>
      </c>
      <c r="BP117" s="6" t="e">
        <f t="shared" si="53"/>
        <v>#DIV/0!</v>
      </c>
      <c r="BQ117" s="16">
        <f t="shared" si="54"/>
        <v>127.25109874278135</v>
      </c>
      <c r="BR117" s="118">
        <f t="shared" si="55"/>
        <v>4.2387607289550546</v>
      </c>
      <c r="BS117" s="108">
        <f t="shared" si="56"/>
        <v>5.6623147500180213</v>
      </c>
      <c r="BT117" s="118">
        <f t="shared" si="57"/>
        <v>1.1000000000000001</v>
      </c>
      <c r="BU117" s="108">
        <f t="shared" si="58"/>
        <v>6.2285462250198238</v>
      </c>
      <c r="BV117" s="6" cm="1">
        <f t="array" ref="BV117">IF(AP117=0,FactorPhi7121(BR117,"a"),noisuy2chieu(BU117,BR117,Data!$A$63:$M$85))</f>
        <v>0</v>
      </c>
      <c r="BW117" s="111">
        <v>1.26</v>
      </c>
      <c r="BX117" s="111">
        <f t="shared" si="59"/>
        <v>0.89636609281162649</v>
      </c>
      <c r="BY117" s="113" t="e">
        <f t="shared" si="60"/>
        <v>#DIV/0!</v>
      </c>
      <c r="BZ117" s="6" t="e">
        <f t="shared" si="61"/>
        <v>#DIV/0!</v>
      </c>
      <c r="CA117" s="114">
        <f t="shared" si="62"/>
        <v>127.25109874278135</v>
      </c>
      <c r="CB117" s="115" t="e">
        <f t="shared" si="63"/>
        <v>#DIV/0!</v>
      </c>
      <c r="CC117" s="6" t="e">
        <f t="shared" si="64"/>
        <v>#DIV/0!</v>
      </c>
      <c r="DG117" s="108"/>
      <c r="DH117" s="108"/>
      <c r="DI117" s="16"/>
      <c r="DJ117" s="108"/>
      <c r="DT117" s="6"/>
      <c r="DU117" s="6"/>
      <c r="DV117" s="111"/>
      <c r="DW117" s="111"/>
      <c r="DX117" s="111"/>
      <c r="DY117" s="111"/>
      <c r="DZ117" s="111"/>
      <c r="EA117" s="111"/>
      <c r="EB117" s="111"/>
      <c r="EC117" s="111"/>
      <c r="ED117" s="111"/>
      <c r="EE117" s="111"/>
      <c r="EF117" s="6"/>
      <c r="EG117" s="6"/>
      <c r="EH117" s="6"/>
      <c r="EI117" s="6"/>
      <c r="EJ117" s="6"/>
      <c r="EK117" s="6"/>
      <c r="EL117" s="112"/>
      <c r="EM117" s="112"/>
      <c r="EN117" s="118"/>
      <c r="EO117" s="118"/>
      <c r="EP117" s="112"/>
      <c r="EQ117" s="112"/>
      <c r="ER117" s="112"/>
      <c r="ES117" s="112"/>
      <c r="ET117" s="112"/>
      <c r="EU117" s="112"/>
      <c r="EV117" s="6"/>
      <c r="EW117" s="6"/>
      <c r="EX117" s="118"/>
      <c r="EY117" s="113"/>
      <c r="EZ117" s="6"/>
      <c r="FA117" s="114"/>
      <c r="FB117" s="115"/>
      <c r="FC117" s="6"/>
    </row>
    <row r="118" spans="27:159">
      <c r="AA118" s="79" t="s">
        <v>175</v>
      </c>
      <c r="AB118" s="80" t="s">
        <v>194</v>
      </c>
      <c r="AC118" s="81">
        <v>5.48</v>
      </c>
      <c r="AD118" s="81">
        <v>6</v>
      </c>
      <c r="AE118" s="80">
        <v>273</v>
      </c>
      <c r="AF118" s="80">
        <v>6.35</v>
      </c>
      <c r="AG118" s="108" cm="1">
        <f t="array" ref="AG118">_xll.DCEPropSectPipe(AE118, AF118, "Area")/100</f>
        <v>53.19431074856206</v>
      </c>
      <c r="AH118" s="16" cm="1">
        <f t="array" ref="AH118">_xll.DCEPropSectPipe(AE118, AF118, "Ix")/10000</f>
        <v>4730.4733077169503</v>
      </c>
      <c r="AI118" s="16" cm="1">
        <f t="array" ref="AI118">_xll.DCEPropSectPipe(AE118, AF118, "Wx")/1000</f>
        <v>346.55482107816493</v>
      </c>
      <c r="AJ118" s="108">
        <f t="shared" si="33"/>
        <v>9.4301739777164251</v>
      </c>
      <c r="AK118" s="80" t="s">
        <v>211</v>
      </c>
      <c r="AL118" s="82">
        <v>-68.783927801391215</v>
      </c>
      <c r="AM118" s="82">
        <v>9.4350566451172266</v>
      </c>
      <c r="AN118" s="82">
        <v>1.8449775213865451</v>
      </c>
      <c r="AO118" s="82">
        <v>-10.117856727283812</v>
      </c>
      <c r="AP118" s="82">
        <v>-51.741850641822872</v>
      </c>
      <c r="AQ118" s="82">
        <v>7.690882006152755E-2</v>
      </c>
      <c r="AR118" s="72">
        <v>1</v>
      </c>
      <c r="AS118" s="116">
        <f t="shared" si="34"/>
        <v>6</v>
      </c>
      <c r="AT118" s="7">
        <v>2</v>
      </c>
      <c r="AU118" s="6">
        <f t="shared" si="35"/>
        <v>12</v>
      </c>
      <c r="AV118" s="111">
        <f t="shared" si="36"/>
        <v>5.6571779932165257E-2</v>
      </c>
      <c r="AW118" s="117">
        <f t="shared" si="37"/>
        <v>105</v>
      </c>
      <c r="AX118" s="111">
        <f t="shared" si="38"/>
        <v>1</v>
      </c>
      <c r="AY118" s="111">
        <f t="shared" si="39"/>
        <v>1</v>
      </c>
      <c r="AZ118" s="111">
        <f t="shared" si="40"/>
        <v>1</v>
      </c>
      <c r="BA118" s="111">
        <f t="shared" si="41"/>
        <v>5.9549242033858168E-2</v>
      </c>
      <c r="BB118" s="111">
        <f t="shared" si="42"/>
        <v>0.13445316581675268</v>
      </c>
      <c r="BC118" s="111">
        <f t="shared" si="43"/>
        <v>0.68758194660444283</v>
      </c>
      <c r="BD118" s="111">
        <v>0</v>
      </c>
      <c r="BE118" s="111">
        <f t="shared" si="44"/>
        <v>0.88158435445505368</v>
      </c>
      <c r="BF118" s="6" t="str">
        <f t="shared" si="45"/>
        <v>OK</v>
      </c>
      <c r="BG118" s="16">
        <f t="shared" si="46"/>
        <v>63.625549371390676</v>
      </c>
      <c r="BH118" s="118">
        <f t="shared" si="47"/>
        <v>2.1193803644775273</v>
      </c>
      <c r="BI118" s="108">
        <f t="shared" si="48"/>
        <v>2.2578484834501511</v>
      </c>
      <c r="BJ118" s="6">
        <f t="shared" si="49"/>
        <v>1.1789909550215123</v>
      </c>
      <c r="BK118" s="108">
        <f t="shared" si="50"/>
        <v>2.6619829397967667</v>
      </c>
      <c r="BL118" s="118" cm="1">
        <f t="array" ref="BL118">IF(AO118=0,FactorPhi7121(BH118,"a"),noisuy2chieu(BK118,BH118,Data!$A$63:$M$85))</f>
        <v>0</v>
      </c>
      <c r="BM118" s="111">
        <v>1.26</v>
      </c>
      <c r="BN118" s="118">
        <f t="shared" si="51"/>
        <v>0.97458923990221658</v>
      </c>
      <c r="BO118" s="108" t="e">
        <f t="shared" si="52"/>
        <v>#DIV/0!</v>
      </c>
      <c r="BP118" s="6" t="e">
        <f t="shared" si="53"/>
        <v>#DIV/0!</v>
      </c>
      <c r="BQ118" s="16">
        <f t="shared" si="54"/>
        <v>127.25109874278135</v>
      </c>
      <c r="BR118" s="118">
        <f t="shared" si="55"/>
        <v>4.2387607289550546</v>
      </c>
      <c r="BS118" s="108">
        <f t="shared" si="56"/>
        <v>11.546443298363082</v>
      </c>
      <c r="BT118" s="118">
        <f t="shared" si="57"/>
        <v>1.1000000000000001</v>
      </c>
      <c r="BU118" s="108">
        <f t="shared" si="58"/>
        <v>12.701087628199391</v>
      </c>
      <c r="BV118" s="6" cm="1">
        <f t="array" ref="BV118">IF(AP118=0,FactorPhi7121(BR118,"a"),noisuy2chieu(BU118,BR118,Data!$A$63:$M$85))</f>
        <v>0</v>
      </c>
      <c r="BW118" s="111">
        <v>1.26</v>
      </c>
      <c r="BX118" s="111">
        <f t="shared" si="59"/>
        <v>0.89835695960886641</v>
      </c>
      <c r="BY118" s="113" t="e">
        <f t="shared" si="60"/>
        <v>#DIV/0!</v>
      </c>
      <c r="BZ118" s="6" t="e">
        <f t="shared" si="61"/>
        <v>#DIV/0!</v>
      </c>
      <c r="CA118" s="114">
        <f t="shared" si="62"/>
        <v>127.25109874278135</v>
      </c>
      <c r="CB118" s="115" t="e">
        <f t="shared" si="63"/>
        <v>#DIV/0!</v>
      </c>
      <c r="CC118" s="6" t="e">
        <f t="shared" si="64"/>
        <v>#DIV/0!</v>
      </c>
      <c r="DG118" s="108"/>
      <c r="DH118" s="108"/>
      <c r="DI118" s="16"/>
      <c r="DJ118" s="108"/>
      <c r="DT118" s="6"/>
      <c r="DU118" s="6"/>
      <c r="DV118" s="111"/>
      <c r="DW118" s="111"/>
      <c r="DX118" s="111"/>
      <c r="DY118" s="111"/>
      <c r="DZ118" s="111"/>
      <c r="EA118" s="111"/>
      <c r="EB118" s="111"/>
      <c r="EC118" s="111"/>
      <c r="ED118" s="111"/>
      <c r="EE118" s="111"/>
      <c r="EF118" s="6"/>
      <c r="EG118" s="6"/>
      <c r="EH118" s="6"/>
      <c r="EI118" s="6"/>
      <c r="EJ118" s="6"/>
      <c r="EK118" s="6"/>
      <c r="EL118" s="112"/>
      <c r="EM118" s="112"/>
      <c r="EN118" s="118"/>
      <c r="EO118" s="118"/>
      <c r="EP118" s="112"/>
      <c r="EQ118" s="112"/>
      <c r="ER118" s="112"/>
      <c r="ES118" s="112"/>
      <c r="ET118" s="112"/>
      <c r="EU118" s="112"/>
      <c r="EV118" s="6"/>
      <c r="EW118" s="6"/>
      <c r="EX118" s="118"/>
      <c r="EY118" s="113"/>
      <c r="EZ118" s="6"/>
      <c r="FA118" s="114"/>
      <c r="FB118" s="115"/>
      <c r="FC118" s="6"/>
    </row>
    <row r="119" spans="27:159">
      <c r="AA119" s="79" t="s">
        <v>175</v>
      </c>
      <c r="AB119" s="80" t="s">
        <v>194</v>
      </c>
      <c r="AC119" s="81">
        <v>0</v>
      </c>
      <c r="AD119" s="81">
        <v>6</v>
      </c>
      <c r="AE119" s="80">
        <v>273</v>
      </c>
      <c r="AF119" s="80">
        <v>6.35</v>
      </c>
      <c r="AG119" s="108" cm="1">
        <f t="array" ref="AG119">_xll.DCEPropSectPipe(AE119, AF119, "Area")/100</f>
        <v>53.19431074856206</v>
      </c>
      <c r="AH119" s="16" cm="1">
        <f t="array" ref="AH119">_xll.DCEPropSectPipe(AE119, AF119, "Ix")/10000</f>
        <v>4730.4733077169503</v>
      </c>
      <c r="AI119" s="16" cm="1">
        <f t="array" ref="AI119">_xll.DCEPropSectPipe(AE119, AF119, "Wx")/1000</f>
        <v>346.55482107816493</v>
      </c>
      <c r="AJ119" s="108">
        <f t="shared" si="33"/>
        <v>9.4301739777164251</v>
      </c>
      <c r="AK119" s="80" t="s">
        <v>212</v>
      </c>
      <c r="AL119" s="82">
        <v>-84.413055854039342</v>
      </c>
      <c r="AM119" s="82">
        <v>9.4872130956948695</v>
      </c>
      <c r="AN119" s="82">
        <v>1.9475851249462526</v>
      </c>
      <c r="AO119" s="82">
        <v>0</v>
      </c>
      <c r="AP119" s="82">
        <v>0</v>
      </c>
      <c r="AQ119" s="82">
        <v>0.15075418013584302</v>
      </c>
      <c r="AR119" s="72">
        <v>1</v>
      </c>
      <c r="AS119" s="116">
        <f t="shared" si="34"/>
        <v>6</v>
      </c>
      <c r="AT119" s="7">
        <v>2</v>
      </c>
      <c r="AU119" s="6">
        <f t="shared" si="35"/>
        <v>12</v>
      </c>
      <c r="AV119" s="111">
        <f t="shared" si="36"/>
        <v>6.9426055938022507E-2</v>
      </c>
      <c r="AW119" s="117">
        <f t="shared" si="37"/>
        <v>105</v>
      </c>
      <c r="AX119" s="111">
        <f t="shared" si="38"/>
        <v>1</v>
      </c>
      <c r="AY119" s="111">
        <f t="shared" si="39"/>
        <v>1</v>
      </c>
      <c r="AZ119" s="111">
        <f t="shared" si="40"/>
        <v>1</v>
      </c>
      <c r="BA119" s="111">
        <f t="shared" si="41"/>
        <v>7.308005888212897E-2</v>
      </c>
      <c r="BB119" s="111">
        <f t="shared" si="42"/>
        <v>0</v>
      </c>
      <c r="BC119" s="111">
        <f t="shared" si="43"/>
        <v>0</v>
      </c>
      <c r="BD119" s="111">
        <v>0</v>
      </c>
      <c r="BE119" s="111">
        <f t="shared" si="44"/>
        <v>7.308005888212897E-2</v>
      </c>
      <c r="BF119" s="6" t="str">
        <f t="shared" si="45"/>
        <v>OK</v>
      </c>
      <c r="BG119" s="16">
        <f t="shared" si="46"/>
        <v>63.625549371390676</v>
      </c>
      <c r="BH119" s="118">
        <f t="shared" si="47"/>
        <v>2.1193803644775273</v>
      </c>
      <c r="BI119" s="108">
        <f t="shared" si="48"/>
        <v>0</v>
      </c>
      <c r="BJ119" s="6">
        <f t="shared" si="49"/>
        <v>1.2440309817761237</v>
      </c>
      <c r="BK119" s="108">
        <f t="shared" si="50"/>
        <v>0</v>
      </c>
      <c r="BL119" s="118" cm="1">
        <f t="array" ref="BL119">IF(AO119=0,FactorPhi7121(BH119,"a"),noisuy2chieu(BK119,BH119,Data!$A$63:$M$85))</f>
        <v>0.86214274110469236</v>
      </c>
      <c r="BM119" s="111">
        <v>1.26</v>
      </c>
      <c r="BN119" s="118">
        <f t="shared" si="51"/>
        <v>0.96881539074620282</v>
      </c>
      <c r="BO119" s="108">
        <f t="shared" si="52"/>
        <v>0.17276793617448705</v>
      </c>
      <c r="BP119" s="6" t="str">
        <f t="shared" si="53"/>
        <v>OK</v>
      </c>
      <c r="BQ119" s="16">
        <f t="shared" si="54"/>
        <v>127.25109874278135</v>
      </c>
      <c r="BR119" s="118">
        <f t="shared" si="55"/>
        <v>4.2387607289550546</v>
      </c>
      <c r="BS119" s="108">
        <f t="shared" si="56"/>
        <v>0</v>
      </c>
      <c r="BT119" s="118">
        <f t="shared" si="57"/>
        <v>1.1380619635522473</v>
      </c>
      <c r="BU119" s="108">
        <f t="shared" si="58"/>
        <v>0</v>
      </c>
      <c r="BV119" s="6" cm="1">
        <f t="array" ref="BV119">IF(AP119=0,FactorPhi7121(BR119,"a"),noisuy2chieu(BU119,BR119,Data!$A$63:$M$85))</f>
        <v>0.42299549615688942</v>
      </c>
      <c r="BW119" s="111">
        <v>1.26</v>
      </c>
      <c r="BX119" s="111">
        <f t="shared" si="59"/>
        <v>0.87526156298481117</v>
      </c>
      <c r="BY119" s="113">
        <f t="shared" si="60"/>
        <v>8.4765614089018518E-2</v>
      </c>
      <c r="BZ119" s="6" t="str">
        <f t="shared" si="61"/>
        <v>OK</v>
      </c>
      <c r="CA119" s="114">
        <f t="shared" si="62"/>
        <v>127.25109874278135</v>
      </c>
      <c r="CB119" s="115">
        <f t="shared" si="63"/>
        <v>150</v>
      </c>
      <c r="CC119" s="6" t="str">
        <f t="shared" si="64"/>
        <v>OK</v>
      </c>
      <c r="DG119" s="108"/>
      <c r="DH119" s="108"/>
      <c r="DI119" s="16"/>
      <c r="DJ119" s="108"/>
      <c r="DT119" s="6"/>
      <c r="DU119" s="6"/>
      <c r="DV119" s="111"/>
      <c r="DW119" s="111"/>
      <c r="DX119" s="111"/>
      <c r="DY119" s="111"/>
      <c r="DZ119" s="111"/>
      <c r="EA119" s="111"/>
      <c r="EB119" s="111"/>
      <c r="EC119" s="111"/>
      <c r="ED119" s="111"/>
      <c r="EE119" s="111"/>
      <c r="EF119" s="6"/>
      <c r="EG119" s="6"/>
      <c r="EH119" s="6"/>
      <c r="EI119" s="6"/>
      <c r="EJ119" s="6"/>
      <c r="EK119" s="6"/>
      <c r="EL119" s="112"/>
      <c r="EM119" s="112"/>
      <c r="EN119" s="118"/>
      <c r="EO119" s="118"/>
      <c r="EP119" s="112"/>
      <c r="EQ119" s="112"/>
      <c r="ER119" s="112"/>
      <c r="ES119" s="112"/>
      <c r="ET119" s="112"/>
      <c r="EU119" s="112"/>
      <c r="EV119" s="6"/>
      <c r="EW119" s="6"/>
      <c r="EX119" s="118"/>
      <c r="EY119" s="113"/>
      <c r="EZ119" s="6"/>
      <c r="FA119" s="114"/>
      <c r="FB119" s="115"/>
      <c r="FC119" s="6"/>
    </row>
    <row r="120" spans="27:159">
      <c r="AA120" s="79" t="s">
        <v>175</v>
      </c>
      <c r="AB120" s="80" t="s">
        <v>194</v>
      </c>
      <c r="AC120" s="81">
        <v>2.74</v>
      </c>
      <c r="AD120" s="81">
        <v>6</v>
      </c>
      <c r="AE120" s="80">
        <v>273</v>
      </c>
      <c r="AF120" s="80">
        <v>6.35</v>
      </c>
      <c r="AG120" s="108" cm="1">
        <f t="array" ref="AG120">_xll.DCEPropSectPipe(AE120, AF120, "Area")/100</f>
        <v>53.19431074856206</v>
      </c>
      <c r="AH120" s="16" cm="1">
        <f t="array" ref="AH120">_xll.DCEPropSectPipe(AE120, AF120, "Ix")/10000</f>
        <v>4730.4733077169503</v>
      </c>
      <c r="AI120" s="16" cm="1">
        <f t="array" ref="AI120">_xll.DCEPropSectPipe(AE120, AF120, "Wx")/1000</f>
        <v>346.55482107816493</v>
      </c>
      <c r="AJ120" s="108">
        <f t="shared" si="33"/>
        <v>9.4301739777164251</v>
      </c>
      <c r="AK120" s="80" t="s">
        <v>212</v>
      </c>
      <c r="AL120" s="82">
        <v>-83.065795505307307</v>
      </c>
      <c r="AM120" s="82">
        <v>9.4872130956948695</v>
      </c>
      <c r="AN120" s="82">
        <v>1.9475851249462526</v>
      </c>
      <c r="AO120" s="82">
        <v>-5.3402784126026246</v>
      </c>
      <c r="AP120" s="82">
        <v>-26.013938308395328</v>
      </c>
      <c r="AQ120" s="82">
        <v>0.15075418013584302</v>
      </c>
      <c r="AR120" s="72">
        <v>1</v>
      </c>
      <c r="AS120" s="116">
        <f t="shared" si="34"/>
        <v>6</v>
      </c>
      <c r="AT120" s="7">
        <v>2</v>
      </c>
      <c r="AU120" s="6">
        <f t="shared" si="35"/>
        <v>12</v>
      </c>
      <c r="AV120" s="111">
        <f t="shared" si="36"/>
        <v>6.8317993075141636E-2</v>
      </c>
      <c r="AW120" s="117">
        <f t="shared" si="37"/>
        <v>105</v>
      </c>
      <c r="AX120" s="111">
        <f t="shared" si="38"/>
        <v>1</v>
      </c>
      <c r="AY120" s="111">
        <f t="shared" si="39"/>
        <v>1</v>
      </c>
      <c r="AZ120" s="111">
        <f t="shared" si="40"/>
        <v>1</v>
      </c>
      <c r="BA120" s="111">
        <f t="shared" si="41"/>
        <v>7.1913676921201722E-2</v>
      </c>
      <c r="BB120" s="111">
        <f t="shared" si="42"/>
        <v>7.0965359390895488E-2</v>
      </c>
      <c r="BC120" s="111">
        <f t="shared" si="43"/>
        <v>0.3456914300331681</v>
      </c>
      <c r="BD120" s="111">
        <v>0</v>
      </c>
      <c r="BE120" s="111">
        <f t="shared" si="44"/>
        <v>0.4885704663452653</v>
      </c>
      <c r="BF120" s="6" t="str">
        <f t="shared" si="45"/>
        <v>OK</v>
      </c>
      <c r="BG120" s="16">
        <f t="shared" si="46"/>
        <v>63.625549371390676</v>
      </c>
      <c r="BH120" s="118">
        <f t="shared" si="47"/>
        <v>2.1193803644775273</v>
      </c>
      <c r="BI120" s="108">
        <f t="shared" si="48"/>
        <v>0.98681311301401919</v>
      </c>
      <c r="BJ120" s="6">
        <f t="shared" si="49"/>
        <v>1.2156046494767312</v>
      </c>
      <c r="BK120" s="108">
        <f t="shared" si="50"/>
        <v>1.1995746083444487</v>
      </c>
      <c r="BL120" s="118" cm="1">
        <f t="array" ref="BL120">IF(AO120=0,FactorPhi7121(BH120,"a"),noisuy2chieu(BK120,BH120,Data!$A$63:$M$85))</f>
        <v>0</v>
      </c>
      <c r="BM120" s="111">
        <v>1.26</v>
      </c>
      <c r="BN120" s="118">
        <f t="shared" si="51"/>
        <v>0.9693131074455128</v>
      </c>
      <c r="BO120" s="108" t="e">
        <f t="shared" si="52"/>
        <v>#DIV/0!</v>
      </c>
      <c r="BP120" s="6" t="e">
        <f t="shared" si="53"/>
        <v>#DIV/0!</v>
      </c>
      <c r="BQ120" s="16">
        <f t="shared" si="54"/>
        <v>127.25109874278135</v>
      </c>
      <c r="BR120" s="118">
        <f t="shared" si="55"/>
        <v>4.2387607289550546</v>
      </c>
      <c r="BS120" s="108">
        <f t="shared" si="56"/>
        <v>4.8070331657767138</v>
      </c>
      <c r="BT120" s="118">
        <f t="shared" si="57"/>
        <v>1.1014689393221999</v>
      </c>
      <c r="BU120" s="108">
        <f t="shared" si="58"/>
        <v>5.2947977223947138</v>
      </c>
      <c r="BV120" s="6" cm="1">
        <f t="array" ref="BV120">IF(AP120=0,FactorPhi7121(BR120,"a"),noisuy2chieu(BU120,BR120,Data!$A$63:$M$85))</f>
        <v>0</v>
      </c>
      <c r="BW120" s="111">
        <v>1.26</v>
      </c>
      <c r="BX120" s="111">
        <f t="shared" si="59"/>
        <v>0.8772524297820512</v>
      </c>
      <c r="BY120" s="113" t="e">
        <f t="shared" si="60"/>
        <v>#DIV/0!</v>
      </c>
      <c r="BZ120" s="6" t="e">
        <f t="shared" si="61"/>
        <v>#DIV/0!</v>
      </c>
      <c r="CA120" s="114">
        <f t="shared" si="62"/>
        <v>127.25109874278135</v>
      </c>
      <c r="CB120" s="115" t="e">
        <f t="shared" si="63"/>
        <v>#DIV/0!</v>
      </c>
      <c r="CC120" s="6" t="e">
        <f t="shared" si="64"/>
        <v>#DIV/0!</v>
      </c>
      <c r="DG120" s="108"/>
      <c r="DH120" s="108"/>
      <c r="DI120" s="16"/>
      <c r="DJ120" s="108"/>
      <c r="DT120" s="6"/>
      <c r="DU120" s="6"/>
      <c r="DV120" s="111"/>
      <c r="DW120" s="111"/>
      <c r="DX120" s="111"/>
      <c r="DY120" s="111"/>
      <c r="DZ120" s="111"/>
      <c r="EA120" s="111"/>
      <c r="EB120" s="111"/>
      <c r="EC120" s="111"/>
      <c r="ED120" s="111"/>
      <c r="EE120" s="111"/>
      <c r="EF120" s="6"/>
      <c r="EG120" s="6"/>
      <c r="EH120" s="6"/>
      <c r="EI120" s="6"/>
      <c r="EJ120" s="6"/>
      <c r="EK120" s="6"/>
      <c r="EL120" s="112"/>
      <c r="EM120" s="112"/>
      <c r="EN120" s="118"/>
      <c r="EO120" s="118"/>
      <c r="EP120" s="112"/>
      <c r="EQ120" s="112"/>
      <c r="ER120" s="112"/>
      <c r="ES120" s="112"/>
      <c r="ET120" s="112"/>
      <c r="EU120" s="112"/>
      <c r="EV120" s="6"/>
      <c r="EW120" s="6"/>
      <c r="EX120" s="118"/>
      <c r="EY120" s="113"/>
      <c r="EZ120" s="6"/>
      <c r="FA120" s="114"/>
      <c r="FB120" s="115"/>
      <c r="FC120" s="6"/>
    </row>
    <row r="121" spans="27:159">
      <c r="AA121" s="79" t="s">
        <v>175</v>
      </c>
      <c r="AB121" s="80" t="s">
        <v>194</v>
      </c>
      <c r="AC121" s="81">
        <v>5.48</v>
      </c>
      <c r="AD121" s="81">
        <v>6</v>
      </c>
      <c r="AE121" s="80">
        <v>273</v>
      </c>
      <c r="AF121" s="80">
        <v>6.35</v>
      </c>
      <c r="AG121" s="108" cm="1">
        <f t="array" ref="AG121">_xll.DCEPropSectPipe(AE121, AF121, "Area")/100</f>
        <v>53.19431074856206</v>
      </c>
      <c r="AH121" s="16" cm="1">
        <f t="array" ref="AH121">_xll.DCEPropSectPipe(AE121, AF121, "Ix")/10000</f>
        <v>4730.4733077169503</v>
      </c>
      <c r="AI121" s="16" cm="1">
        <f t="array" ref="AI121">_xll.DCEPropSectPipe(AE121, AF121, "Wx")/1000</f>
        <v>346.55482107816493</v>
      </c>
      <c r="AJ121" s="108">
        <f t="shared" si="33"/>
        <v>9.4301739777164251</v>
      </c>
      <c r="AK121" s="80" t="s">
        <v>212</v>
      </c>
      <c r="AL121" s="82">
        <v>-81.718535156575271</v>
      </c>
      <c r="AM121" s="82">
        <v>9.4872130956948695</v>
      </c>
      <c r="AN121" s="82">
        <v>1.9475851249462526</v>
      </c>
      <c r="AO121" s="82">
        <v>-10.680556825205249</v>
      </c>
      <c r="AP121" s="82">
        <v>-52.027876616790657</v>
      </c>
      <c r="AQ121" s="82">
        <v>0.15075418013584302</v>
      </c>
      <c r="AR121" s="72">
        <v>1</v>
      </c>
      <c r="AS121" s="116">
        <f t="shared" si="34"/>
        <v>6</v>
      </c>
      <c r="AT121" s="7">
        <v>2</v>
      </c>
      <c r="AU121" s="6">
        <f t="shared" si="35"/>
        <v>12</v>
      </c>
      <c r="AV121" s="111">
        <f t="shared" si="36"/>
        <v>6.7209930212260766E-2</v>
      </c>
      <c r="AW121" s="117">
        <f t="shared" si="37"/>
        <v>105</v>
      </c>
      <c r="AX121" s="111">
        <f t="shared" si="38"/>
        <v>1</v>
      </c>
      <c r="AY121" s="111">
        <f t="shared" si="39"/>
        <v>1</v>
      </c>
      <c r="AZ121" s="111">
        <f t="shared" si="40"/>
        <v>1</v>
      </c>
      <c r="BA121" s="111">
        <f t="shared" si="41"/>
        <v>7.0747294960274487E-2</v>
      </c>
      <c r="BB121" s="111">
        <f t="shared" si="42"/>
        <v>0.14193071878179098</v>
      </c>
      <c r="BC121" s="111">
        <f t="shared" si="43"/>
        <v>0.6913828600663362</v>
      </c>
      <c r="BD121" s="111">
        <v>0</v>
      </c>
      <c r="BE121" s="111">
        <f t="shared" si="44"/>
        <v>0.90406087380840172</v>
      </c>
      <c r="BF121" s="6" t="str">
        <f t="shared" si="45"/>
        <v>OK</v>
      </c>
      <c r="BG121" s="16">
        <f t="shared" si="46"/>
        <v>63.625549371390676</v>
      </c>
      <c r="BH121" s="118">
        <f t="shared" si="47"/>
        <v>2.1193803644775273</v>
      </c>
      <c r="BI121" s="108">
        <f t="shared" si="48"/>
        <v>2.0061646012259113</v>
      </c>
      <c r="BJ121" s="6">
        <f t="shared" si="49"/>
        <v>1.1862410103523089</v>
      </c>
      <c r="BK121" s="108">
        <f t="shared" si="50"/>
        <v>2.379794723491262</v>
      </c>
      <c r="BL121" s="118" cm="1">
        <f t="array" ref="BL121">IF(AO121=0,FactorPhi7121(BH121,"a"),noisuy2chieu(BK121,BH121,Data!$A$63:$M$85))</f>
        <v>0</v>
      </c>
      <c r="BM121" s="111">
        <v>1.26</v>
      </c>
      <c r="BN121" s="118">
        <f t="shared" si="51"/>
        <v>0.96981082414482278</v>
      </c>
      <c r="BO121" s="108" t="e">
        <f t="shared" si="52"/>
        <v>#DIV/0!</v>
      </c>
      <c r="BP121" s="6" t="e">
        <f t="shared" si="53"/>
        <v>#DIV/0!</v>
      </c>
      <c r="BQ121" s="16">
        <f t="shared" si="54"/>
        <v>127.25109874278135</v>
      </c>
      <c r="BR121" s="118">
        <f t="shared" si="55"/>
        <v>4.2387607289550546</v>
      </c>
      <c r="BS121" s="108">
        <f t="shared" si="56"/>
        <v>9.7725695442427405</v>
      </c>
      <c r="BT121" s="118">
        <f t="shared" si="57"/>
        <v>1.1000000000000001</v>
      </c>
      <c r="BU121" s="108">
        <f t="shared" si="58"/>
        <v>10.749826498667016</v>
      </c>
      <c r="BV121" s="6" cm="1">
        <f t="array" ref="BV121">IF(AP121=0,FactorPhi7121(BR121,"a"),noisuy2chieu(BU121,BR121,Data!$A$63:$M$85))</f>
        <v>0</v>
      </c>
      <c r="BW121" s="111">
        <v>1.26</v>
      </c>
      <c r="BX121" s="111">
        <f t="shared" si="59"/>
        <v>0.87924329657929112</v>
      </c>
      <c r="BY121" s="113" t="e">
        <f t="shared" si="60"/>
        <v>#DIV/0!</v>
      </c>
      <c r="BZ121" s="6" t="e">
        <f t="shared" si="61"/>
        <v>#DIV/0!</v>
      </c>
      <c r="CA121" s="114">
        <f t="shared" si="62"/>
        <v>127.25109874278135</v>
      </c>
      <c r="CB121" s="115" t="e">
        <f t="shared" si="63"/>
        <v>#DIV/0!</v>
      </c>
      <c r="CC121" s="6" t="e">
        <f t="shared" si="64"/>
        <v>#DIV/0!</v>
      </c>
      <c r="DG121" s="108"/>
      <c r="DH121" s="108"/>
      <c r="DI121" s="16"/>
      <c r="DJ121" s="108"/>
      <c r="DT121" s="6"/>
      <c r="DU121" s="6"/>
      <c r="DV121" s="111"/>
      <c r="DW121" s="111"/>
      <c r="DX121" s="111"/>
      <c r="DY121" s="111"/>
      <c r="DZ121" s="111"/>
      <c r="EA121" s="111"/>
      <c r="EB121" s="111"/>
      <c r="EC121" s="111"/>
      <c r="ED121" s="111"/>
      <c r="EE121" s="111"/>
      <c r="EF121" s="6"/>
      <c r="EG121" s="6"/>
      <c r="EH121" s="6"/>
      <c r="EI121" s="6"/>
      <c r="EJ121" s="6"/>
      <c r="EK121" s="6"/>
      <c r="EL121" s="112"/>
      <c r="EM121" s="112"/>
      <c r="EN121" s="118"/>
      <c r="EO121" s="118"/>
      <c r="EP121" s="112"/>
      <c r="EQ121" s="112"/>
      <c r="ER121" s="112"/>
      <c r="ES121" s="112"/>
      <c r="ET121" s="112"/>
      <c r="EU121" s="112"/>
      <c r="EV121" s="6"/>
      <c r="EW121" s="6"/>
      <c r="EX121" s="118"/>
      <c r="EY121" s="113"/>
      <c r="EZ121" s="6"/>
      <c r="FA121" s="114"/>
      <c r="FB121" s="115"/>
      <c r="FC121" s="6"/>
    </row>
    <row r="122" spans="27:159">
      <c r="AA122" s="79" t="s">
        <v>175</v>
      </c>
      <c r="AB122" s="80" t="s">
        <v>194</v>
      </c>
      <c r="AC122" s="81">
        <v>0</v>
      </c>
      <c r="AD122" s="81">
        <v>6</v>
      </c>
      <c r="AE122" s="80">
        <v>273</v>
      </c>
      <c r="AF122" s="80">
        <v>6.35</v>
      </c>
      <c r="AG122" s="108" cm="1">
        <f t="array" ref="AG122">_xll.DCEPropSectPipe(AE122, AF122, "Area")/100</f>
        <v>53.19431074856206</v>
      </c>
      <c r="AH122" s="16" cm="1">
        <f t="array" ref="AH122">_xll.DCEPropSectPipe(AE122, AF122, "Ix")/10000</f>
        <v>4730.4733077169503</v>
      </c>
      <c r="AI122" s="16" cm="1">
        <f t="array" ref="AI122">_xll.DCEPropSectPipe(AE122, AF122, "Wx")/1000</f>
        <v>346.55482107816493</v>
      </c>
      <c r="AJ122" s="108">
        <f t="shared" si="33"/>
        <v>9.4301739777164251</v>
      </c>
      <c r="AK122" s="80" t="s">
        <v>213</v>
      </c>
      <c r="AL122" s="82">
        <v>-19.759570351438512</v>
      </c>
      <c r="AM122" s="82">
        <v>0.95403521967740912</v>
      </c>
      <c r="AN122" s="82">
        <v>0.24310025599916896</v>
      </c>
      <c r="AO122" s="82">
        <v>0</v>
      </c>
      <c r="AP122" s="82">
        <v>0</v>
      </c>
      <c r="AQ122" s="82">
        <v>5.0613270564713993E-2</v>
      </c>
      <c r="AR122" s="72">
        <v>1</v>
      </c>
      <c r="AS122" s="116">
        <f t="shared" si="34"/>
        <v>6</v>
      </c>
      <c r="AT122" s="7">
        <v>2</v>
      </c>
      <c r="AU122" s="6">
        <f t="shared" si="35"/>
        <v>12</v>
      </c>
      <c r="AV122" s="111">
        <f t="shared" si="36"/>
        <v>1.6251384606930049E-2</v>
      </c>
      <c r="AW122" s="117">
        <f t="shared" si="37"/>
        <v>105</v>
      </c>
      <c r="AX122" s="111">
        <f t="shared" si="38"/>
        <v>1</v>
      </c>
      <c r="AY122" s="111">
        <f t="shared" si="39"/>
        <v>1</v>
      </c>
      <c r="AZ122" s="111">
        <f t="shared" si="40"/>
        <v>1</v>
      </c>
      <c r="BA122" s="111">
        <f t="shared" si="41"/>
        <v>1.7106720638873738E-2</v>
      </c>
      <c r="BB122" s="111">
        <f t="shared" si="42"/>
        <v>0</v>
      </c>
      <c r="BC122" s="111">
        <f t="shared" si="43"/>
        <v>0</v>
      </c>
      <c r="BD122" s="111">
        <v>0</v>
      </c>
      <c r="BE122" s="111">
        <f t="shared" si="44"/>
        <v>1.7106720638873738E-2</v>
      </c>
      <c r="BF122" s="6" t="str">
        <f t="shared" si="45"/>
        <v>OK</v>
      </c>
      <c r="BG122" s="16">
        <f t="shared" si="46"/>
        <v>63.625549371390676</v>
      </c>
      <c r="BH122" s="118">
        <f t="shared" si="47"/>
        <v>2.1193803644775273</v>
      </c>
      <c r="BI122" s="108">
        <f t="shared" si="48"/>
        <v>0</v>
      </c>
      <c r="BJ122" s="6">
        <f t="shared" si="49"/>
        <v>1.2440309817761237</v>
      </c>
      <c r="BK122" s="108">
        <f t="shared" si="50"/>
        <v>0</v>
      </c>
      <c r="BL122" s="118" cm="1">
        <f t="array" ref="BL122">IF(AO122=0,FactorPhi7121(BH122,"a"),noisuy2chieu(BK122,BH122,Data!$A$63:$M$85))</f>
        <v>0.86214274110469236</v>
      </c>
      <c r="BM122" s="111">
        <v>1.26</v>
      </c>
      <c r="BN122" s="118">
        <f t="shared" si="51"/>
        <v>0.9927002467308137</v>
      </c>
      <c r="BO122" s="108">
        <f t="shared" si="52"/>
        <v>4.0441850549937854E-2</v>
      </c>
      <c r="BP122" s="6" t="str">
        <f t="shared" si="53"/>
        <v>OK</v>
      </c>
      <c r="BQ122" s="16">
        <f t="shared" si="54"/>
        <v>127.25109874278135</v>
      </c>
      <c r="BR122" s="118">
        <f t="shared" si="55"/>
        <v>4.2387607289550546</v>
      </c>
      <c r="BS122" s="108">
        <f t="shared" si="56"/>
        <v>0</v>
      </c>
      <c r="BT122" s="118">
        <f t="shared" si="57"/>
        <v>1.1380619635522473</v>
      </c>
      <c r="BU122" s="108">
        <f t="shared" si="58"/>
        <v>0</v>
      </c>
      <c r="BV122" s="6" cm="1">
        <f t="array" ref="BV122">IF(AP122=0,FactorPhi7121(BR122,"a"),noisuy2chieu(BU122,BR122,Data!$A$63:$M$85))</f>
        <v>0.42299549615688942</v>
      </c>
      <c r="BW122" s="111">
        <v>1.26</v>
      </c>
      <c r="BX122" s="111">
        <f t="shared" si="59"/>
        <v>0.97080098692325489</v>
      </c>
      <c r="BY122" s="113">
        <f t="shared" si="60"/>
        <v>1.9842097860679454E-2</v>
      </c>
      <c r="BZ122" s="6" t="str">
        <f t="shared" si="61"/>
        <v>OK</v>
      </c>
      <c r="CA122" s="114">
        <f t="shared" si="62"/>
        <v>127.25109874278135</v>
      </c>
      <c r="CB122" s="115">
        <f t="shared" si="63"/>
        <v>150</v>
      </c>
      <c r="CC122" s="6" t="str">
        <f t="shared" si="64"/>
        <v>OK</v>
      </c>
      <c r="DG122" s="108"/>
      <c r="DH122" s="108"/>
      <c r="DI122" s="16"/>
      <c r="DJ122" s="108"/>
      <c r="DT122" s="6"/>
      <c r="DU122" s="6"/>
      <c r="DV122" s="111"/>
      <c r="DW122" s="111"/>
      <c r="DX122" s="111"/>
      <c r="DY122" s="111"/>
      <c r="DZ122" s="111"/>
      <c r="EA122" s="111"/>
      <c r="EB122" s="111"/>
      <c r="EC122" s="111"/>
      <c r="ED122" s="111"/>
      <c r="EE122" s="111"/>
      <c r="EF122" s="6"/>
      <c r="EG122" s="6"/>
      <c r="EH122" s="6"/>
      <c r="EI122" s="6"/>
      <c r="EJ122" s="6"/>
      <c r="EK122" s="6"/>
      <c r="EL122" s="112"/>
      <c r="EM122" s="112"/>
      <c r="EN122" s="118"/>
      <c r="EO122" s="118"/>
      <c r="EP122" s="112"/>
      <c r="EQ122" s="112"/>
      <c r="ER122" s="112"/>
      <c r="ES122" s="112"/>
      <c r="ET122" s="112"/>
      <c r="EU122" s="112"/>
      <c r="EV122" s="6"/>
      <c r="EW122" s="6"/>
      <c r="EX122" s="118"/>
      <c r="EY122" s="113"/>
      <c r="EZ122" s="6"/>
      <c r="FA122" s="114"/>
      <c r="FB122" s="115"/>
      <c r="FC122" s="6"/>
    </row>
    <row r="123" spans="27:159">
      <c r="AA123" s="79" t="s">
        <v>175</v>
      </c>
      <c r="AB123" s="80" t="s">
        <v>194</v>
      </c>
      <c r="AC123" s="81">
        <v>2.74</v>
      </c>
      <c r="AD123" s="81">
        <v>6</v>
      </c>
      <c r="AE123" s="80">
        <v>273</v>
      </c>
      <c r="AF123" s="80">
        <v>6.35</v>
      </c>
      <c r="AG123" s="108" cm="1">
        <f t="array" ref="AG123">_xll.DCEPropSectPipe(AE123, AF123, "Area")/100</f>
        <v>53.19431074856206</v>
      </c>
      <c r="AH123" s="16" cm="1">
        <f t="array" ref="AH123">_xll.DCEPropSectPipe(AE123, AF123, "Ix")/10000</f>
        <v>4730.4733077169503</v>
      </c>
      <c r="AI123" s="16" cm="1">
        <f t="array" ref="AI123">_xll.DCEPropSectPipe(AE123, AF123, "Wx")/1000</f>
        <v>346.55482107816493</v>
      </c>
      <c r="AJ123" s="108">
        <f t="shared" si="33"/>
        <v>9.4301739777164251</v>
      </c>
      <c r="AK123" s="80" t="s">
        <v>213</v>
      </c>
      <c r="AL123" s="82">
        <v>-18.412310002706477</v>
      </c>
      <c r="AM123" s="82">
        <v>0.95403521967740912</v>
      </c>
      <c r="AN123" s="82">
        <v>0.24310025599916896</v>
      </c>
      <c r="AO123" s="82">
        <v>-0.66658090194972142</v>
      </c>
      <c r="AP123" s="82">
        <v>-2.6159645723554541</v>
      </c>
      <c r="AQ123" s="82">
        <v>5.0613270564713993E-2</v>
      </c>
      <c r="AR123" s="72">
        <v>1</v>
      </c>
      <c r="AS123" s="116">
        <f t="shared" si="34"/>
        <v>6</v>
      </c>
      <c r="AT123" s="7">
        <v>2</v>
      </c>
      <c r="AU123" s="6">
        <f t="shared" si="35"/>
        <v>12</v>
      </c>
      <c r="AV123" s="111">
        <f t="shared" si="36"/>
        <v>1.5143321744049171E-2</v>
      </c>
      <c r="AW123" s="117">
        <f t="shared" si="37"/>
        <v>105</v>
      </c>
      <c r="AX123" s="111">
        <f t="shared" si="38"/>
        <v>1</v>
      </c>
      <c r="AY123" s="111">
        <f t="shared" si="39"/>
        <v>1</v>
      </c>
      <c r="AZ123" s="111">
        <f t="shared" si="40"/>
        <v>1</v>
      </c>
      <c r="BA123" s="111">
        <f t="shared" si="41"/>
        <v>1.5940338677946499E-2</v>
      </c>
      <c r="BB123" s="111">
        <f t="shared" si="42"/>
        <v>8.857993837612526E-3</v>
      </c>
      <c r="BC123" s="111">
        <f t="shared" si="43"/>
        <v>3.47627692205996E-2</v>
      </c>
      <c r="BD123" s="111">
        <v>0</v>
      </c>
      <c r="BE123" s="111">
        <f t="shared" si="44"/>
        <v>5.9561101736158625E-2</v>
      </c>
      <c r="BF123" s="6" t="str">
        <f t="shared" si="45"/>
        <v>OK</v>
      </c>
      <c r="BG123" s="16">
        <f t="shared" si="46"/>
        <v>63.625549371390676</v>
      </c>
      <c r="BH123" s="118">
        <f t="shared" si="47"/>
        <v>2.1193803644775273</v>
      </c>
      <c r="BI123" s="108">
        <f t="shared" si="48"/>
        <v>0.55569671489273831</v>
      </c>
      <c r="BJ123" s="6">
        <f t="shared" si="49"/>
        <v>1.2280234730929702</v>
      </c>
      <c r="BK123" s="108">
        <f t="shared" si="50"/>
        <v>0.68240860980893459</v>
      </c>
      <c r="BL123" s="118" cm="1">
        <f t="array" ref="BL123">IF(AO123=0,FactorPhi7121(BH123,"a"),noisuy2chieu(BK123,BH123,Data!$A$63:$M$85))</f>
        <v>0</v>
      </c>
      <c r="BM123" s="111">
        <v>1.26</v>
      </c>
      <c r="BN123" s="118">
        <f t="shared" si="51"/>
        <v>0.99319796343012379</v>
      </c>
      <c r="BO123" s="108" t="e">
        <f t="shared" si="52"/>
        <v>#DIV/0!</v>
      </c>
      <c r="BP123" s="6" t="e">
        <f t="shared" si="53"/>
        <v>#DIV/0!</v>
      </c>
      <c r="BQ123" s="16">
        <f t="shared" si="54"/>
        <v>127.25109874278135</v>
      </c>
      <c r="BR123" s="118">
        <f t="shared" si="55"/>
        <v>4.2387607289550546</v>
      </c>
      <c r="BS123" s="108">
        <f t="shared" si="56"/>
        <v>2.180804932877241</v>
      </c>
      <c r="BT123" s="118">
        <f t="shared" si="57"/>
        <v>1.1214608199783005</v>
      </c>
      <c r="BU123" s="108">
        <f t="shared" si="58"/>
        <v>2.4456872882372331</v>
      </c>
      <c r="BV123" s="6" cm="1">
        <f t="array" ref="BV123">IF(AP123=0,FactorPhi7121(BR123,"a"),noisuy2chieu(BU123,BR123,Data!$A$63:$M$85))</f>
        <v>0</v>
      </c>
      <c r="BW123" s="111">
        <v>1.26</v>
      </c>
      <c r="BX123" s="111">
        <f t="shared" si="59"/>
        <v>0.97279185372049493</v>
      </c>
      <c r="BY123" s="113" t="e">
        <f t="shared" si="60"/>
        <v>#DIV/0!</v>
      </c>
      <c r="BZ123" s="6" t="e">
        <f t="shared" si="61"/>
        <v>#DIV/0!</v>
      </c>
      <c r="CA123" s="114">
        <f t="shared" si="62"/>
        <v>127.25109874278135</v>
      </c>
      <c r="CB123" s="115" t="e">
        <f t="shared" si="63"/>
        <v>#DIV/0!</v>
      </c>
      <c r="CC123" s="6" t="e">
        <f t="shared" si="64"/>
        <v>#DIV/0!</v>
      </c>
      <c r="DG123" s="108"/>
      <c r="DH123" s="108"/>
      <c r="DI123" s="16"/>
      <c r="DJ123" s="108"/>
      <c r="DT123" s="6"/>
      <c r="DU123" s="6"/>
      <c r="DV123" s="111"/>
      <c r="DW123" s="111"/>
      <c r="DX123" s="111"/>
      <c r="DY123" s="111"/>
      <c r="DZ123" s="111"/>
      <c r="EA123" s="111"/>
      <c r="EB123" s="111"/>
      <c r="EC123" s="111"/>
      <c r="ED123" s="111"/>
      <c r="EE123" s="111"/>
      <c r="EF123" s="6"/>
      <c r="EG123" s="6"/>
      <c r="EH123" s="6"/>
      <c r="EI123" s="6"/>
      <c r="EJ123" s="6"/>
      <c r="EK123" s="6"/>
      <c r="EL123" s="112"/>
      <c r="EM123" s="112"/>
      <c r="EN123" s="118"/>
      <c r="EO123" s="118"/>
      <c r="EP123" s="112"/>
      <c r="EQ123" s="112"/>
      <c r="ER123" s="112"/>
      <c r="ES123" s="112"/>
      <c r="ET123" s="112"/>
      <c r="EU123" s="112"/>
      <c r="EV123" s="6"/>
      <c r="EW123" s="6"/>
      <c r="EX123" s="118"/>
      <c r="EY123" s="113"/>
      <c r="EZ123" s="6"/>
      <c r="FA123" s="114"/>
      <c r="FB123" s="115"/>
      <c r="FC123" s="6"/>
    </row>
    <row r="124" spans="27:159">
      <c r="AA124" s="79" t="s">
        <v>175</v>
      </c>
      <c r="AB124" s="80" t="s">
        <v>194</v>
      </c>
      <c r="AC124" s="81">
        <v>5.48</v>
      </c>
      <c r="AD124" s="81">
        <v>6</v>
      </c>
      <c r="AE124" s="80">
        <v>273</v>
      </c>
      <c r="AF124" s="80">
        <v>6.35</v>
      </c>
      <c r="AG124" s="108" cm="1">
        <f t="array" ref="AG124">_xll.DCEPropSectPipe(AE124, AF124, "Area")/100</f>
        <v>53.19431074856206</v>
      </c>
      <c r="AH124" s="16" cm="1">
        <f t="array" ref="AH124">_xll.DCEPropSectPipe(AE124, AF124, "Ix")/10000</f>
        <v>4730.4733077169503</v>
      </c>
      <c r="AI124" s="16" cm="1">
        <f t="array" ref="AI124">_xll.DCEPropSectPipe(AE124, AF124, "Wx")/1000</f>
        <v>346.55482107816493</v>
      </c>
      <c r="AJ124" s="108">
        <f t="shared" si="33"/>
        <v>9.4301739777164251</v>
      </c>
      <c r="AK124" s="80" t="s">
        <v>213</v>
      </c>
      <c r="AL124" s="82">
        <v>-17.065049653974445</v>
      </c>
      <c r="AM124" s="82">
        <v>0.95403521967740912</v>
      </c>
      <c r="AN124" s="82">
        <v>0.24310025599916896</v>
      </c>
      <c r="AO124" s="82">
        <v>-1.3331618038994428</v>
      </c>
      <c r="AP124" s="82">
        <v>-5.2319291447109082</v>
      </c>
      <c r="AQ124" s="82">
        <v>5.0613270564713993E-2</v>
      </c>
      <c r="AR124" s="72">
        <v>1</v>
      </c>
      <c r="AS124" s="116">
        <f t="shared" si="34"/>
        <v>6</v>
      </c>
      <c r="AT124" s="7">
        <v>2</v>
      </c>
      <c r="AU124" s="6">
        <f t="shared" si="35"/>
        <v>12</v>
      </c>
      <c r="AV124" s="111">
        <f t="shared" si="36"/>
        <v>1.40352588811683E-2</v>
      </c>
      <c r="AW124" s="117">
        <f t="shared" si="37"/>
        <v>105</v>
      </c>
      <c r="AX124" s="111">
        <f t="shared" si="38"/>
        <v>1</v>
      </c>
      <c r="AY124" s="111">
        <f t="shared" si="39"/>
        <v>1</v>
      </c>
      <c r="AZ124" s="111">
        <f t="shared" si="40"/>
        <v>1</v>
      </c>
      <c r="BA124" s="111">
        <f t="shared" si="41"/>
        <v>1.4773956717019265E-2</v>
      </c>
      <c r="BB124" s="111">
        <f t="shared" si="42"/>
        <v>1.7715987675225052E-2</v>
      </c>
      <c r="BC124" s="111">
        <f t="shared" si="43"/>
        <v>6.95255384411992E-2</v>
      </c>
      <c r="BD124" s="111">
        <v>0</v>
      </c>
      <c r="BE124" s="111">
        <f t="shared" si="44"/>
        <v>0.10201548283344351</v>
      </c>
      <c r="BF124" s="6" t="str">
        <f t="shared" si="45"/>
        <v>OK</v>
      </c>
      <c r="BG124" s="16">
        <f t="shared" si="46"/>
        <v>63.625549371390676</v>
      </c>
      <c r="BH124" s="118">
        <f t="shared" si="47"/>
        <v>2.1193803644775273</v>
      </c>
      <c r="BI124" s="108">
        <f t="shared" si="48"/>
        <v>1.1991362919600701</v>
      </c>
      <c r="BJ124" s="6">
        <f t="shared" si="49"/>
        <v>1.2094884262932459</v>
      </c>
      <c r="BK124" s="108">
        <f t="shared" si="50"/>
        <v>1.4503414666739034</v>
      </c>
      <c r="BL124" s="118" cm="1">
        <f t="array" ref="BL124">IF(AO124=0,FactorPhi7121(BH124,"a"),noisuy2chieu(BK124,BH124,Data!$A$63:$M$85))</f>
        <v>0</v>
      </c>
      <c r="BM124" s="111">
        <v>1.26</v>
      </c>
      <c r="BN124" s="118">
        <f t="shared" si="51"/>
        <v>0.99369568012943377</v>
      </c>
      <c r="BO124" s="108" t="e">
        <f t="shared" si="52"/>
        <v>#DIV/0!</v>
      </c>
      <c r="BP124" s="6" t="e">
        <f t="shared" si="53"/>
        <v>#DIV/0!</v>
      </c>
      <c r="BQ124" s="16">
        <f t="shared" si="54"/>
        <v>127.25109874278135</v>
      </c>
      <c r="BR124" s="118">
        <f t="shared" si="55"/>
        <v>4.2387607289550546</v>
      </c>
      <c r="BS124" s="108">
        <f t="shared" si="56"/>
        <v>4.7059524928151015</v>
      </c>
      <c r="BT124" s="118">
        <f t="shared" si="57"/>
        <v>1.1022384051002201</v>
      </c>
      <c r="BU124" s="108">
        <f t="shared" si="58"/>
        <v>5.1870815701579227</v>
      </c>
      <c r="BV124" s="6" cm="1">
        <f t="array" ref="BV124">IF(AP124=0,FactorPhi7121(BR124,"a"),noisuy2chieu(BU124,BR124,Data!$A$63:$M$85))</f>
        <v>0</v>
      </c>
      <c r="BW124" s="111">
        <v>1.26</v>
      </c>
      <c r="BX124" s="111">
        <f t="shared" si="59"/>
        <v>0.97478272051773496</v>
      </c>
      <c r="BY124" s="113" t="e">
        <f t="shared" si="60"/>
        <v>#DIV/0!</v>
      </c>
      <c r="BZ124" s="6" t="e">
        <f t="shared" si="61"/>
        <v>#DIV/0!</v>
      </c>
      <c r="CA124" s="114">
        <f t="shared" si="62"/>
        <v>127.25109874278135</v>
      </c>
      <c r="CB124" s="115" t="e">
        <f t="shared" si="63"/>
        <v>#DIV/0!</v>
      </c>
      <c r="CC124" s="6" t="e">
        <f t="shared" si="64"/>
        <v>#DIV/0!</v>
      </c>
      <c r="DG124" s="108"/>
      <c r="DH124" s="108"/>
      <c r="DI124" s="16"/>
      <c r="DJ124" s="108"/>
      <c r="DT124" s="6"/>
      <c r="DU124" s="6"/>
      <c r="DV124" s="111"/>
      <c r="DW124" s="111"/>
      <c r="DX124" s="111"/>
      <c r="DY124" s="111"/>
      <c r="DZ124" s="111"/>
      <c r="EA124" s="111"/>
      <c r="EB124" s="111"/>
      <c r="EC124" s="111"/>
      <c r="ED124" s="111"/>
      <c r="EE124" s="111"/>
      <c r="EF124" s="6"/>
      <c r="EG124" s="6"/>
      <c r="EH124" s="6"/>
      <c r="EI124" s="6"/>
      <c r="EJ124" s="6"/>
      <c r="EK124" s="6"/>
      <c r="EL124" s="112"/>
      <c r="EM124" s="112"/>
      <c r="EN124" s="118"/>
      <c r="EO124" s="118"/>
      <c r="EP124" s="112"/>
      <c r="EQ124" s="112"/>
      <c r="ER124" s="112"/>
      <c r="ES124" s="112"/>
      <c r="ET124" s="112"/>
      <c r="EU124" s="112"/>
      <c r="EV124" s="6"/>
      <c r="EW124" s="6"/>
      <c r="EX124" s="118"/>
      <c r="EY124" s="113"/>
      <c r="EZ124" s="6"/>
      <c r="FA124" s="114"/>
      <c r="FB124" s="115"/>
      <c r="FC124" s="6"/>
    </row>
    <row r="125" spans="27:159">
      <c r="AA125" s="79" t="s">
        <v>175</v>
      </c>
      <c r="AB125" s="80" t="s">
        <v>194</v>
      </c>
      <c r="AC125" s="81">
        <v>0</v>
      </c>
      <c r="AD125" s="81">
        <v>6</v>
      </c>
      <c r="AE125" s="80">
        <v>273</v>
      </c>
      <c r="AF125" s="80">
        <v>6.35</v>
      </c>
      <c r="AG125" s="108" cm="1">
        <f t="array" ref="AG125">_xll.DCEPropSectPipe(AE125, AF125, "Area")/100</f>
        <v>53.19431074856206</v>
      </c>
      <c r="AH125" s="16" cm="1">
        <f t="array" ref="AH125">_xll.DCEPropSectPipe(AE125, AF125, "Ix")/10000</f>
        <v>4730.4733077169503</v>
      </c>
      <c r="AI125" s="16" cm="1">
        <f t="array" ref="AI125">_xll.DCEPropSectPipe(AE125, AF125, "Wx")/1000</f>
        <v>346.55482107816493</v>
      </c>
      <c r="AJ125" s="108">
        <f t="shared" si="33"/>
        <v>9.4301739777164251</v>
      </c>
      <c r="AK125" s="80" t="s">
        <v>214</v>
      </c>
      <c r="AL125" s="82">
        <v>-5.5315022607360431</v>
      </c>
      <c r="AM125" s="82">
        <v>0.89666312404200499</v>
      </c>
      <c r="AN125" s="82">
        <v>0.13023189208349104</v>
      </c>
      <c r="AO125" s="82">
        <v>0</v>
      </c>
      <c r="AP125" s="82">
        <v>0</v>
      </c>
      <c r="AQ125" s="82">
        <v>-3.0616625517033674E-2</v>
      </c>
      <c r="AR125" s="72">
        <v>1</v>
      </c>
      <c r="AS125" s="116">
        <f t="shared" si="34"/>
        <v>6</v>
      </c>
      <c r="AT125" s="7">
        <v>2</v>
      </c>
      <c r="AU125" s="6">
        <f t="shared" si="35"/>
        <v>12</v>
      </c>
      <c r="AV125" s="111">
        <f t="shared" si="36"/>
        <v>4.5494192988249915E-3</v>
      </c>
      <c r="AW125" s="117">
        <f t="shared" si="37"/>
        <v>105</v>
      </c>
      <c r="AX125" s="111">
        <f t="shared" si="38"/>
        <v>1</v>
      </c>
      <c r="AY125" s="111">
        <f t="shared" si="39"/>
        <v>1</v>
      </c>
      <c r="AZ125" s="111">
        <f t="shared" si="40"/>
        <v>1</v>
      </c>
      <c r="BA125" s="111">
        <f t="shared" si="41"/>
        <v>4.7888624198157807E-3</v>
      </c>
      <c r="BB125" s="111">
        <f t="shared" si="42"/>
        <v>0</v>
      </c>
      <c r="BC125" s="111">
        <f t="shared" si="43"/>
        <v>0</v>
      </c>
      <c r="BD125" s="111">
        <v>0</v>
      </c>
      <c r="BE125" s="111">
        <f t="shared" si="44"/>
        <v>4.7888624198157807E-3</v>
      </c>
      <c r="BF125" s="6" t="str">
        <f t="shared" si="45"/>
        <v>OK</v>
      </c>
      <c r="BG125" s="16">
        <f t="shared" si="46"/>
        <v>63.625549371390676</v>
      </c>
      <c r="BH125" s="118">
        <f t="shared" si="47"/>
        <v>2.1193803644775273</v>
      </c>
      <c r="BI125" s="108">
        <f t="shared" si="48"/>
        <v>0</v>
      </c>
      <c r="BJ125" s="6">
        <f t="shared" si="49"/>
        <v>1.2440309817761237</v>
      </c>
      <c r="BK125" s="108">
        <f t="shared" si="50"/>
        <v>0</v>
      </c>
      <c r="BL125" s="118" cm="1">
        <f t="array" ref="BL125">IF(AO125=0,FactorPhi7121(BH125,"a"),noisuy2chieu(BK125,BH125,Data!$A$63:$M$85))</f>
        <v>0.86214274110469236</v>
      </c>
      <c r="BM125" s="111">
        <v>1.26</v>
      </c>
      <c r="BN125" s="118">
        <f t="shared" si="51"/>
        <v>0.99795650406394698</v>
      </c>
      <c r="BO125" s="108">
        <f t="shared" si="52"/>
        <v>1.1321308296009818E-2</v>
      </c>
      <c r="BP125" s="6" t="str">
        <f t="shared" si="53"/>
        <v>OK</v>
      </c>
      <c r="BQ125" s="16">
        <f t="shared" si="54"/>
        <v>127.25109874278135</v>
      </c>
      <c r="BR125" s="118">
        <f t="shared" si="55"/>
        <v>4.2387607289550546</v>
      </c>
      <c r="BS125" s="108">
        <f t="shared" si="56"/>
        <v>0</v>
      </c>
      <c r="BT125" s="118">
        <f t="shared" si="57"/>
        <v>1.1380619635522473</v>
      </c>
      <c r="BU125" s="108">
        <f t="shared" si="58"/>
        <v>0</v>
      </c>
      <c r="BV125" s="6" cm="1">
        <f t="array" ref="BV125">IF(AP125=0,FactorPhi7121(BR125,"a"),noisuy2chieu(BU125,BR125,Data!$A$63:$M$85))</f>
        <v>0.42299549615688942</v>
      </c>
      <c r="BW125" s="111">
        <v>1.26</v>
      </c>
      <c r="BX125" s="111">
        <f t="shared" si="59"/>
        <v>0.9918260162557877</v>
      </c>
      <c r="BY125" s="113">
        <f t="shared" si="60"/>
        <v>5.5546050456559562E-3</v>
      </c>
      <c r="BZ125" s="6" t="str">
        <f t="shared" si="61"/>
        <v>OK</v>
      </c>
      <c r="CA125" s="114">
        <f t="shared" si="62"/>
        <v>127.25109874278135</v>
      </c>
      <c r="CB125" s="115">
        <f t="shared" si="63"/>
        <v>150</v>
      </c>
      <c r="CC125" s="6" t="str">
        <f t="shared" si="64"/>
        <v>OK</v>
      </c>
      <c r="DG125" s="108"/>
      <c r="DH125" s="108"/>
      <c r="DI125" s="16"/>
      <c r="DJ125" s="108"/>
      <c r="DT125" s="6"/>
      <c r="DU125" s="6"/>
      <c r="DV125" s="111"/>
      <c r="DW125" s="111"/>
      <c r="DX125" s="111"/>
      <c r="DY125" s="111"/>
      <c r="DZ125" s="111"/>
      <c r="EA125" s="111"/>
      <c r="EB125" s="111"/>
      <c r="EC125" s="111"/>
      <c r="ED125" s="111"/>
      <c r="EE125" s="111"/>
      <c r="EF125" s="6"/>
      <c r="EG125" s="6"/>
      <c r="EH125" s="6"/>
      <c r="EI125" s="6"/>
      <c r="EJ125" s="6"/>
      <c r="EK125" s="6"/>
      <c r="EL125" s="112"/>
      <c r="EM125" s="112"/>
      <c r="EN125" s="118"/>
      <c r="EO125" s="118"/>
      <c r="EP125" s="112"/>
      <c r="EQ125" s="112"/>
      <c r="ER125" s="112"/>
      <c r="ES125" s="112"/>
      <c r="ET125" s="112"/>
      <c r="EU125" s="112"/>
      <c r="EV125" s="6"/>
      <c r="EW125" s="6"/>
      <c r="EX125" s="118"/>
      <c r="EY125" s="113"/>
      <c r="EZ125" s="6"/>
      <c r="FA125" s="114"/>
      <c r="FB125" s="115"/>
      <c r="FC125" s="6"/>
    </row>
    <row r="126" spans="27:159">
      <c r="AA126" s="79" t="s">
        <v>175</v>
      </c>
      <c r="AB126" s="80" t="s">
        <v>194</v>
      </c>
      <c r="AC126" s="81">
        <v>2.74</v>
      </c>
      <c r="AD126" s="81">
        <v>6</v>
      </c>
      <c r="AE126" s="80">
        <v>273</v>
      </c>
      <c r="AF126" s="80">
        <v>6.35</v>
      </c>
      <c r="AG126" s="108" cm="1">
        <f t="array" ref="AG126">_xll.DCEPropSectPipe(AE126, AF126, "Area")/100</f>
        <v>53.19431074856206</v>
      </c>
      <c r="AH126" s="16" cm="1">
        <f t="array" ref="AH126">_xll.DCEPropSectPipe(AE126, AF126, "Ix")/10000</f>
        <v>4730.4733077169503</v>
      </c>
      <c r="AI126" s="16" cm="1">
        <f t="array" ref="AI126">_xll.DCEPropSectPipe(AE126, AF126, "Wx")/1000</f>
        <v>346.55482107816493</v>
      </c>
      <c r="AJ126" s="108">
        <f t="shared" si="33"/>
        <v>9.4301739777164251</v>
      </c>
      <c r="AK126" s="80" t="s">
        <v>214</v>
      </c>
      <c r="AL126" s="82">
        <v>-4.1842419120040057</v>
      </c>
      <c r="AM126" s="82">
        <v>0.89666312404200499</v>
      </c>
      <c r="AN126" s="82">
        <v>0.13023189208349104</v>
      </c>
      <c r="AO126" s="82">
        <v>-0.35709584809293266</v>
      </c>
      <c r="AP126" s="82">
        <v>-2.4586502861231745</v>
      </c>
      <c r="AQ126" s="82">
        <v>-3.0616625517033674E-2</v>
      </c>
      <c r="AR126" s="72">
        <v>1</v>
      </c>
      <c r="AS126" s="116">
        <f t="shared" si="34"/>
        <v>6</v>
      </c>
      <c r="AT126" s="7">
        <v>2</v>
      </c>
      <c r="AU126" s="6">
        <f t="shared" si="35"/>
        <v>12</v>
      </c>
      <c r="AV126" s="111">
        <f t="shared" si="36"/>
        <v>3.441356435944115E-3</v>
      </c>
      <c r="AW126" s="117">
        <f t="shared" si="37"/>
        <v>105</v>
      </c>
      <c r="AX126" s="111">
        <f t="shared" si="38"/>
        <v>1</v>
      </c>
      <c r="AY126" s="111">
        <f t="shared" si="39"/>
        <v>1</v>
      </c>
      <c r="AZ126" s="111">
        <f t="shared" si="40"/>
        <v>1</v>
      </c>
      <c r="BA126" s="111">
        <f t="shared" si="41"/>
        <v>3.6224804588885426E-3</v>
      </c>
      <c r="BB126" s="111">
        <f t="shared" si="42"/>
        <v>4.7453397068414737E-3</v>
      </c>
      <c r="BC126" s="111">
        <f t="shared" si="43"/>
        <v>3.267226681655825E-2</v>
      </c>
      <c r="BD126" s="111">
        <v>0</v>
      </c>
      <c r="BE126" s="111">
        <f t="shared" si="44"/>
        <v>4.1040086982288268E-2</v>
      </c>
      <c r="BF126" s="6" t="str">
        <f t="shared" si="45"/>
        <v>OK</v>
      </c>
      <c r="BG126" s="16">
        <f t="shared" si="46"/>
        <v>63.625549371390676</v>
      </c>
      <c r="BH126" s="118">
        <f t="shared" si="47"/>
        <v>2.1193803644775273</v>
      </c>
      <c r="BI126" s="108">
        <f t="shared" si="48"/>
        <v>1.3099697184556929</v>
      </c>
      <c r="BJ126" s="6">
        <f t="shared" si="49"/>
        <v>1.2062957368468905</v>
      </c>
      <c r="BK126" s="108">
        <f t="shared" si="50"/>
        <v>1.5802108867716238</v>
      </c>
      <c r="BL126" s="118" cm="1">
        <f t="array" ref="BL126">IF(AO126=0,FactorPhi7121(BH126,"a"),noisuy2chieu(BK126,BH126,Data!$A$63:$M$85))</f>
        <v>0</v>
      </c>
      <c r="BM126" s="111">
        <v>1.26</v>
      </c>
      <c r="BN126" s="118">
        <f t="shared" si="51"/>
        <v>0.99845422076325696</v>
      </c>
      <c r="BO126" s="108" t="e">
        <f t="shared" si="52"/>
        <v>#DIV/0!</v>
      </c>
      <c r="BP126" s="6" t="e">
        <f t="shared" si="53"/>
        <v>#DIV/0!</v>
      </c>
      <c r="BQ126" s="16">
        <f t="shared" si="54"/>
        <v>127.25109874278135</v>
      </c>
      <c r="BR126" s="118">
        <f t="shared" si="55"/>
        <v>4.2387607289550546</v>
      </c>
      <c r="BS126" s="108">
        <f t="shared" si="56"/>
        <v>9.0193079541367158</v>
      </c>
      <c r="BT126" s="118">
        <f t="shared" si="57"/>
        <v>1.1000000000000001</v>
      </c>
      <c r="BU126" s="108">
        <f t="shared" si="58"/>
        <v>9.9212387495503886</v>
      </c>
      <c r="BV126" s="6" cm="1">
        <f t="array" ref="BV126">IF(AP126=0,FactorPhi7121(BR126,"a"),noisuy2chieu(BU126,BR126,Data!$A$63:$M$85))</f>
        <v>0</v>
      </c>
      <c r="BW126" s="111">
        <v>1.26</v>
      </c>
      <c r="BX126" s="111">
        <f t="shared" si="59"/>
        <v>0.99381688305302773</v>
      </c>
      <c r="BY126" s="113" t="e">
        <f t="shared" si="60"/>
        <v>#DIV/0!</v>
      </c>
      <c r="BZ126" s="6" t="e">
        <f t="shared" si="61"/>
        <v>#DIV/0!</v>
      </c>
      <c r="CA126" s="114">
        <f t="shared" si="62"/>
        <v>127.25109874278135</v>
      </c>
      <c r="CB126" s="115" t="e">
        <f t="shared" si="63"/>
        <v>#DIV/0!</v>
      </c>
      <c r="CC126" s="6" t="e">
        <f t="shared" si="64"/>
        <v>#DIV/0!</v>
      </c>
      <c r="DG126" s="108"/>
      <c r="DH126" s="108"/>
      <c r="DI126" s="16"/>
      <c r="DJ126" s="108"/>
      <c r="DT126" s="6"/>
      <c r="DU126" s="6"/>
      <c r="DV126" s="111"/>
      <c r="DW126" s="111"/>
      <c r="DX126" s="111"/>
      <c r="DY126" s="111"/>
      <c r="DZ126" s="111"/>
      <c r="EA126" s="111"/>
      <c r="EB126" s="111"/>
      <c r="EC126" s="111"/>
      <c r="ED126" s="111"/>
      <c r="EE126" s="111"/>
      <c r="EF126" s="6"/>
      <c r="EG126" s="6"/>
      <c r="EH126" s="6"/>
      <c r="EI126" s="6"/>
      <c r="EJ126" s="6"/>
      <c r="EK126" s="6"/>
      <c r="EL126" s="112"/>
      <c r="EM126" s="112"/>
      <c r="EN126" s="118"/>
      <c r="EO126" s="118"/>
      <c r="EP126" s="112"/>
      <c r="EQ126" s="112"/>
      <c r="ER126" s="112"/>
      <c r="ES126" s="112"/>
      <c r="ET126" s="112"/>
      <c r="EU126" s="112"/>
      <c r="EV126" s="6"/>
      <c r="EW126" s="6"/>
      <c r="EX126" s="118"/>
      <c r="EY126" s="113"/>
      <c r="EZ126" s="6"/>
      <c r="FA126" s="114"/>
      <c r="FB126" s="115"/>
      <c r="FC126" s="6"/>
    </row>
    <row r="127" spans="27:159">
      <c r="AA127" s="79" t="s">
        <v>175</v>
      </c>
      <c r="AB127" s="80" t="s">
        <v>194</v>
      </c>
      <c r="AC127" s="81">
        <v>5.48</v>
      </c>
      <c r="AD127" s="81">
        <v>6</v>
      </c>
      <c r="AE127" s="80">
        <v>273</v>
      </c>
      <c r="AF127" s="80">
        <v>6.35</v>
      </c>
      <c r="AG127" s="108" cm="1">
        <f t="array" ref="AG127">_xll.DCEPropSectPipe(AE127, AF127, "Area")/100</f>
        <v>53.19431074856206</v>
      </c>
      <c r="AH127" s="16" cm="1">
        <f t="array" ref="AH127">_xll.DCEPropSectPipe(AE127, AF127, "Ix")/10000</f>
        <v>4730.4733077169503</v>
      </c>
      <c r="AI127" s="16" cm="1">
        <f t="array" ref="AI127">_xll.DCEPropSectPipe(AE127, AF127, "Wx")/1000</f>
        <v>346.55482107816493</v>
      </c>
      <c r="AJ127" s="108">
        <f t="shared" si="33"/>
        <v>9.4301739777164251</v>
      </c>
      <c r="AK127" s="80" t="s">
        <v>214</v>
      </c>
      <c r="AL127" s="82">
        <v>-2.8369815632719759</v>
      </c>
      <c r="AM127" s="82">
        <v>0.89666312404200499</v>
      </c>
      <c r="AN127" s="82">
        <v>0.13023189208349104</v>
      </c>
      <c r="AO127" s="82">
        <v>-0.71419169618586531</v>
      </c>
      <c r="AP127" s="82">
        <v>-4.917300572246349</v>
      </c>
      <c r="AQ127" s="82">
        <v>-3.0616625517033674E-2</v>
      </c>
      <c r="AR127" s="72">
        <v>1</v>
      </c>
      <c r="AS127" s="116">
        <f t="shared" si="34"/>
        <v>6</v>
      </c>
      <c r="AT127" s="7">
        <v>2</v>
      </c>
      <c r="AU127" s="6">
        <f t="shared" si="35"/>
        <v>12</v>
      </c>
      <c r="AV127" s="111">
        <f t="shared" si="36"/>
        <v>2.3332935730632455E-3</v>
      </c>
      <c r="AW127" s="117">
        <f t="shared" si="37"/>
        <v>105</v>
      </c>
      <c r="AX127" s="111">
        <f t="shared" si="38"/>
        <v>1</v>
      </c>
      <c r="AY127" s="111">
        <f t="shared" si="39"/>
        <v>1</v>
      </c>
      <c r="AZ127" s="111">
        <f t="shared" si="40"/>
        <v>1</v>
      </c>
      <c r="BA127" s="111">
        <f t="shared" si="41"/>
        <v>2.4560984979613105E-3</v>
      </c>
      <c r="BB127" s="111">
        <f t="shared" si="42"/>
        <v>9.4906794136829474E-3</v>
      </c>
      <c r="BC127" s="111">
        <f t="shared" si="43"/>
        <v>6.53445336331165E-2</v>
      </c>
      <c r="BD127" s="111">
        <v>0</v>
      </c>
      <c r="BE127" s="111">
        <f t="shared" si="44"/>
        <v>7.7291311544760766E-2</v>
      </c>
      <c r="BF127" s="6" t="str">
        <f t="shared" si="45"/>
        <v>OK</v>
      </c>
      <c r="BG127" s="16">
        <f t="shared" si="46"/>
        <v>63.625549371390676</v>
      </c>
      <c r="BH127" s="118">
        <f t="shared" si="47"/>
        <v>2.1193803644775273</v>
      </c>
      <c r="BI127" s="108">
        <f t="shared" si="48"/>
        <v>3.8641281779052035</v>
      </c>
      <c r="BJ127" s="6">
        <f t="shared" si="49"/>
        <v>1.1327201467416295</v>
      </c>
      <c r="BK127" s="108">
        <f t="shared" si="50"/>
        <v>4.3769758367052471</v>
      </c>
      <c r="BL127" s="118" cm="1">
        <f t="array" ref="BL127">IF(AO127=0,FactorPhi7121(BH127,"a"),noisuy2chieu(BK127,BH127,Data!$A$63:$M$85))</f>
        <v>0</v>
      </c>
      <c r="BM127" s="111">
        <v>1.26</v>
      </c>
      <c r="BN127" s="118">
        <f t="shared" si="51"/>
        <v>0.99895193746256694</v>
      </c>
      <c r="BO127" s="108" t="e">
        <f t="shared" si="52"/>
        <v>#DIV/0!</v>
      </c>
      <c r="BP127" s="6" t="e">
        <f t="shared" si="53"/>
        <v>#DIV/0!</v>
      </c>
      <c r="BQ127" s="16">
        <f t="shared" si="54"/>
        <v>127.25109874278135</v>
      </c>
      <c r="BR127" s="118">
        <f t="shared" si="55"/>
        <v>4.2387607289550546</v>
      </c>
      <c r="BS127" s="108">
        <f t="shared" si="56"/>
        <v>26.605013474563766</v>
      </c>
      <c r="BT127" s="118">
        <f t="shared" si="57"/>
        <v>1.1000000000000001</v>
      </c>
      <c r="BU127" s="108">
        <f t="shared" si="58"/>
        <v>29.265514822020144</v>
      </c>
      <c r="BV127" s="6" cm="1">
        <f t="array" ref="BV127">IF(AP127=0,FactorPhi7121(BR127,"a"),noisuy2chieu(BU127,BR127,Data!$A$63:$M$85))</f>
        <v>0</v>
      </c>
      <c r="BW127" s="111">
        <v>1.26</v>
      </c>
      <c r="BX127" s="111">
        <f t="shared" si="59"/>
        <v>0.99580774985026776</v>
      </c>
      <c r="BY127" s="113" t="e">
        <f t="shared" si="60"/>
        <v>#DIV/0!</v>
      </c>
      <c r="BZ127" s="6" t="e">
        <f t="shared" si="61"/>
        <v>#DIV/0!</v>
      </c>
      <c r="CA127" s="114">
        <f t="shared" si="62"/>
        <v>127.25109874278135</v>
      </c>
      <c r="CB127" s="115" t="e">
        <f t="shared" si="63"/>
        <v>#DIV/0!</v>
      </c>
      <c r="CC127" s="6" t="e">
        <f t="shared" si="64"/>
        <v>#DIV/0!</v>
      </c>
      <c r="DG127" s="108"/>
      <c r="DH127" s="108"/>
      <c r="DI127" s="16"/>
      <c r="DJ127" s="108"/>
      <c r="DT127" s="6"/>
      <c r="DU127" s="6"/>
      <c r="DV127" s="111"/>
      <c r="DW127" s="111"/>
      <c r="DX127" s="111"/>
      <c r="DY127" s="111"/>
      <c r="DZ127" s="111"/>
      <c r="EA127" s="111"/>
      <c r="EB127" s="111"/>
      <c r="EC127" s="111"/>
      <c r="ED127" s="111"/>
      <c r="EE127" s="111"/>
      <c r="EF127" s="6"/>
      <c r="EG127" s="6"/>
      <c r="EH127" s="6"/>
      <c r="EI127" s="6"/>
      <c r="EJ127" s="6"/>
      <c r="EK127" s="6"/>
      <c r="EL127" s="112"/>
      <c r="EM127" s="112"/>
      <c r="EN127" s="118"/>
      <c r="EO127" s="118"/>
      <c r="EP127" s="112"/>
      <c r="EQ127" s="112"/>
      <c r="ER127" s="112"/>
      <c r="ES127" s="112"/>
      <c r="ET127" s="112"/>
      <c r="EU127" s="112"/>
      <c r="EV127" s="6"/>
      <c r="EW127" s="6"/>
      <c r="EX127" s="118"/>
      <c r="EY127" s="113"/>
      <c r="EZ127" s="6"/>
      <c r="FA127" s="114"/>
      <c r="FB127" s="115"/>
      <c r="FC127" s="6"/>
    </row>
    <row r="128" spans="27:159">
      <c r="AA128" s="79" t="s">
        <v>175</v>
      </c>
      <c r="AB128" s="80" t="s">
        <v>194</v>
      </c>
      <c r="AC128" s="81">
        <v>0</v>
      </c>
      <c r="AD128" s="81">
        <v>6</v>
      </c>
      <c r="AE128" s="80">
        <v>273</v>
      </c>
      <c r="AF128" s="80">
        <v>6.35</v>
      </c>
      <c r="AG128" s="108" cm="1">
        <f t="array" ref="AG128">_xll.DCEPropSectPipe(AE128, AF128, "Area")/100</f>
        <v>53.19431074856206</v>
      </c>
      <c r="AH128" s="16" cm="1">
        <f t="array" ref="AH128">_xll.DCEPropSectPipe(AE128, AF128, "Ix")/10000</f>
        <v>4730.4733077169503</v>
      </c>
      <c r="AI128" s="16" cm="1">
        <f t="array" ref="AI128">_xll.DCEPropSectPipe(AE128, AF128, "Wx")/1000</f>
        <v>346.55482107816493</v>
      </c>
      <c r="AJ128" s="108">
        <f t="shared" si="33"/>
        <v>9.4301739777164251</v>
      </c>
      <c r="AK128" s="80" t="s">
        <v>215</v>
      </c>
      <c r="AL128" s="82">
        <v>-72.786844457291977</v>
      </c>
      <c r="AM128" s="82">
        <v>9.6971185524618324</v>
      </c>
      <c r="AN128" s="82">
        <v>1.8923452987746341</v>
      </c>
      <c r="AO128" s="82">
        <v>0</v>
      </c>
      <c r="AP128" s="82">
        <v>0</v>
      </c>
      <c r="AQ128" s="82">
        <v>7.6029387718244801E-2</v>
      </c>
      <c r="AR128" s="72">
        <v>1</v>
      </c>
      <c r="AS128" s="116">
        <f t="shared" si="34"/>
        <v>6</v>
      </c>
      <c r="AT128" s="7">
        <v>2</v>
      </c>
      <c r="AU128" s="6">
        <f t="shared" si="35"/>
        <v>12</v>
      </c>
      <c r="AV128" s="111">
        <f t="shared" si="36"/>
        <v>5.9864004255240869E-2</v>
      </c>
      <c r="AW128" s="117">
        <f t="shared" si="37"/>
        <v>105</v>
      </c>
      <c r="AX128" s="111">
        <f t="shared" si="38"/>
        <v>1</v>
      </c>
      <c r="AY128" s="111">
        <f t="shared" si="39"/>
        <v>1</v>
      </c>
      <c r="AZ128" s="111">
        <f t="shared" si="40"/>
        <v>1</v>
      </c>
      <c r="BA128" s="111">
        <f t="shared" si="41"/>
        <v>6.3014741321306189E-2</v>
      </c>
      <c r="BB128" s="111">
        <f t="shared" si="42"/>
        <v>0</v>
      </c>
      <c r="BC128" s="111">
        <f t="shared" si="43"/>
        <v>0</v>
      </c>
      <c r="BD128" s="111">
        <v>0</v>
      </c>
      <c r="BE128" s="111">
        <f t="shared" si="44"/>
        <v>6.3014741321306189E-2</v>
      </c>
      <c r="BF128" s="6" t="str">
        <f t="shared" si="45"/>
        <v>OK</v>
      </c>
      <c r="BG128" s="16">
        <f t="shared" si="46"/>
        <v>63.625549371390676</v>
      </c>
      <c r="BH128" s="118">
        <f t="shared" si="47"/>
        <v>2.1193803644775273</v>
      </c>
      <c r="BI128" s="108">
        <f t="shared" si="48"/>
        <v>0</v>
      </c>
      <c r="BJ128" s="6">
        <f t="shared" si="49"/>
        <v>1.2440309817761237</v>
      </c>
      <c r="BK128" s="108">
        <f t="shared" si="50"/>
        <v>0</v>
      </c>
      <c r="BL128" s="118" cm="1">
        <f t="array" ref="BL128">IF(AO128=0,FactorPhi7121(BH128,"a"),noisuy2chieu(BK128,BH128,Data!$A$63:$M$85))</f>
        <v>0.86214274110469236</v>
      </c>
      <c r="BM128" s="111">
        <v>1.26</v>
      </c>
      <c r="BN128" s="118">
        <f t="shared" si="51"/>
        <v>0.97311044742720387</v>
      </c>
      <c r="BO128" s="108">
        <f t="shared" si="52"/>
        <v>0.14897260584054528</v>
      </c>
      <c r="BP128" s="6" t="str">
        <f t="shared" si="53"/>
        <v>OK</v>
      </c>
      <c r="BQ128" s="16">
        <f t="shared" si="54"/>
        <v>127.25109874278135</v>
      </c>
      <c r="BR128" s="118">
        <f t="shared" si="55"/>
        <v>4.2387607289550546</v>
      </c>
      <c r="BS128" s="108">
        <f t="shared" si="56"/>
        <v>0</v>
      </c>
      <c r="BT128" s="118">
        <f t="shared" si="57"/>
        <v>1.1380619635522473</v>
      </c>
      <c r="BU128" s="108">
        <f t="shared" si="58"/>
        <v>0</v>
      </c>
      <c r="BV128" s="6" cm="1">
        <f t="array" ref="BV128">IF(AP128=0,FactorPhi7121(BR128,"a"),noisuy2chieu(BU128,BR128,Data!$A$63:$M$85))</f>
        <v>0.42299549615688942</v>
      </c>
      <c r="BW128" s="111">
        <v>1.26</v>
      </c>
      <c r="BX128" s="111">
        <f t="shared" si="59"/>
        <v>0.89244178970881549</v>
      </c>
      <c r="BY128" s="113">
        <f t="shared" si="60"/>
        <v>7.3090844841497221E-2</v>
      </c>
      <c r="BZ128" s="6" t="str">
        <f t="shared" si="61"/>
        <v>OK</v>
      </c>
      <c r="CA128" s="114">
        <f t="shared" si="62"/>
        <v>127.25109874278135</v>
      </c>
      <c r="CB128" s="115">
        <f t="shared" si="63"/>
        <v>150</v>
      </c>
      <c r="CC128" s="6" t="str">
        <f t="shared" si="64"/>
        <v>OK</v>
      </c>
      <c r="DG128" s="108"/>
      <c r="DH128" s="108"/>
      <c r="DI128" s="16"/>
      <c r="DJ128" s="108"/>
      <c r="DT128" s="6"/>
      <c r="DU128" s="6"/>
      <c r="DV128" s="111"/>
      <c r="DW128" s="111"/>
      <c r="DX128" s="111"/>
      <c r="DY128" s="111"/>
      <c r="DZ128" s="111"/>
      <c r="EA128" s="111"/>
      <c r="EB128" s="111"/>
      <c r="EC128" s="111"/>
      <c r="ED128" s="111"/>
      <c r="EE128" s="111"/>
      <c r="EF128" s="6"/>
      <c r="EG128" s="6"/>
      <c r="EH128" s="6"/>
      <c r="EI128" s="6"/>
      <c r="EJ128" s="6"/>
      <c r="EK128" s="6"/>
      <c r="EL128" s="112"/>
      <c r="EM128" s="112"/>
      <c r="EN128" s="118"/>
      <c r="EO128" s="118"/>
      <c r="EP128" s="112"/>
      <c r="EQ128" s="112"/>
      <c r="ER128" s="112"/>
      <c r="ES128" s="112"/>
      <c r="ET128" s="112"/>
      <c r="EU128" s="112"/>
      <c r="EV128" s="6"/>
      <c r="EW128" s="6"/>
      <c r="EX128" s="118"/>
      <c r="EY128" s="113"/>
      <c r="EZ128" s="6"/>
      <c r="FA128" s="114"/>
      <c r="FB128" s="115"/>
      <c r="FC128" s="6"/>
    </row>
    <row r="129" spans="27:159">
      <c r="AA129" s="79" t="s">
        <v>175</v>
      </c>
      <c r="AB129" s="80" t="s">
        <v>194</v>
      </c>
      <c r="AC129" s="81">
        <v>2.74</v>
      </c>
      <c r="AD129" s="81">
        <v>6</v>
      </c>
      <c r="AE129" s="80">
        <v>273</v>
      </c>
      <c r="AF129" s="80">
        <v>6.35</v>
      </c>
      <c r="AG129" s="108" cm="1">
        <f t="array" ref="AG129">_xll.DCEPropSectPipe(AE129, AF129, "Area")/100</f>
        <v>53.19431074856206</v>
      </c>
      <c r="AH129" s="16" cm="1">
        <f t="array" ref="AH129">_xll.DCEPropSectPipe(AE129, AF129, "Ix")/10000</f>
        <v>4730.4733077169503</v>
      </c>
      <c r="AI129" s="16" cm="1">
        <f t="array" ref="AI129">_xll.DCEPropSectPipe(AE129, AF129, "Wx")/1000</f>
        <v>346.55482107816493</v>
      </c>
      <c r="AJ129" s="108">
        <f t="shared" si="33"/>
        <v>9.4301739777164251</v>
      </c>
      <c r="AK129" s="80" t="s">
        <v>215</v>
      </c>
      <c r="AL129" s="82">
        <v>-71.439584108559956</v>
      </c>
      <c r="AM129" s="82">
        <v>9.6971185524618324</v>
      </c>
      <c r="AN129" s="82">
        <v>1.8923452987746341</v>
      </c>
      <c r="AO129" s="82">
        <v>-5.1888108092400476</v>
      </c>
      <c r="AP129" s="82">
        <v>-26.589499070850344</v>
      </c>
      <c r="AQ129" s="82">
        <v>7.6029387718244801E-2</v>
      </c>
      <c r="AR129" s="72">
        <v>1</v>
      </c>
      <c r="AS129" s="116">
        <f t="shared" si="34"/>
        <v>6</v>
      </c>
      <c r="AT129" s="7">
        <v>2</v>
      </c>
      <c r="AU129" s="6">
        <f t="shared" si="35"/>
        <v>12</v>
      </c>
      <c r="AV129" s="111">
        <f t="shared" si="36"/>
        <v>5.8755941392360012E-2</v>
      </c>
      <c r="AW129" s="117">
        <f t="shared" si="37"/>
        <v>105</v>
      </c>
      <c r="AX129" s="111">
        <f t="shared" si="38"/>
        <v>1</v>
      </c>
      <c r="AY129" s="111">
        <f t="shared" si="39"/>
        <v>1</v>
      </c>
      <c r="AZ129" s="111">
        <f t="shared" si="40"/>
        <v>1</v>
      </c>
      <c r="BA129" s="111">
        <f t="shared" si="41"/>
        <v>6.1848359360378961E-2</v>
      </c>
      <c r="BB129" s="111">
        <f t="shared" si="42"/>
        <v>6.8952551803310502E-2</v>
      </c>
      <c r="BC129" s="111">
        <f t="shared" si="43"/>
        <v>0.35333988451496584</v>
      </c>
      <c r="BD129" s="111">
        <v>0</v>
      </c>
      <c r="BE129" s="111">
        <f t="shared" si="44"/>
        <v>0.48414079567865531</v>
      </c>
      <c r="BF129" s="6" t="str">
        <f t="shared" si="45"/>
        <v>OK</v>
      </c>
      <c r="BG129" s="16">
        <f t="shared" si="46"/>
        <v>63.625549371390676</v>
      </c>
      <c r="BH129" s="118">
        <f t="shared" si="47"/>
        <v>2.1193803644775273</v>
      </c>
      <c r="BI129" s="108">
        <f t="shared" si="48"/>
        <v>1.1148646870572061</v>
      </c>
      <c r="BJ129" s="6">
        <f t="shared" si="49"/>
        <v>1.2119159706912477</v>
      </c>
      <c r="BK129" s="108">
        <f t="shared" si="50"/>
        <v>1.351122319404328</v>
      </c>
      <c r="BL129" s="118" cm="1">
        <f t="array" ref="BL129">IF(AO129=0,FactorPhi7121(BH129,"a"),noisuy2chieu(BK129,BH129,Data!$A$63:$M$85))</f>
        <v>0</v>
      </c>
      <c r="BM129" s="111">
        <v>1.26</v>
      </c>
      <c r="BN129" s="118">
        <f t="shared" si="51"/>
        <v>0.97360816412651385</v>
      </c>
      <c r="BO129" s="108" t="e">
        <f t="shared" si="52"/>
        <v>#DIV/0!</v>
      </c>
      <c r="BP129" s="6" t="e">
        <f t="shared" si="53"/>
        <v>#DIV/0!</v>
      </c>
      <c r="BQ129" s="16">
        <f t="shared" si="54"/>
        <v>127.25109874278135</v>
      </c>
      <c r="BR129" s="118">
        <f t="shared" si="55"/>
        <v>4.2387607289550546</v>
      </c>
      <c r="BS129" s="108">
        <f t="shared" si="56"/>
        <v>5.7130033548039583</v>
      </c>
      <c r="BT129" s="118">
        <f t="shared" si="57"/>
        <v>1.1000000000000001</v>
      </c>
      <c r="BU129" s="108">
        <f t="shared" si="58"/>
        <v>6.2843036902843545</v>
      </c>
      <c r="BV129" s="6" cm="1">
        <f t="array" ref="BV129">IF(AP129=0,FactorPhi7121(BR129,"a"),noisuy2chieu(BU129,BR129,Data!$A$63:$M$85))</f>
        <v>0</v>
      </c>
      <c r="BW129" s="111">
        <v>1.26</v>
      </c>
      <c r="BX129" s="111">
        <f t="shared" si="59"/>
        <v>0.89443265650605552</v>
      </c>
      <c r="BY129" s="113" t="e">
        <f t="shared" si="60"/>
        <v>#DIV/0!</v>
      </c>
      <c r="BZ129" s="6" t="e">
        <f t="shared" si="61"/>
        <v>#DIV/0!</v>
      </c>
      <c r="CA129" s="114">
        <f t="shared" si="62"/>
        <v>127.25109874278135</v>
      </c>
      <c r="CB129" s="115" t="e">
        <f t="shared" si="63"/>
        <v>#DIV/0!</v>
      </c>
      <c r="CC129" s="6" t="e">
        <f t="shared" si="64"/>
        <v>#DIV/0!</v>
      </c>
      <c r="DG129" s="108"/>
      <c r="DH129" s="108"/>
      <c r="DI129" s="16"/>
      <c r="DJ129" s="108"/>
      <c r="DT129" s="6"/>
      <c r="DU129" s="6"/>
      <c r="DV129" s="111"/>
      <c r="DW129" s="111"/>
      <c r="DX129" s="111"/>
      <c r="DY129" s="111"/>
      <c r="DZ129" s="111"/>
      <c r="EA129" s="111"/>
      <c r="EB129" s="111"/>
      <c r="EC129" s="111"/>
      <c r="ED129" s="111"/>
      <c r="EE129" s="111"/>
      <c r="EF129" s="6"/>
      <c r="EG129" s="6"/>
      <c r="EH129" s="6"/>
      <c r="EI129" s="6"/>
      <c r="EJ129" s="6"/>
      <c r="EK129" s="6"/>
      <c r="EL129" s="112"/>
      <c r="EM129" s="112"/>
      <c r="EN129" s="118"/>
      <c r="EO129" s="118"/>
      <c r="EP129" s="112"/>
      <c r="EQ129" s="112"/>
      <c r="ER129" s="112"/>
      <c r="ES129" s="112"/>
      <c r="ET129" s="112"/>
      <c r="EU129" s="112"/>
      <c r="EV129" s="6"/>
      <c r="EW129" s="6"/>
      <c r="EX129" s="118"/>
      <c r="EY129" s="113"/>
      <c r="EZ129" s="6"/>
      <c r="FA129" s="114"/>
      <c r="FB129" s="115"/>
      <c r="FC129" s="6"/>
    </row>
    <row r="130" spans="27:159">
      <c r="AA130" s="79" t="s">
        <v>175</v>
      </c>
      <c r="AB130" s="80" t="s">
        <v>194</v>
      </c>
      <c r="AC130" s="81">
        <v>5.48</v>
      </c>
      <c r="AD130" s="81">
        <v>6</v>
      </c>
      <c r="AE130" s="80">
        <v>273</v>
      </c>
      <c r="AF130" s="80">
        <v>6.35</v>
      </c>
      <c r="AG130" s="108" cm="1">
        <f t="array" ref="AG130">_xll.DCEPropSectPipe(AE130, AF130, "Area")/100</f>
        <v>53.19431074856206</v>
      </c>
      <c r="AH130" s="16" cm="1">
        <f t="array" ref="AH130">_xll.DCEPropSectPipe(AE130, AF130, "Ix")/10000</f>
        <v>4730.4733077169503</v>
      </c>
      <c r="AI130" s="16" cm="1">
        <f t="array" ref="AI130">_xll.DCEPropSectPipe(AE130, AF130, "Wx")/1000</f>
        <v>346.55482107816493</v>
      </c>
      <c r="AJ130" s="108">
        <f t="shared" si="33"/>
        <v>9.4301739777164251</v>
      </c>
      <c r="AK130" s="80" t="s">
        <v>215</v>
      </c>
      <c r="AL130" s="82">
        <v>-70.09232375982792</v>
      </c>
      <c r="AM130" s="82">
        <v>9.6971185524618324</v>
      </c>
      <c r="AN130" s="82">
        <v>1.8923452987746341</v>
      </c>
      <c r="AO130" s="82">
        <v>-10.377621618480095</v>
      </c>
      <c r="AP130" s="82">
        <v>-53.178998141700689</v>
      </c>
      <c r="AQ130" s="82">
        <v>7.6029387718244801E-2</v>
      </c>
      <c r="AR130" s="72">
        <v>1</v>
      </c>
      <c r="AS130" s="116">
        <f t="shared" si="34"/>
        <v>6</v>
      </c>
      <c r="AT130" s="7">
        <v>2</v>
      </c>
      <c r="AU130" s="6">
        <f t="shared" si="35"/>
        <v>12</v>
      </c>
      <c r="AV130" s="111">
        <f t="shared" si="36"/>
        <v>5.7647878529479134E-2</v>
      </c>
      <c r="AW130" s="117">
        <f t="shared" si="37"/>
        <v>105</v>
      </c>
      <c r="AX130" s="111">
        <f t="shared" si="38"/>
        <v>1</v>
      </c>
      <c r="AY130" s="111">
        <f t="shared" si="39"/>
        <v>1</v>
      </c>
      <c r="AZ130" s="111">
        <f t="shared" si="40"/>
        <v>1</v>
      </c>
      <c r="BA130" s="111">
        <f t="shared" si="41"/>
        <v>6.068197739945172E-2</v>
      </c>
      <c r="BB130" s="111">
        <f t="shared" si="42"/>
        <v>0.137905103606621</v>
      </c>
      <c r="BC130" s="111">
        <f t="shared" si="43"/>
        <v>0.70667976902993168</v>
      </c>
      <c r="BD130" s="111">
        <v>0</v>
      </c>
      <c r="BE130" s="111">
        <f t="shared" si="44"/>
        <v>0.90526685003600438</v>
      </c>
      <c r="BF130" s="6" t="str">
        <f t="shared" si="45"/>
        <v>OK</v>
      </c>
      <c r="BG130" s="16">
        <f t="shared" si="46"/>
        <v>63.625549371390676</v>
      </c>
      <c r="BH130" s="118">
        <f t="shared" si="47"/>
        <v>2.1193803644775273</v>
      </c>
      <c r="BI130" s="108">
        <f t="shared" si="48"/>
        <v>2.2725875048341293</v>
      </c>
      <c r="BJ130" s="6">
        <f t="shared" si="49"/>
        <v>1.1785663798774415</v>
      </c>
      <c r="BK130" s="108">
        <f t="shared" si="50"/>
        <v>2.6783952285270676</v>
      </c>
      <c r="BL130" s="118" cm="1">
        <f t="array" ref="BL130">IF(AO130=0,FactorPhi7121(BH130,"a"),noisuy2chieu(BK130,BH130,Data!$A$63:$M$85))</f>
        <v>0</v>
      </c>
      <c r="BM130" s="111">
        <v>1.26</v>
      </c>
      <c r="BN130" s="118">
        <f t="shared" si="51"/>
        <v>0.97410588082582383</v>
      </c>
      <c r="BO130" s="108" t="e">
        <f t="shared" si="52"/>
        <v>#DIV/0!</v>
      </c>
      <c r="BP130" s="6" t="e">
        <f t="shared" si="53"/>
        <v>#DIV/0!</v>
      </c>
      <c r="BQ130" s="16">
        <f t="shared" si="54"/>
        <v>127.25109874278135</v>
      </c>
      <c r="BR130" s="118">
        <f t="shared" si="55"/>
        <v>4.2387607289550546</v>
      </c>
      <c r="BS130" s="108">
        <f t="shared" si="56"/>
        <v>11.645628559169475</v>
      </c>
      <c r="BT130" s="118">
        <f t="shared" si="57"/>
        <v>1.1000000000000001</v>
      </c>
      <c r="BU130" s="108">
        <f t="shared" si="58"/>
        <v>12.810191415086424</v>
      </c>
      <c r="BV130" s="6" cm="1">
        <f t="array" ref="BV130">IF(AP130=0,FactorPhi7121(BR130,"a"),noisuy2chieu(BU130,BR130,Data!$A$63:$M$85))</f>
        <v>0</v>
      </c>
      <c r="BW130" s="111">
        <v>1.26</v>
      </c>
      <c r="BX130" s="111">
        <f t="shared" si="59"/>
        <v>0.89642352330329556</v>
      </c>
      <c r="BY130" s="113" t="e">
        <f t="shared" si="60"/>
        <v>#DIV/0!</v>
      </c>
      <c r="BZ130" s="6" t="e">
        <f t="shared" si="61"/>
        <v>#DIV/0!</v>
      </c>
      <c r="CA130" s="114">
        <f t="shared" si="62"/>
        <v>127.25109874278135</v>
      </c>
      <c r="CB130" s="115" t="e">
        <f t="shared" si="63"/>
        <v>#DIV/0!</v>
      </c>
      <c r="CC130" s="6" t="e">
        <f t="shared" si="64"/>
        <v>#DIV/0!</v>
      </c>
      <c r="DG130" s="108"/>
      <c r="DH130" s="108"/>
      <c r="DI130" s="16"/>
      <c r="DJ130" s="108"/>
      <c r="DT130" s="6"/>
      <c r="DU130" s="6"/>
      <c r="DV130" s="111"/>
      <c r="DW130" s="111"/>
      <c r="DX130" s="111"/>
      <c r="DY130" s="111"/>
      <c r="DZ130" s="111"/>
      <c r="EA130" s="111"/>
      <c r="EB130" s="111"/>
      <c r="EC130" s="111"/>
      <c r="ED130" s="111"/>
      <c r="EE130" s="111"/>
      <c r="EF130" s="6"/>
      <c r="EG130" s="6"/>
      <c r="EH130" s="6"/>
      <c r="EI130" s="6"/>
      <c r="EJ130" s="6"/>
      <c r="EK130" s="6"/>
      <c r="EL130" s="112"/>
      <c r="EM130" s="112"/>
      <c r="EN130" s="118"/>
      <c r="EO130" s="118"/>
      <c r="EP130" s="112"/>
      <c r="EQ130" s="112"/>
      <c r="ER130" s="112"/>
      <c r="ES130" s="112"/>
      <c r="ET130" s="112"/>
      <c r="EU130" s="112"/>
      <c r="EV130" s="6"/>
      <c r="EW130" s="6"/>
      <c r="EX130" s="118"/>
      <c r="EY130" s="113"/>
      <c r="EZ130" s="6"/>
      <c r="FA130" s="114"/>
      <c r="FB130" s="115"/>
      <c r="FC130" s="6"/>
    </row>
    <row r="131" spans="27:159">
      <c r="AA131" s="79" t="s">
        <v>175</v>
      </c>
      <c r="AB131" s="80" t="s">
        <v>194</v>
      </c>
      <c r="AC131" s="81">
        <v>0</v>
      </c>
      <c r="AD131" s="81">
        <v>6</v>
      </c>
      <c r="AE131" s="80">
        <v>273</v>
      </c>
      <c r="AF131" s="80">
        <v>6.35</v>
      </c>
      <c r="AG131" s="108" cm="1">
        <f t="array" ref="AG131">_xll.DCEPropSectPipe(AE131, AF131, "Area")/100</f>
        <v>53.19431074856206</v>
      </c>
      <c r="AH131" s="16" cm="1">
        <f t="array" ref="AH131">_xll.DCEPropSectPipe(AE131, AF131, "Ix")/10000</f>
        <v>4730.4733077169503</v>
      </c>
      <c r="AI131" s="16" cm="1">
        <f t="array" ref="AI131">_xll.DCEPropSectPipe(AE131, AF131, "Wx")/1000</f>
        <v>346.55482107816493</v>
      </c>
      <c r="AJ131" s="108">
        <f t="shared" si="33"/>
        <v>9.4301739777164251</v>
      </c>
      <c r="AK131" s="80" t="s">
        <v>216</v>
      </c>
      <c r="AL131" s="82">
        <v>-87.158630407496517</v>
      </c>
      <c r="AM131" s="82">
        <v>9.7550701642147679</v>
      </c>
      <c r="AN131" s="82">
        <v>2.0063537471743094</v>
      </c>
      <c r="AO131" s="82">
        <v>0</v>
      </c>
      <c r="AP131" s="82">
        <v>0</v>
      </c>
      <c r="AQ131" s="82">
        <v>0.15807978780081752</v>
      </c>
      <c r="AR131" s="72">
        <v>1</v>
      </c>
      <c r="AS131" s="116">
        <f t="shared" si="34"/>
        <v>6</v>
      </c>
      <c r="AT131" s="7">
        <v>2</v>
      </c>
      <c r="AU131" s="6">
        <f t="shared" si="35"/>
        <v>12</v>
      </c>
      <c r="AV131" s="111">
        <f t="shared" si="36"/>
        <v>7.1684171233124788E-2</v>
      </c>
      <c r="AW131" s="117">
        <f t="shared" si="37"/>
        <v>105</v>
      </c>
      <c r="AX131" s="111">
        <f t="shared" si="38"/>
        <v>1</v>
      </c>
      <c r="AY131" s="111">
        <f t="shared" si="39"/>
        <v>1</v>
      </c>
      <c r="AZ131" s="111">
        <f t="shared" si="40"/>
        <v>1</v>
      </c>
      <c r="BA131" s="111">
        <f t="shared" si="41"/>
        <v>7.5457022350657682E-2</v>
      </c>
      <c r="BB131" s="111">
        <f t="shared" si="42"/>
        <v>0</v>
      </c>
      <c r="BC131" s="111">
        <f t="shared" si="43"/>
        <v>0</v>
      </c>
      <c r="BD131" s="111">
        <v>0</v>
      </c>
      <c r="BE131" s="111">
        <f t="shared" si="44"/>
        <v>7.5457022350657682E-2</v>
      </c>
      <c r="BF131" s="6" t="str">
        <f t="shared" si="45"/>
        <v>OK</v>
      </c>
      <c r="BG131" s="16">
        <f t="shared" si="46"/>
        <v>63.625549371390676</v>
      </c>
      <c r="BH131" s="118">
        <f t="shared" si="47"/>
        <v>2.1193803644775273</v>
      </c>
      <c r="BI131" s="108">
        <f t="shared" si="48"/>
        <v>0</v>
      </c>
      <c r="BJ131" s="6">
        <f t="shared" si="49"/>
        <v>1.2440309817761237</v>
      </c>
      <c r="BK131" s="108">
        <f t="shared" si="50"/>
        <v>0</v>
      </c>
      <c r="BL131" s="118" cm="1">
        <f t="array" ref="BL131">IF(AO131=0,FactorPhi7121(BH131,"a"),noisuy2chieu(BK131,BH131,Data!$A$63:$M$85))</f>
        <v>0.86214274110469236</v>
      </c>
      <c r="BM131" s="111">
        <v>1.26</v>
      </c>
      <c r="BN131" s="118">
        <f t="shared" si="51"/>
        <v>0.96780109658565516</v>
      </c>
      <c r="BO131" s="108">
        <f t="shared" si="52"/>
        <v>0.1783872949859272</v>
      </c>
      <c r="BP131" s="6" t="str">
        <f t="shared" si="53"/>
        <v>OK</v>
      </c>
      <c r="BQ131" s="16">
        <f t="shared" si="54"/>
        <v>127.25109874278135</v>
      </c>
      <c r="BR131" s="118">
        <f t="shared" si="55"/>
        <v>4.2387607289550546</v>
      </c>
      <c r="BS131" s="108">
        <f t="shared" si="56"/>
        <v>0</v>
      </c>
      <c r="BT131" s="118">
        <f t="shared" si="57"/>
        <v>1.1380619635522473</v>
      </c>
      <c r="BU131" s="108">
        <f t="shared" si="58"/>
        <v>0</v>
      </c>
      <c r="BV131" s="6" cm="1">
        <f t="array" ref="BV131">IF(AP131=0,FactorPhi7121(BR131,"a"),noisuy2chieu(BU131,BR131,Data!$A$63:$M$85))</f>
        <v>0.42299549615688942</v>
      </c>
      <c r="BW131" s="111">
        <v>1.26</v>
      </c>
      <c r="BX131" s="111">
        <f t="shared" si="59"/>
        <v>0.87120438634262076</v>
      </c>
      <c r="BY131" s="113">
        <f t="shared" si="60"/>
        <v>8.7522655765763402E-2</v>
      </c>
      <c r="BZ131" s="6" t="str">
        <f t="shared" si="61"/>
        <v>OK</v>
      </c>
      <c r="CA131" s="114">
        <f t="shared" si="62"/>
        <v>127.25109874278135</v>
      </c>
      <c r="CB131" s="115">
        <f t="shared" si="63"/>
        <v>150</v>
      </c>
      <c r="CC131" s="6" t="str">
        <f t="shared" si="64"/>
        <v>OK</v>
      </c>
      <c r="DG131" s="108"/>
      <c r="DH131" s="108"/>
      <c r="DI131" s="16"/>
      <c r="DJ131" s="108"/>
      <c r="DT131" s="6"/>
      <c r="DU131" s="6"/>
      <c r="DV131" s="111"/>
      <c r="DW131" s="111"/>
      <c r="DX131" s="111"/>
      <c r="DY131" s="111"/>
      <c r="DZ131" s="111"/>
      <c r="EA131" s="111"/>
      <c r="EB131" s="111"/>
      <c r="EC131" s="111"/>
      <c r="ED131" s="111"/>
      <c r="EE131" s="111"/>
      <c r="EF131" s="6"/>
      <c r="EG131" s="6"/>
      <c r="EH131" s="6"/>
      <c r="EI131" s="6"/>
      <c r="EJ131" s="6"/>
      <c r="EK131" s="6"/>
      <c r="EL131" s="112"/>
      <c r="EM131" s="112"/>
      <c r="EN131" s="118"/>
      <c r="EO131" s="118"/>
      <c r="EP131" s="112"/>
      <c r="EQ131" s="112"/>
      <c r="ER131" s="112"/>
      <c r="ES131" s="112"/>
      <c r="ET131" s="112"/>
      <c r="EU131" s="112"/>
      <c r="EV131" s="6"/>
      <c r="EW131" s="6"/>
      <c r="EX131" s="118"/>
      <c r="EY131" s="113"/>
      <c r="EZ131" s="6"/>
      <c r="FA131" s="114"/>
      <c r="FB131" s="115"/>
      <c r="FC131" s="6"/>
    </row>
    <row r="132" spans="27:159">
      <c r="AA132" s="79" t="s">
        <v>175</v>
      </c>
      <c r="AB132" s="80" t="s">
        <v>194</v>
      </c>
      <c r="AC132" s="81">
        <v>2.74</v>
      </c>
      <c r="AD132" s="81">
        <v>6</v>
      </c>
      <c r="AE132" s="80">
        <v>273</v>
      </c>
      <c r="AF132" s="80">
        <v>6.35</v>
      </c>
      <c r="AG132" s="108" cm="1">
        <f t="array" ref="AG132">_xll.DCEPropSectPipe(AE132, AF132, "Area")/100</f>
        <v>53.19431074856206</v>
      </c>
      <c r="AH132" s="16" cm="1">
        <f t="array" ref="AH132">_xll.DCEPropSectPipe(AE132, AF132, "Ix")/10000</f>
        <v>4730.4733077169503</v>
      </c>
      <c r="AI132" s="16" cm="1">
        <f t="array" ref="AI132">_xll.DCEPropSectPipe(AE132, AF132, "Wx")/1000</f>
        <v>346.55482107816493</v>
      </c>
      <c r="AJ132" s="108">
        <f t="shared" si="33"/>
        <v>9.4301739777164251</v>
      </c>
      <c r="AK132" s="80" t="s">
        <v>216</v>
      </c>
      <c r="AL132" s="82">
        <v>-85.811370058764481</v>
      </c>
      <c r="AM132" s="82">
        <v>9.7550701642147679</v>
      </c>
      <c r="AN132" s="82">
        <v>2.0063537471743094</v>
      </c>
      <c r="AO132" s="82">
        <v>-5.5014219747519553</v>
      </c>
      <c r="AP132" s="82">
        <v>-26.74840239027689</v>
      </c>
      <c r="AQ132" s="82">
        <v>0.15807978780081752</v>
      </c>
      <c r="AR132" s="72">
        <v>1</v>
      </c>
      <c r="AS132" s="116">
        <f t="shared" si="34"/>
        <v>6</v>
      </c>
      <c r="AT132" s="7">
        <v>2</v>
      </c>
      <c r="AU132" s="6">
        <f t="shared" si="35"/>
        <v>12</v>
      </c>
      <c r="AV132" s="111">
        <f t="shared" si="36"/>
        <v>7.0576108370243917E-2</v>
      </c>
      <c r="AW132" s="117">
        <f t="shared" si="37"/>
        <v>105</v>
      </c>
      <c r="AX132" s="111">
        <f t="shared" si="38"/>
        <v>1</v>
      </c>
      <c r="AY132" s="111">
        <f t="shared" si="39"/>
        <v>1</v>
      </c>
      <c r="AZ132" s="111">
        <f t="shared" si="40"/>
        <v>1</v>
      </c>
      <c r="BA132" s="111">
        <f t="shared" si="41"/>
        <v>7.4290640389730433E-2</v>
      </c>
      <c r="BB132" s="111">
        <f t="shared" si="42"/>
        <v>7.3106747894998422E-2</v>
      </c>
      <c r="BC132" s="111">
        <f t="shared" si="43"/>
        <v>0.35545150310490659</v>
      </c>
      <c r="BD132" s="111">
        <v>0</v>
      </c>
      <c r="BE132" s="111">
        <f t="shared" si="44"/>
        <v>0.5028488913896354</v>
      </c>
      <c r="BF132" s="6" t="str">
        <f t="shared" si="45"/>
        <v>OK</v>
      </c>
      <c r="BG132" s="16">
        <f t="shared" si="46"/>
        <v>63.625549371390676</v>
      </c>
      <c r="BH132" s="118">
        <f t="shared" si="47"/>
        <v>2.1193803644775273</v>
      </c>
      <c r="BI132" s="108">
        <f t="shared" si="48"/>
        <v>0.98406404240801704</v>
      </c>
      <c r="BJ132" s="6">
        <f t="shared" si="49"/>
        <v>1.2156838397444023</v>
      </c>
      <c r="BK132" s="108">
        <f t="shared" si="50"/>
        <v>1.1963107536289765</v>
      </c>
      <c r="BL132" s="118" cm="1">
        <f t="array" ref="BL132">IF(AO132=0,FactorPhi7121(BH132,"a"),noisuy2chieu(BK132,BH132,Data!$A$63:$M$85))</f>
        <v>0</v>
      </c>
      <c r="BM132" s="111">
        <v>1.26</v>
      </c>
      <c r="BN132" s="118">
        <f t="shared" si="51"/>
        <v>0.96829881328496514</v>
      </c>
      <c r="BO132" s="108" t="e">
        <f t="shared" si="52"/>
        <v>#DIV/0!</v>
      </c>
      <c r="BP132" s="6" t="e">
        <f t="shared" si="53"/>
        <v>#DIV/0!</v>
      </c>
      <c r="BQ132" s="16">
        <f t="shared" si="54"/>
        <v>127.25109874278135</v>
      </c>
      <c r="BR132" s="118">
        <f t="shared" si="55"/>
        <v>4.2387607289550546</v>
      </c>
      <c r="BS132" s="108">
        <f t="shared" si="56"/>
        <v>4.7846067989210983</v>
      </c>
      <c r="BT132" s="118">
        <f t="shared" si="57"/>
        <v>1.1016396576337735</v>
      </c>
      <c r="BU132" s="108">
        <f t="shared" si="58"/>
        <v>5.2709125958756635</v>
      </c>
      <c r="BV132" s="6" cm="1">
        <f t="array" ref="BV132">IF(AP132=0,FactorPhi7121(BR132,"a"),noisuy2chieu(BU132,BR132,Data!$A$63:$M$85))</f>
        <v>0</v>
      </c>
      <c r="BW132" s="111">
        <v>1.26</v>
      </c>
      <c r="BX132" s="111">
        <f t="shared" si="59"/>
        <v>0.87319525313986079</v>
      </c>
      <c r="BY132" s="113" t="e">
        <f t="shared" si="60"/>
        <v>#DIV/0!</v>
      </c>
      <c r="BZ132" s="6" t="e">
        <f t="shared" si="61"/>
        <v>#DIV/0!</v>
      </c>
      <c r="CA132" s="114">
        <f t="shared" si="62"/>
        <v>127.25109874278135</v>
      </c>
      <c r="CB132" s="115" t="e">
        <f t="shared" si="63"/>
        <v>#DIV/0!</v>
      </c>
      <c r="CC132" s="6" t="e">
        <f t="shared" si="64"/>
        <v>#DIV/0!</v>
      </c>
      <c r="DG132" s="108"/>
      <c r="DH132" s="108"/>
      <c r="DI132" s="16"/>
      <c r="DJ132" s="108"/>
      <c r="DT132" s="6"/>
      <c r="DU132" s="6"/>
      <c r="DV132" s="111"/>
      <c r="DW132" s="111"/>
      <c r="DX132" s="111"/>
      <c r="DY132" s="111"/>
      <c r="DZ132" s="111"/>
      <c r="EA132" s="111"/>
      <c r="EB132" s="111"/>
      <c r="EC132" s="111"/>
      <c r="ED132" s="111"/>
      <c r="EE132" s="111"/>
      <c r="EF132" s="6"/>
      <c r="EG132" s="6"/>
      <c r="EH132" s="6"/>
      <c r="EI132" s="6"/>
      <c r="EJ132" s="6"/>
      <c r="EK132" s="6"/>
      <c r="EL132" s="112"/>
      <c r="EM132" s="112"/>
      <c r="EN132" s="118"/>
      <c r="EO132" s="118"/>
      <c r="EP132" s="112"/>
      <c r="EQ132" s="112"/>
      <c r="ER132" s="112"/>
      <c r="ES132" s="112"/>
      <c r="ET132" s="112"/>
      <c r="EU132" s="112"/>
      <c r="EV132" s="6"/>
      <c r="EW132" s="6"/>
      <c r="EX132" s="118"/>
      <c r="EY132" s="113"/>
      <c r="EZ132" s="6"/>
      <c r="FA132" s="114"/>
      <c r="FB132" s="115"/>
      <c r="FC132" s="6"/>
    </row>
    <row r="133" spans="27:159">
      <c r="AA133" s="79" t="s">
        <v>175</v>
      </c>
      <c r="AB133" s="80" t="s">
        <v>194</v>
      </c>
      <c r="AC133" s="81">
        <v>5.48</v>
      </c>
      <c r="AD133" s="81">
        <v>6</v>
      </c>
      <c r="AE133" s="80">
        <v>273</v>
      </c>
      <c r="AF133" s="80">
        <v>6.35</v>
      </c>
      <c r="AG133" s="108" cm="1">
        <f t="array" ref="AG133">_xll.DCEPropSectPipe(AE133, AF133, "Area")/100</f>
        <v>53.19431074856206</v>
      </c>
      <c r="AH133" s="16" cm="1">
        <f t="array" ref="AH133">_xll.DCEPropSectPipe(AE133, AF133, "Ix")/10000</f>
        <v>4730.4733077169503</v>
      </c>
      <c r="AI133" s="16" cm="1">
        <f t="array" ref="AI133">_xll.DCEPropSectPipe(AE133, AF133, "Wx")/1000</f>
        <v>346.55482107816493</v>
      </c>
      <c r="AJ133" s="108">
        <f t="shared" si="33"/>
        <v>9.4301739777164251</v>
      </c>
      <c r="AK133" s="80" t="s">
        <v>216</v>
      </c>
      <c r="AL133" s="82">
        <v>-84.464109710032432</v>
      </c>
      <c r="AM133" s="82">
        <v>9.7550701642147679</v>
      </c>
      <c r="AN133" s="82">
        <v>2.0063537471743094</v>
      </c>
      <c r="AO133" s="82">
        <v>-11.002843949503911</v>
      </c>
      <c r="AP133" s="82">
        <v>-53.496804780553781</v>
      </c>
      <c r="AQ133" s="82">
        <v>0.15807978780081752</v>
      </c>
      <c r="AR133" s="72">
        <v>1</v>
      </c>
      <c r="AS133" s="116">
        <f t="shared" si="34"/>
        <v>6</v>
      </c>
      <c r="AT133" s="7">
        <v>2</v>
      </c>
      <c r="AU133" s="6">
        <f t="shared" si="35"/>
        <v>12</v>
      </c>
      <c r="AV133" s="111">
        <f t="shared" si="36"/>
        <v>6.9468045507363019E-2</v>
      </c>
      <c r="AW133" s="117">
        <f t="shared" si="37"/>
        <v>105</v>
      </c>
      <c r="AX133" s="111">
        <f t="shared" si="38"/>
        <v>1</v>
      </c>
      <c r="AY133" s="111">
        <f t="shared" si="39"/>
        <v>1</v>
      </c>
      <c r="AZ133" s="111">
        <f t="shared" si="40"/>
        <v>1</v>
      </c>
      <c r="BA133" s="111">
        <f t="shared" si="41"/>
        <v>7.3124258428803199E-2</v>
      </c>
      <c r="BB133" s="111">
        <f t="shared" si="42"/>
        <v>0.14621349578999684</v>
      </c>
      <c r="BC133" s="111">
        <f t="shared" si="43"/>
        <v>0.71090300620981317</v>
      </c>
      <c r="BD133" s="111">
        <v>0</v>
      </c>
      <c r="BE133" s="111">
        <f t="shared" si="44"/>
        <v>0.93024076042861314</v>
      </c>
      <c r="BF133" s="6" t="str">
        <f t="shared" si="45"/>
        <v>OK</v>
      </c>
      <c r="BG133" s="16">
        <f t="shared" si="46"/>
        <v>63.625549371390676</v>
      </c>
      <c r="BH133" s="118">
        <f t="shared" si="47"/>
        <v>2.1193803644775273</v>
      </c>
      <c r="BI133" s="108">
        <f t="shared" si="48"/>
        <v>1.9995210745604537</v>
      </c>
      <c r="BJ133" s="6">
        <f t="shared" si="49"/>
        <v>1.1864323850859253</v>
      </c>
      <c r="BK133" s="108">
        <f t="shared" si="50"/>
        <v>2.3722965575203312</v>
      </c>
      <c r="BL133" s="118" cm="1">
        <f t="array" ref="BL133">IF(AO133=0,FactorPhi7121(BH133,"a"),noisuy2chieu(BK133,BH133,Data!$A$63:$M$85))</f>
        <v>0</v>
      </c>
      <c r="BM133" s="111">
        <v>1.26</v>
      </c>
      <c r="BN133" s="118">
        <f t="shared" si="51"/>
        <v>0.96879652998427523</v>
      </c>
      <c r="BO133" s="108" t="e">
        <f t="shared" si="52"/>
        <v>#DIV/0!</v>
      </c>
      <c r="BP133" s="6" t="e">
        <f t="shared" si="53"/>
        <v>#DIV/0!</v>
      </c>
      <c r="BQ133" s="16">
        <f t="shared" si="54"/>
        <v>127.25109874278135</v>
      </c>
      <c r="BR133" s="118">
        <f t="shared" si="55"/>
        <v>4.2387607289550546</v>
      </c>
      <c r="BS133" s="108">
        <f t="shared" si="56"/>
        <v>9.7218491029482088</v>
      </c>
      <c r="BT133" s="118">
        <f t="shared" si="57"/>
        <v>1.1000000000000001</v>
      </c>
      <c r="BU133" s="108">
        <f t="shared" si="58"/>
        <v>10.69403401324303</v>
      </c>
      <c r="BV133" s="6" cm="1">
        <f t="array" ref="BV133">IF(AP133=0,FactorPhi7121(BR133,"a"),noisuy2chieu(BU133,BR133,Data!$A$63:$M$85))</f>
        <v>0</v>
      </c>
      <c r="BW133" s="111">
        <v>1.26</v>
      </c>
      <c r="BX133" s="111">
        <f t="shared" si="59"/>
        <v>0.87518611993710071</v>
      </c>
      <c r="BY133" s="113" t="e">
        <f t="shared" si="60"/>
        <v>#DIV/0!</v>
      </c>
      <c r="BZ133" s="6" t="e">
        <f t="shared" si="61"/>
        <v>#DIV/0!</v>
      </c>
      <c r="CA133" s="114">
        <f t="shared" si="62"/>
        <v>127.25109874278135</v>
      </c>
      <c r="CB133" s="115" t="e">
        <f t="shared" si="63"/>
        <v>#DIV/0!</v>
      </c>
      <c r="CC133" s="6" t="e">
        <f t="shared" si="64"/>
        <v>#DIV/0!</v>
      </c>
      <c r="DG133" s="108"/>
      <c r="DH133" s="108"/>
      <c r="DI133" s="16"/>
      <c r="DJ133" s="108"/>
      <c r="DT133" s="6"/>
      <c r="DU133" s="6"/>
      <c r="DV133" s="111"/>
      <c r="DW133" s="111"/>
      <c r="DX133" s="111"/>
      <c r="DY133" s="111"/>
      <c r="DZ133" s="111"/>
      <c r="EA133" s="111"/>
      <c r="EB133" s="111"/>
      <c r="EC133" s="111"/>
      <c r="ED133" s="111"/>
      <c r="EE133" s="111"/>
      <c r="EF133" s="6"/>
      <c r="EG133" s="6"/>
      <c r="EH133" s="6"/>
      <c r="EI133" s="6"/>
      <c r="EJ133" s="6"/>
      <c r="EK133" s="6"/>
      <c r="EL133" s="112"/>
      <c r="EM133" s="112"/>
      <c r="EN133" s="118"/>
      <c r="EO133" s="118"/>
      <c r="EP133" s="112"/>
      <c r="EQ133" s="112"/>
      <c r="ER133" s="112"/>
      <c r="ES133" s="112"/>
      <c r="ET133" s="112"/>
      <c r="EU133" s="112"/>
      <c r="EV133" s="6"/>
      <c r="EW133" s="6"/>
      <c r="EX133" s="118"/>
      <c r="EY133" s="113"/>
      <c r="EZ133" s="6"/>
      <c r="FA133" s="114"/>
      <c r="FB133" s="115"/>
      <c r="FC133" s="6"/>
    </row>
    <row r="134" spans="27:159">
      <c r="AA134" s="79" t="s">
        <v>175</v>
      </c>
      <c r="AB134" s="80" t="s">
        <v>194</v>
      </c>
      <c r="AC134" s="81">
        <v>0</v>
      </c>
      <c r="AD134" s="81">
        <v>6</v>
      </c>
      <c r="AE134" s="80">
        <v>273</v>
      </c>
      <c r="AF134" s="80">
        <v>6.35</v>
      </c>
      <c r="AG134" s="108" cm="1">
        <f t="array" ref="AG134">_xll.DCEPropSectPipe(AE134, AF134, "Area")/100</f>
        <v>53.19431074856206</v>
      </c>
      <c r="AH134" s="16" cm="1">
        <f t="array" ref="AH134">_xll.DCEPropSectPipe(AE134, AF134, "Ix")/10000</f>
        <v>4730.4733077169503</v>
      </c>
      <c r="AI134" s="16" cm="1">
        <f t="array" ref="AI134">_xll.DCEPropSectPipe(AE134, AF134, "Wx")/1000</f>
        <v>346.55482107816493</v>
      </c>
      <c r="AJ134" s="108">
        <f t="shared" si="33"/>
        <v>9.4301739777164251</v>
      </c>
      <c r="AK134" s="80" t="s">
        <v>217</v>
      </c>
      <c r="AL134" s="82">
        <v>-15.321424293495577</v>
      </c>
      <c r="AM134" s="82">
        <v>0.27376141308425661</v>
      </c>
      <c r="AN134" s="82">
        <v>0.11248167056643862</v>
      </c>
      <c r="AO134" s="82">
        <v>0</v>
      </c>
      <c r="AP134" s="82">
        <v>0</v>
      </c>
      <c r="AQ134" s="82">
        <v>4.6812110499563069E-2</v>
      </c>
      <c r="AR134" s="72">
        <v>1</v>
      </c>
      <c r="AS134" s="116">
        <f t="shared" si="34"/>
        <v>6</v>
      </c>
      <c r="AT134" s="7">
        <v>2</v>
      </c>
      <c r="AU134" s="6">
        <f t="shared" si="35"/>
        <v>12</v>
      </c>
      <c r="AV134" s="111">
        <f t="shared" si="36"/>
        <v>1.2601203087466479E-2</v>
      </c>
      <c r="AW134" s="117">
        <f t="shared" si="37"/>
        <v>105</v>
      </c>
      <c r="AX134" s="111">
        <f t="shared" si="38"/>
        <v>1</v>
      </c>
      <c r="AY134" s="111">
        <f t="shared" si="39"/>
        <v>1</v>
      </c>
      <c r="AZ134" s="111">
        <f t="shared" si="40"/>
        <v>1</v>
      </c>
      <c r="BA134" s="111">
        <f t="shared" si="41"/>
        <v>1.3264424302596296E-2</v>
      </c>
      <c r="BB134" s="111">
        <f t="shared" si="42"/>
        <v>0</v>
      </c>
      <c r="BC134" s="111">
        <f t="shared" si="43"/>
        <v>0</v>
      </c>
      <c r="BD134" s="111">
        <v>0</v>
      </c>
      <c r="BE134" s="111">
        <f t="shared" si="44"/>
        <v>1.3264424302596296E-2</v>
      </c>
      <c r="BF134" s="6" t="str">
        <f t="shared" si="45"/>
        <v>OK</v>
      </c>
      <c r="BG134" s="16">
        <f t="shared" si="46"/>
        <v>63.625549371390676</v>
      </c>
      <c r="BH134" s="118">
        <f t="shared" si="47"/>
        <v>2.1193803644775273</v>
      </c>
      <c r="BI134" s="108">
        <f t="shared" si="48"/>
        <v>0</v>
      </c>
      <c r="BJ134" s="6">
        <f t="shared" si="49"/>
        <v>1.2440309817761237</v>
      </c>
      <c r="BK134" s="108">
        <f t="shared" si="50"/>
        <v>0</v>
      </c>
      <c r="BL134" s="118" cm="1">
        <f t="array" ref="BL134">IF(AO134=0,FactorPhi7121(BH134,"a"),noisuy2chieu(BK134,BH134,Data!$A$63:$M$85))</f>
        <v>0.86214274110469236</v>
      </c>
      <c r="BM134" s="111">
        <v>1.26</v>
      </c>
      <c r="BN134" s="118">
        <f t="shared" si="51"/>
        <v>0.99433982545744515</v>
      </c>
      <c r="BO134" s="108">
        <f t="shared" si="52"/>
        <v>3.1358310958650271E-2</v>
      </c>
      <c r="BP134" s="6" t="str">
        <f t="shared" si="53"/>
        <v>OK</v>
      </c>
      <c r="BQ134" s="16">
        <f t="shared" si="54"/>
        <v>127.25109874278135</v>
      </c>
      <c r="BR134" s="118">
        <f t="shared" si="55"/>
        <v>4.2387607289550546</v>
      </c>
      <c r="BS134" s="108">
        <f t="shared" si="56"/>
        <v>0</v>
      </c>
      <c r="BT134" s="118">
        <f t="shared" si="57"/>
        <v>1.1380619635522473</v>
      </c>
      <c r="BU134" s="108">
        <f t="shared" si="58"/>
        <v>0</v>
      </c>
      <c r="BV134" s="6" cm="1">
        <f t="array" ref="BV134">IF(AP134=0,FactorPhi7121(BR134,"a"),noisuy2chieu(BU134,BR134,Data!$A$63:$M$85))</f>
        <v>0.42299549615688942</v>
      </c>
      <c r="BW134" s="111">
        <v>1.26</v>
      </c>
      <c r="BX134" s="111">
        <f t="shared" si="59"/>
        <v>0.97735930182978048</v>
      </c>
      <c r="BY134" s="113">
        <f t="shared" si="60"/>
        <v>1.5385415512053309E-2</v>
      </c>
      <c r="BZ134" s="6" t="str">
        <f t="shared" si="61"/>
        <v>OK</v>
      </c>
      <c r="CA134" s="114">
        <f t="shared" si="62"/>
        <v>127.25109874278135</v>
      </c>
      <c r="CB134" s="115">
        <f t="shared" si="63"/>
        <v>150</v>
      </c>
      <c r="CC134" s="6" t="str">
        <f t="shared" si="64"/>
        <v>OK</v>
      </c>
      <c r="DG134" s="108"/>
      <c r="DH134" s="108"/>
      <c r="DI134" s="16"/>
      <c r="DJ134" s="108"/>
      <c r="DT134" s="6"/>
      <c r="DU134" s="6"/>
      <c r="DV134" s="111"/>
      <c r="DW134" s="111"/>
      <c r="DX134" s="111"/>
      <c r="DY134" s="111"/>
      <c r="DZ134" s="111"/>
      <c r="EA134" s="111"/>
      <c r="EB134" s="111"/>
      <c r="EC134" s="111"/>
      <c r="ED134" s="111"/>
      <c r="EE134" s="111"/>
      <c r="EF134" s="6"/>
      <c r="EG134" s="6"/>
      <c r="EH134" s="6"/>
      <c r="EI134" s="6"/>
      <c r="EJ134" s="6"/>
      <c r="EK134" s="6"/>
      <c r="EL134" s="112"/>
      <c r="EM134" s="112"/>
      <c r="EN134" s="118"/>
      <c r="EO134" s="118"/>
      <c r="EP134" s="112"/>
      <c r="EQ134" s="112"/>
      <c r="ER134" s="112"/>
      <c r="ES134" s="112"/>
      <c r="ET134" s="112"/>
      <c r="EU134" s="112"/>
      <c r="EV134" s="6"/>
      <c r="EW134" s="6"/>
      <c r="EX134" s="118"/>
      <c r="EY134" s="113"/>
      <c r="EZ134" s="6"/>
      <c r="FA134" s="114"/>
      <c r="FB134" s="115"/>
      <c r="FC134" s="6"/>
    </row>
    <row r="135" spans="27:159">
      <c r="AA135" s="79" t="s">
        <v>175</v>
      </c>
      <c r="AB135" s="80" t="s">
        <v>194</v>
      </c>
      <c r="AC135" s="81">
        <v>2.74</v>
      </c>
      <c r="AD135" s="81">
        <v>6</v>
      </c>
      <c r="AE135" s="80">
        <v>273</v>
      </c>
      <c r="AF135" s="80">
        <v>6.35</v>
      </c>
      <c r="AG135" s="108" cm="1">
        <f t="array" ref="AG135">_xll.DCEPropSectPipe(AE135, AF135, "Area")/100</f>
        <v>53.19431074856206</v>
      </c>
      <c r="AH135" s="16" cm="1">
        <f t="array" ref="AH135">_xll.DCEPropSectPipe(AE135, AF135, "Ix")/10000</f>
        <v>4730.4733077169503</v>
      </c>
      <c r="AI135" s="16" cm="1">
        <f t="array" ref="AI135">_xll.DCEPropSectPipe(AE135, AF135, "Wx")/1000</f>
        <v>346.55482107816493</v>
      </c>
      <c r="AJ135" s="108">
        <f t="shared" si="33"/>
        <v>9.4301739777164251</v>
      </c>
      <c r="AK135" s="80" t="s">
        <v>217</v>
      </c>
      <c r="AL135" s="82">
        <v>-13.974163944763546</v>
      </c>
      <c r="AM135" s="82">
        <v>0.27376141308425661</v>
      </c>
      <c r="AN135" s="82">
        <v>0.11248167056643862</v>
      </c>
      <c r="AO135" s="82">
        <v>-0.30842474069317422</v>
      </c>
      <c r="AP135" s="82">
        <v>-0.75065379467703197</v>
      </c>
      <c r="AQ135" s="82">
        <v>4.6812110499563069E-2</v>
      </c>
      <c r="AR135" s="72">
        <v>1</v>
      </c>
      <c r="AS135" s="116">
        <f t="shared" si="34"/>
        <v>6</v>
      </c>
      <c r="AT135" s="7">
        <v>2</v>
      </c>
      <c r="AU135" s="6">
        <f t="shared" si="35"/>
        <v>12</v>
      </c>
      <c r="AV135" s="111">
        <f t="shared" si="36"/>
        <v>1.1493140224585609E-2</v>
      </c>
      <c r="AW135" s="117">
        <f t="shared" si="37"/>
        <v>105</v>
      </c>
      <c r="AX135" s="111">
        <f t="shared" si="38"/>
        <v>1</v>
      </c>
      <c r="AY135" s="111">
        <f t="shared" si="39"/>
        <v>1</v>
      </c>
      <c r="AZ135" s="111">
        <f t="shared" si="40"/>
        <v>1</v>
      </c>
      <c r="BA135" s="111">
        <f t="shared" si="41"/>
        <v>1.2098042341669063E-2</v>
      </c>
      <c r="BB135" s="111">
        <f t="shared" si="42"/>
        <v>4.09856394690625E-3</v>
      </c>
      <c r="BC135" s="111">
        <f t="shared" si="43"/>
        <v>9.9752133131638197E-3</v>
      </c>
      <c r="BD135" s="111">
        <v>0</v>
      </c>
      <c r="BE135" s="111">
        <f t="shared" si="44"/>
        <v>2.617181960173913E-2</v>
      </c>
      <c r="BF135" s="6" t="str">
        <f t="shared" si="45"/>
        <v>OK</v>
      </c>
      <c r="BG135" s="16">
        <f t="shared" si="46"/>
        <v>63.625549371390676</v>
      </c>
      <c r="BH135" s="118">
        <f t="shared" si="47"/>
        <v>2.1193803644775273</v>
      </c>
      <c r="BI135" s="108">
        <f t="shared" si="48"/>
        <v>0.33877910418528151</v>
      </c>
      <c r="BJ135" s="6">
        <f t="shared" si="49"/>
        <v>1.2342720443799153</v>
      </c>
      <c r="BK135" s="108">
        <f t="shared" si="50"/>
        <v>0.41814557751596376</v>
      </c>
      <c r="BL135" s="118" cm="1">
        <f t="array" ref="BL135">IF(AO135=0,FactorPhi7121(BH135,"a"),noisuy2chieu(BK135,BH135,Data!$A$63:$M$85))</f>
        <v>0</v>
      </c>
      <c r="BM135" s="111">
        <v>1.26</v>
      </c>
      <c r="BN135" s="118">
        <f t="shared" si="51"/>
        <v>0.99483754215675513</v>
      </c>
      <c r="BO135" s="108" t="e">
        <f t="shared" si="52"/>
        <v>#DIV/0!</v>
      </c>
      <c r="BP135" s="6" t="e">
        <f t="shared" si="53"/>
        <v>#DIV/0!</v>
      </c>
      <c r="BQ135" s="16">
        <f t="shared" si="54"/>
        <v>127.25109874278135</v>
      </c>
      <c r="BR135" s="118">
        <f t="shared" si="55"/>
        <v>4.2387607289550546</v>
      </c>
      <c r="BS135" s="108">
        <f t="shared" si="56"/>
        <v>0.82453119533284969</v>
      </c>
      <c r="BT135" s="118">
        <f t="shared" si="57"/>
        <v>1.1317853082913574</v>
      </c>
      <c r="BU135" s="108">
        <f t="shared" si="58"/>
        <v>0.93319229310563068</v>
      </c>
      <c r="BV135" s="6" cm="1">
        <f t="array" ref="BV135">IF(AP135=0,FactorPhi7121(BR135,"a"),noisuy2chieu(BU135,BR135,Data!$A$63:$M$85))</f>
        <v>0</v>
      </c>
      <c r="BW135" s="111">
        <v>1.26</v>
      </c>
      <c r="BX135" s="111">
        <f t="shared" si="59"/>
        <v>0.97935016862702051</v>
      </c>
      <c r="BY135" s="113" t="e">
        <f t="shared" si="60"/>
        <v>#DIV/0!</v>
      </c>
      <c r="BZ135" s="6" t="e">
        <f t="shared" si="61"/>
        <v>#DIV/0!</v>
      </c>
      <c r="CA135" s="114">
        <f t="shared" si="62"/>
        <v>127.25109874278135</v>
      </c>
      <c r="CB135" s="115" t="e">
        <f t="shared" si="63"/>
        <v>#DIV/0!</v>
      </c>
      <c r="CC135" s="6" t="e">
        <f t="shared" si="64"/>
        <v>#DIV/0!</v>
      </c>
      <c r="DG135" s="108"/>
      <c r="DH135" s="108"/>
      <c r="DI135" s="16"/>
      <c r="DJ135" s="108"/>
      <c r="DT135" s="6"/>
      <c r="DU135" s="6"/>
      <c r="DV135" s="111"/>
      <c r="DW135" s="111"/>
      <c r="DX135" s="111"/>
      <c r="DY135" s="111"/>
      <c r="DZ135" s="111"/>
      <c r="EA135" s="111"/>
      <c r="EB135" s="111"/>
      <c r="EC135" s="111"/>
      <c r="ED135" s="111"/>
      <c r="EE135" s="111"/>
      <c r="EF135" s="6"/>
      <c r="EG135" s="6"/>
      <c r="EH135" s="6"/>
      <c r="EI135" s="6"/>
      <c r="EJ135" s="6"/>
      <c r="EK135" s="6"/>
      <c r="EL135" s="112"/>
      <c r="EM135" s="112"/>
      <c r="EN135" s="118"/>
      <c r="EO135" s="118"/>
      <c r="EP135" s="112"/>
      <c r="EQ135" s="112"/>
      <c r="ER135" s="112"/>
      <c r="ES135" s="112"/>
      <c r="ET135" s="112"/>
      <c r="EU135" s="112"/>
      <c r="EV135" s="6"/>
      <c r="EW135" s="6"/>
      <c r="EX135" s="118"/>
      <c r="EY135" s="113"/>
      <c r="EZ135" s="6"/>
      <c r="FA135" s="114"/>
      <c r="FB135" s="115"/>
      <c r="FC135" s="6"/>
    </row>
    <row r="136" spans="27:159">
      <c r="AA136" s="79" t="s">
        <v>175</v>
      </c>
      <c r="AB136" s="80" t="s">
        <v>194</v>
      </c>
      <c r="AC136" s="81">
        <v>5.48</v>
      </c>
      <c r="AD136" s="81">
        <v>6</v>
      </c>
      <c r="AE136" s="80">
        <v>273</v>
      </c>
      <c r="AF136" s="80">
        <v>6.35</v>
      </c>
      <c r="AG136" s="108" cm="1">
        <f t="array" ref="AG136">_xll.DCEPropSectPipe(AE136, AF136, "Area")/100</f>
        <v>53.19431074856206</v>
      </c>
      <c r="AH136" s="16" cm="1">
        <f t="array" ref="AH136">_xll.DCEPropSectPipe(AE136, AF136, "Ix")/10000</f>
        <v>4730.4733077169503</v>
      </c>
      <c r="AI136" s="16" cm="1">
        <f t="array" ref="AI136">_xll.DCEPropSectPipe(AE136, AF136, "Wx")/1000</f>
        <v>346.55482107816493</v>
      </c>
      <c r="AJ136" s="108">
        <f t="shared" si="33"/>
        <v>9.4301739777164251</v>
      </c>
      <c r="AK136" s="80" t="s">
        <v>217</v>
      </c>
      <c r="AL136" s="82">
        <v>-12.626903596031509</v>
      </c>
      <c r="AM136" s="82">
        <v>0.27376141308425661</v>
      </c>
      <c r="AN136" s="82">
        <v>0.11248167056643862</v>
      </c>
      <c r="AO136" s="82">
        <v>-0.61684948138634843</v>
      </c>
      <c r="AP136" s="82">
        <v>-1.5013075893540639</v>
      </c>
      <c r="AQ136" s="82">
        <v>4.6812110499563069E-2</v>
      </c>
      <c r="AR136" s="72">
        <v>1</v>
      </c>
      <c r="AS136" s="116">
        <f t="shared" si="34"/>
        <v>6</v>
      </c>
      <c r="AT136" s="7">
        <v>2</v>
      </c>
      <c r="AU136" s="6">
        <f t="shared" si="35"/>
        <v>12</v>
      </c>
      <c r="AV136" s="111">
        <f t="shared" si="36"/>
        <v>1.0385077361704732E-2</v>
      </c>
      <c r="AW136" s="117">
        <f t="shared" si="37"/>
        <v>105</v>
      </c>
      <c r="AX136" s="111">
        <f t="shared" si="38"/>
        <v>1</v>
      </c>
      <c r="AY136" s="111">
        <f t="shared" si="39"/>
        <v>1</v>
      </c>
      <c r="AZ136" s="111">
        <f t="shared" si="40"/>
        <v>1</v>
      </c>
      <c r="BA136" s="111">
        <f t="shared" si="41"/>
        <v>1.0931660380741825E-2</v>
      </c>
      <c r="BB136" s="111">
        <f t="shared" si="42"/>
        <v>8.1971278938124999E-3</v>
      </c>
      <c r="BC136" s="111">
        <f t="shared" si="43"/>
        <v>1.9950426626327639E-2</v>
      </c>
      <c r="BD136" s="111">
        <v>0</v>
      </c>
      <c r="BE136" s="111">
        <f t="shared" si="44"/>
        <v>3.9079214900881967E-2</v>
      </c>
      <c r="BF136" s="6" t="str">
        <f t="shared" si="45"/>
        <v>OK</v>
      </c>
      <c r="BG136" s="16">
        <f t="shared" si="46"/>
        <v>63.625549371390676</v>
      </c>
      <c r="BH136" s="118">
        <f t="shared" si="47"/>
        <v>2.1193803644775273</v>
      </c>
      <c r="BI136" s="108">
        <f t="shared" si="48"/>
        <v>0.74985204518915383</v>
      </c>
      <c r="BJ136" s="6">
        <f t="shared" si="49"/>
        <v>1.2224305965250382</v>
      </c>
      <c r="BK136" s="108">
        <f t="shared" si="50"/>
        <v>0.91664208290609717</v>
      </c>
      <c r="BL136" s="118" cm="1">
        <f t="array" ref="BL136">IF(AO136=0,FactorPhi7121(BH136,"a"),noisuy2chieu(BK136,BH136,Data!$A$63:$M$85))</f>
        <v>0</v>
      </c>
      <c r="BM136" s="111">
        <v>1.26</v>
      </c>
      <c r="BN136" s="118">
        <f t="shared" si="51"/>
        <v>0.99533525885606511</v>
      </c>
      <c r="BO136" s="108" t="e">
        <f t="shared" si="52"/>
        <v>#DIV/0!</v>
      </c>
      <c r="BP136" s="6" t="e">
        <f t="shared" si="53"/>
        <v>#DIV/0!</v>
      </c>
      <c r="BQ136" s="16">
        <f t="shared" si="54"/>
        <v>127.25109874278135</v>
      </c>
      <c r="BR136" s="118">
        <f t="shared" si="55"/>
        <v>4.2387607289550546</v>
      </c>
      <c r="BS136" s="108">
        <f t="shared" si="56"/>
        <v>1.8250133951722529</v>
      </c>
      <c r="BT136" s="118">
        <f t="shared" si="57"/>
        <v>1.1241692448863656</v>
      </c>
      <c r="BU136" s="108">
        <f t="shared" si="58"/>
        <v>2.0516239303582937</v>
      </c>
      <c r="BV136" s="6" cm="1">
        <f t="array" ref="BV136">IF(AP136=0,FactorPhi7121(BR136,"a"),noisuy2chieu(BU136,BR136,Data!$A$63:$M$85))</f>
        <v>0</v>
      </c>
      <c r="BW136" s="111">
        <v>1.26</v>
      </c>
      <c r="BX136" s="111">
        <f t="shared" si="59"/>
        <v>0.98134103542426054</v>
      </c>
      <c r="BY136" s="113" t="e">
        <f t="shared" si="60"/>
        <v>#DIV/0!</v>
      </c>
      <c r="BZ136" s="6" t="e">
        <f t="shared" si="61"/>
        <v>#DIV/0!</v>
      </c>
      <c r="CA136" s="114">
        <f t="shared" si="62"/>
        <v>127.25109874278135</v>
      </c>
      <c r="CB136" s="115" t="e">
        <f t="shared" si="63"/>
        <v>#DIV/0!</v>
      </c>
      <c r="CC136" s="6" t="e">
        <f t="shared" si="64"/>
        <v>#DIV/0!</v>
      </c>
      <c r="DG136" s="108"/>
      <c r="DH136" s="108"/>
      <c r="DI136" s="16"/>
      <c r="DJ136" s="108"/>
      <c r="DT136" s="6"/>
      <c r="DU136" s="6"/>
      <c r="DV136" s="111"/>
      <c r="DW136" s="111"/>
      <c r="DX136" s="111"/>
      <c r="DY136" s="111"/>
      <c r="DZ136" s="111"/>
      <c r="EA136" s="111"/>
      <c r="EB136" s="111"/>
      <c r="EC136" s="111"/>
      <c r="ED136" s="111"/>
      <c r="EE136" s="111"/>
      <c r="EF136" s="6"/>
      <c r="EG136" s="6"/>
      <c r="EH136" s="6"/>
      <c r="EI136" s="6"/>
      <c r="EJ136" s="6"/>
      <c r="EK136" s="6"/>
      <c r="EL136" s="112"/>
      <c r="EM136" s="112"/>
      <c r="EN136" s="118"/>
      <c r="EO136" s="118"/>
      <c r="EP136" s="112"/>
      <c r="EQ136" s="112"/>
      <c r="ER136" s="112"/>
      <c r="ES136" s="112"/>
      <c r="ET136" s="112"/>
      <c r="EU136" s="112"/>
      <c r="EV136" s="6"/>
      <c r="EW136" s="6"/>
      <c r="EX136" s="118"/>
      <c r="EY136" s="113"/>
      <c r="EZ136" s="6"/>
      <c r="FA136" s="114"/>
      <c r="FB136" s="115"/>
      <c r="FC136" s="6"/>
    </row>
    <row r="137" spans="27:159">
      <c r="AA137" s="79" t="s">
        <v>175</v>
      </c>
      <c r="AB137" s="80" t="s">
        <v>194</v>
      </c>
      <c r="AC137" s="81">
        <v>0</v>
      </c>
      <c r="AD137" s="81">
        <v>6</v>
      </c>
      <c r="AE137" s="80">
        <v>273</v>
      </c>
      <c r="AF137" s="80">
        <v>6.35</v>
      </c>
      <c r="AG137" s="108" cm="1">
        <f t="array" ref="AG137">_xll.DCEPropSectPipe(AE137, AF137, "Area")/100</f>
        <v>53.19431074856206</v>
      </c>
      <c r="AH137" s="16" cm="1">
        <f t="array" ref="AH137">_xll.DCEPropSectPipe(AE137, AF137, "Ix")/10000</f>
        <v>4730.4733077169503</v>
      </c>
      <c r="AI137" s="16" cm="1">
        <f t="array" ref="AI137">_xll.DCEPropSectPipe(AE137, AF137, "Wx")/1000</f>
        <v>346.55482107816493</v>
      </c>
      <c r="AJ137" s="108">
        <f t="shared" si="33"/>
        <v>9.4301739777164251</v>
      </c>
      <c r="AK137" s="80" t="s">
        <v>218</v>
      </c>
      <c r="AL137" s="82">
        <v>0.48754025172939136</v>
      </c>
      <c r="AM137" s="82">
        <v>0.21001464015602955</v>
      </c>
      <c r="AN137" s="82">
        <v>-1.2927622673203585E-2</v>
      </c>
      <c r="AO137" s="82">
        <v>0</v>
      </c>
      <c r="AP137" s="82">
        <v>0</v>
      </c>
      <c r="AQ137" s="82">
        <v>-4.344332959126767E-2</v>
      </c>
      <c r="AR137" s="72">
        <v>1</v>
      </c>
      <c r="AS137" s="116">
        <f t="shared" si="34"/>
        <v>6</v>
      </c>
      <c r="AT137" s="7">
        <v>2</v>
      </c>
      <c r="AU137" s="6">
        <f t="shared" si="35"/>
        <v>12</v>
      </c>
      <c r="AV137" s="111">
        <f t="shared" si="36"/>
        <v>4.0098058820580654E-4</v>
      </c>
      <c r="AW137" s="117">
        <f t="shared" si="37"/>
        <v>105</v>
      </c>
      <c r="AX137" s="111">
        <f t="shared" si="38"/>
        <v>1</v>
      </c>
      <c r="AY137" s="111">
        <f t="shared" si="39"/>
        <v>1</v>
      </c>
      <c r="AZ137" s="111">
        <f t="shared" si="40"/>
        <v>1</v>
      </c>
      <c r="BA137" s="111">
        <f t="shared" si="41"/>
        <v>4.2208482969032272E-4</v>
      </c>
      <c r="BB137" s="111">
        <f t="shared" si="42"/>
        <v>0</v>
      </c>
      <c r="BC137" s="111">
        <f t="shared" si="43"/>
        <v>0</v>
      </c>
      <c r="BD137" s="111">
        <v>0</v>
      </c>
      <c r="BE137" s="111">
        <f t="shared" si="44"/>
        <v>4.2208482969032272E-4</v>
      </c>
      <c r="BF137" s="6" t="str">
        <f t="shared" si="45"/>
        <v>OK</v>
      </c>
      <c r="BG137" s="16">
        <f t="shared" si="46"/>
        <v>63.625549371390676</v>
      </c>
      <c r="BH137" s="118">
        <f t="shared" si="47"/>
        <v>2.1193803644775273</v>
      </c>
      <c r="BI137" s="108">
        <f t="shared" si="48"/>
        <v>0</v>
      </c>
      <c r="BJ137" s="6">
        <f t="shared" si="49"/>
        <v>1.2440309817761237</v>
      </c>
      <c r="BK137" s="108">
        <f t="shared" si="50"/>
        <v>0</v>
      </c>
      <c r="BL137" s="118" cm="1">
        <f t="array" ref="BL137">IF(AO137=0,FactorPhi7121(BH137,"a"),noisuy2chieu(BK137,BH137,Data!$A$63:$M$85))</f>
        <v>0.86214274110469236</v>
      </c>
      <c r="BM137" s="111">
        <v>1.26</v>
      </c>
      <c r="BN137" s="118">
        <f t="shared" si="51"/>
        <v>0.99981988861685134</v>
      </c>
      <c r="BO137" s="108">
        <f t="shared" si="52"/>
        <v>9.9784710126977583E-4</v>
      </c>
      <c r="BP137" s="6" t="str">
        <f t="shared" si="53"/>
        <v>OK</v>
      </c>
      <c r="BQ137" s="16">
        <f t="shared" si="54"/>
        <v>127.25109874278135</v>
      </c>
      <c r="BR137" s="118">
        <f t="shared" si="55"/>
        <v>4.2387607289550546</v>
      </c>
      <c r="BS137" s="108">
        <f t="shared" si="56"/>
        <v>0</v>
      </c>
      <c r="BT137" s="118">
        <f t="shared" si="57"/>
        <v>1.1380619635522473</v>
      </c>
      <c r="BU137" s="108">
        <f t="shared" si="58"/>
        <v>0</v>
      </c>
      <c r="BV137" s="6" cm="1">
        <f t="array" ref="BV137">IF(AP137=0,FactorPhi7121(BR137,"a"),noisuy2chieu(BU137,BR137,Data!$A$63:$M$85))</f>
        <v>0.42299549615688942</v>
      </c>
      <c r="BW137" s="111">
        <v>1.26</v>
      </c>
      <c r="BX137" s="111">
        <f t="shared" si="59"/>
        <v>0.99927955446740524</v>
      </c>
      <c r="BY137" s="113">
        <f t="shared" si="60"/>
        <v>4.8957650463946534E-4</v>
      </c>
      <c r="BZ137" s="6" t="str">
        <f t="shared" si="61"/>
        <v>OK</v>
      </c>
      <c r="CA137" s="114">
        <f t="shared" si="62"/>
        <v>127.25109874278135</v>
      </c>
      <c r="CB137" s="115">
        <f t="shared" si="63"/>
        <v>150</v>
      </c>
      <c r="CC137" s="6" t="str">
        <f t="shared" si="64"/>
        <v>OK</v>
      </c>
      <c r="DG137" s="108"/>
      <c r="DH137" s="108"/>
      <c r="DI137" s="16"/>
      <c r="DJ137" s="108"/>
      <c r="DT137" s="6"/>
      <c r="DU137" s="6"/>
      <c r="DV137" s="111"/>
      <c r="DW137" s="111"/>
      <c r="DX137" s="111"/>
      <c r="DY137" s="111"/>
      <c r="DZ137" s="111"/>
      <c r="EA137" s="111"/>
      <c r="EB137" s="111"/>
      <c r="EC137" s="111"/>
      <c r="ED137" s="111"/>
      <c r="EE137" s="111"/>
      <c r="EF137" s="6"/>
      <c r="EG137" s="6"/>
      <c r="EH137" s="6"/>
      <c r="EI137" s="6"/>
      <c r="EJ137" s="6"/>
      <c r="EK137" s="6"/>
      <c r="EL137" s="112"/>
      <c r="EM137" s="112"/>
      <c r="EN137" s="118"/>
      <c r="EO137" s="118"/>
      <c r="EP137" s="112"/>
      <c r="EQ137" s="112"/>
      <c r="ER137" s="112"/>
      <c r="ES137" s="112"/>
      <c r="ET137" s="112"/>
      <c r="EU137" s="112"/>
      <c r="EV137" s="6"/>
      <c r="EW137" s="6"/>
      <c r="EX137" s="118"/>
      <c r="EY137" s="113"/>
      <c r="EZ137" s="6"/>
      <c r="FA137" s="114"/>
      <c r="FB137" s="115"/>
      <c r="FC137" s="6"/>
    </row>
    <row r="138" spans="27:159">
      <c r="AA138" s="79" t="s">
        <v>175</v>
      </c>
      <c r="AB138" s="80" t="s">
        <v>194</v>
      </c>
      <c r="AC138" s="81">
        <v>2.74</v>
      </c>
      <c r="AD138" s="81">
        <v>6</v>
      </c>
      <c r="AE138" s="80">
        <v>273</v>
      </c>
      <c r="AF138" s="80">
        <v>6.35</v>
      </c>
      <c r="AG138" s="108" cm="1">
        <f t="array" ref="AG138">_xll.DCEPropSectPipe(AE138, AF138, "Area")/100</f>
        <v>53.19431074856206</v>
      </c>
      <c r="AH138" s="16" cm="1">
        <f t="array" ref="AH138">_xll.DCEPropSectPipe(AE138, AF138, "Ix")/10000</f>
        <v>4730.4733077169503</v>
      </c>
      <c r="AI138" s="16" cm="1">
        <f t="array" ref="AI138">_xll.DCEPropSectPipe(AE138, AF138, "Wx")/1000</f>
        <v>346.55482107816493</v>
      </c>
      <c r="AJ138" s="108">
        <f t="shared" si="33"/>
        <v>9.4301739777164251</v>
      </c>
      <c r="AK138" s="80" t="s">
        <v>218</v>
      </c>
      <c r="AL138" s="82">
        <v>1.8348006004614215</v>
      </c>
      <c r="AM138" s="82">
        <v>0.21001464015602955</v>
      </c>
      <c r="AN138" s="82">
        <v>-1.2927622673203585E-2</v>
      </c>
      <c r="AO138" s="82">
        <v>3.5447541369924312E-2</v>
      </c>
      <c r="AP138" s="82">
        <v>-0.57586014330783097</v>
      </c>
      <c r="AQ138" s="82">
        <v>-4.344332959126767E-2</v>
      </c>
      <c r="AR138" s="72">
        <v>1</v>
      </c>
      <c r="AS138" s="116">
        <f t="shared" si="34"/>
        <v>6</v>
      </c>
      <c r="AT138" s="7">
        <v>2</v>
      </c>
      <c r="AU138" s="6">
        <f t="shared" si="35"/>
        <v>12</v>
      </c>
      <c r="AV138" s="111">
        <f t="shared" si="36"/>
        <v>1.5090434510866768E-3</v>
      </c>
      <c r="AW138" s="117">
        <f t="shared" si="37"/>
        <v>105</v>
      </c>
      <c r="AX138" s="111">
        <f t="shared" si="38"/>
        <v>1</v>
      </c>
      <c r="AY138" s="111">
        <f t="shared" si="39"/>
        <v>1</v>
      </c>
      <c r="AZ138" s="111">
        <f t="shared" si="40"/>
        <v>1</v>
      </c>
      <c r="BA138" s="111">
        <f t="shared" si="41"/>
        <v>1.5884667906175547E-3</v>
      </c>
      <c r="BB138" s="111">
        <f t="shared" si="42"/>
        <v>4.7105175395047313E-4</v>
      </c>
      <c r="BC138" s="111">
        <f t="shared" si="43"/>
        <v>7.6524328642289634E-3</v>
      </c>
      <c r="BD138" s="111">
        <v>0</v>
      </c>
      <c r="BE138" s="111">
        <f t="shared" si="44"/>
        <v>9.711951408796991E-3</v>
      </c>
      <c r="BF138" s="6" t="str">
        <f t="shared" si="45"/>
        <v>OK</v>
      </c>
      <c r="BG138" s="16">
        <f t="shared" si="46"/>
        <v>63.625549371390676</v>
      </c>
      <c r="BH138" s="118">
        <f t="shared" si="47"/>
        <v>2.1193803644775273</v>
      </c>
      <c r="BI138" s="108">
        <f t="shared" si="48"/>
        <v>0.29654491786217352</v>
      </c>
      <c r="BJ138" s="6">
        <f t="shared" si="49"/>
        <v>1.2354886506440419</v>
      </c>
      <c r="BK138" s="108">
        <f t="shared" si="50"/>
        <v>0.36637788042488501</v>
      </c>
      <c r="BL138" s="118" cm="1">
        <f t="array" ref="BL138">IF(AO138=0,FactorPhi7121(BH138,"a"),noisuy2chieu(BK138,BH138,Data!$A$63:$M$85))</f>
        <v>0</v>
      </c>
      <c r="BM138" s="111">
        <v>1.26</v>
      </c>
      <c r="BN138" s="118">
        <f t="shared" si="51"/>
        <v>0.99932217191754136</v>
      </c>
      <c r="BO138" s="108" t="e">
        <f t="shared" si="52"/>
        <v>#DIV/0!</v>
      </c>
      <c r="BP138" s="6" t="e">
        <f t="shared" si="53"/>
        <v>#DIV/0!</v>
      </c>
      <c r="BQ138" s="16">
        <f t="shared" si="54"/>
        <v>127.25109874278135</v>
      </c>
      <c r="BR138" s="118">
        <f t="shared" si="55"/>
        <v>4.2387607289550546</v>
      </c>
      <c r="BS138" s="108">
        <f t="shared" si="56"/>
        <v>4.8174962859965715</v>
      </c>
      <c r="BT138" s="118">
        <f t="shared" si="57"/>
        <v>1.1013892899421096</v>
      </c>
      <c r="BU138" s="108">
        <f t="shared" si="58"/>
        <v>5.3059388137325145</v>
      </c>
      <c r="BV138" s="6" cm="1">
        <f t="array" ref="BV138">IF(AP138=0,FactorPhi7121(BR138,"a"),noisuy2chieu(BU138,BR138,Data!$A$63:$M$85))</f>
        <v>0</v>
      </c>
      <c r="BW138" s="111">
        <v>1.26</v>
      </c>
      <c r="BX138" s="111">
        <f t="shared" si="59"/>
        <v>0.99728868767016521</v>
      </c>
      <c r="BY138" s="113" t="e">
        <f t="shared" si="60"/>
        <v>#DIV/0!</v>
      </c>
      <c r="BZ138" s="6" t="e">
        <f t="shared" si="61"/>
        <v>#DIV/0!</v>
      </c>
      <c r="CA138" s="114">
        <f t="shared" si="62"/>
        <v>127.25109874278135</v>
      </c>
      <c r="CB138" s="115" t="e">
        <f t="shared" si="63"/>
        <v>#DIV/0!</v>
      </c>
      <c r="CC138" s="6" t="e">
        <f t="shared" si="64"/>
        <v>#DIV/0!</v>
      </c>
      <c r="DG138" s="108"/>
      <c r="DH138" s="108"/>
      <c r="DI138" s="16"/>
      <c r="DJ138" s="108"/>
      <c r="DT138" s="6"/>
      <c r="DU138" s="6"/>
      <c r="DV138" s="111"/>
      <c r="DW138" s="111"/>
      <c r="DX138" s="111"/>
      <c r="DY138" s="111"/>
      <c r="DZ138" s="111"/>
      <c r="EA138" s="111"/>
      <c r="EB138" s="111"/>
      <c r="EC138" s="111"/>
      <c r="ED138" s="111"/>
      <c r="EE138" s="111"/>
      <c r="EF138" s="6"/>
      <c r="EG138" s="6"/>
      <c r="EH138" s="6"/>
      <c r="EI138" s="6"/>
      <c r="EJ138" s="6"/>
      <c r="EK138" s="6"/>
      <c r="EL138" s="112"/>
      <c r="EM138" s="112"/>
      <c r="EN138" s="118"/>
      <c r="EO138" s="118"/>
      <c r="EP138" s="112"/>
      <c r="EQ138" s="112"/>
      <c r="ER138" s="112"/>
      <c r="ES138" s="112"/>
      <c r="ET138" s="112"/>
      <c r="EU138" s="112"/>
      <c r="EV138" s="6"/>
      <c r="EW138" s="6"/>
      <c r="EX138" s="118"/>
      <c r="EY138" s="113"/>
      <c r="EZ138" s="6"/>
      <c r="FA138" s="114"/>
      <c r="FB138" s="115"/>
      <c r="FC138" s="6"/>
    </row>
    <row r="139" spans="27:159">
      <c r="AA139" s="79" t="s">
        <v>175</v>
      </c>
      <c r="AB139" s="80" t="s">
        <v>194</v>
      </c>
      <c r="AC139" s="81">
        <v>5.48</v>
      </c>
      <c r="AD139" s="81">
        <v>6</v>
      </c>
      <c r="AE139" s="80">
        <v>273</v>
      </c>
      <c r="AF139" s="80">
        <v>6.35</v>
      </c>
      <c r="AG139" s="108" cm="1">
        <f t="array" ref="AG139">_xll.DCEPropSectPipe(AE139, AF139, "Area")/100</f>
        <v>53.19431074856206</v>
      </c>
      <c r="AH139" s="16" cm="1">
        <f t="array" ref="AH139">_xll.DCEPropSectPipe(AE139, AF139, "Ix")/10000</f>
        <v>4730.4733077169503</v>
      </c>
      <c r="AI139" s="16" cm="1">
        <f t="array" ref="AI139">_xll.DCEPropSectPipe(AE139, AF139, "Wx")/1000</f>
        <v>346.55482107816493</v>
      </c>
      <c r="AJ139" s="108">
        <f t="shared" si="33"/>
        <v>9.4301739777164251</v>
      </c>
      <c r="AK139" s="80" t="s">
        <v>218</v>
      </c>
      <c r="AL139" s="82">
        <v>3.1820609491934588</v>
      </c>
      <c r="AM139" s="82">
        <v>0.21001464015602955</v>
      </c>
      <c r="AN139" s="82">
        <v>-1.2927622673203585E-2</v>
      </c>
      <c r="AO139" s="82">
        <v>7.0895082739848625E-2</v>
      </c>
      <c r="AP139" s="82">
        <v>-1.1517202866156619</v>
      </c>
      <c r="AQ139" s="82">
        <v>-4.344332959126767E-2</v>
      </c>
      <c r="AR139" s="72">
        <v>1</v>
      </c>
      <c r="AS139" s="116">
        <f t="shared" si="34"/>
        <v>6</v>
      </c>
      <c r="AT139" s="7">
        <v>2</v>
      </c>
      <c r="AU139" s="6">
        <f t="shared" si="35"/>
        <v>12</v>
      </c>
      <c r="AV139" s="111">
        <f t="shared" si="36"/>
        <v>2.617106313967553E-3</v>
      </c>
      <c r="AW139" s="117">
        <f t="shared" si="37"/>
        <v>105</v>
      </c>
      <c r="AX139" s="111">
        <f t="shared" si="38"/>
        <v>1</v>
      </c>
      <c r="AY139" s="111">
        <f t="shared" si="39"/>
        <v>1</v>
      </c>
      <c r="AZ139" s="111">
        <f t="shared" si="40"/>
        <v>1</v>
      </c>
      <c r="BA139" s="111">
        <f t="shared" si="41"/>
        <v>2.7548487515447924E-3</v>
      </c>
      <c r="BB139" s="111">
        <f t="shared" si="42"/>
        <v>9.4210350790094625E-4</v>
      </c>
      <c r="BC139" s="111">
        <f t="shared" si="43"/>
        <v>1.5304865728457927E-2</v>
      </c>
      <c r="BD139" s="111">
        <v>0</v>
      </c>
      <c r="BE139" s="111">
        <f t="shared" si="44"/>
        <v>1.9001817987903666E-2</v>
      </c>
      <c r="BF139" s="6" t="str">
        <f t="shared" si="45"/>
        <v>OK</v>
      </c>
      <c r="BG139" s="16">
        <f t="shared" si="46"/>
        <v>63.625549371390676</v>
      </c>
      <c r="BH139" s="118">
        <f t="shared" si="47"/>
        <v>2.1193803644775273</v>
      </c>
      <c r="BI139" s="108">
        <f t="shared" si="48"/>
        <v>0.34198012045948362</v>
      </c>
      <c r="BJ139" s="6">
        <f t="shared" si="49"/>
        <v>1.2341798352765845</v>
      </c>
      <c r="BK139" s="108">
        <f t="shared" si="50"/>
        <v>0.42206496873655203</v>
      </c>
      <c r="BL139" s="118" cm="1">
        <f t="array" ref="BL139">IF(AO139=0,FactorPhi7121(BH139,"a"),noisuy2chieu(BK139,BH139,Data!$A$63:$M$85))</f>
        <v>0</v>
      </c>
      <c r="BM139" s="111">
        <v>1.26</v>
      </c>
      <c r="BN139" s="118">
        <f t="shared" si="51"/>
        <v>0.99882445521823127</v>
      </c>
      <c r="BO139" s="108" t="e">
        <f t="shared" si="52"/>
        <v>#DIV/0!</v>
      </c>
      <c r="BP139" s="6" t="e">
        <f t="shared" si="53"/>
        <v>#DIV/0!</v>
      </c>
      <c r="BQ139" s="16">
        <f t="shared" si="54"/>
        <v>127.25109874278135</v>
      </c>
      <c r="BR139" s="118">
        <f t="shared" si="55"/>
        <v>4.2387607289550546</v>
      </c>
      <c r="BS139" s="108">
        <f t="shared" si="56"/>
        <v>5.5556101654857315</v>
      </c>
      <c r="BT139" s="118">
        <f t="shared" si="57"/>
        <v>1.1000000000000001</v>
      </c>
      <c r="BU139" s="108">
        <f t="shared" si="58"/>
        <v>6.1111711820343055</v>
      </c>
      <c r="BV139" s="6" cm="1">
        <f t="array" ref="BV139">IF(AP139=0,FactorPhi7121(BR139,"a"),noisuy2chieu(BU139,BR139,Data!$A$63:$M$85))</f>
        <v>0</v>
      </c>
      <c r="BW139" s="111">
        <v>1.26</v>
      </c>
      <c r="BX139" s="111">
        <f t="shared" si="59"/>
        <v>0.99529782087292529</v>
      </c>
      <c r="BY139" s="113" t="e">
        <f t="shared" si="60"/>
        <v>#DIV/0!</v>
      </c>
      <c r="BZ139" s="6" t="e">
        <f t="shared" si="61"/>
        <v>#DIV/0!</v>
      </c>
      <c r="CA139" s="114">
        <f t="shared" si="62"/>
        <v>127.25109874278135</v>
      </c>
      <c r="CB139" s="115" t="e">
        <f t="shared" si="63"/>
        <v>#DIV/0!</v>
      </c>
      <c r="CC139" s="6" t="e">
        <f t="shared" si="64"/>
        <v>#DIV/0!</v>
      </c>
      <c r="DG139" s="108"/>
      <c r="DH139" s="108"/>
      <c r="DI139" s="16"/>
      <c r="DJ139" s="108"/>
      <c r="DT139" s="6"/>
      <c r="DU139" s="6"/>
      <c r="DV139" s="111"/>
      <c r="DW139" s="111"/>
      <c r="DX139" s="111"/>
      <c r="DY139" s="111"/>
      <c r="DZ139" s="111"/>
      <c r="EA139" s="111"/>
      <c r="EB139" s="111"/>
      <c r="EC139" s="111"/>
      <c r="ED139" s="111"/>
      <c r="EE139" s="111"/>
      <c r="EF139" s="6"/>
      <c r="EG139" s="6"/>
      <c r="EH139" s="6"/>
      <c r="EI139" s="6"/>
      <c r="EJ139" s="6"/>
      <c r="EK139" s="6"/>
      <c r="EL139" s="112"/>
      <c r="EM139" s="112"/>
      <c r="EN139" s="118"/>
      <c r="EO139" s="118"/>
      <c r="EP139" s="112"/>
      <c r="EQ139" s="112"/>
      <c r="ER139" s="112"/>
      <c r="ES139" s="112"/>
      <c r="ET139" s="112"/>
      <c r="EU139" s="112"/>
      <c r="EV139" s="6"/>
      <c r="EW139" s="6"/>
      <c r="EX139" s="118"/>
      <c r="EY139" s="113"/>
      <c r="EZ139" s="6"/>
      <c r="FA139" s="114"/>
      <c r="FB139" s="115"/>
      <c r="FC139" s="6"/>
    </row>
    <row r="140" spans="27:159">
      <c r="AA140" s="79" t="s">
        <v>175</v>
      </c>
      <c r="AB140" s="80" t="s">
        <v>195</v>
      </c>
      <c r="AC140" s="81">
        <v>0</v>
      </c>
      <c r="AD140" s="81">
        <v>6</v>
      </c>
      <c r="AE140" s="80">
        <v>273</v>
      </c>
      <c r="AF140" s="80">
        <v>6.35</v>
      </c>
      <c r="AG140" s="108" cm="1">
        <f t="array" ref="AG140">_xll.DCEPropSectPipe(AE140, AF140, "Area")/100</f>
        <v>53.19431074856206</v>
      </c>
      <c r="AH140" s="16" cm="1">
        <f t="array" ref="AH140">_xll.DCEPropSectPipe(AE140, AF140, "Ix")/10000</f>
        <v>4730.4733077169503</v>
      </c>
      <c r="AI140" s="16" cm="1">
        <f t="array" ref="AI140">_xll.DCEPropSectPipe(AE140, AF140, "Wx")/1000</f>
        <v>346.55482107816493</v>
      </c>
      <c r="AJ140" s="108">
        <f t="shared" si="33"/>
        <v>9.4301739777164251</v>
      </c>
      <c r="AK140" s="80" t="s">
        <v>206</v>
      </c>
      <c r="AL140" s="82">
        <v>-40.541617952938751</v>
      </c>
      <c r="AM140" s="82">
        <v>4.716969650622798</v>
      </c>
      <c r="AN140" s="82">
        <v>5.7958221634846407E-3</v>
      </c>
      <c r="AO140" s="82">
        <v>0</v>
      </c>
      <c r="AP140" s="82">
        <v>0</v>
      </c>
      <c r="AQ140" s="82">
        <v>3.9449854909653025E-4</v>
      </c>
      <c r="AR140" s="72">
        <v>1</v>
      </c>
      <c r="AS140" s="116">
        <f t="shared" si="34"/>
        <v>6</v>
      </c>
      <c r="AT140" s="7">
        <v>2</v>
      </c>
      <c r="AU140" s="6">
        <f t="shared" si="35"/>
        <v>12</v>
      </c>
      <c r="AV140" s="111">
        <f t="shared" si="36"/>
        <v>3.3343712146679465E-2</v>
      </c>
      <c r="AW140" s="117">
        <f t="shared" si="37"/>
        <v>105</v>
      </c>
      <c r="AX140" s="111">
        <f t="shared" si="38"/>
        <v>1</v>
      </c>
      <c r="AY140" s="111">
        <f t="shared" si="39"/>
        <v>1</v>
      </c>
      <c r="AZ140" s="111">
        <f t="shared" si="40"/>
        <v>1</v>
      </c>
      <c r="BA140" s="111">
        <f t="shared" si="41"/>
        <v>3.5098644364925748E-2</v>
      </c>
      <c r="BB140" s="111">
        <f t="shared" si="42"/>
        <v>0</v>
      </c>
      <c r="BC140" s="111">
        <f t="shared" si="43"/>
        <v>0</v>
      </c>
      <c r="BD140" s="111">
        <v>0</v>
      </c>
      <c r="BE140" s="111">
        <f t="shared" si="44"/>
        <v>3.5098644364925748E-2</v>
      </c>
      <c r="BF140" s="6" t="str">
        <f t="shared" si="45"/>
        <v>OK</v>
      </c>
      <c r="BG140" s="16">
        <f t="shared" si="46"/>
        <v>63.625549371390676</v>
      </c>
      <c r="BH140" s="118">
        <f t="shared" si="47"/>
        <v>2.1193803644775273</v>
      </c>
      <c r="BI140" s="108">
        <f t="shared" si="48"/>
        <v>0</v>
      </c>
      <c r="BJ140" s="6">
        <f t="shared" si="49"/>
        <v>1.2440309817761237</v>
      </c>
      <c r="BK140" s="108">
        <f t="shared" si="50"/>
        <v>0</v>
      </c>
      <c r="BL140" s="118" cm="1">
        <f t="array" ref="BL140">IF(AO140=0,FactorPhi7121(BH140,"a"),noisuy2chieu(BK140,BH140,Data!$A$63:$M$85))</f>
        <v>0.86214274110469236</v>
      </c>
      <c r="BM140" s="111">
        <v>1.26</v>
      </c>
      <c r="BN140" s="118">
        <f t="shared" si="51"/>
        <v>0.9850227609747334</v>
      </c>
      <c r="BO140" s="108">
        <f t="shared" si="52"/>
        <v>8.2976402074757843E-2</v>
      </c>
      <c r="BP140" s="6" t="str">
        <f t="shared" si="53"/>
        <v>OK</v>
      </c>
      <c r="BQ140" s="16">
        <f t="shared" si="54"/>
        <v>127.25109874278135</v>
      </c>
      <c r="BR140" s="118">
        <f t="shared" si="55"/>
        <v>4.2387607289550546</v>
      </c>
      <c r="BS140" s="108">
        <f t="shared" si="56"/>
        <v>0</v>
      </c>
      <c r="BT140" s="118">
        <f t="shared" si="57"/>
        <v>1.1380619635522473</v>
      </c>
      <c r="BU140" s="108">
        <f t="shared" si="58"/>
        <v>0</v>
      </c>
      <c r="BV140" s="6" cm="1">
        <f t="array" ref="BV140">IF(AP140=0,FactorPhi7121(BR140,"a"),noisuy2chieu(BU140,BR140,Data!$A$63:$M$85))</f>
        <v>0.42299549615688942</v>
      </c>
      <c r="BW140" s="111">
        <v>1.26</v>
      </c>
      <c r="BX140" s="111">
        <f t="shared" si="59"/>
        <v>0.94009104389893372</v>
      </c>
      <c r="BY140" s="113">
        <f t="shared" si="60"/>
        <v>4.0710943433743554E-2</v>
      </c>
      <c r="BZ140" s="6" t="str">
        <f t="shared" si="61"/>
        <v>OK</v>
      </c>
      <c r="CA140" s="114">
        <f t="shared" si="62"/>
        <v>127.25109874278135</v>
      </c>
      <c r="CB140" s="115">
        <f t="shared" si="63"/>
        <v>150</v>
      </c>
      <c r="CC140" s="6" t="str">
        <f t="shared" si="64"/>
        <v>OK</v>
      </c>
      <c r="DG140" s="108"/>
      <c r="DH140" s="108"/>
      <c r="DI140" s="16"/>
      <c r="DJ140" s="108"/>
      <c r="DT140" s="6"/>
      <c r="DU140" s="6"/>
      <c r="DV140" s="111"/>
      <c r="DW140" s="111"/>
      <c r="DX140" s="111"/>
      <c r="DY140" s="111"/>
      <c r="DZ140" s="111"/>
      <c r="EA140" s="111"/>
      <c r="EB140" s="111"/>
      <c r="EC140" s="111"/>
      <c r="ED140" s="111"/>
      <c r="EE140" s="111"/>
      <c r="EF140" s="6"/>
      <c r="EG140" s="6"/>
      <c r="EH140" s="6"/>
      <c r="EI140" s="6"/>
      <c r="EJ140" s="6"/>
      <c r="EK140" s="6"/>
      <c r="EL140" s="112"/>
      <c r="EM140" s="112"/>
      <c r="EN140" s="118"/>
      <c r="EO140" s="118"/>
      <c r="EP140" s="112"/>
      <c r="EQ140" s="112"/>
      <c r="ER140" s="112"/>
      <c r="ES140" s="112"/>
      <c r="ET140" s="112"/>
      <c r="EU140" s="112"/>
      <c r="EV140" s="6"/>
      <c r="EW140" s="6"/>
      <c r="EX140" s="118"/>
      <c r="EY140" s="113"/>
      <c r="EZ140" s="6"/>
      <c r="FA140" s="114"/>
      <c r="FB140" s="115"/>
      <c r="FC140" s="6"/>
    </row>
    <row r="141" spans="27:159">
      <c r="AA141" s="79" t="s">
        <v>175</v>
      </c>
      <c r="AB141" s="80" t="s">
        <v>195</v>
      </c>
      <c r="AC141" s="81">
        <v>2.74</v>
      </c>
      <c r="AD141" s="81">
        <v>6</v>
      </c>
      <c r="AE141" s="80">
        <v>273</v>
      </c>
      <c r="AF141" s="80">
        <v>6.35</v>
      </c>
      <c r="AG141" s="108" cm="1">
        <f t="array" ref="AG141">_xll.DCEPropSectPipe(AE141, AF141, "Area")/100</f>
        <v>53.19431074856206</v>
      </c>
      <c r="AH141" s="16" cm="1">
        <f t="array" ref="AH141">_xll.DCEPropSectPipe(AE141, AF141, "Ix")/10000</f>
        <v>4730.4733077169503</v>
      </c>
      <c r="AI141" s="16" cm="1">
        <f t="array" ref="AI141">_xll.DCEPropSectPipe(AE141, AF141, "Wx")/1000</f>
        <v>346.55482107816493</v>
      </c>
      <c r="AJ141" s="108">
        <f t="shared" si="33"/>
        <v>9.4301739777164251</v>
      </c>
      <c r="AK141" s="80" t="s">
        <v>206</v>
      </c>
      <c r="AL141" s="82">
        <v>-39.194357604206715</v>
      </c>
      <c r="AM141" s="82">
        <v>4.716969650622798</v>
      </c>
      <c r="AN141" s="82">
        <v>5.7958221634846407E-3</v>
      </c>
      <c r="AO141" s="82">
        <v>-1.5892144372274885E-2</v>
      </c>
      <c r="AP141" s="82">
        <v>-12.933930782007714</v>
      </c>
      <c r="AQ141" s="82">
        <v>3.9449854909653025E-4</v>
      </c>
      <c r="AR141" s="72">
        <v>1</v>
      </c>
      <c r="AS141" s="116">
        <f t="shared" si="34"/>
        <v>6</v>
      </c>
      <c r="AT141" s="7">
        <v>2</v>
      </c>
      <c r="AU141" s="6">
        <f t="shared" si="35"/>
        <v>12</v>
      </c>
      <c r="AV141" s="111">
        <f t="shared" si="36"/>
        <v>3.2235649283798587E-2</v>
      </c>
      <c r="AW141" s="117">
        <f t="shared" si="37"/>
        <v>105</v>
      </c>
      <c r="AX141" s="111">
        <f t="shared" si="38"/>
        <v>1</v>
      </c>
      <c r="AY141" s="111">
        <f t="shared" si="39"/>
        <v>1</v>
      </c>
      <c r="AZ141" s="111">
        <f t="shared" si="40"/>
        <v>1</v>
      </c>
      <c r="BA141" s="111">
        <f t="shared" si="41"/>
        <v>3.3932262403998513E-2</v>
      </c>
      <c r="BB141" s="111">
        <f t="shared" si="42"/>
        <v>2.1118594382813212E-4</v>
      </c>
      <c r="BC141" s="111">
        <f t="shared" si="43"/>
        <v>0.17187512997750562</v>
      </c>
      <c r="BD141" s="111">
        <v>0</v>
      </c>
      <c r="BE141" s="111">
        <f t="shared" si="44"/>
        <v>0.20601857832533227</v>
      </c>
      <c r="BF141" s="6" t="str">
        <f t="shared" si="45"/>
        <v>OK</v>
      </c>
      <c r="BG141" s="16">
        <f t="shared" si="46"/>
        <v>63.625549371390676</v>
      </c>
      <c r="BH141" s="118">
        <f t="shared" si="47"/>
        <v>2.1193803644775273</v>
      </c>
      <c r="BI141" s="108">
        <f t="shared" si="48"/>
        <v>6.2237507571333162E-3</v>
      </c>
      <c r="BJ141" s="6">
        <f t="shared" si="49"/>
        <v>1.2438516991897477</v>
      </c>
      <c r="BK141" s="108">
        <f t="shared" si="50"/>
        <v>7.7414229545937543E-3</v>
      </c>
      <c r="BL141" s="118" cm="1">
        <f t="array" ref="BL141">IF(AO141=0,FactorPhi7121(BH141,"a"),noisuy2chieu(BK141,BH141,Data!$A$63:$M$85))</f>
        <v>0</v>
      </c>
      <c r="BM141" s="111">
        <v>1.26</v>
      </c>
      <c r="BN141" s="118">
        <f t="shared" si="51"/>
        <v>0.98552047767404338</v>
      </c>
      <c r="BO141" s="108" t="e">
        <f t="shared" si="52"/>
        <v>#DIV/0!</v>
      </c>
      <c r="BP141" s="6" t="e">
        <f t="shared" si="53"/>
        <v>#DIV/0!</v>
      </c>
      <c r="BQ141" s="16">
        <f t="shared" si="54"/>
        <v>127.25109874278135</v>
      </c>
      <c r="BR141" s="118">
        <f t="shared" si="55"/>
        <v>4.2387607289550546</v>
      </c>
      <c r="BS141" s="108">
        <f t="shared" si="56"/>
        <v>5.0652422738912977</v>
      </c>
      <c r="BT141" s="118">
        <f t="shared" si="57"/>
        <v>1.1000000000000001</v>
      </c>
      <c r="BU141" s="108">
        <f t="shared" si="58"/>
        <v>5.5717665012804281</v>
      </c>
      <c r="BV141" s="6" cm="1">
        <f t="array" ref="BV141">IF(AP141=0,FactorPhi7121(BR141,"a"),noisuy2chieu(BU141,BR141,Data!$A$63:$M$85))</f>
        <v>0</v>
      </c>
      <c r="BW141" s="111">
        <v>1.26</v>
      </c>
      <c r="BX141" s="111">
        <f t="shared" si="59"/>
        <v>0.94208191069617375</v>
      </c>
      <c r="BY141" s="113" t="e">
        <f t="shared" si="60"/>
        <v>#DIV/0!</v>
      </c>
      <c r="BZ141" s="6" t="e">
        <f t="shared" si="61"/>
        <v>#DIV/0!</v>
      </c>
      <c r="CA141" s="114">
        <f t="shared" si="62"/>
        <v>127.25109874278135</v>
      </c>
      <c r="CB141" s="115" t="e">
        <f t="shared" si="63"/>
        <v>#DIV/0!</v>
      </c>
      <c r="CC141" s="6" t="e">
        <f t="shared" si="64"/>
        <v>#DIV/0!</v>
      </c>
      <c r="DG141" s="108"/>
      <c r="DH141" s="108"/>
      <c r="DI141" s="16"/>
      <c r="DJ141" s="108"/>
      <c r="DT141" s="6"/>
      <c r="DU141" s="6"/>
      <c r="DV141" s="111"/>
      <c r="DW141" s="111"/>
      <c r="DX141" s="111"/>
      <c r="DY141" s="111"/>
      <c r="DZ141" s="111"/>
      <c r="EA141" s="111"/>
      <c r="EB141" s="111"/>
      <c r="EC141" s="111"/>
      <c r="ED141" s="111"/>
      <c r="EE141" s="111"/>
      <c r="EF141" s="6"/>
      <c r="EG141" s="6"/>
      <c r="EH141" s="6"/>
      <c r="EI141" s="6"/>
      <c r="EJ141" s="6"/>
      <c r="EK141" s="6"/>
      <c r="EL141" s="112"/>
      <c r="EM141" s="112"/>
      <c r="EN141" s="118"/>
      <c r="EO141" s="118"/>
      <c r="EP141" s="112"/>
      <c r="EQ141" s="112"/>
      <c r="ER141" s="112"/>
      <c r="ES141" s="112"/>
      <c r="ET141" s="112"/>
      <c r="EU141" s="112"/>
      <c r="EV141" s="6"/>
      <c r="EW141" s="6"/>
      <c r="EX141" s="118"/>
      <c r="EY141" s="113"/>
      <c r="EZ141" s="6"/>
      <c r="FA141" s="114"/>
      <c r="FB141" s="115"/>
      <c r="FC141" s="6"/>
    </row>
    <row r="142" spans="27:159">
      <c r="AA142" s="79" t="s">
        <v>175</v>
      </c>
      <c r="AB142" s="80" t="s">
        <v>195</v>
      </c>
      <c r="AC142" s="81">
        <v>5.48</v>
      </c>
      <c r="AD142" s="81">
        <v>6</v>
      </c>
      <c r="AE142" s="80">
        <v>273</v>
      </c>
      <c r="AF142" s="80">
        <v>6.35</v>
      </c>
      <c r="AG142" s="108" cm="1">
        <f t="array" ref="AG142">_xll.DCEPropSectPipe(AE142, AF142, "Area")/100</f>
        <v>53.19431074856206</v>
      </c>
      <c r="AH142" s="16" cm="1">
        <f t="array" ref="AH142">_xll.DCEPropSectPipe(AE142, AF142, "Ix")/10000</f>
        <v>4730.4733077169503</v>
      </c>
      <c r="AI142" s="16" cm="1">
        <f t="array" ref="AI142">_xll.DCEPropSectPipe(AE142, AF142, "Wx")/1000</f>
        <v>346.55482107816493</v>
      </c>
      <c r="AJ142" s="108">
        <f t="shared" si="33"/>
        <v>9.4301739777164251</v>
      </c>
      <c r="AK142" s="80" t="s">
        <v>206</v>
      </c>
      <c r="AL142" s="82">
        <v>-37.847097255474687</v>
      </c>
      <c r="AM142" s="82">
        <v>4.716969650622798</v>
      </c>
      <c r="AN142" s="82">
        <v>5.7958221634846407E-3</v>
      </c>
      <c r="AO142" s="82">
        <v>-3.178428874454977E-2</v>
      </c>
      <c r="AP142" s="82">
        <v>-25.867861564015428</v>
      </c>
      <c r="AQ142" s="82">
        <v>3.9449854909653025E-4</v>
      </c>
      <c r="AR142" s="72">
        <v>1</v>
      </c>
      <c r="AS142" s="116">
        <f t="shared" si="34"/>
        <v>6</v>
      </c>
      <c r="AT142" s="7">
        <v>2</v>
      </c>
      <c r="AU142" s="6">
        <f t="shared" si="35"/>
        <v>12</v>
      </c>
      <c r="AV142" s="111">
        <f t="shared" si="36"/>
        <v>3.1127586420917716E-2</v>
      </c>
      <c r="AW142" s="117">
        <f t="shared" si="37"/>
        <v>105</v>
      </c>
      <c r="AX142" s="111">
        <f t="shared" si="38"/>
        <v>1</v>
      </c>
      <c r="AY142" s="111">
        <f t="shared" si="39"/>
        <v>1</v>
      </c>
      <c r="AZ142" s="111">
        <f t="shared" si="40"/>
        <v>1</v>
      </c>
      <c r="BA142" s="111">
        <f t="shared" si="41"/>
        <v>3.2765880443071285E-2</v>
      </c>
      <c r="BB142" s="111">
        <f t="shared" si="42"/>
        <v>4.2237188765626425E-4</v>
      </c>
      <c r="BC142" s="111">
        <f t="shared" si="43"/>
        <v>0.34375025995501124</v>
      </c>
      <c r="BD142" s="111">
        <v>0</v>
      </c>
      <c r="BE142" s="111">
        <f t="shared" si="44"/>
        <v>0.37693851228573877</v>
      </c>
      <c r="BF142" s="6" t="str">
        <f t="shared" si="45"/>
        <v>OK</v>
      </c>
      <c r="BG142" s="16">
        <f t="shared" si="46"/>
        <v>63.625549371390676</v>
      </c>
      <c r="BH142" s="118">
        <f t="shared" si="47"/>
        <v>2.1193803644775273</v>
      </c>
      <c r="BI142" s="108">
        <f t="shared" si="48"/>
        <v>1.2890600891683946E-2</v>
      </c>
      <c r="BJ142" s="6">
        <f t="shared" si="49"/>
        <v>1.2436596525957011</v>
      </c>
      <c r="BK142" s="108">
        <f t="shared" si="50"/>
        <v>1.6031520226701491E-2</v>
      </c>
      <c r="BL142" s="118" cm="1">
        <f t="array" ref="BL142">IF(AO142=0,FactorPhi7121(BH142,"a"),noisuy2chieu(BK142,BH142,Data!$A$63:$M$85))</f>
        <v>0</v>
      </c>
      <c r="BM142" s="111">
        <v>1.26</v>
      </c>
      <c r="BN142" s="118">
        <f t="shared" si="51"/>
        <v>0.98601819437335347</v>
      </c>
      <c r="BO142" s="108" t="e">
        <f t="shared" si="52"/>
        <v>#DIV/0!</v>
      </c>
      <c r="BP142" s="6" t="e">
        <f t="shared" si="53"/>
        <v>#DIV/0!</v>
      </c>
      <c r="BQ142" s="16">
        <f t="shared" si="54"/>
        <v>127.25109874278135</v>
      </c>
      <c r="BR142" s="118">
        <f t="shared" si="55"/>
        <v>4.2387607289550546</v>
      </c>
      <c r="BS142" s="108">
        <f t="shared" si="56"/>
        <v>10.491104017554369</v>
      </c>
      <c r="BT142" s="118">
        <f t="shared" si="57"/>
        <v>1.1000000000000001</v>
      </c>
      <c r="BU142" s="108">
        <f t="shared" si="58"/>
        <v>11.540214419309807</v>
      </c>
      <c r="BV142" s="6" cm="1">
        <f t="array" ref="BV142">IF(AP142=0,FactorPhi7121(BR142,"a"),noisuy2chieu(BU142,BR142,Data!$A$63:$M$85))</f>
        <v>0</v>
      </c>
      <c r="BW142" s="111">
        <v>1.26</v>
      </c>
      <c r="BX142" s="111">
        <f t="shared" si="59"/>
        <v>0.94407277749341367</v>
      </c>
      <c r="BY142" s="113" t="e">
        <f t="shared" si="60"/>
        <v>#DIV/0!</v>
      </c>
      <c r="BZ142" s="6" t="e">
        <f t="shared" si="61"/>
        <v>#DIV/0!</v>
      </c>
      <c r="CA142" s="114">
        <f t="shared" si="62"/>
        <v>127.25109874278135</v>
      </c>
      <c r="CB142" s="115" t="e">
        <f t="shared" si="63"/>
        <v>#DIV/0!</v>
      </c>
      <c r="CC142" s="6" t="e">
        <f t="shared" si="64"/>
        <v>#DIV/0!</v>
      </c>
      <c r="DG142" s="108"/>
      <c r="DH142" s="108"/>
      <c r="DI142" s="16"/>
      <c r="DJ142" s="108"/>
      <c r="DT142" s="6"/>
      <c r="DU142" s="6"/>
      <c r="DV142" s="111"/>
      <c r="DW142" s="111"/>
      <c r="DX142" s="111"/>
      <c r="DY142" s="111"/>
      <c r="DZ142" s="111"/>
      <c r="EA142" s="111"/>
      <c r="EB142" s="111"/>
      <c r="EC142" s="111"/>
      <c r="ED142" s="111"/>
      <c r="EE142" s="111"/>
      <c r="EF142" s="6"/>
      <c r="EG142" s="6"/>
      <c r="EH142" s="6"/>
      <c r="EI142" s="6"/>
      <c r="EJ142" s="6"/>
      <c r="EK142" s="6"/>
      <c r="EL142" s="112"/>
      <c r="EM142" s="112"/>
      <c r="EN142" s="118"/>
      <c r="EO142" s="118"/>
      <c r="EP142" s="112"/>
      <c r="EQ142" s="112"/>
      <c r="ER142" s="112"/>
      <c r="ES142" s="112"/>
      <c r="ET142" s="112"/>
      <c r="EU142" s="112"/>
      <c r="EV142" s="6"/>
      <c r="EW142" s="6"/>
      <c r="EX142" s="118"/>
      <c r="EY142" s="113"/>
      <c r="EZ142" s="6"/>
      <c r="FA142" s="114"/>
      <c r="FB142" s="115"/>
      <c r="FC142" s="6"/>
    </row>
    <row r="143" spans="27:159">
      <c r="AA143" s="79" t="s">
        <v>175</v>
      </c>
      <c r="AB143" s="80" t="s">
        <v>195</v>
      </c>
      <c r="AC143" s="81">
        <v>0</v>
      </c>
      <c r="AD143" s="81">
        <v>6</v>
      </c>
      <c r="AE143" s="80">
        <v>273</v>
      </c>
      <c r="AF143" s="80">
        <v>6.35</v>
      </c>
      <c r="AG143" s="108" cm="1">
        <f t="array" ref="AG143">_xll.DCEPropSectPipe(AE143, AF143, "Area")/100</f>
        <v>53.19431074856206</v>
      </c>
      <c r="AH143" s="16" cm="1">
        <f t="array" ref="AH143">_xll.DCEPropSectPipe(AE143, AF143, "Ix")/10000</f>
        <v>4730.4733077169503</v>
      </c>
      <c r="AI143" s="16" cm="1">
        <f t="array" ref="AI143">_xll.DCEPropSectPipe(AE143, AF143, "Wx")/1000</f>
        <v>346.55482107816493</v>
      </c>
      <c r="AJ143" s="108">
        <f t="shared" si="33"/>
        <v>9.4301739777164251</v>
      </c>
      <c r="AK143" s="80" t="s">
        <v>207</v>
      </c>
      <c r="AL143" s="82">
        <v>-52.915839869976892</v>
      </c>
      <c r="AM143" s="82">
        <v>7.2784296463030556</v>
      </c>
      <c r="AN143" s="82">
        <v>8.6205390161325675E-3</v>
      </c>
      <c r="AO143" s="82">
        <v>0</v>
      </c>
      <c r="AP143" s="82">
        <v>0</v>
      </c>
      <c r="AQ143" s="82">
        <v>3.0747758717979503E-4</v>
      </c>
      <c r="AR143" s="72">
        <v>1</v>
      </c>
      <c r="AS143" s="116">
        <f t="shared" si="34"/>
        <v>6</v>
      </c>
      <c r="AT143" s="7">
        <v>2</v>
      </c>
      <c r="AU143" s="6">
        <f t="shared" si="35"/>
        <v>12</v>
      </c>
      <c r="AV143" s="111">
        <f t="shared" si="36"/>
        <v>4.3520969850597599E-2</v>
      </c>
      <c r="AW143" s="117">
        <f t="shared" si="37"/>
        <v>105</v>
      </c>
      <c r="AX143" s="111">
        <f t="shared" si="38"/>
        <v>1</v>
      </c>
      <c r="AY143" s="111">
        <f t="shared" si="39"/>
        <v>1</v>
      </c>
      <c r="AZ143" s="111">
        <f t="shared" si="40"/>
        <v>1</v>
      </c>
      <c r="BA143" s="111">
        <f t="shared" si="41"/>
        <v>4.5811547211155379E-2</v>
      </c>
      <c r="BB143" s="111">
        <f t="shared" si="42"/>
        <v>0</v>
      </c>
      <c r="BC143" s="111">
        <f t="shared" si="43"/>
        <v>0</v>
      </c>
      <c r="BD143" s="111">
        <v>0</v>
      </c>
      <c r="BE143" s="111">
        <f t="shared" si="44"/>
        <v>4.5811547211155379E-2</v>
      </c>
      <c r="BF143" s="6" t="str">
        <f t="shared" si="45"/>
        <v>OK</v>
      </c>
      <c r="BG143" s="16">
        <f t="shared" si="46"/>
        <v>63.625549371390676</v>
      </c>
      <c r="BH143" s="118">
        <f t="shared" si="47"/>
        <v>2.1193803644775273</v>
      </c>
      <c r="BI143" s="108">
        <f t="shared" si="48"/>
        <v>0</v>
      </c>
      <c r="BJ143" s="6">
        <f t="shared" si="49"/>
        <v>1.2440309817761237</v>
      </c>
      <c r="BK143" s="108">
        <f t="shared" si="50"/>
        <v>0</v>
      </c>
      <c r="BL143" s="118" cm="1">
        <f t="array" ref="BL143">IF(AO143=0,FactorPhi7121(BH143,"a"),noisuy2chieu(BK143,BH143,Data!$A$63:$M$85))</f>
        <v>0.86214274110469236</v>
      </c>
      <c r="BM143" s="111">
        <v>1.26</v>
      </c>
      <c r="BN143" s="118">
        <f t="shared" si="51"/>
        <v>0.98045136770625785</v>
      </c>
      <c r="BO143" s="108">
        <f t="shared" si="52"/>
        <v>0.10830268319018656</v>
      </c>
      <c r="BP143" s="6" t="str">
        <f t="shared" si="53"/>
        <v>OK</v>
      </c>
      <c r="BQ143" s="16">
        <f t="shared" si="54"/>
        <v>127.25109874278135</v>
      </c>
      <c r="BR143" s="118">
        <f t="shared" si="55"/>
        <v>4.2387607289550546</v>
      </c>
      <c r="BS143" s="108">
        <f t="shared" si="56"/>
        <v>0</v>
      </c>
      <c r="BT143" s="118">
        <f t="shared" si="57"/>
        <v>1.1380619635522473</v>
      </c>
      <c r="BU143" s="108">
        <f t="shared" si="58"/>
        <v>0</v>
      </c>
      <c r="BV143" s="6" cm="1">
        <f t="array" ref="BV143">IF(AP143=0,FactorPhi7121(BR143,"a"),noisuy2chieu(BU143,BR143,Data!$A$63:$M$85))</f>
        <v>0.42299549615688942</v>
      </c>
      <c r="BW143" s="111">
        <v>1.26</v>
      </c>
      <c r="BX143" s="111">
        <f t="shared" si="59"/>
        <v>0.92180547082503139</v>
      </c>
      <c r="BY143" s="113">
        <f t="shared" si="60"/>
        <v>5.3136847330472803E-2</v>
      </c>
      <c r="BZ143" s="6" t="str">
        <f t="shared" si="61"/>
        <v>OK</v>
      </c>
      <c r="CA143" s="114">
        <f t="shared" si="62"/>
        <v>127.25109874278135</v>
      </c>
      <c r="CB143" s="115">
        <f t="shared" si="63"/>
        <v>150</v>
      </c>
      <c r="CC143" s="6" t="str">
        <f t="shared" si="64"/>
        <v>OK</v>
      </c>
      <c r="DG143" s="108"/>
      <c r="DH143" s="108"/>
      <c r="DI143" s="16"/>
      <c r="DJ143" s="108"/>
      <c r="DT143" s="6"/>
      <c r="DU143" s="6"/>
      <c r="DV143" s="111"/>
      <c r="DW143" s="111"/>
      <c r="DX143" s="111"/>
      <c r="DY143" s="111"/>
      <c r="DZ143" s="111"/>
      <c r="EA143" s="111"/>
      <c r="EB143" s="111"/>
      <c r="EC143" s="111"/>
      <c r="ED143" s="111"/>
      <c r="EE143" s="111"/>
      <c r="EF143" s="6"/>
      <c r="EG143" s="6"/>
      <c r="EH143" s="6"/>
      <c r="EI143" s="6"/>
      <c r="EJ143" s="6"/>
      <c r="EK143" s="6"/>
      <c r="EL143" s="112"/>
      <c r="EM143" s="112"/>
      <c r="EN143" s="118"/>
      <c r="EO143" s="118"/>
      <c r="EP143" s="112"/>
      <c r="EQ143" s="112"/>
      <c r="ER143" s="112"/>
      <c r="ES143" s="112"/>
      <c r="ET143" s="112"/>
      <c r="EU143" s="112"/>
      <c r="EV143" s="6"/>
      <c r="EW143" s="6"/>
      <c r="EX143" s="118"/>
      <c r="EY143" s="113"/>
      <c r="EZ143" s="6"/>
      <c r="FA143" s="114"/>
      <c r="FB143" s="115"/>
      <c r="FC143" s="6"/>
    </row>
    <row r="144" spans="27:159">
      <c r="AA144" s="79" t="s">
        <v>175</v>
      </c>
      <c r="AB144" s="80" t="s">
        <v>195</v>
      </c>
      <c r="AC144" s="81">
        <v>2.74</v>
      </c>
      <c r="AD144" s="81">
        <v>6</v>
      </c>
      <c r="AE144" s="80">
        <v>273</v>
      </c>
      <c r="AF144" s="80">
        <v>6.35</v>
      </c>
      <c r="AG144" s="108" cm="1">
        <f t="array" ref="AG144">_xll.DCEPropSectPipe(AE144, AF144, "Area")/100</f>
        <v>53.19431074856206</v>
      </c>
      <c r="AH144" s="16" cm="1">
        <f t="array" ref="AH144">_xll.DCEPropSectPipe(AE144, AF144, "Ix")/10000</f>
        <v>4730.4733077169503</v>
      </c>
      <c r="AI144" s="16" cm="1">
        <f t="array" ref="AI144">_xll.DCEPropSectPipe(AE144, AF144, "Wx")/1000</f>
        <v>346.55482107816493</v>
      </c>
      <c r="AJ144" s="108">
        <f t="shared" si="33"/>
        <v>9.4301739777164251</v>
      </c>
      <c r="AK144" s="80" t="s">
        <v>207</v>
      </c>
      <c r="AL144" s="82">
        <v>-51.568579521244857</v>
      </c>
      <c r="AM144" s="82">
        <v>7.2784296463030556</v>
      </c>
      <c r="AN144" s="82">
        <v>8.6205390161325675E-3</v>
      </c>
      <c r="AO144" s="82">
        <v>-2.3637517982235498E-2</v>
      </c>
      <c r="AP144" s="82">
        <v>-19.95745409016298</v>
      </c>
      <c r="AQ144" s="82">
        <v>3.0747758717979503E-4</v>
      </c>
      <c r="AR144" s="72">
        <v>1</v>
      </c>
      <c r="AS144" s="116">
        <f t="shared" si="34"/>
        <v>6</v>
      </c>
      <c r="AT144" s="7">
        <v>2</v>
      </c>
      <c r="AU144" s="6">
        <f t="shared" si="35"/>
        <v>12</v>
      </c>
      <c r="AV144" s="111">
        <f t="shared" si="36"/>
        <v>4.2412906987716728E-2</v>
      </c>
      <c r="AW144" s="117">
        <f t="shared" si="37"/>
        <v>105</v>
      </c>
      <c r="AX144" s="111">
        <f t="shared" si="38"/>
        <v>1</v>
      </c>
      <c r="AY144" s="111">
        <f t="shared" si="39"/>
        <v>1</v>
      </c>
      <c r="AZ144" s="111">
        <f t="shared" si="40"/>
        <v>1</v>
      </c>
      <c r="BA144" s="111">
        <f t="shared" si="41"/>
        <v>4.464516525022813E-2</v>
      </c>
      <c r="BB144" s="111">
        <f t="shared" si="42"/>
        <v>3.1411189251097143E-4</v>
      </c>
      <c r="BC144" s="111">
        <f t="shared" si="43"/>
        <v>0.26520862633180103</v>
      </c>
      <c r="BD144" s="111">
        <v>0</v>
      </c>
      <c r="BE144" s="111">
        <f t="shared" si="44"/>
        <v>0.31016790347454015</v>
      </c>
      <c r="BF144" s="6" t="str">
        <f t="shared" si="45"/>
        <v>OK</v>
      </c>
      <c r="BG144" s="16">
        <f t="shared" si="46"/>
        <v>63.625549371390676</v>
      </c>
      <c r="BH144" s="118">
        <f t="shared" si="47"/>
        <v>2.1193803644775273</v>
      </c>
      <c r="BI144" s="108">
        <f t="shared" si="48"/>
        <v>7.0357426330584895E-3</v>
      </c>
      <c r="BJ144" s="6">
        <f t="shared" si="49"/>
        <v>1.243828308792331</v>
      </c>
      <c r="BK144" s="108">
        <f t="shared" si="50"/>
        <v>8.7512558603752427E-3</v>
      </c>
      <c r="BL144" s="118" cm="1">
        <f t="array" ref="BL144">IF(AO144=0,FactorPhi7121(BH144,"a"),noisuy2chieu(BK144,BH144,Data!$A$63:$M$85))</f>
        <v>0</v>
      </c>
      <c r="BM144" s="111">
        <v>1.26</v>
      </c>
      <c r="BN144" s="118">
        <f t="shared" si="51"/>
        <v>0.98094908440556783</v>
      </c>
      <c r="BO144" s="108" t="e">
        <f t="shared" si="52"/>
        <v>#DIV/0!</v>
      </c>
      <c r="BP144" s="6" t="e">
        <f t="shared" si="53"/>
        <v>#DIV/0!</v>
      </c>
      <c r="BQ144" s="16">
        <f t="shared" si="54"/>
        <v>127.25109874278135</v>
      </c>
      <c r="BR144" s="118">
        <f t="shared" si="55"/>
        <v>4.2387607289550546</v>
      </c>
      <c r="BS144" s="108">
        <f t="shared" si="56"/>
        <v>5.9403661033698576</v>
      </c>
      <c r="BT144" s="118">
        <f t="shared" si="57"/>
        <v>1.1000000000000001</v>
      </c>
      <c r="BU144" s="108">
        <f t="shared" si="58"/>
        <v>6.5344027137068439</v>
      </c>
      <c r="BV144" s="6" cm="1">
        <f t="array" ref="BV144">IF(AP144=0,FactorPhi7121(BR144,"a"),noisuy2chieu(BU144,BR144,Data!$A$63:$M$85))</f>
        <v>0</v>
      </c>
      <c r="BW144" s="111">
        <v>1.26</v>
      </c>
      <c r="BX144" s="111">
        <f t="shared" si="59"/>
        <v>0.92379633762227142</v>
      </c>
      <c r="BY144" s="113" t="e">
        <f t="shared" si="60"/>
        <v>#DIV/0!</v>
      </c>
      <c r="BZ144" s="6" t="e">
        <f t="shared" si="61"/>
        <v>#DIV/0!</v>
      </c>
      <c r="CA144" s="114">
        <f t="shared" si="62"/>
        <v>127.25109874278135</v>
      </c>
      <c r="CB144" s="115" t="e">
        <f t="shared" si="63"/>
        <v>#DIV/0!</v>
      </c>
      <c r="CC144" s="6" t="e">
        <f t="shared" si="64"/>
        <v>#DIV/0!</v>
      </c>
      <c r="DG144" s="108"/>
      <c r="DH144" s="108"/>
      <c r="DI144" s="16"/>
      <c r="DJ144" s="108"/>
      <c r="DT144" s="6"/>
      <c r="DU144" s="6"/>
      <c r="DV144" s="111"/>
      <c r="DW144" s="111"/>
      <c r="DX144" s="111"/>
      <c r="DY144" s="111"/>
      <c r="DZ144" s="111"/>
      <c r="EA144" s="111"/>
      <c r="EB144" s="111"/>
      <c r="EC144" s="111"/>
      <c r="ED144" s="111"/>
      <c r="EE144" s="111"/>
      <c r="EF144" s="6"/>
      <c r="EG144" s="6"/>
      <c r="EH144" s="6"/>
      <c r="EI144" s="6"/>
      <c r="EJ144" s="6"/>
      <c r="EK144" s="6"/>
      <c r="EL144" s="112"/>
      <c r="EM144" s="112"/>
      <c r="EN144" s="118"/>
      <c r="EO144" s="118"/>
      <c r="EP144" s="112"/>
      <c r="EQ144" s="112"/>
      <c r="ER144" s="112"/>
      <c r="ES144" s="112"/>
      <c r="ET144" s="112"/>
      <c r="EU144" s="112"/>
      <c r="EV144" s="6"/>
      <c r="EW144" s="6"/>
      <c r="EX144" s="118"/>
      <c r="EY144" s="113"/>
      <c r="EZ144" s="6"/>
      <c r="FA144" s="114"/>
      <c r="FB144" s="115"/>
      <c r="FC144" s="6"/>
    </row>
    <row r="145" spans="27:159">
      <c r="AA145" s="79" t="s">
        <v>175</v>
      </c>
      <c r="AB145" s="80" t="s">
        <v>195</v>
      </c>
      <c r="AC145" s="81">
        <v>5.48</v>
      </c>
      <c r="AD145" s="81">
        <v>6</v>
      </c>
      <c r="AE145" s="80">
        <v>273</v>
      </c>
      <c r="AF145" s="80">
        <v>6.35</v>
      </c>
      <c r="AG145" s="108" cm="1">
        <f t="array" ref="AG145">_xll.DCEPropSectPipe(AE145, AF145, "Area")/100</f>
        <v>53.19431074856206</v>
      </c>
      <c r="AH145" s="16" cm="1">
        <f t="array" ref="AH145">_xll.DCEPropSectPipe(AE145, AF145, "Ix")/10000</f>
        <v>4730.4733077169503</v>
      </c>
      <c r="AI145" s="16" cm="1">
        <f t="array" ref="AI145">_xll.DCEPropSectPipe(AE145, AF145, "Wx")/1000</f>
        <v>346.55482107816493</v>
      </c>
      <c r="AJ145" s="108">
        <f t="shared" si="33"/>
        <v>9.4301739777164251</v>
      </c>
      <c r="AK145" s="80" t="s">
        <v>207</v>
      </c>
      <c r="AL145" s="82">
        <v>-50.221319172512821</v>
      </c>
      <c r="AM145" s="82">
        <v>7.2784296463030556</v>
      </c>
      <c r="AN145" s="82">
        <v>8.6205390161325675E-3</v>
      </c>
      <c r="AO145" s="82">
        <v>-4.7275035964470996E-2</v>
      </c>
      <c r="AP145" s="82">
        <v>-39.914908180325959</v>
      </c>
      <c r="AQ145" s="82">
        <v>3.0747758717979503E-4</v>
      </c>
      <c r="AR145" s="72">
        <v>1</v>
      </c>
      <c r="AS145" s="116">
        <f t="shared" si="34"/>
        <v>6</v>
      </c>
      <c r="AT145" s="7">
        <v>2</v>
      </c>
      <c r="AU145" s="6">
        <f t="shared" si="35"/>
        <v>12</v>
      </c>
      <c r="AV145" s="111">
        <f t="shared" si="36"/>
        <v>4.130484412483585E-2</v>
      </c>
      <c r="AW145" s="117">
        <f t="shared" si="37"/>
        <v>105</v>
      </c>
      <c r="AX145" s="111">
        <f t="shared" si="38"/>
        <v>1</v>
      </c>
      <c r="AY145" s="111">
        <f t="shared" si="39"/>
        <v>1</v>
      </c>
      <c r="AZ145" s="111">
        <f t="shared" si="40"/>
        <v>1</v>
      </c>
      <c r="BA145" s="111">
        <f t="shared" si="41"/>
        <v>4.3478783289300903E-2</v>
      </c>
      <c r="BB145" s="111">
        <f t="shared" si="42"/>
        <v>6.2822378502194287E-4</v>
      </c>
      <c r="BC145" s="111">
        <f t="shared" si="43"/>
        <v>0.53041725266360207</v>
      </c>
      <c r="BD145" s="111">
        <v>0</v>
      </c>
      <c r="BE145" s="111">
        <f t="shared" si="44"/>
        <v>0.57452425973792487</v>
      </c>
      <c r="BF145" s="6" t="str">
        <f t="shared" si="45"/>
        <v>OK</v>
      </c>
      <c r="BG145" s="16">
        <f t="shared" si="46"/>
        <v>63.625549371390676</v>
      </c>
      <c r="BH145" s="118">
        <f t="shared" si="47"/>
        <v>2.1193803644775273</v>
      </c>
      <c r="BI145" s="108">
        <f t="shared" si="48"/>
        <v>1.4448973441640305E-2</v>
      </c>
      <c r="BJ145" s="6">
        <f t="shared" si="49"/>
        <v>1.2436147618100324</v>
      </c>
      <c r="BK145" s="108">
        <f t="shared" si="50"/>
        <v>1.7968956665024991E-2</v>
      </c>
      <c r="BL145" s="118" cm="1">
        <f t="array" ref="BL145">IF(AO145=0,FactorPhi7121(BH145,"a"),noisuy2chieu(BK145,BH145,Data!$A$63:$M$85))</f>
        <v>0</v>
      </c>
      <c r="BM145" s="111">
        <v>1.26</v>
      </c>
      <c r="BN145" s="118">
        <f t="shared" si="51"/>
        <v>0.98144680110487781</v>
      </c>
      <c r="BO145" s="108" t="e">
        <f t="shared" si="52"/>
        <v>#DIV/0!</v>
      </c>
      <c r="BP145" s="6" t="e">
        <f t="shared" si="53"/>
        <v>#DIV/0!</v>
      </c>
      <c r="BQ145" s="16">
        <f t="shared" si="54"/>
        <v>127.25109874278135</v>
      </c>
      <c r="BR145" s="118">
        <f t="shared" si="55"/>
        <v>4.2387607289550546</v>
      </c>
      <c r="BS145" s="108">
        <f t="shared" si="56"/>
        <v>12.199450226890898</v>
      </c>
      <c r="BT145" s="118">
        <f t="shared" si="57"/>
        <v>1.1000000000000001</v>
      </c>
      <c r="BU145" s="108">
        <f t="shared" si="58"/>
        <v>13.419395249579988</v>
      </c>
      <c r="BV145" s="6" cm="1">
        <f t="array" ref="BV145">IF(AP145=0,FactorPhi7121(BR145,"a"),noisuy2chieu(BU145,BR145,Data!$A$63:$M$85))</f>
        <v>0</v>
      </c>
      <c r="BW145" s="111">
        <v>1.26</v>
      </c>
      <c r="BX145" s="111">
        <f t="shared" si="59"/>
        <v>0.92578720441951146</v>
      </c>
      <c r="BY145" s="113" t="e">
        <f t="shared" si="60"/>
        <v>#DIV/0!</v>
      </c>
      <c r="BZ145" s="6" t="e">
        <f t="shared" si="61"/>
        <v>#DIV/0!</v>
      </c>
      <c r="CA145" s="114">
        <f t="shared" si="62"/>
        <v>127.25109874278135</v>
      </c>
      <c r="CB145" s="115" t="e">
        <f t="shared" si="63"/>
        <v>#DIV/0!</v>
      </c>
      <c r="CC145" s="6" t="e">
        <f t="shared" si="64"/>
        <v>#DIV/0!</v>
      </c>
      <c r="DG145" s="108"/>
      <c r="DH145" s="108"/>
      <c r="DI145" s="16"/>
      <c r="DJ145" s="108"/>
      <c r="DT145" s="6"/>
      <c r="DU145" s="6"/>
      <c r="DV145" s="111"/>
      <c r="DW145" s="111"/>
      <c r="DX145" s="111"/>
      <c r="DY145" s="111"/>
      <c r="DZ145" s="111"/>
      <c r="EA145" s="111"/>
      <c r="EB145" s="111"/>
      <c r="EC145" s="111"/>
      <c r="ED145" s="111"/>
      <c r="EE145" s="111"/>
      <c r="EF145" s="6"/>
      <c r="EG145" s="6"/>
      <c r="EH145" s="6"/>
      <c r="EI145" s="6"/>
      <c r="EJ145" s="6"/>
      <c r="EK145" s="6"/>
      <c r="EL145" s="112"/>
      <c r="EM145" s="112"/>
      <c r="EN145" s="118"/>
      <c r="EO145" s="118"/>
      <c r="EP145" s="112"/>
      <c r="EQ145" s="112"/>
      <c r="ER145" s="112"/>
      <c r="ES145" s="112"/>
      <c r="ET145" s="112"/>
      <c r="EU145" s="112"/>
      <c r="EV145" s="6"/>
      <c r="EW145" s="6"/>
      <c r="EX145" s="118"/>
      <c r="EY145" s="113"/>
      <c r="EZ145" s="6"/>
      <c r="FA145" s="114"/>
      <c r="FB145" s="115"/>
      <c r="FC145" s="6"/>
    </row>
    <row r="146" spans="27:159">
      <c r="AA146" s="79" t="s">
        <v>175</v>
      </c>
      <c r="AB146" s="80" t="s">
        <v>195</v>
      </c>
      <c r="AC146" s="81">
        <v>0</v>
      </c>
      <c r="AD146" s="81">
        <v>6</v>
      </c>
      <c r="AE146" s="80">
        <v>273</v>
      </c>
      <c r="AF146" s="80">
        <v>6.35</v>
      </c>
      <c r="AG146" s="108" cm="1">
        <f t="array" ref="AG146">_xll.DCEPropSectPipe(AE146, AF146, "Area")/100</f>
        <v>53.19431074856206</v>
      </c>
      <c r="AH146" s="16" cm="1">
        <f t="array" ref="AH146">_xll.DCEPropSectPipe(AE146, AF146, "Ix")/10000</f>
        <v>4730.4733077169503</v>
      </c>
      <c r="AI146" s="16" cm="1">
        <f t="array" ref="AI146">_xll.DCEPropSectPipe(AE146, AF146, "Wx")/1000</f>
        <v>346.55482107816493</v>
      </c>
      <c r="AJ146" s="108">
        <f t="shared" si="33"/>
        <v>9.4301739777164251</v>
      </c>
      <c r="AK146" s="80" t="s">
        <v>208</v>
      </c>
      <c r="AL146" s="82">
        <v>-66.710168667794562</v>
      </c>
      <c r="AM146" s="82">
        <v>7.3471621210988411</v>
      </c>
      <c r="AN146" s="82">
        <v>9.3646107634057941E-3</v>
      </c>
      <c r="AO146" s="82">
        <v>0</v>
      </c>
      <c r="AP146" s="82">
        <v>0</v>
      </c>
      <c r="AQ146" s="82">
        <v>1.0454878488628078E-3</v>
      </c>
      <c r="AR146" s="72">
        <v>1</v>
      </c>
      <c r="AS146" s="116">
        <f t="shared" si="34"/>
        <v>6</v>
      </c>
      <c r="AT146" s="7">
        <v>2</v>
      </c>
      <c r="AU146" s="6">
        <f t="shared" si="35"/>
        <v>12</v>
      </c>
      <c r="AV146" s="111">
        <f t="shared" si="36"/>
        <v>5.4866203512090941E-2</v>
      </c>
      <c r="AW146" s="117">
        <f t="shared" si="37"/>
        <v>105</v>
      </c>
      <c r="AX146" s="111">
        <f t="shared" si="38"/>
        <v>1</v>
      </c>
      <c r="AY146" s="111">
        <f t="shared" si="39"/>
        <v>1</v>
      </c>
      <c r="AZ146" s="111">
        <f t="shared" si="40"/>
        <v>1</v>
      </c>
      <c r="BA146" s="111">
        <f t="shared" si="41"/>
        <v>5.775389843377994E-2</v>
      </c>
      <c r="BB146" s="111">
        <f t="shared" si="42"/>
        <v>0</v>
      </c>
      <c r="BC146" s="111">
        <f t="shared" si="43"/>
        <v>0</v>
      </c>
      <c r="BD146" s="111">
        <v>0</v>
      </c>
      <c r="BE146" s="111">
        <f t="shared" si="44"/>
        <v>5.775389843377994E-2</v>
      </c>
      <c r="BF146" s="6" t="str">
        <f t="shared" si="45"/>
        <v>OK</v>
      </c>
      <c r="BG146" s="16">
        <f t="shared" si="46"/>
        <v>63.625549371390676</v>
      </c>
      <c r="BH146" s="118">
        <f t="shared" si="47"/>
        <v>2.1193803644775273</v>
      </c>
      <c r="BI146" s="108">
        <f t="shared" si="48"/>
        <v>0</v>
      </c>
      <c r="BJ146" s="6">
        <f t="shared" si="49"/>
        <v>1.2440309817761237</v>
      </c>
      <c r="BK146" s="108">
        <f t="shared" si="50"/>
        <v>0</v>
      </c>
      <c r="BL146" s="118" cm="1">
        <f t="array" ref="BL146">IF(AO146=0,FactorPhi7121(BH146,"a"),noisuy2chieu(BK146,BH146,Data!$A$63:$M$85))</f>
        <v>0.86214274110469236</v>
      </c>
      <c r="BM146" s="111">
        <v>1.26</v>
      </c>
      <c r="BN146" s="118">
        <f t="shared" si="51"/>
        <v>0.97535534613558794</v>
      </c>
      <c r="BO146" s="108">
        <f t="shared" si="52"/>
        <v>0.13653549259625913</v>
      </c>
      <c r="BP146" s="6" t="str">
        <f t="shared" si="53"/>
        <v>OK</v>
      </c>
      <c r="BQ146" s="16">
        <f t="shared" si="54"/>
        <v>127.25109874278135</v>
      </c>
      <c r="BR146" s="118">
        <f t="shared" si="55"/>
        <v>4.2387607289550546</v>
      </c>
      <c r="BS146" s="108">
        <f t="shared" si="56"/>
        <v>0</v>
      </c>
      <c r="BT146" s="118">
        <f t="shared" si="57"/>
        <v>1.1380619635522473</v>
      </c>
      <c r="BU146" s="108">
        <f t="shared" si="58"/>
        <v>0</v>
      </c>
      <c r="BV146" s="6" cm="1">
        <f t="array" ref="BV146">IF(AP146=0,FactorPhi7121(BR146,"a"),noisuy2chieu(BU146,BR146,Data!$A$63:$M$85))</f>
        <v>0.42299549615688942</v>
      </c>
      <c r="BW146" s="111">
        <v>1.26</v>
      </c>
      <c r="BX146" s="111">
        <f t="shared" si="59"/>
        <v>0.90142138454235188</v>
      </c>
      <c r="BY146" s="113">
        <f t="shared" si="60"/>
        <v>6.6988789303935842E-2</v>
      </c>
      <c r="BZ146" s="6" t="str">
        <f t="shared" si="61"/>
        <v>OK</v>
      </c>
      <c r="CA146" s="114">
        <f t="shared" si="62"/>
        <v>127.25109874278135</v>
      </c>
      <c r="CB146" s="115">
        <f t="shared" si="63"/>
        <v>150</v>
      </c>
      <c r="CC146" s="6" t="str">
        <f t="shared" si="64"/>
        <v>OK</v>
      </c>
      <c r="DG146" s="108"/>
      <c r="DH146" s="108"/>
      <c r="DI146" s="16"/>
      <c r="DJ146" s="108"/>
      <c r="DT146" s="6"/>
      <c r="DU146" s="6"/>
      <c r="DV146" s="111"/>
      <c r="DW146" s="111"/>
      <c r="DX146" s="111"/>
      <c r="DY146" s="111"/>
      <c r="DZ146" s="111"/>
      <c r="EA146" s="111"/>
      <c r="EB146" s="111"/>
      <c r="EC146" s="111"/>
      <c r="ED146" s="111"/>
      <c r="EE146" s="111"/>
      <c r="EF146" s="6"/>
      <c r="EG146" s="6"/>
      <c r="EH146" s="6"/>
      <c r="EI146" s="6"/>
      <c r="EJ146" s="6"/>
      <c r="EK146" s="6"/>
      <c r="EL146" s="112"/>
      <c r="EM146" s="112"/>
      <c r="EN146" s="118"/>
      <c r="EO146" s="118"/>
      <c r="EP146" s="112"/>
      <c r="EQ146" s="112"/>
      <c r="ER146" s="112"/>
      <c r="ES146" s="112"/>
      <c r="ET146" s="112"/>
      <c r="EU146" s="112"/>
      <c r="EV146" s="6"/>
      <c r="EW146" s="6"/>
      <c r="EX146" s="118"/>
      <c r="EY146" s="113"/>
      <c r="EZ146" s="6"/>
      <c r="FA146" s="114"/>
      <c r="FB146" s="115"/>
      <c r="FC146" s="6"/>
    </row>
    <row r="147" spans="27:159">
      <c r="AA147" s="79" t="s">
        <v>175</v>
      </c>
      <c r="AB147" s="80" t="s">
        <v>195</v>
      </c>
      <c r="AC147" s="81">
        <v>2.74</v>
      </c>
      <c r="AD147" s="81">
        <v>6</v>
      </c>
      <c r="AE147" s="80">
        <v>273</v>
      </c>
      <c r="AF147" s="80">
        <v>6.35</v>
      </c>
      <c r="AG147" s="108" cm="1">
        <f t="array" ref="AG147">_xll.DCEPropSectPipe(AE147, AF147, "Area")/100</f>
        <v>53.19431074856206</v>
      </c>
      <c r="AH147" s="16" cm="1">
        <f t="array" ref="AH147">_xll.DCEPropSectPipe(AE147, AF147, "Ix")/10000</f>
        <v>4730.4733077169503</v>
      </c>
      <c r="AI147" s="16" cm="1">
        <f t="array" ref="AI147">_xll.DCEPropSectPipe(AE147, AF147, "Wx")/1000</f>
        <v>346.55482107816493</v>
      </c>
      <c r="AJ147" s="108">
        <f t="shared" si="33"/>
        <v>9.4301739777164251</v>
      </c>
      <c r="AK147" s="80" t="s">
        <v>208</v>
      </c>
      <c r="AL147" s="82">
        <v>-65.362908319062527</v>
      </c>
      <c r="AM147" s="82">
        <v>7.3471621210988411</v>
      </c>
      <c r="AN147" s="82">
        <v>9.3646107634057941E-3</v>
      </c>
      <c r="AO147" s="82">
        <v>-2.5677762713258688E-2</v>
      </c>
      <c r="AP147" s="82">
        <v>-20.145918536053021</v>
      </c>
      <c r="AQ147" s="82">
        <v>1.0454878488628078E-3</v>
      </c>
      <c r="AR147" s="72">
        <v>1</v>
      </c>
      <c r="AS147" s="116">
        <f t="shared" si="34"/>
        <v>6</v>
      </c>
      <c r="AT147" s="7">
        <v>2</v>
      </c>
      <c r="AU147" s="6">
        <f t="shared" si="35"/>
        <v>12</v>
      </c>
      <c r="AV147" s="111">
        <f t="shared" si="36"/>
        <v>5.3758140649210064E-2</v>
      </c>
      <c r="AW147" s="117">
        <f t="shared" si="37"/>
        <v>105</v>
      </c>
      <c r="AX147" s="111">
        <f t="shared" si="38"/>
        <v>1</v>
      </c>
      <c r="AY147" s="111">
        <f t="shared" si="39"/>
        <v>1</v>
      </c>
      <c r="AZ147" s="111">
        <f t="shared" si="40"/>
        <v>1</v>
      </c>
      <c r="BA147" s="111">
        <f t="shared" si="41"/>
        <v>5.6587516472852706E-2</v>
      </c>
      <c r="BB147" s="111">
        <f t="shared" si="42"/>
        <v>3.4122409329824814E-4</v>
      </c>
      <c r="BC147" s="111">
        <f t="shared" si="43"/>
        <v>0.26771307387210719</v>
      </c>
      <c r="BD147" s="111">
        <v>0</v>
      </c>
      <c r="BE147" s="111">
        <f t="shared" si="44"/>
        <v>0.32464181443825813</v>
      </c>
      <c r="BF147" s="6" t="str">
        <f t="shared" si="45"/>
        <v>OK</v>
      </c>
      <c r="BG147" s="16">
        <f t="shared" si="46"/>
        <v>63.625549371390676</v>
      </c>
      <c r="BH147" s="118">
        <f t="shared" si="47"/>
        <v>2.1193803644775273</v>
      </c>
      <c r="BI147" s="108">
        <f t="shared" si="48"/>
        <v>6.0300241920308879E-3</v>
      </c>
      <c r="BJ147" s="6">
        <f t="shared" si="49"/>
        <v>1.2438572797152214</v>
      </c>
      <c r="BK147" s="108">
        <f t="shared" si="50"/>
        <v>7.5004894881165159E-3</v>
      </c>
      <c r="BL147" s="118" cm="1">
        <f t="array" ref="BL147">IF(AO147=0,FactorPhi7121(BH147,"a"),noisuy2chieu(BK147,BH147,Data!$A$63:$M$85))</f>
        <v>0</v>
      </c>
      <c r="BM147" s="111">
        <v>1.26</v>
      </c>
      <c r="BN147" s="118">
        <f t="shared" si="51"/>
        <v>0.97585306283489792</v>
      </c>
      <c r="BO147" s="108" t="e">
        <f t="shared" si="52"/>
        <v>#DIV/0!</v>
      </c>
      <c r="BP147" s="6" t="e">
        <f t="shared" si="53"/>
        <v>#DIV/0!</v>
      </c>
      <c r="BQ147" s="16">
        <f t="shared" si="54"/>
        <v>127.25109874278135</v>
      </c>
      <c r="BR147" s="118">
        <f t="shared" si="55"/>
        <v>4.2387607289550546</v>
      </c>
      <c r="BS147" s="108">
        <f t="shared" si="56"/>
        <v>4.7309564115707374</v>
      </c>
      <c r="BT147" s="118">
        <f t="shared" si="57"/>
        <v>1.102048065451352</v>
      </c>
      <c r="BU147" s="108">
        <f t="shared" si="58"/>
        <v>5.2137413611062016</v>
      </c>
      <c r="BV147" s="6" cm="1">
        <f t="array" ref="BV147">IF(AP147=0,FactorPhi7121(BR147,"a"),noisuy2chieu(BU147,BR147,Data!$A$63:$M$85))</f>
        <v>0</v>
      </c>
      <c r="BW147" s="111">
        <v>1.26</v>
      </c>
      <c r="BX147" s="111">
        <f t="shared" si="59"/>
        <v>0.90341225133959191</v>
      </c>
      <c r="BY147" s="113" t="e">
        <f t="shared" si="60"/>
        <v>#DIV/0!</v>
      </c>
      <c r="BZ147" s="6" t="e">
        <f t="shared" si="61"/>
        <v>#DIV/0!</v>
      </c>
      <c r="CA147" s="114">
        <f t="shared" si="62"/>
        <v>127.25109874278135</v>
      </c>
      <c r="CB147" s="115" t="e">
        <f t="shared" si="63"/>
        <v>#DIV/0!</v>
      </c>
      <c r="CC147" s="6" t="e">
        <f t="shared" si="64"/>
        <v>#DIV/0!</v>
      </c>
      <c r="DG147" s="108"/>
      <c r="DH147" s="108"/>
      <c r="DI147" s="16"/>
      <c r="DJ147" s="108"/>
      <c r="DT147" s="6"/>
      <c r="DU147" s="6"/>
      <c r="DV147" s="111"/>
      <c r="DW147" s="111"/>
      <c r="DX147" s="111"/>
      <c r="DY147" s="111"/>
      <c r="DZ147" s="111"/>
      <c r="EA147" s="111"/>
      <c r="EB147" s="111"/>
      <c r="EC147" s="111"/>
      <c r="ED147" s="111"/>
      <c r="EE147" s="111"/>
      <c r="EF147" s="6"/>
      <c r="EG147" s="6"/>
      <c r="EH147" s="6"/>
      <c r="EI147" s="6"/>
      <c r="EJ147" s="6"/>
      <c r="EK147" s="6"/>
      <c r="EL147" s="112"/>
      <c r="EM147" s="112"/>
      <c r="EN147" s="118"/>
      <c r="EO147" s="118"/>
      <c r="EP147" s="112"/>
      <c r="EQ147" s="112"/>
      <c r="ER147" s="112"/>
      <c r="ES147" s="112"/>
      <c r="ET147" s="112"/>
      <c r="EU147" s="112"/>
      <c r="EV147" s="6"/>
      <c r="EW147" s="6"/>
      <c r="EX147" s="118"/>
      <c r="EY147" s="113"/>
      <c r="EZ147" s="6"/>
      <c r="FA147" s="114"/>
      <c r="FB147" s="115"/>
      <c r="FC147" s="6"/>
    </row>
    <row r="148" spans="27:159">
      <c r="AA148" s="79" t="s">
        <v>175</v>
      </c>
      <c r="AB148" s="80" t="s">
        <v>195</v>
      </c>
      <c r="AC148" s="81">
        <v>5.48</v>
      </c>
      <c r="AD148" s="81">
        <v>6</v>
      </c>
      <c r="AE148" s="80">
        <v>273</v>
      </c>
      <c r="AF148" s="80">
        <v>6.35</v>
      </c>
      <c r="AG148" s="108" cm="1">
        <f t="array" ref="AG148">_xll.DCEPropSectPipe(AE148, AF148, "Area")/100</f>
        <v>53.19431074856206</v>
      </c>
      <c r="AH148" s="16" cm="1">
        <f t="array" ref="AH148">_xll.DCEPropSectPipe(AE148, AF148, "Ix")/10000</f>
        <v>4730.4733077169503</v>
      </c>
      <c r="AI148" s="16" cm="1">
        <f t="array" ref="AI148">_xll.DCEPropSectPipe(AE148, AF148, "Wx")/1000</f>
        <v>346.55482107816493</v>
      </c>
      <c r="AJ148" s="108">
        <f t="shared" si="33"/>
        <v>9.4301739777164251</v>
      </c>
      <c r="AK148" s="80" t="s">
        <v>208</v>
      </c>
      <c r="AL148" s="82">
        <v>-64.015647970330491</v>
      </c>
      <c r="AM148" s="82">
        <v>7.3471621210988411</v>
      </c>
      <c r="AN148" s="82">
        <v>9.3646107634057941E-3</v>
      </c>
      <c r="AO148" s="82">
        <v>-5.1355525426517376E-2</v>
      </c>
      <c r="AP148" s="82">
        <v>-40.291837072106041</v>
      </c>
      <c r="AQ148" s="82">
        <v>1.0454878488628078E-3</v>
      </c>
      <c r="AR148" s="72">
        <v>1</v>
      </c>
      <c r="AS148" s="116">
        <f t="shared" si="34"/>
        <v>6</v>
      </c>
      <c r="AT148" s="7">
        <v>2</v>
      </c>
      <c r="AU148" s="6">
        <f t="shared" si="35"/>
        <v>12</v>
      </c>
      <c r="AV148" s="111">
        <f t="shared" si="36"/>
        <v>5.2650077786329186E-2</v>
      </c>
      <c r="AW148" s="117">
        <f t="shared" si="37"/>
        <v>105</v>
      </c>
      <c r="AX148" s="111">
        <f t="shared" si="38"/>
        <v>1</v>
      </c>
      <c r="AY148" s="111">
        <f t="shared" si="39"/>
        <v>1</v>
      </c>
      <c r="AZ148" s="111">
        <f t="shared" si="40"/>
        <v>1</v>
      </c>
      <c r="BA148" s="111">
        <f t="shared" si="41"/>
        <v>5.5421134511925464E-2</v>
      </c>
      <c r="BB148" s="111">
        <f t="shared" si="42"/>
        <v>6.8244818659649628E-4</v>
      </c>
      <c r="BC148" s="111">
        <f t="shared" si="43"/>
        <v>0.53542614774421438</v>
      </c>
      <c r="BD148" s="111">
        <v>0</v>
      </c>
      <c r="BE148" s="111">
        <f t="shared" si="44"/>
        <v>0.59152973044273638</v>
      </c>
      <c r="BF148" s="6" t="str">
        <f t="shared" si="45"/>
        <v>OK</v>
      </c>
      <c r="BG148" s="16">
        <f t="shared" si="46"/>
        <v>63.625549371390676</v>
      </c>
      <c r="BH148" s="118">
        <f t="shared" si="47"/>
        <v>2.1193803644775273</v>
      </c>
      <c r="BI148" s="108">
        <f t="shared" si="48"/>
        <v>1.2313861717313775E-2</v>
      </c>
      <c r="BJ148" s="6">
        <f t="shared" si="49"/>
        <v>1.2436762662576037</v>
      </c>
      <c r="BK148" s="108">
        <f t="shared" si="50"/>
        <v>1.531445756380124E-2</v>
      </c>
      <c r="BL148" s="118" cm="1">
        <f t="array" ref="BL148">IF(AO148=0,FactorPhi7121(BH148,"a"),noisuy2chieu(BK148,BH148,Data!$A$63:$M$85))</f>
        <v>0</v>
      </c>
      <c r="BM148" s="111">
        <v>1.26</v>
      </c>
      <c r="BN148" s="118">
        <f t="shared" si="51"/>
        <v>0.97635077953420801</v>
      </c>
      <c r="BO148" s="108" t="e">
        <f t="shared" si="52"/>
        <v>#DIV/0!</v>
      </c>
      <c r="BP148" s="6" t="e">
        <f t="shared" si="53"/>
        <v>#DIV/0!</v>
      </c>
      <c r="BQ148" s="16">
        <f t="shared" si="54"/>
        <v>127.25109874278135</v>
      </c>
      <c r="BR148" s="118">
        <f t="shared" si="55"/>
        <v>4.2387607289550546</v>
      </c>
      <c r="BS148" s="108">
        <f t="shared" si="56"/>
        <v>9.6610463221210665</v>
      </c>
      <c r="BT148" s="118">
        <f t="shared" si="57"/>
        <v>1.1000000000000001</v>
      </c>
      <c r="BU148" s="108">
        <f t="shared" si="58"/>
        <v>10.627150954333175</v>
      </c>
      <c r="BV148" s="6" cm="1">
        <f t="array" ref="BV148">IF(AP148=0,FactorPhi7121(BR148,"a"),noisuy2chieu(BU148,BR148,Data!$A$63:$M$85))</f>
        <v>0</v>
      </c>
      <c r="BW148" s="111">
        <v>1.26</v>
      </c>
      <c r="BX148" s="111">
        <f t="shared" si="59"/>
        <v>0.90540311813683183</v>
      </c>
      <c r="BY148" s="113" t="e">
        <f t="shared" si="60"/>
        <v>#DIV/0!</v>
      </c>
      <c r="BZ148" s="6" t="e">
        <f t="shared" si="61"/>
        <v>#DIV/0!</v>
      </c>
      <c r="CA148" s="114">
        <f t="shared" si="62"/>
        <v>127.25109874278135</v>
      </c>
      <c r="CB148" s="115" t="e">
        <f t="shared" si="63"/>
        <v>#DIV/0!</v>
      </c>
      <c r="CC148" s="6" t="e">
        <f t="shared" si="64"/>
        <v>#DIV/0!</v>
      </c>
      <c r="DG148" s="108"/>
      <c r="DH148" s="108"/>
      <c r="DI148" s="16"/>
      <c r="DJ148" s="108"/>
      <c r="DT148" s="6"/>
      <c r="DU148" s="6"/>
      <c r="DV148" s="111"/>
      <c r="DW148" s="111"/>
      <c r="DX148" s="111"/>
      <c r="DY148" s="111"/>
      <c r="DZ148" s="111"/>
      <c r="EA148" s="111"/>
      <c r="EB148" s="111"/>
      <c r="EC148" s="111"/>
      <c r="ED148" s="111"/>
      <c r="EE148" s="111"/>
      <c r="EF148" s="6"/>
      <c r="EG148" s="6"/>
      <c r="EH148" s="6"/>
      <c r="EI148" s="6"/>
      <c r="EJ148" s="6"/>
      <c r="EK148" s="6"/>
      <c r="EL148" s="112"/>
      <c r="EM148" s="112"/>
      <c r="EN148" s="118"/>
      <c r="EO148" s="118"/>
      <c r="EP148" s="112"/>
      <c r="EQ148" s="112"/>
      <c r="ER148" s="112"/>
      <c r="ES148" s="112"/>
      <c r="ET148" s="112"/>
      <c r="EU148" s="112"/>
      <c r="EV148" s="6"/>
      <c r="EW148" s="6"/>
      <c r="EX148" s="118"/>
      <c r="EY148" s="113"/>
      <c r="EZ148" s="6"/>
      <c r="FA148" s="114"/>
      <c r="FB148" s="115"/>
      <c r="FC148" s="6"/>
    </row>
    <row r="149" spans="27:159">
      <c r="AA149" s="79" t="s">
        <v>175</v>
      </c>
      <c r="AB149" s="80" t="s">
        <v>195</v>
      </c>
      <c r="AC149" s="81">
        <v>0</v>
      </c>
      <c r="AD149" s="81">
        <v>6</v>
      </c>
      <c r="AE149" s="80">
        <v>273</v>
      </c>
      <c r="AF149" s="80">
        <v>6.35</v>
      </c>
      <c r="AG149" s="108" cm="1">
        <f t="array" ref="AG149">_xll.DCEPropSectPipe(AE149, AF149, "Area")/100</f>
        <v>53.19431074856206</v>
      </c>
      <c r="AH149" s="16" cm="1">
        <f t="array" ref="AH149">_xll.DCEPropSectPipe(AE149, AF149, "Ix")/10000</f>
        <v>4730.4733077169503</v>
      </c>
      <c r="AI149" s="16" cm="1">
        <f t="array" ref="AI149">_xll.DCEPropSectPipe(AE149, AF149, "Wx")/1000</f>
        <v>346.55482107816493</v>
      </c>
      <c r="AJ149" s="108">
        <f t="shared" si="33"/>
        <v>9.4301739777164251</v>
      </c>
      <c r="AK149" s="80" t="s">
        <v>209</v>
      </c>
      <c r="AL149" s="82">
        <v>1.5819073712553906</v>
      </c>
      <c r="AM149" s="82">
        <v>-1.9411430938588998</v>
      </c>
      <c r="AN149" s="82">
        <v>-2.0409396657651985E-3</v>
      </c>
      <c r="AO149" s="82">
        <v>0</v>
      </c>
      <c r="AP149" s="82">
        <v>0</v>
      </c>
      <c r="AQ149" s="82">
        <v>7.3028002275693759E-5</v>
      </c>
      <c r="AR149" s="72">
        <v>1</v>
      </c>
      <c r="AS149" s="116">
        <f t="shared" si="34"/>
        <v>6</v>
      </c>
      <c r="AT149" s="7">
        <v>2</v>
      </c>
      <c r="AU149" s="6">
        <f t="shared" si="35"/>
        <v>12</v>
      </c>
      <c r="AV149" s="111">
        <f t="shared" si="36"/>
        <v>1.3010498024790024E-3</v>
      </c>
      <c r="AW149" s="117">
        <f t="shared" si="37"/>
        <v>105</v>
      </c>
      <c r="AX149" s="111">
        <f t="shared" si="38"/>
        <v>1</v>
      </c>
      <c r="AY149" s="111">
        <f t="shared" si="39"/>
        <v>1</v>
      </c>
      <c r="AZ149" s="111">
        <f t="shared" si="40"/>
        <v>1</v>
      </c>
      <c r="BA149" s="111">
        <f t="shared" si="41"/>
        <v>1.3695261078726343E-3</v>
      </c>
      <c r="BB149" s="111">
        <f t="shared" si="42"/>
        <v>0</v>
      </c>
      <c r="BC149" s="111">
        <f t="shared" si="43"/>
        <v>0</v>
      </c>
      <c r="BD149" s="111">
        <v>0</v>
      </c>
      <c r="BE149" s="111">
        <f t="shared" si="44"/>
        <v>1.3695261078726343E-3</v>
      </c>
      <c r="BF149" s="6" t="str">
        <f t="shared" si="45"/>
        <v>OK</v>
      </c>
      <c r="BG149" s="16">
        <f t="shared" si="46"/>
        <v>63.625549371390676</v>
      </c>
      <c r="BH149" s="118">
        <f t="shared" si="47"/>
        <v>2.1193803644775273</v>
      </c>
      <c r="BI149" s="108">
        <f t="shared" si="48"/>
        <v>0</v>
      </c>
      <c r="BJ149" s="6">
        <f t="shared" si="49"/>
        <v>1.2440309817761237</v>
      </c>
      <c r="BK149" s="108">
        <f t="shared" si="50"/>
        <v>0</v>
      </c>
      <c r="BL149" s="118" cm="1">
        <f t="array" ref="BL149">IF(AO149=0,FactorPhi7121(BH149,"a"),noisuy2chieu(BK149,BH149,Data!$A$63:$M$85))</f>
        <v>0.86214274110469236</v>
      </c>
      <c r="BM149" s="111">
        <v>1.26</v>
      </c>
      <c r="BN149" s="118">
        <f t="shared" si="51"/>
        <v>0.99941559794573009</v>
      </c>
      <c r="BO149" s="108">
        <f t="shared" si="52"/>
        <v>3.2376848460927247E-3</v>
      </c>
      <c r="BP149" s="6" t="str">
        <f t="shared" si="53"/>
        <v>OK</v>
      </c>
      <c r="BQ149" s="16">
        <f t="shared" si="54"/>
        <v>127.25109874278135</v>
      </c>
      <c r="BR149" s="118">
        <f t="shared" si="55"/>
        <v>4.2387607289550546</v>
      </c>
      <c r="BS149" s="108">
        <f t="shared" si="56"/>
        <v>0</v>
      </c>
      <c r="BT149" s="118">
        <f t="shared" si="57"/>
        <v>1.1380619635522473</v>
      </c>
      <c r="BU149" s="108">
        <f t="shared" si="58"/>
        <v>0</v>
      </c>
      <c r="BV149" s="6" cm="1">
        <f t="array" ref="BV149">IF(AP149=0,FactorPhi7121(BR149,"a"),noisuy2chieu(BU149,BR149,Data!$A$63:$M$85))</f>
        <v>0.42299549615688942</v>
      </c>
      <c r="BW149" s="111">
        <v>1.26</v>
      </c>
      <c r="BX149" s="111">
        <f t="shared" si="59"/>
        <v>0.99766239178292038</v>
      </c>
      <c r="BY149" s="113">
        <f t="shared" si="60"/>
        <v>1.5885143405810209E-3</v>
      </c>
      <c r="BZ149" s="6" t="str">
        <f t="shared" si="61"/>
        <v>OK</v>
      </c>
      <c r="CA149" s="114">
        <f t="shared" si="62"/>
        <v>127.25109874278135</v>
      </c>
      <c r="CB149" s="115">
        <f t="shared" si="63"/>
        <v>150</v>
      </c>
      <c r="CC149" s="6" t="str">
        <f t="shared" si="64"/>
        <v>OK</v>
      </c>
      <c r="DG149" s="108"/>
      <c r="DH149" s="108"/>
      <c r="DI149" s="16"/>
      <c r="DJ149" s="108"/>
      <c r="DT149" s="6"/>
      <c r="DU149" s="6"/>
      <c r="DV149" s="111"/>
      <c r="DW149" s="111"/>
      <c r="DX149" s="111"/>
      <c r="DY149" s="111"/>
      <c r="DZ149" s="111"/>
      <c r="EA149" s="111"/>
      <c r="EB149" s="111"/>
      <c r="EC149" s="111"/>
      <c r="ED149" s="111"/>
      <c r="EE149" s="111"/>
      <c r="EF149" s="6"/>
      <c r="EG149" s="6"/>
      <c r="EH149" s="6"/>
      <c r="EI149" s="6"/>
      <c r="EJ149" s="6"/>
      <c r="EK149" s="6"/>
      <c r="EL149" s="112"/>
      <c r="EM149" s="112"/>
      <c r="EN149" s="118"/>
      <c r="EO149" s="118"/>
      <c r="EP149" s="112"/>
      <c r="EQ149" s="112"/>
      <c r="ER149" s="112"/>
      <c r="ES149" s="112"/>
      <c r="ET149" s="112"/>
      <c r="EU149" s="112"/>
      <c r="EV149" s="6"/>
      <c r="EW149" s="6"/>
      <c r="EX149" s="118"/>
      <c r="EY149" s="113"/>
      <c r="EZ149" s="6"/>
      <c r="FA149" s="114"/>
      <c r="FB149" s="115"/>
      <c r="FC149" s="6"/>
    </row>
    <row r="150" spans="27:159">
      <c r="AA150" s="79" t="s">
        <v>175</v>
      </c>
      <c r="AB150" s="80" t="s">
        <v>195</v>
      </c>
      <c r="AC150" s="81">
        <v>2.74</v>
      </c>
      <c r="AD150" s="81">
        <v>6</v>
      </c>
      <c r="AE150" s="80">
        <v>273</v>
      </c>
      <c r="AF150" s="80">
        <v>6.35</v>
      </c>
      <c r="AG150" s="108" cm="1">
        <f t="array" ref="AG150">_xll.DCEPropSectPipe(AE150, AF150, "Area")/100</f>
        <v>53.19431074856206</v>
      </c>
      <c r="AH150" s="16" cm="1">
        <f t="array" ref="AH150">_xll.DCEPropSectPipe(AE150, AF150, "Ix")/10000</f>
        <v>4730.4733077169503</v>
      </c>
      <c r="AI150" s="16" cm="1">
        <f t="array" ref="AI150">_xll.DCEPropSectPipe(AE150, AF150, "Wx")/1000</f>
        <v>346.55482107816493</v>
      </c>
      <c r="AJ150" s="108">
        <f t="shared" si="33"/>
        <v>9.4301739777164251</v>
      </c>
      <c r="AK150" s="80" t="s">
        <v>209</v>
      </c>
      <c r="AL150" s="82">
        <v>2.9291677199874244</v>
      </c>
      <c r="AM150" s="82">
        <v>-1.9411430938588998</v>
      </c>
      <c r="AN150" s="82">
        <v>-2.0409396657651985E-3</v>
      </c>
      <c r="AO150" s="82">
        <v>5.596256563528172E-3</v>
      </c>
      <c r="AP150" s="82">
        <v>5.3226143633611018</v>
      </c>
      <c r="AQ150" s="82">
        <v>7.3028002275693759E-5</v>
      </c>
      <c r="AR150" s="72">
        <v>1</v>
      </c>
      <c r="AS150" s="116">
        <f t="shared" si="34"/>
        <v>6</v>
      </c>
      <c r="AT150" s="7">
        <v>2</v>
      </c>
      <c r="AU150" s="6">
        <f t="shared" si="35"/>
        <v>12</v>
      </c>
      <c r="AV150" s="111">
        <f t="shared" si="36"/>
        <v>2.4091126653598758E-3</v>
      </c>
      <c r="AW150" s="117">
        <f t="shared" si="37"/>
        <v>105</v>
      </c>
      <c r="AX150" s="111">
        <f t="shared" si="38"/>
        <v>1</v>
      </c>
      <c r="AY150" s="111">
        <f t="shared" si="39"/>
        <v>1</v>
      </c>
      <c r="AZ150" s="111">
        <f t="shared" si="40"/>
        <v>1</v>
      </c>
      <c r="BA150" s="111">
        <f t="shared" si="41"/>
        <v>2.5359080687998698E-3</v>
      </c>
      <c r="BB150" s="111">
        <f t="shared" si="42"/>
        <v>7.4366976324158563E-5</v>
      </c>
      <c r="BC150" s="111">
        <f t="shared" si="43"/>
        <v>7.073062713428413E-2</v>
      </c>
      <c r="BD150" s="111">
        <v>0</v>
      </c>
      <c r="BE150" s="111">
        <f t="shared" si="44"/>
        <v>7.3340902179408154E-2</v>
      </c>
      <c r="BF150" s="6" t="str">
        <f t="shared" si="45"/>
        <v>OK</v>
      </c>
      <c r="BG150" s="16">
        <f t="shared" si="46"/>
        <v>63.625549371390676</v>
      </c>
      <c r="BH150" s="118">
        <f t="shared" si="47"/>
        <v>2.1193803644775273</v>
      </c>
      <c r="BI150" s="108">
        <f t="shared" si="48"/>
        <v>2.9325580544153206E-2</v>
      </c>
      <c r="BJ150" s="6">
        <f t="shared" si="49"/>
        <v>1.2431862233447377</v>
      </c>
      <c r="BK150" s="108">
        <f t="shared" si="50"/>
        <v>3.6457157724077739E-2</v>
      </c>
      <c r="BL150" s="118" cm="1">
        <f t="array" ref="BL150">IF(AO150=0,FactorPhi7121(BH150,"a"),noisuy2chieu(BK150,BH150,Data!$A$63:$M$85))</f>
        <v>0</v>
      </c>
      <c r="BM150" s="111">
        <v>1.26</v>
      </c>
      <c r="BN150" s="118">
        <f t="shared" si="51"/>
        <v>0.99891788124642011</v>
      </c>
      <c r="BO150" s="108" t="e">
        <f t="shared" si="52"/>
        <v>#DIV/0!</v>
      </c>
      <c r="BP150" s="6" t="e">
        <f t="shared" si="53"/>
        <v>#DIV/0!</v>
      </c>
      <c r="BQ150" s="16">
        <f t="shared" si="54"/>
        <v>127.25109874278135</v>
      </c>
      <c r="BR150" s="118">
        <f t="shared" si="55"/>
        <v>4.2387607289550546</v>
      </c>
      <c r="BS150" s="108">
        <f t="shared" si="56"/>
        <v>27.891636926632657</v>
      </c>
      <c r="BT150" s="118">
        <f t="shared" si="57"/>
        <v>1.1000000000000001</v>
      </c>
      <c r="BU150" s="108">
        <f t="shared" si="58"/>
        <v>30.680800619295926</v>
      </c>
      <c r="BV150" s="6" cm="1">
        <f t="array" ref="BV150">IF(AP150=0,FactorPhi7121(BR150,"a"),noisuy2chieu(BU150,BR150,Data!$A$63:$M$85))</f>
        <v>0</v>
      </c>
      <c r="BW150" s="111">
        <v>1.26</v>
      </c>
      <c r="BX150" s="111">
        <f t="shared" si="59"/>
        <v>0.99567152498568035</v>
      </c>
      <c r="BY150" s="113" t="e">
        <f t="shared" si="60"/>
        <v>#DIV/0!</v>
      </c>
      <c r="BZ150" s="6" t="e">
        <f t="shared" si="61"/>
        <v>#DIV/0!</v>
      </c>
      <c r="CA150" s="114">
        <f t="shared" si="62"/>
        <v>127.25109874278135</v>
      </c>
      <c r="CB150" s="115" t="e">
        <f t="shared" si="63"/>
        <v>#DIV/0!</v>
      </c>
      <c r="CC150" s="6" t="e">
        <f t="shared" si="64"/>
        <v>#DIV/0!</v>
      </c>
      <c r="DG150" s="108"/>
      <c r="DH150" s="108"/>
      <c r="DI150" s="16"/>
      <c r="DJ150" s="108"/>
      <c r="DT150" s="6"/>
      <c r="DU150" s="6"/>
      <c r="DV150" s="111"/>
      <c r="DW150" s="111"/>
      <c r="DX150" s="111"/>
      <c r="DY150" s="111"/>
      <c r="DZ150" s="111"/>
      <c r="EA150" s="111"/>
      <c r="EB150" s="111"/>
      <c r="EC150" s="111"/>
      <c r="ED150" s="111"/>
      <c r="EE150" s="111"/>
      <c r="EF150" s="6"/>
      <c r="EG150" s="6"/>
      <c r="EH150" s="6"/>
      <c r="EI150" s="6"/>
      <c r="EJ150" s="6"/>
      <c r="EK150" s="6"/>
      <c r="EL150" s="112"/>
      <c r="EM150" s="112"/>
      <c r="EN150" s="118"/>
      <c r="EO150" s="118"/>
      <c r="EP150" s="112"/>
      <c r="EQ150" s="112"/>
      <c r="ER150" s="112"/>
      <c r="ES150" s="112"/>
      <c r="ET150" s="112"/>
      <c r="EU150" s="112"/>
      <c r="EV150" s="6"/>
      <c r="EW150" s="6"/>
      <c r="EX150" s="118"/>
      <c r="EY150" s="113"/>
      <c r="EZ150" s="6"/>
      <c r="FA150" s="114"/>
      <c r="FB150" s="115"/>
      <c r="FC150" s="6"/>
    </row>
    <row r="151" spans="27:159">
      <c r="AA151" s="79" t="s">
        <v>175</v>
      </c>
      <c r="AB151" s="80" t="s">
        <v>195</v>
      </c>
      <c r="AC151" s="81">
        <v>5.48</v>
      </c>
      <c r="AD151" s="81">
        <v>6</v>
      </c>
      <c r="AE151" s="80">
        <v>273</v>
      </c>
      <c r="AF151" s="80">
        <v>6.35</v>
      </c>
      <c r="AG151" s="108" cm="1">
        <f t="array" ref="AG151">_xll.DCEPropSectPipe(AE151, AF151, "Area")/100</f>
        <v>53.19431074856206</v>
      </c>
      <c r="AH151" s="16" cm="1">
        <f t="array" ref="AH151">_xll.DCEPropSectPipe(AE151, AF151, "Ix")/10000</f>
        <v>4730.4733077169503</v>
      </c>
      <c r="AI151" s="16" cm="1">
        <f t="array" ref="AI151">_xll.DCEPropSectPipe(AE151, AF151, "Wx")/1000</f>
        <v>346.55482107816493</v>
      </c>
      <c r="AJ151" s="108">
        <f t="shared" si="33"/>
        <v>9.4301739777164251</v>
      </c>
      <c r="AK151" s="80" t="s">
        <v>209</v>
      </c>
      <c r="AL151" s="82">
        <v>4.2764280687194542</v>
      </c>
      <c r="AM151" s="82">
        <v>-1.9411430938588998</v>
      </c>
      <c r="AN151" s="82">
        <v>-2.0409396657651985E-3</v>
      </c>
      <c r="AO151" s="82">
        <v>1.1192513127056344E-2</v>
      </c>
      <c r="AP151" s="82">
        <v>10.645228726722204</v>
      </c>
      <c r="AQ151" s="82">
        <v>7.3028002275693759E-5</v>
      </c>
      <c r="AR151" s="72">
        <v>1</v>
      </c>
      <c r="AS151" s="116">
        <f t="shared" si="34"/>
        <v>6</v>
      </c>
      <c r="AT151" s="7">
        <v>2</v>
      </c>
      <c r="AU151" s="6">
        <f t="shared" si="35"/>
        <v>12</v>
      </c>
      <c r="AV151" s="111">
        <f t="shared" si="36"/>
        <v>3.5171755282407458E-3</v>
      </c>
      <c r="AW151" s="117">
        <f t="shared" si="37"/>
        <v>105</v>
      </c>
      <c r="AX151" s="111">
        <f t="shared" si="38"/>
        <v>1</v>
      </c>
      <c r="AY151" s="111">
        <f t="shared" si="39"/>
        <v>1</v>
      </c>
      <c r="AZ151" s="111">
        <f t="shared" si="40"/>
        <v>1</v>
      </c>
      <c r="BA151" s="111">
        <f t="shared" si="41"/>
        <v>3.702290029727101E-3</v>
      </c>
      <c r="BB151" s="111">
        <f t="shared" si="42"/>
        <v>1.4873395264831713E-4</v>
      </c>
      <c r="BC151" s="111">
        <f t="shared" si="43"/>
        <v>0.14146125426856826</v>
      </c>
      <c r="BD151" s="111">
        <v>0</v>
      </c>
      <c r="BE151" s="111">
        <f t="shared" si="44"/>
        <v>0.14531227825094367</v>
      </c>
      <c r="BF151" s="6" t="str">
        <f t="shared" si="45"/>
        <v>OK</v>
      </c>
      <c r="BG151" s="16">
        <f t="shared" si="46"/>
        <v>63.625549371390676</v>
      </c>
      <c r="BH151" s="118">
        <f t="shared" si="47"/>
        <v>2.1193803644775273</v>
      </c>
      <c r="BI151" s="108">
        <f t="shared" si="48"/>
        <v>4.0173501117977094E-2</v>
      </c>
      <c r="BJ151" s="6">
        <f t="shared" si="49"/>
        <v>1.2428737360146425</v>
      </c>
      <c r="BK151" s="108">
        <f t="shared" si="50"/>
        <v>4.9930589423288603E-2</v>
      </c>
      <c r="BL151" s="118" cm="1">
        <f t="array" ref="BL151">IF(AO151=0,FactorPhi7121(BH151,"a"),noisuy2chieu(BK151,BH151,Data!$A$63:$M$85))</f>
        <v>0</v>
      </c>
      <c r="BM151" s="111">
        <v>1.26</v>
      </c>
      <c r="BN151" s="118">
        <f t="shared" si="51"/>
        <v>0.99842016454711013</v>
      </c>
      <c r="BO151" s="108" t="e">
        <f t="shared" si="52"/>
        <v>#DIV/0!</v>
      </c>
      <c r="BP151" s="6" t="e">
        <f t="shared" si="53"/>
        <v>#DIV/0!</v>
      </c>
      <c r="BQ151" s="16">
        <f t="shared" si="54"/>
        <v>127.25109874278135</v>
      </c>
      <c r="BR151" s="118">
        <f t="shared" si="55"/>
        <v>4.2387607289550546</v>
      </c>
      <c r="BS151" s="108">
        <f t="shared" si="56"/>
        <v>38.209122767995432</v>
      </c>
      <c r="BT151" s="118">
        <f t="shared" si="57"/>
        <v>1.1000000000000001</v>
      </c>
      <c r="BU151" s="108">
        <f t="shared" si="58"/>
        <v>42.030035044794978</v>
      </c>
      <c r="BV151" s="6" cm="1">
        <f t="array" ref="BV151">IF(AP151=0,FactorPhi7121(BR151,"a"),noisuy2chieu(BU151,BR151,Data!$A$63:$M$85))</f>
        <v>0</v>
      </c>
      <c r="BW151" s="111">
        <v>1.26</v>
      </c>
      <c r="BX151" s="111">
        <f t="shared" si="59"/>
        <v>0.99368065818844042</v>
      </c>
      <c r="BY151" s="113" t="e">
        <f t="shared" si="60"/>
        <v>#DIV/0!</v>
      </c>
      <c r="BZ151" s="6" t="e">
        <f t="shared" si="61"/>
        <v>#DIV/0!</v>
      </c>
      <c r="CA151" s="114">
        <f t="shared" si="62"/>
        <v>127.25109874278135</v>
      </c>
      <c r="CB151" s="115" t="e">
        <f t="shared" si="63"/>
        <v>#DIV/0!</v>
      </c>
      <c r="CC151" s="6" t="e">
        <f t="shared" si="64"/>
        <v>#DIV/0!</v>
      </c>
      <c r="DG151" s="108"/>
      <c r="DH151" s="108"/>
      <c r="DI151" s="16"/>
      <c r="DJ151" s="108"/>
      <c r="DT151" s="6"/>
      <c r="DU151" s="6"/>
      <c r="DV151" s="111"/>
      <c r="DW151" s="111"/>
      <c r="DX151" s="111"/>
      <c r="DY151" s="111"/>
      <c r="DZ151" s="111"/>
      <c r="EA151" s="111"/>
      <c r="EB151" s="111"/>
      <c r="EC151" s="111"/>
      <c r="ED151" s="111"/>
      <c r="EE151" s="111"/>
      <c r="EF151" s="6"/>
      <c r="EG151" s="6"/>
      <c r="EH151" s="6"/>
      <c r="EI151" s="6"/>
      <c r="EJ151" s="6"/>
      <c r="EK151" s="6"/>
      <c r="EL151" s="112"/>
      <c r="EM151" s="112"/>
      <c r="EN151" s="118"/>
      <c r="EO151" s="118"/>
      <c r="EP151" s="112"/>
      <c r="EQ151" s="112"/>
      <c r="ER151" s="112"/>
      <c r="ES151" s="112"/>
      <c r="ET151" s="112"/>
      <c r="EU151" s="112"/>
      <c r="EV151" s="6"/>
      <c r="EW151" s="6"/>
      <c r="EX151" s="118"/>
      <c r="EY151" s="113"/>
      <c r="EZ151" s="6"/>
      <c r="FA151" s="114"/>
      <c r="FB151" s="115"/>
      <c r="FC151" s="6"/>
    </row>
    <row r="152" spans="27:159">
      <c r="AA152" s="79" t="s">
        <v>175</v>
      </c>
      <c r="AB152" s="80" t="s">
        <v>195</v>
      </c>
      <c r="AC152" s="81">
        <v>0</v>
      </c>
      <c r="AD152" s="81">
        <v>6</v>
      </c>
      <c r="AE152" s="80">
        <v>273</v>
      </c>
      <c r="AF152" s="80">
        <v>6.35</v>
      </c>
      <c r="AG152" s="108" cm="1">
        <f t="array" ref="AG152">_xll.DCEPropSectPipe(AE152, AF152, "Area")/100</f>
        <v>53.19431074856206</v>
      </c>
      <c r="AH152" s="16" cm="1">
        <f t="array" ref="AH152">_xll.DCEPropSectPipe(AE152, AF152, "Ix")/10000</f>
        <v>4730.4733077169503</v>
      </c>
      <c r="AI152" s="16" cm="1">
        <f t="array" ref="AI152">_xll.DCEPropSectPipe(AE152, AF152, "Wx")/1000</f>
        <v>346.55482107816493</v>
      </c>
      <c r="AJ152" s="108">
        <f t="shared" ref="AJ152:AJ215" si="65">SQRT(AH152/AG152)</f>
        <v>9.4301739777164251</v>
      </c>
      <c r="AK152" s="80" t="s">
        <v>210</v>
      </c>
      <c r="AL152" s="82">
        <v>16.755669048854823</v>
      </c>
      <c r="AM152" s="82">
        <v>-2.0167488161342604</v>
      </c>
      <c r="AN152" s="82">
        <v>-2.8594185877656528E-3</v>
      </c>
      <c r="AO152" s="82">
        <v>0</v>
      </c>
      <c r="AP152" s="82">
        <v>0</v>
      </c>
      <c r="AQ152" s="82">
        <v>-7.3878328557734792E-4</v>
      </c>
      <c r="AR152" s="72">
        <v>1</v>
      </c>
      <c r="AS152" s="116">
        <f t="shared" ref="AS152:AS215" si="66">AR152*AD152</f>
        <v>6</v>
      </c>
      <c r="AT152" s="7">
        <v>2</v>
      </c>
      <c r="AU152" s="6">
        <f t="shared" ref="AU152:AU215" si="67">AT152*AD152</f>
        <v>12</v>
      </c>
      <c r="AV152" s="111">
        <f t="shared" ref="AV152:AV215" si="68">ABS(AL152)/(AG152*$F$23)*10</f>
        <v>1.3780806830121671E-2</v>
      </c>
      <c r="AW152" s="117">
        <f t="shared" ref="AW152:AW215" si="69">IF(AV152&gt;0.1,104,105)</f>
        <v>105</v>
      </c>
      <c r="AX152" s="111">
        <f t="shared" ref="AX152:AX215" si="70">IF(AW152=104,1.5,1)</f>
        <v>1</v>
      </c>
      <c r="AY152" s="111">
        <f t="shared" ref="AY152:AY215" si="71">IF(AW152=104,1.26,1)</f>
        <v>1</v>
      </c>
      <c r="AZ152" s="111">
        <f t="shared" ref="AZ152:AZ215" si="72">IF(AW152=104,1.26,1)</f>
        <v>1</v>
      </c>
      <c r="BA152" s="111">
        <f t="shared" ref="BA152:BA215" si="73">(ABS(AL152)/(AG152*$F$23*$I$23)*10)^AX152</f>
        <v>1.4506112452759654E-2</v>
      </c>
      <c r="BB152" s="111">
        <f t="shared" ref="BB152:BB215" si="74">ABS(AO152)/(AY152*AI152*$F$23*$I$23)*1000</f>
        <v>0</v>
      </c>
      <c r="BC152" s="111">
        <f t="shared" ref="BC152:BC215" si="75">ABS(AP152)/(AZ152*AI152*$F$23*$I$23)*1000</f>
        <v>0</v>
      </c>
      <c r="BD152" s="111">
        <v>0</v>
      </c>
      <c r="BE152" s="111">
        <f t="shared" ref="BE152:BE215" si="76">BA152+BB152+BC152+BD152</f>
        <v>1.4506112452759654E-2</v>
      </c>
      <c r="BF152" s="6" t="str">
        <f t="shared" ref="BF152:BF215" si="77">IF(BE152&lt;=1,"OK","Check")</f>
        <v>OK</v>
      </c>
      <c r="BG152" s="16">
        <f t="shared" ref="BG152:BG215" si="78">AS152*100/AJ152</f>
        <v>63.625549371390676</v>
      </c>
      <c r="BH152" s="118">
        <f t="shared" ref="BH152:BH215" si="79">BG152*SQRT($F$23/$D$23)</f>
        <v>2.1193803644775273</v>
      </c>
      <c r="BI152" s="108">
        <f t="shared" ref="BI152:BI215" si="80">ABS((AO152/AL152)*100*AG152/AI152)</f>
        <v>0</v>
      </c>
      <c r="BJ152" s="6">
        <f t="shared" ref="BJ152:BJ215" si="81">IF(AND(BH152&lt;=5,BI152&lt;=5),(1.35-0.05*BI152)-0.01*(5-BI152)*BH152,1.1)</f>
        <v>1.2440309817761237</v>
      </c>
      <c r="BK152" s="108">
        <f t="shared" ref="BK152:BK215" si="82">BI152*BJ152</f>
        <v>0</v>
      </c>
      <c r="BL152" s="118" cm="1">
        <f t="array" ref="BL152">IF(AO152=0,FactorPhi7121(BH152,"a"),noisuy2chieu(BK152,BH152,Data!$A$63:$M$85))</f>
        <v>0.86214274110469236</v>
      </c>
      <c r="BM152" s="111">
        <v>1.26</v>
      </c>
      <c r="BN152" s="118">
        <f t="shared" ref="BN152:BN215" si="83">IF(BH152&lt;=1,1,1-0.1*ABS(AL152)*BH152^2/(AG152*$F$23)*10)</f>
        <v>0.99380997421799322</v>
      </c>
      <c r="BO152" s="108">
        <f t="shared" ref="BO152:BO215" si="84">ABS(AL152)/(BV152*AG152*$F$23*$I$23)*10+ABS(AO152)*1000/(BM152*BN152*AI152*$F$23*$I$23)</f>
        <v>3.429377519277256E-2</v>
      </c>
      <c r="BP152" s="6" t="str">
        <f t="shared" ref="BP152:BP215" si="85">IF(BO152&lt;=1,"OK","Check")</f>
        <v>OK</v>
      </c>
      <c r="BQ152" s="16">
        <f t="shared" ref="BQ152:BQ215" si="86">AU152*100/AJ152</f>
        <v>127.25109874278135</v>
      </c>
      <c r="BR152" s="118">
        <f t="shared" ref="BR152:BR215" si="87">BQ152*SQRT($F$23/$D$23)</f>
        <v>4.2387607289550546</v>
      </c>
      <c r="BS152" s="108">
        <f t="shared" ref="BS152:BS215" si="88">ABS((AP152/AL152)*100*AG152/AI152)</f>
        <v>0</v>
      </c>
      <c r="BT152" s="118">
        <f t="shared" ref="BT152:BT215" si="89">IF(AND(BR152&lt;=5,BS152&lt;=5),(1.35-0.05*BS152)-0.01*(5-BS152)*BR152,1.1)</f>
        <v>1.1380619635522473</v>
      </c>
      <c r="BU152" s="108">
        <f t="shared" ref="BU152:BU215" si="90">BS152*BT152</f>
        <v>0</v>
      </c>
      <c r="BV152" s="6" cm="1">
        <f t="array" ref="BV152">IF(AP152=0,FactorPhi7121(BR152,"a"),noisuy2chieu(BU152,BR152,Data!$A$63:$M$85))</f>
        <v>0.42299549615688942</v>
      </c>
      <c r="BW152" s="111">
        <v>1.26</v>
      </c>
      <c r="BX152" s="111">
        <f t="shared" ref="BX152:BX215" si="91">IF(BR152&lt;=1,1,1-0.1*ABS(AL152)*BR152^2/(AG152*$F$23)*10)</f>
        <v>0.97523989687197288</v>
      </c>
      <c r="BY152" s="113">
        <f t="shared" ref="BY152:BY215" si="92">ABS(AL152)/(BL152*AG152*$F$23*$I$23)*10+ABS(AP152)*1000/(BW152*BX152*AI152*$F$23*$I$23)</f>
        <v>1.6825650511390358E-2</v>
      </c>
      <c r="BZ152" s="6" t="str">
        <f t="shared" ref="BZ152:BZ215" si="93">IF(BY152&lt;=1,"OK","Check")</f>
        <v>OK</v>
      </c>
      <c r="CA152" s="114">
        <f t="shared" ref="CA152:CA215" si="94">MAX(BG152,BQ152)</f>
        <v>127.25109874278135</v>
      </c>
      <c r="CB152" s="115">
        <f t="shared" ref="CB152:CB215" si="95">180-60*MAX(ABS(AL152)/(BV152*AG152*$F$23*$I$23)*10,ABS(AL152)/(BL152*AG152*$F$23*$I$23)*10,0.5)</f>
        <v>150</v>
      </c>
      <c r="CC152" s="6" t="str">
        <f t="shared" ref="CC152:CC215" si="96">IF(CA152&lt;=CB152,"OK","Check")</f>
        <v>OK</v>
      </c>
      <c r="DG152" s="108"/>
      <c r="DH152" s="108"/>
      <c r="DI152" s="16"/>
      <c r="DJ152" s="108"/>
      <c r="DT152" s="6"/>
      <c r="DU152" s="6"/>
      <c r="DV152" s="111"/>
      <c r="DW152" s="111"/>
      <c r="DX152" s="111"/>
      <c r="DY152" s="111"/>
      <c r="DZ152" s="111"/>
      <c r="EA152" s="111"/>
      <c r="EB152" s="111"/>
      <c r="EC152" s="111"/>
      <c r="ED152" s="111"/>
      <c r="EE152" s="111"/>
      <c r="EF152" s="6"/>
      <c r="EG152" s="6"/>
      <c r="EH152" s="6"/>
      <c r="EI152" s="6"/>
      <c r="EJ152" s="6"/>
      <c r="EK152" s="6"/>
      <c r="EL152" s="112"/>
      <c r="EM152" s="112"/>
      <c r="EN152" s="118"/>
      <c r="EO152" s="118"/>
      <c r="EP152" s="112"/>
      <c r="EQ152" s="112"/>
      <c r="ER152" s="112"/>
      <c r="ES152" s="112"/>
      <c r="ET152" s="112"/>
      <c r="EU152" s="112"/>
      <c r="EV152" s="6"/>
      <c r="EW152" s="6"/>
      <c r="EX152" s="118"/>
      <c r="EY152" s="113"/>
      <c r="EZ152" s="6"/>
      <c r="FA152" s="114"/>
      <c r="FB152" s="115"/>
      <c r="FC152" s="6"/>
    </row>
    <row r="153" spans="27:159">
      <c r="AA153" s="79" t="s">
        <v>175</v>
      </c>
      <c r="AB153" s="80" t="s">
        <v>195</v>
      </c>
      <c r="AC153" s="81">
        <v>2.74</v>
      </c>
      <c r="AD153" s="81">
        <v>6</v>
      </c>
      <c r="AE153" s="80">
        <v>273</v>
      </c>
      <c r="AF153" s="80">
        <v>6.35</v>
      </c>
      <c r="AG153" s="108" cm="1">
        <f t="array" ref="AG153">_xll.DCEPropSectPipe(AE153, AF153, "Area")/100</f>
        <v>53.19431074856206</v>
      </c>
      <c r="AH153" s="16" cm="1">
        <f t="array" ref="AH153">_xll.DCEPropSectPipe(AE153, AF153, "Ix")/10000</f>
        <v>4730.4733077169503</v>
      </c>
      <c r="AI153" s="16" cm="1">
        <f t="array" ref="AI153">_xll.DCEPropSectPipe(AE153, AF153, "Wx")/1000</f>
        <v>346.55482107816493</v>
      </c>
      <c r="AJ153" s="108">
        <f t="shared" si="65"/>
        <v>9.4301739777164251</v>
      </c>
      <c r="AK153" s="80" t="s">
        <v>210</v>
      </c>
      <c r="AL153" s="82">
        <v>18.102929397586855</v>
      </c>
      <c r="AM153" s="82">
        <v>-2.0167488161342604</v>
      </c>
      <c r="AN153" s="82">
        <v>-2.8594185877656528E-3</v>
      </c>
      <c r="AO153" s="82">
        <v>7.8405257676534175E-3</v>
      </c>
      <c r="AP153" s="82">
        <v>5.5299252538401413</v>
      </c>
      <c r="AQ153" s="82">
        <v>-7.3878328557734792E-4</v>
      </c>
      <c r="AR153" s="72">
        <v>1</v>
      </c>
      <c r="AS153" s="116">
        <f t="shared" si="66"/>
        <v>6</v>
      </c>
      <c r="AT153" s="7">
        <v>2</v>
      </c>
      <c r="AU153" s="6">
        <f t="shared" si="67"/>
        <v>12</v>
      </c>
      <c r="AV153" s="111">
        <f t="shared" si="68"/>
        <v>1.4888869693002543E-2</v>
      </c>
      <c r="AW153" s="117">
        <f t="shared" si="69"/>
        <v>105</v>
      </c>
      <c r="AX153" s="111">
        <f t="shared" si="70"/>
        <v>1</v>
      </c>
      <c r="AY153" s="111">
        <f t="shared" si="71"/>
        <v>1</v>
      </c>
      <c r="AZ153" s="111">
        <f t="shared" si="72"/>
        <v>1</v>
      </c>
      <c r="BA153" s="111">
        <f t="shared" si="73"/>
        <v>1.5672494413686885E-2</v>
      </c>
      <c r="BB153" s="111">
        <f t="shared" si="74"/>
        <v>1.0419039719015941E-4</v>
      </c>
      <c r="BC153" s="111">
        <f t="shared" si="75"/>
        <v>7.3485519428620832E-2</v>
      </c>
      <c r="BD153" s="111">
        <v>0</v>
      </c>
      <c r="BE153" s="111">
        <f t="shared" si="76"/>
        <v>8.9262204239497878E-2</v>
      </c>
      <c r="BF153" s="6" t="str">
        <f t="shared" si="77"/>
        <v>OK</v>
      </c>
      <c r="BG153" s="16">
        <f t="shared" si="78"/>
        <v>63.625549371390676</v>
      </c>
      <c r="BH153" s="118">
        <f t="shared" si="79"/>
        <v>2.1193803644775273</v>
      </c>
      <c r="BI153" s="108">
        <f t="shared" si="80"/>
        <v>6.6479779440322719E-3</v>
      </c>
      <c r="BJ153" s="6">
        <f t="shared" si="81"/>
        <v>1.2438394788181026</v>
      </c>
      <c r="BK153" s="108">
        <f t="shared" si="82"/>
        <v>8.2690174210993429E-3</v>
      </c>
      <c r="BL153" s="118" cm="1">
        <f t="array" ref="BL153">IF(AO153=0,FactorPhi7121(BH153,"a"),noisuy2chieu(BK153,BH153,Data!$A$63:$M$85))</f>
        <v>0</v>
      </c>
      <c r="BM153" s="111">
        <v>1.26</v>
      </c>
      <c r="BN153" s="118">
        <f t="shared" si="83"/>
        <v>0.99331225751868324</v>
      </c>
      <c r="BO153" s="108" t="e">
        <f t="shared" si="84"/>
        <v>#DIV/0!</v>
      </c>
      <c r="BP153" s="6" t="e">
        <f t="shared" si="85"/>
        <v>#DIV/0!</v>
      </c>
      <c r="BQ153" s="16">
        <f t="shared" si="86"/>
        <v>127.25109874278135</v>
      </c>
      <c r="BR153" s="118">
        <f t="shared" si="87"/>
        <v>4.2387607289550546</v>
      </c>
      <c r="BS153" s="108">
        <f t="shared" si="88"/>
        <v>4.6888209042490052</v>
      </c>
      <c r="BT153" s="118">
        <f t="shared" si="89"/>
        <v>1.1023688174801392</v>
      </c>
      <c r="BU153" s="108">
        <f t="shared" si="90"/>
        <v>5.1688099555931331</v>
      </c>
      <c r="BV153" s="6" cm="1">
        <f t="array" ref="BV153">IF(AP153=0,FactorPhi7121(BR153,"a"),noisuy2chieu(BU153,BR153,Data!$A$63:$M$85))</f>
        <v>0</v>
      </c>
      <c r="BW153" s="111">
        <v>1.26</v>
      </c>
      <c r="BX153" s="111">
        <f t="shared" si="91"/>
        <v>0.97324903007473296</v>
      </c>
      <c r="BY153" s="113" t="e">
        <f t="shared" si="92"/>
        <v>#DIV/0!</v>
      </c>
      <c r="BZ153" s="6" t="e">
        <f t="shared" si="93"/>
        <v>#DIV/0!</v>
      </c>
      <c r="CA153" s="114">
        <f t="shared" si="94"/>
        <v>127.25109874278135</v>
      </c>
      <c r="CB153" s="115" t="e">
        <f t="shared" si="95"/>
        <v>#DIV/0!</v>
      </c>
      <c r="CC153" s="6" t="e">
        <f t="shared" si="96"/>
        <v>#DIV/0!</v>
      </c>
      <c r="DG153" s="108"/>
      <c r="DH153" s="108"/>
      <c r="DI153" s="16"/>
      <c r="DJ153" s="108"/>
      <c r="DT153" s="6"/>
      <c r="DU153" s="6"/>
      <c r="DV153" s="111"/>
      <c r="DW153" s="111"/>
      <c r="DX153" s="111"/>
      <c r="DY153" s="111"/>
      <c r="DZ153" s="111"/>
      <c r="EA153" s="111"/>
      <c r="EB153" s="111"/>
      <c r="EC153" s="111"/>
      <c r="ED153" s="111"/>
      <c r="EE153" s="111"/>
      <c r="EF153" s="6"/>
      <c r="EG153" s="6"/>
      <c r="EH153" s="6"/>
      <c r="EI153" s="6"/>
      <c r="EJ153" s="6"/>
      <c r="EK153" s="6"/>
      <c r="EL153" s="112"/>
      <c r="EM153" s="112"/>
      <c r="EN153" s="118"/>
      <c r="EO153" s="118"/>
      <c r="EP153" s="112"/>
      <c r="EQ153" s="112"/>
      <c r="ER153" s="112"/>
      <c r="ES153" s="112"/>
      <c r="ET153" s="112"/>
      <c r="EU153" s="112"/>
      <c r="EV153" s="6"/>
      <c r="EW153" s="6"/>
      <c r="EX153" s="118"/>
      <c r="EY153" s="113"/>
      <c r="EZ153" s="6"/>
      <c r="FA153" s="114"/>
      <c r="FB153" s="115"/>
      <c r="FC153" s="6"/>
    </row>
    <row r="154" spans="27:159">
      <c r="AA154" s="79" t="s">
        <v>175</v>
      </c>
      <c r="AB154" s="80" t="s">
        <v>195</v>
      </c>
      <c r="AC154" s="81">
        <v>5.48</v>
      </c>
      <c r="AD154" s="81">
        <v>6</v>
      </c>
      <c r="AE154" s="80">
        <v>273</v>
      </c>
      <c r="AF154" s="80">
        <v>6.35</v>
      </c>
      <c r="AG154" s="108" cm="1">
        <f t="array" ref="AG154">_xll.DCEPropSectPipe(AE154, AF154, "Area")/100</f>
        <v>53.19431074856206</v>
      </c>
      <c r="AH154" s="16" cm="1">
        <f t="array" ref="AH154">_xll.DCEPropSectPipe(AE154, AF154, "Ix")/10000</f>
        <v>4730.4733077169503</v>
      </c>
      <c r="AI154" s="16" cm="1">
        <f t="array" ref="AI154">_xll.DCEPropSectPipe(AE154, AF154, "Wx")/1000</f>
        <v>346.55482107816493</v>
      </c>
      <c r="AJ154" s="108">
        <f t="shared" si="65"/>
        <v>9.4301739777164251</v>
      </c>
      <c r="AK154" s="80" t="s">
        <v>210</v>
      </c>
      <c r="AL154" s="82">
        <v>19.450189746318888</v>
      </c>
      <c r="AM154" s="82">
        <v>-2.0167488161342604</v>
      </c>
      <c r="AN154" s="82">
        <v>-2.8594185877656528E-3</v>
      </c>
      <c r="AO154" s="82">
        <v>1.5681051535306835E-2</v>
      </c>
      <c r="AP154" s="82">
        <v>11.059850507680283</v>
      </c>
      <c r="AQ154" s="82">
        <v>-7.3878328557734792E-4</v>
      </c>
      <c r="AR154" s="72">
        <v>1</v>
      </c>
      <c r="AS154" s="116">
        <f t="shared" si="66"/>
        <v>6</v>
      </c>
      <c r="AT154" s="7">
        <v>2</v>
      </c>
      <c r="AU154" s="6">
        <f t="shared" si="67"/>
        <v>12</v>
      </c>
      <c r="AV154" s="111">
        <f t="shared" si="68"/>
        <v>1.5996932555883414E-2</v>
      </c>
      <c r="AW154" s="117">
        <f t="shared" si="69"/>
        <v>105</v>
      </c>
      <c r="AX154" s="111">
        <f t="shared" si="70"/>
        <v>1</v>
      </c>
      <c r="AY154" s="111">
        <f t="shared" si="71"/>
        <v>1</v>
      </c>
      <c r="AZ154" s="111">
        <f t="shared" si="72"/>
        <v>1</v>
      </c>
      <c r="BA154" s="111">
        <f t="shared" si="73"/>
        <v>1.683887637461412E-2</v>
      </c>
      <c r="BB154" s="111">
        <f t="shared" si="74"/>
        <v>2.0838079438031883E-4</v>
      </c>
      <c r="BC154" s="111">
        <f t="shared" si="75"/>
        <v>0.14697103885724166</v>
      </c>
      <c r="BD154" s="111">
        <v>0</v>
      </c>
      <c r="BE154" s="111">
        <f t="shared" si="76"/>
        <v>0.1640182960262361</v>
      </c>
      <c r="BF154" s="6" t="str">
        <f t="shared" si="77"/>
        <v>OK</v>
      </c>
      <c r="BG154" s="16">
        <f t="shared" si="78"/>
        <v>63.625549371390676</v>
      </c>
      <c r="BH154" s="118">
        <f t="shared" si="79"/>
        <v>2.1193803644775273</v>
      </c>
      <c r="BI154" s="108">
        <f t="shared" si="80"/>
        <v>1.2374982139216168E-2</v>
      </c>
      <c r="BJ154" s="6">
        <f t="shared" si="81"/>
        <v>1.243674505610729</v>
      </c>
      <c r="BK154" s="108">
        <f t="shared" si="82"/>
        <v>1.5390449793931268E-2</v>
      </c>
      <c r="BL154" s="118" cm="1">
        <f t="array" ref="BL154">IF(AO154=0,FactorPhi7121(BH154,"a"),noisuy2chieu(BK154,BH154,Data!$A$63:$M$85))</f>
        <v>0</v>
      </c>
      <c r="BM154" s="111">
        <v>1.26</v>
      </c>
      <c r="BN154" s="118">
        <f t="shared" si="83"/>
        <v>0.99281454081937326</v>
      </c>
      <c r="BO154" s="108" t="e">
        <f t="shared" si="84"/>
        <v>#DIV/0!</v>
      </c>
      <c r="BP154" s="6" t="e">
        <f t="shared" si="85"/>
        <v>#DIV/0!</v>
      </c>
      <c r="BQ154" s="16">
        <f t="shared" si="86"/>
        <v>127.25109874278135</v>
      </c>
      <c r="BR154" s="118">
        <f t="shared" si="87"/>
        <v>4.2387607289550546</v>
      </c>
      <c r="BS154" s="108">
        <f t="shared" si="88"/>
        <v>8.7280787380096001</v>
      </c>
      <c r="BT154" s="118">
        <f t="shared" si="89"/>
        <v>1.1000000000000001</v>
      </c>
      <c r="BU154" s="108">
        <f t="shared" si="90"/>
        <v>9.6008866118105605</v>
      </c>
      <c r="BV154" s="6" cm="1">
        <f t="array" ref="BV154">IF(AP154=0,FactorPhi7121(BR154,"a"),noisuy2chieu(BU154,BR154,Data!$A$63:$M$85))</f>
        <v>0</v>
      </c>
      <c r="BW154" s="111">
        <v>1.26</v>
      </c>
      <c r="BX154" s="111">
        <f t="shared" si="91"/>
        <v>0.97125816327749293</v>
      </c>
      <c r="BY154" s="113" t="e">
        <f t="shared" si="92"/>
        <v>#DIV/0!</v>
      </c>
      <c r="BZ154" s="6" t="e">
        <f t="shared" si="93"/>
        <v>#DIV/0!</v>
      </c>
      <c r="CA154" s="114">
        <f t="shared" si="94"/>
        <v>127.25109874278135</v>
      </c>
      <c r="CB154" s="115" t="e">
        <f t="shared" si="95"/>
        <v>#DIV/0!</v>
      </c>
      <c r="CC154" s="6" t="e">
        <f t="shared" si="96"/>
        <v>#DIV/0!</v>
      </c>
      <c r="DG154" s="108"/>
      <c r="DH154" s="108"/>
      <c r="DI154" s="16"/>
      <c r="DJ154" s="108"/>
      <c r="DT154" s="6"/>
      <c r="DU154" s="6"/>
      <c r="DV154" s="111"/>
      <c r="DW154" s="111"/>
      <c r="DX154" s="111"/>
      <c r="DY154" s="111"/>
      <c r="DZ154" s="111"/>
      <c r="EA154" s="111"/>
      <c r="EB154" s="111"/>
      <c r="EC154" s="111"/>
      <c r="ED154" s="111"/>
      <c r="EE154" s="111"/>
      <c r="EF154" s="6"/>
      <c r="EG154" s="6"/>
      <c r="EH154" s="6"/>
      <c r="EI154" s="6"/>
      <c r="EJ154" s="6"/>
      <c r="EK154" s="6"/>
      <c r="EL154" s="112"/>
      <c r="EM154" s="112"/>
      <c r="EN154" s="118"/>
      <c r="EO154" s="118"/>
      <c r="EP154" s="112"/>
      <c r="EQ154" s="112"/>
      <c r="ER154" s="112"/>
      <c r="ES154" s="112"/>
      <c r="ET154" s="112"/>
      <c r="EU154" s="112"/>
      <c r="EV154" s="6"/>
      <c r="EW154" s="6"/>
      <c r="EX154" s="118"/>
      <c r="EY154" s="113"/>
      <c r="EZ154" s="6"/>
      <c r="FA154" s="114"/>
      <c r="FB154" s="115"/>
      <c r="FC154" s="6"/>
    </row>
    <row r="155" spans="27:159">
      <c r="AA155" s="79" t="s">
        <v>175</v>
      </c>
      <c r="AB155" s="80" t="s">
        <v>195</v>
      </c>
      <c r="AC155" s="81">
        <v>0</v>
      </c>
      <c r="AD155" s="81">
        <v>6</v>
      </c>
      <c r="AE155" s="80">
        <v>273</v>
      </c>
      <c r="AF155" s="80">
        <v>6.35</v>
      </c>
      <c r="AG155" s="108" cm="1">
        <f t="array" ref="AG155">_xll.DCEPropSectPipe(AE155, AF155, "Area")/100</f>
        <v>53.19431074856206</v>
      </c>
      <c r="AH155" s="16" cm="1">
        <f t="array" ref="AH155">_xll.DCEPropSectPipe(AE155, AF155, "Ix")/10000</f>
        <v>4730.4733077169503</v>
      </c>
      <c r="AI155" s="16" cm="1">
        <f t="array" ref="AI155">_xll.DCEPropSectPipe(AE155, AF155, "Wx")/1000</f>
        <v>346.55482107816493</v>
      </c>
      <c r="AJ155" s="108">
        <f t="shared" si="65"/>
        <v>9.4301739777164251</v>
      </c>
      <c r="AK155" s="80" t="s">
        <v>211</v>
      </c>
      <c r="AL155" s="82">
        <v>-68.197959029037207</v>
      </c>
      <c r="AM155" s="82">
        <v>9.2474405759616616</v>
      </c>
      <c r="AN155" s="82">
        <v>1.1078341848965357E-2</v>
      </c>
      <c r="AO155" s="82">
        <v>0</v>
      </c>
      <c r="AP155" s="82">
        <v>0</v>
      </c>
      <c r="AQ155" s="82">
        <v>5.5789810790469671E-4</v>
      </c>
      <c r="AR155" s="72">
        <v>1</v>
      </c>
      <c r="AS155" s="116">
        <f t="shared" si="66"/>
        <v>6</v>
      </c>
      <c r="AT155" s="7">
        <v>2</v>
      </c>
      <c r="AU155" s="6">
        <f t="shared" si="67"/>
        <v>12</v>
      </c>
      <c r="AV155" s="111">
        <f t="shared" si="68"/>
        <v>5.6089846179669355E-2</v>
      </c>
      <c r="AW155" s="117">
        <f t="shared" si="69"/>
        <v>105</v>
      </c>
      <c r="AX155" s="111">
        <f t="shared" si="70"/>
        <v>1</v>
      </c>
      <c r="AY155" s="111">
        <f t="shared" si="71"/>
        <v>1</v>
      </c>
      <c r="AZ155" s="111">
        <f t="shared" si="72"/>
        <v>1</v>
      </c>
      <c r="BA155" s="111">
        <f t="shared" si="73"/>
        <v>5.9041943347020377E-2</v>
      </c>
      <c r="BB155" s="111">
        <f t="shared" si="74"/>
        <v>0</v>
      </c>
      <c r="BC155" s="111">
        <f t="shared" si="75"/>
        <v>0</v>
      </c>
      <c r="BD155" s="111">
        <v>0</v>
      </c>
      <c r="BE155" s="111">
        <f t="shared" si="76"/>
        <v>5.9041943347020377E-2</v>
      </c>
      <c r="BF155" s="6" t="str">
        <f t="shared" si="77"/>
        <v>OK</v>
      </c>
      <c r="BG155" s="16">
        <f t="shared" si="78"/>
        <v>63.625549371390676</v>
      </c>
      <c r="BH155" s="118">
        <f t="shared" si="79"/>
        <v>2.1193803644775273</v>
      </c>
      <c r="BI155" s="108">
        <f t="shared" si="80"/>
        <v>0</v>
      </c>
      <c r="BJ155" s="6">
        <f t="shared" si="81"/>
        <v>1.2440309817761237</v>
      </c>
      <c r="BK155" s="108">
        <f t="shared" si="82"/>
        <v>0</v>
      </c>
      <c r="BL155" s="118" cm="1">
        <f t="array" ref="BL155">IF(AO155=0,FactorPhi7121(BH155,"a"),noisuy2chieu(BK155,BH155,Data!$A$63:$M$85))</f>
        <v>0.86214274110469236</v>
      </c>
      <c r="BM155" s="111">
        <v>1.26</v>
      </c>
      <c r="BN155" s="118">
        <f t="shared" si="83"/>
        <v>0.97480571361017454</v>
      </c>
      <c r="BO155" s="108">
        <f t="shared" si="84"/>
        <v>0.13958054845369242</v>
      </c>
      <c r="BP155" s="6" t="str">
        <f t="shared" si="85"/>
        <v>OK</v>
      </c>
      <c r="BQ155" s="16">
        <f t="shared" si="86"/>
        <v>127.25109874278135</v>
      </c>
      <c r="BR155" s="118">
        <f t="shared" si="87"/>
        <v>4.2387607289550546</v>
      </c>
      <c r="BS155" s="108">
        <f t="shared" si="88"/>
        <v>0</v>
      </c>
      <c r="BT155" s="118">
        <f t="shared" si="89"/>
        <v>1.1380619635522473</v>
      </c>
      <c r="BU155" s="108">
        <f t="shared" si="90"/>
        <v>0</v>
      </c>
      <c r="BV155" s="6" cm="1">
        <f t="array" ref="BV155">IF(AP155=0,FactorPhi7121(BR155,"a"),noisuy2chieu(BU155,BR155,Data!$A$63:$M$85))</f>
        <v>0.42299549615688942</v>
      </c>
      <c r="BW155" s="111">
        <v>1.26</v>
      </c>
      <c r="BX155" s="111">
        <f t="shared" si="91"/>
        <v>0.89922285444069827</v>
      </c>
      <c r="BY155" s="113">
        <f t="shared" si="92"/>
        <v>6.8482793546887549E-2</v>
      </c>
      <c r="BZ155" s="6" t="str">
        <f t="shared" si="93"/>
        <v>OK</v>
      </c>
      <c r="CA155" s="114">
        <f t="shared" si="94"/>
        <v>127.25109874278135</v>
      </c>
      <c r="CB155" s="115">
        <f t="shared" si="95"/>
        <v>150</v>
      </c>
      <c r="CC155" s="6" t="str">
        <f t="shared" si="96"/>
        <v>OK</v>
      </c>
      <c r="DG155" s="108"/>
      <c r="DH155" s="108"/>
      <c r="DI155" s="16"/>
      <c r="DJ155" s="108"/>
      <c r="DT155" s="6"/>
      <c r="DU155" s="6"/>
      <c r="DV155" s="111"/>
      <c r="DW155" s="111"/>
      <c r="DX155" s="111"/>
      <c r="DY155" s="111"/>
      <c r="DZ155" s="111"/>
      <c r="EA155" s="111"/>
      <c r="EB155" s="111"/>
      <c r="EC155" s="111"/>
      <c r="ED155" s="111"/>
      <c r="EE155" s="111"/>
      <c r="EF155" s="6"/>
      <c r="EG155" s="6"/>
      <c r="EH155" s="6"/>
      <c r="EI155" s="6"/>
      <c r="EJ155" s="6"/>
      <c r="EK155" s="6"/>
      <c r="EL155" s="112"/>
      <c r="EM155" s="112"/>
      <c r="EN155" s="118"/>
      <c r="EO155" s="118"/>
      <c r="EP155" s="112"/>
      <c r="EQ155" s="112"/>
      <c r="ER155" s="112"/>
      <c r="ES155" s="112"/>
      <c r="ET155" s="112"/>
      <c r="EU155" s="112"/>
      <c r="EV155" s="6"/>
      <c r="EW155" s="6"/>
      <c r="EX155" s="118"/>
      <c r="EY155" s="113"/>
      <c r="EZ155" s="6"/>
      <c r="FA155" s="114"/>
      <c r="FB155" s="115"/>
      <c r="FC155" s="6"/>
    </row>
    <row r="156" spans="27:159">
      <c r="AA156" s="79" t="s">
        <v>175</v>
      </c>
      <c r="AB156" s="80" t="s">
        <v>195</v>
      </c>
      <c r="AC156" s="81">
        <v>2.74</v>
      </c>
      <c r="AD156" s="81">
        <v>6</v>
      </c>
      <c r="AE156" s="80">
        <v>273</v>
      </c>
      <c r="AF156" s="80">
        <v>6.35</v>
      </c>
      <c r="AG156" s="108" cm="1">
        <f t="array" ref="AG156">_xll.DCEPropSectPipe(AE156, AF156, "Area")/100</f>
        <v>53.19431074856206</v>
      </c>
      <c r="AH156" s="16" cm="1">
        <f t="array" ref="AH156">_xll.DCEPropSectPipe(AE156, AF156, "Ix")/10000</f>
        <v>4730.4733077169503</v>
      </c>
      <c r="AI156" s="16" cm="1">
        <f t="array" ref="AI156">_xll.DCEPropSectPipe(AE156, AF156, "Wx")/1000</f>
        <v>346.55482107816493</v>
      </c>
      <c r="AJ156" s="108">
        <f t="shared" si="65"/>
        <v>9.4301739777164251</v>
      </c>
      <c r="AK156" s="80" t="s">
        <v>211</v>
      </c>
      <c r="AL156" s="82">
        <v>-66.850698680305172</v>
      </c>
      <c r="AM156" s="82">
        <v>9.2474405759616616</v>
      </c>
      <c r="AN156" s="82">
        <v>1.1078341848965357E-2</v>
      </c>
      <c r="AO156" s="82">
        <v>-3.0376813349863006E-2</v>
      </c>
      <c r="AP156" s="82">
        <v>-25.356482059286879</v>
      </c>
      <c r="AQ156" s="82">
        <v>5.5789810790469671E-4</v>
      </c>
      <c r="AR156" s="72">
        <v>1</v>
      </c>
      <c r="AS156" s="116">
        <f t="shared" si="66"/>
        <v>6</v>
      </c>
      <c r="AT156" s="7">
        <v>2</v>
      </c>
      <c r="AU156" s="6">
        <f t="shared" si="67"/>
        <v>12</v>
      </c>
      <c r="AV156" s="111">
        <f t="shared" si="68"/>
        <v>5.4981783316788477E-2</v>
      </c>
      <c r="AW156" s="117">
        <f t="shared" si="69"/>
        <v>105</v>
      </c>
      <c r="AX156" s="111">
        <f t="shared" si="70"/>
        <v>1</v>
      </c>
      <c r="AY156" s="111">
        <f t="shared" si="71"/>
        <v>1</v>
      </c>
      <c r="AZ156" s="111">
        <f t="shared" si="72"/>
        <v>1</v>
      </c>
      <c r="BA156" s="111">
        <f t="shared" si="73"/>
        <v>5.7875561386093143E-2</v>
      </c>
      <c r="BB156" s="111">
        <f t="shared" si="74"/>
        <v>4.0366836894419197E-4</v>
      </c>
      <c r="BC156" s="111">
        <f t="shared" si="75"/>
        <v>0.33695469097258557</v>
      </c>
      <c r="BD156" s="111">
        <v>0</v>
      </c>
      <c r="BE156" s="111">
        <f t="shared" si="76"/>
        <v>0.39523392072762292</v>
      </c>
      <c r="BF156" s="6" t="str">
        <f t="shared" si="77"/>
        <v>OK</v>
      </c>
      <c r="BG156" s="16">
        <f t="shared" si="78"/>
        <v>63.625549371390676</v>
      </c>
      <c r="BH156" s="118">
        <f t="shared" si="79"/>
        <v>2.1193803644775273</v>
      </c>
      <c r="BI156" s="108">
        <f t="shared" si="80"/>
        <v>6.9747637738022715E-3</v>
      </c>
      <c r="BJ156" s="6">
        <f t="shared" si="81"/>
        <v>1.2438300653613241</v>
      </c>
      <c r="BK156" s="108">
        <f t="shared" si="82"/>
        <v>8.6754208806482744E-3</v>
      </c>
      <c r="BL156" s="118" cm="1">
        <f t="array" ref="BL156">IF(AO156=0,FactorPhi7121(BH156,"a"),noisuy2chieu(BK156,BH156,Data!$A$63:$M$85))</f>
        <v>0</v>
      </c>
      <c r="BM156" s="111">
        <v>1.26</v>
      </c>
      <c r="BN156" s="118">
        <f t="shared" si="83"/>
        <v>0.97530343030948452</v>
      </c>
      <c r="BO156" s="108" t="e">
        <f t="shared" si="84"/>
        <v>#DIV/0!</v>
      </c>
      <c r="BP156" s="6" t="e">
        <f t="shared" si="85"/>
        <v>#DIV/0!</v>
      </c>
      <c r="BQ156" s="16">
        <f t="shared" si="86"/>
        <v>127.25109874278135</v>
      </c>
      <c r="BR156" s="118">
        <f t="shared" si="87"/>
        <v>4.2387607289550546</v>
      </c>
      <c r="BS156" s="108">
        <f t="shared" si="88"/>
        <v>5.8220548173127886</v>
      </c>
      <c r="BT156" s="118">
        <f t="shared" si="89"/>
        <v>1.1000000000000001</v>
      </c>
      <c r="BU156" s="108">
        <f t="shared" si="90"/>
        <v>6.4042602990440676</v>
      </c>
      <c r="BV156" s="6" cm="1">
        <f t="array" ref="BV156">IF(AP156=0,FactorPhi7121(BR156,"a"),noisuy2chieu(BU156,BR156,Data!$A$63:$M$85))</f>
        <v>0</v>
      </c>
      <c r="BW156" s="111">
        <v>1.26</v>
      </c>
      <c r="BX156" s="111">
        <f t="shared" si="91"/>
        <v>0.9012137212379383</v>
      </c>
      <c r="BY156" s="113" t="e">
        <f t="shared" si="92"/>
        <v>#DIV/0!</v>
      </c>
      <c r="BZ156" s="6" t="e">
        <f t="shared" si="93"/>
        <v>#DIV/0!</v>
      </c>
      <c r="CA156" s="114">
        <f t="shared" si="94"/>
        <v>127.25109874278135</v>
      </c>
      <c r="CB156" s="115" t="e">
        <f t="shared" si="95"/>
        <v>#DIV/0!</v>
      </c>
      <c r="CC156" s="6" t="e">
        <f t="shared" si="96"/>
        <v>#DIV/0!</v>
      </c>
      <c r="DG156" s="108"/>
      <c r="DH156" s="108"/>
      <c r="DI156" s="16"/>
      <c r="DJ156" s="108"/>
      <c r="DT156" s="6"/>
      <c r="DU156" s="6"/>
      <c r="DV156" s="111"/>
      <c r="DW156" s="111"/>
      <c r="DX156" s="111"/>
      <c r="DY156" s="111"/>
      <c r="DZ156" s="111"/>
      <c r="EA156" s="111"/>
      <c r="EB156" s="111"/>
      <c r="EC156" s="111"/>
      <c r="ED156" s="111"/>
      <c r="EE156" s="111"/>
      <c r="EF156" s="6"/>
      <c r="EG156" s="6"/>
      <c r="EH156" s="6"/>
      <c r="EI156" s="6"/>
      <c r="EJ156" s="6"/>
      <c r="EK156" s="6"/>
      <c r="EL156" s="112"/>
      <c r="EM156" s="112"/>
      <c r="EN156" s="118"/>
      <c r="EO156" s="118"/>
      <c r="EP156" s="112"/>
      <c r="EQ156" s="112"/>
      <c r="ER156" s="112"/>
      <c r="ES156" s="112"/>
      <c r="ET156" s="112"/>
      <c r="EU156" s="112"/>
      <c r="EV156" s="6"/>
      <c r="EW156" s="6"/>
      <c r="EX156" s="118"/>
      <c r="EY156" s="113"/>
      <c r="EZ156" s="6"/>
      <c r="FA156" s="114"/>
      <c r="FB156" s="115"/>
      <c r="FC156" s="6"/>
    </row>
    <row r="157" spans="27:159">
      <c r="AA157" s="79" t="s">
        <v>175</v>
      </c>
      <c r="AB157" s="80" t="s">
        <v>195</v>
      </c>
      <c r="AC157" s="81">
        <v>5.48</v>
      </c>
      <c r="AD157" s="81">
        <v>6</v>
      </c>
      <c r="AE157" s="80">
        <v>273</v>
      </c>
      <c r="AF157" s="80">
        <v>6.35</v>
      </c>
      <c r="AG157" s="108" cm="1">
        <f t="array" ref="AG157">_xll.DCEPropSectPipe(AE157, AF157, "Area")/100</f>
        <v>53.19431074856206</v>
      </c>
      <c r="AH157" s="16" cm="1">
        <f t="array" ref="AH157">_xll.DCEPropSectPipe(AE157, AF157, "Ix")/10000</f>
        <v>4730.4733077169503</v>
      </c>
      <c r="AI157" s="16" cm="1">
        <f t="array" ref="AI157">_xll.DCEPropSectPipe(AE157, AF157, "Wx")/1000</f>
        <v>346.55482107816493</v>
      </c>
      <c r="AJ157" s="108">
        <f t="shared" si="65"/>
        <v>9.4301739777164251</v>
      </c>
      <c r="AK157" s="80" t="s">
        <v>211</v>
      </c>
      <c r="AL157" s="82">
        <v>-65.503438331573136</v>
      </c>
      <c r="AM157" s="82">
        <v>9.2474405759616616</v>
      </c>
      <c r="AN157" s="82">
        <v>1.1078341848965357E-2</v>
      </c>
      <c r="AO157" s="82">
        <v>-6.0753626699726011E-2</v>
      </c>
      <c r="AP157" s="82">
        <v>-50.712964118573758</v>
      </c>
      <c r="AQ157" s="82">
        <v>5.5789810790469671E-4</v>
      </c>
      <c r="AR157" s="72">
        <v>1</v>
      </c>
      <c r="AS157" s="116">
        <f t="shared" si="66"/>
        <v>6</v>
      </c>
      <c r="AT157" s="7">
        <v>2</v>
      </c>
      <c r="AU157" s="6">
        <f t="shared" si="67"/>
        <v>12</v>
      </c>
      <c r="AV157" s="111">
        <f t="shared" si="68"/>
        <v>5.3873720453907606E-2</v>
      </c>
      <c r="AW157" s="117">
        <f t="shared" si="69"/>
        <v>105</v>
      </c>
      <c r="AX157" s="111">
        <f t="shared" si="70"/>
        <v>1</v>
      </c>
      <c r="AY157" s="111">
        <f t="shared" si="71"/>
        <v>1</v>
      </c>
      <c r="AZ157" s="111">
        <f t="shared" si="72"/>
        <v>1</v>
      </c>
      <c r="BA157" s="111">
        <f t="shared" si="73"/>
        <v>5.6709179425165901E-2</v>
      </c>
      <c r="BB157" s="111">
        <f t="shared" si="74"/>
        <v>8.0733673788838394E-4</v>
      </c>
      <c r="BC157" s="111">
        <f t="shared" si="75"/>
        <v>0.67390938194517114</v>
      </c>
      <c r="BD157" s="111">
        <v>0</v>
      </c>
      <c r="BE157" s="111">
        <f t="shared" si="76"/>
        <v>0.73142589810822545</v>
      </c>
      <c r="BF157" s="6" t="str">
        <f t="shared" si="77"/>
        <v>OK</v>
      </c>
      <c r="BG157" s="16">
        <f t="shared" si="78"/>
        <v>63.625549371390676</v>
      </c>
      <c r="BH157" s="118">
        <f t="shared" si="79"/>
        <v>2.1193803644775273</v>
      </c>
      <c r="BI157" s="108">
        <f t="shared" si="80"/>
        <v>1.4236438369801402E-2</v>
      </c>
      <c r="BJ157" s="6">
        <f t="shared" si="81"/>
        <v>1.2436208841370442</v>
      </c>
      <c r="BK157" s="108">
        <f t="shared" si="82"/>
        <v>1.770473207241496E-2</v>
      </c>
      <c r="BL157" s="118" cm="1">
        <f t="array" ref="BL157">IF(AO157=0,FactorPhi7121(BH157,"a"),noisuy2chieu(BK157,BH157,Data!$A$63:$M$85))</f>
        <v>0</v>
      </c>
      <c r="BM157" s="111">
        <v>1.26</v>
      </c>
      <c r="BN157" s="118">
        <f t="shared" si="83"/>
        <v>0.97580114700879461</v>
      </c>
      <c r="BO157" s="108" t="e">
        <f t="shared" si="84"/>
        <v>#DIV/0!</v>
      </c>
      <c r="BP157" s="6" t="e">
        <f t="shared" si="85"/>
        <v>#DIV/0!</v>
      </c>
      <c r="BQ157" s="16">
        <f t="shared" si="86"/>
        <v>127.25109874278135</v>
      </c>
      <c r="BR157" s="118">
        <f t="shared" si="87"/>
        <v>4.2387607289550546</v>
      </c>
      <c r="BS157" s="108">
        <f t="shared" si="88"/>
        <v>11.883603126976469</v>
      </c>
      <c r="BT157" s="118">
        <f t="shared" si="89"/>
        <v>1.1000000000000001</v>
      </c>
      <c r="BU157" s="108">
        <f t="shared" si="90"/>
        <v>13.071963439674118</v>
      </c>
      <c r="BV157" s="6" cm="1">
        <f t="array" ref="BV157">IF(AP157=0,FactorPhi7121(BR157,"a"),noisuy2chieu(BU157,BR157,Data!$A$63:$M$85))</f>
        <v>0</v>
      </c>
      <c r="BW157" s="111">
        <v>1.26</v>
      </c>
      <c r="BX157" s="111">
        <f t="shared" si="91"/>
        <v>0.90320458803517834</v>
      </c>
      <c r="BY157" s="113" t="e">
        <f t="shared" si="92"/>
        <v>#DIV/0!</v>
      </c>
      <c r="BZ157" s="6" t="e">
        <f t="shared" si="93"/>
        <v>#DIV/0!</v>
      </c>
      <c r="CA157" s="114">
        <f t="shared" si="94"/>
        <v>127.25109874278135</v>
      </c>
      <c r="CB157" s="115" t="e">
        <f t="shared" si="95"/>
        <v>#DIV/0!</v>
      </c>
      <c r="CC157" s="6" t="e">
        <f t="shared" si="96"/>
        <v>#DIV/0!</v>
      </c>
      <c r="DG157" s="108"/>
      <c r="DH157" s="108"/>
      <c r="DI157" s="16"/>
      <c r="DJ157" s="108"/>
      <c r="DT157" s="6"/>
      <c r="DU157" s="6"/>
      <c r="DV157" s="111"/>
      <c r="DW157" s="111"/>
      <c r="DX157" s="111"/>
      <c r="DY157" s="111"/>
      <c r="DZ157" s="111"/>
      <c r="EA157" s="111"/>
      <c r="EB157" s="111"/>
      <c r="EC157" s="111"/>
      <c r="ED157" s="111"/>
      <c r="EE157" s="111"/>
      <c r="EF157" s="6"/>
      <c r="EG157" s="6"/>
      <c r="EH157" s="6"/>
      <c r="EI157" s="6"/>
      <c r="EJ157" s="6"/>
      <c r="EK157" s="6"/>
      <c r="EL157" s="112"/>
      <c r="EM157" s="112"/>
      <c r="EN157" s="118"/>
      <c r="EO157" s="118"/>
      <c r="EP157" s="112"/>
      <c r="EQ157" s="112"/>
      <c r="ER157" s="112"/>
      <c r="ES157" s="112"/>
      <c r="ET157" s="112"/>
      <c r="EU157" s="112"/>
      <c r="EV157" s="6"/>
      <c r="EW157" s="6"/>
      <c r="EX157" s="118"/>
      <c r="EY157" s="113"/>
      <c r="EZ157" s="6"/>
      <c r="FA157" s="114"/>
      <c r="FB157" s="115"/>
      <c r="FC157" s="6"/>
    </row>
    <row r="158" spans="27:159">
      <c r="AA158" s="79" t="s">
        <v>175</v>
      </c>
      <c r="AB158" s="80" t="s">
        <v>195</v>
      </c>
      <c r="AC158" s="81">
        <v>0</v>
      </c>
      <c r="AD158" s="81">
        <v>6</v>
      </c>
      <c r="AE158" s="80">
        <v>273</v>
      </c>
      <c r="AF158" s="80">
        <v>6.35</v>
      </c>
      <c r="AG158" s="108" cm="1">
        <f t="array" ref="AG158">_xll.DCEPropSectPipe(AE158, AF158, "Area")/100</f>
        <v>53.19431074856206</v>
      </c>
      <c r="AH158" s="16" cm="1">
        <f t="array" ref="AH158">_xll.DCEPropSectPipe(AE158, AF158, "Ix")/10000</f>
        <v>4730.4733077169503</v>
      </c>
      <c r="AI158" s="16" cm="1">
        <f t="array" ref="AI158">_xll.DCEPropSectPipe(AE158, AF158, "Wx")/1000</f>
        <v>346.55482107816493</v>
      </c>
      <c r="AJ158" s="108">
        <f t="shared" si="65"/>
        <v>9.4301739777164251</v>
      </c>
      <c r="AK158" s="80" t="s">
        <v>212</v>
      </c>
      <c r="AL158" s="82">
        <v>-80.612854947073103</v>
      </c>
      <c r="AM158" s="82">
        <v>9.3092998032778702</v>
      </c>
      <c r="AN158" s="82">
        <v>1.1748006421511262E-2</v>
      </c>
      <c r="AO158" s="82">
        <v>0</v>
      </c>
      <c r="AP158" s="82">
        <v>0</v>
      </c>
      <c r="AQ158" s="82">
        <v>1.222107343419408E-3</v>
      </c>
      <c r="AR158" s="72">
        <v>1</v>
      </c>
      <c r="AS158" s="116">
        <f t="shared" si="66"/>
        <v>6</v>
      </c>
      <c r="AT158" s="7">
        <v>2</v>
      </c>
      <c r="AU158" s="6">
        <f t="shared" si="67"/>
        <v>12</v>
      </c>
      <c r="AV158" s="111">
        <f t="shared" si="68"/>
        <v>6.6300556475013345E-2</v>
      </c>
      <c r="AW158" s="117">
        <f t="shared" si="69"/>
        <v>105</v>
      </c>
      <c r="AX158" s="111">
        <f t="shared" si="70"/>
        <v>1</v>
      </c>
      <c r="AY158" s="111">
        <f t="shared" si="71"/>
        <v>1</v>
      </c>
      <c r="AZ158" s="111">
        <f t="shared" si="72"/>
        <v>1</v>
      </c>
      <c r="BA158" s="111">
        <f t="shared" si="73"/>
        <v>6.979005944738248E-2</v>
      </c>
      <c r="BB158" s="111">
        <f t="shared" si="74"/>
        <v>0</v>
      </c>
      <c r="BC158" s="111">
        <f t="shared" si="75"/>
        <v>0</v>
      </c>
      <c r="BD158" s="111">
        <v>0</v>
      </c>
      <c r="BE158" s="111">
        <f t="shared" si="76"/>
        <v>6.979005944738248E-2</v>
      </c>
      <c r="BF158" s="6" t="str">
        <f t="shared" si="77"/>
        <v>OK</v>
      </c>
      <c r="BG158" s="16">
        <f t="shared" si="78"/>
        <v>63.625549371390676</v>
      </c>
      <c r="BH158" s="118">
        <f t="shared" si="79"/>
        <v>2.1193803644775273</v>
      </c>
      <c r="BI158" s="108">
        <f t="shared" si="80"/>
        <v>0</v>
      </c>
      <c r="BJ158" s="6">
        <f t="shared" si="81"/>
        <v>1.2440309817761237</v>
      </c>
      <c r="BK158" s="108">
        <f t="shared" si="82"/>
        <v>0</v>
      </c>
      <c r="BL158" s="118" cm="1">
        <f t="array" ref="BL158">IF(AO158=0,FactorPhi7121(BH158,"a"),noisuy2chieu(BK158,BH158,Data!$A$63:$M$85))</f>
        <v>0.86214274110469236</v>
      </c>
      <c r="BM158" s="111">
        <v>1.26</v>
      </c>
      <c r="BN158" s="118">
        <f t="shared" si="83"/>
        <v>0.97021929419657171</v>
      </c>
      <c r="BO158" s="108">
        <f t="shared" si="84"/>
        <v>0.16499007691915774</v>
      </c>
      <c r="BP158" s="6" t="str">
        <f t="shared" si="85"/>
        <v>OK</v>
      </c>
      <c r="BQ158" s="16">
        <f t="shared" si="86"/>
        <v>127.25109874278135</v>
      </c>
      <c r="BR158" s="118">
        <f t="shared" si="87"/>
        <v>4.2387607289550546</v>
      </c>
      <c r="BS158" s="108">
        <f t="shared" si="88"/>
        <v>0</v>
      </c>
      <c r="BT158" s="118">
        <f t="shared" si="89"/>
        <v>1.1380619635522473</v>
      </c>
      <c r="BU158" s="108">
        <f t="shared" si="90"/>
        <v>0</v>
      </c>
      <c r="BV158" s="6" cm="1">
        <f t="array" ref="BV158">IF(AP158=0,FactorPhi7121(BR158,"a"),noisuy2chieu(BU158,BR158,Data!$A$63:$M$85))</f>
        <v>0.42299549615688942</v>
      </c>
      <c r="BW158" s="111">
        <v>1.26</v>
      </c>
      <c r="BX158" s="111">
        <f t="shared" si="91"/>
        <v>0.88087717678628674</v>
      </c>
      <c r="BY158" s="113">
        <f t="shared" si="92"/>
        <v>8.094954132300429E-2</v>
      </c>
      <c r="BZ158" s="6" t="str">
        <f t="shared" si="93"/>
        <v>OK</v>
      </c>
      <c r="CA158" s="114">
        <f t="shared" si="94"/>
        <v>127.25109874278135</v>
      </c>
      <c r="CB158" s="115">
        <f t="shared" si="95"/>
        <v>150</v>
      </c>
      <c r="CC158" s="6" t="str">
        <f t="shared" si="96"/>
        <v>OK</v>
      </c>
      <c r="DG158" s="108"/>
      <c r="DH158" s="108"/>
      <c r="DI158" s="16"/>
      <c r="DJ158" s="108"/>
      <c r="DT158" s="6"/>
      <c r="DU158" s="6"/>
      <c r="DV158" s="111"/>
      <c r="DW158" s="111"/>
      <c r="DX158" s="111"/>
      <c r="DY158" s="111"/>
      <c r="DZ158" s="111"/>
      <c r="EA158" s="111"/>
      <c r="EB158" s="111"/>
      <c r="EC158" s="111"/>
      <c r="ED158" s="111"/>
      <c r="EE158" s="111"/>
      <c r="EF158" s="6"/>
      <c r="EG158" s="6"/>
      <c r="EH158" s="6"/>
      <c r="EI158" s="6"/>
      <c r="EJ158" s="6"/>
      <c r="EK158" s="6"/>
      <c r="EL158" s="112"/>
      <c r="EM158" s="112"/>
      <c r="EN158" s="118"/>
      <c r="EO158" s="118"/>
      <c r="EP158" s="112"/>
      <c r="EQ158" s="112"/>
      <c r="ER158" s="112"/>
      <c r="ES158" s="112"/>
      <c r="ET158" s="112"/>
      <c r="EU158" s="112"/>
      <c r="EV158" s="6"/>
      <c r="EW158" s="6"/>
      <c r="EX158" s="118"/>
      <c r="EY158" s="113"/>
      <c r="EZ158" s="6"/>
      <c r="FA158" s="114"/>
      <c r="FB158" s="115"/>
      <c r="FC158" s="6"/>
    </row>
    <row r="159" spans="27:159">
      <c r="AA159" s="79" t="s">
        <v>175</v>
      </c>
      <c r="AB159" s="80" t="s">
        <v>195</v>
      </c>
      <c r="AC159" s="81">
        <v>2.74</v>
      </c>
      <c r="AD159" s="81">
        <v>6</v>
      </c>
      <c r="AE159" s="80">
        <v>273</v>
      </c>
      <c r="AF159" s="80">
        <v>6.35</v>
      </c>
      <c r="AG159" s="108" cm="1">
        <f t="array" ref="AG159">_xll.DCEPropSectPipe(AE159, AF159, "Area")/100</f>
        <v>53.19431074856206</v>
      </c>
      <c r="AH159" s="16" cm="1">
        <f t="array" ref="AH159">_xll.DCEPropSectPipe(AE159, AF159, "Ix")/10000</f>
        <v>4730.4733077169503</v>
      </c>
      <c r="AI159" s="16" cm="1">
        <f t="array" ref="AI159">_xll.DCEPropSectPipe(AE159, AF159, "Wx")/1000</f>
        <v>346.55482107816493</v>
      </c>
      <c r="AJ159" s="108">
        <f t="shared" si="65"/>
        <v>9.4301739777164251</v>
      </c>
      <c r="AK159" s="80" t="s">
        <v>212</v>
      </c>
      <c r="AL159" s="82">
        <v>-79.265594598341082</v>
      </c>
      <c r="AM159" s="82">
        <v>9.3092998032778702</v>
      </c>
      <c r="AN159" s="82">
        <v>1.1748006421511262E-2</v>
      </c>
      <c r="AO159" s="82">
        <v>-3.2213033607783874E-2</v>
      </c>
      <c r="AP159" s="82">
        <v>-25.526100060587922</v>
      </c>
      <c r="AQ159" s="82">
        <v>1.222107343419408E-3</v>
      </c>
      <c r="AR159" s="72">
        <v>1</v>
      </c>
      <c r="AS159" s="116">
        <f t="shared" si="66"/>
        <v>6</v>
      </c>
      <c r="AT159" s="7">
        <v>2</v>
      </c>
      <c r="AU159" s="6">
        <f t="shared" si="67"/>
        <v>12</v>
      </c>
      <c r="AV159" s="111">
        <f t="shared" si="68"/>
        <v>6.5192493612132488E-2</v>
      </c>
      <c r="AW159" s="117">
        <f t="shared" si="69"/>
        <v>105</v>
      </c>
      <c r="AX159" s="111">
        <f t="shared" si="70"/>
        <v>1</v>
      </c>
      <c r="AY159" s="111">
        <f t="shared" si="71"/>
        <v>1</v>
      </c>
      <c r="AZ159" s="111">
        <f t="shared" si="72"/>
        <v>1</v>
      </c>
      <c r="BA159" s="111">
        <f t="shared" si="73"/>
        <v>6.8623677486455259E-2</v>
      </c>
      <c r="BB159" s="111">
        <f t="shared" si="74"/>
        <v>4.2806934965274095E-4</v>
      </c>
      <c r="BC159" s="111">
        <f t="shared" si="75"/>
        <v>0.3392086937588612</v>
      </c>
      <c r="BD159" s="111">
        <v>0</v>
      </c>
      <c r="BE159" s="111">
        <f t="shared" si="76"/>
        <v>0.40826044059496919</v>
      </c>
      <c r="BF159" s="6" t="str">
        <f t="shared" si="77"/>
        <v>OK</v>
      </c>
      <c r="BG159" s="16">
        <f t="shared" si="78"/>
        <v>63.625549371390676</v>
      </c>
      <c r="BH159" s="118">
        <f t="shared" si="79"/>
        <v>2.1193803644775273</v>
      </c>
      <c r="BI159" s="108">
        <f t="shared" si="80"/>
        <v>6.2379249456170887E-3</v>
      </c>
      <c r="BJ159" s="6">
        <f t="shared" si="81"/>
        <v>1.2438512908852912</v>
      </c>
      <c r="BK159" s="108">
        <f t="shared" si="82"/>
        <v>7.7590509960513759E-3</v>
      </c>
      <c r="BL159" s="118" cm="1">
        <f t="array" ref="BL159">IF(AO159=0,FactorPhi7121(BH159,"a"),noisuy2chieu(BK159,BH159,Data!$A$63:$M$85))</f>
        <v>0</v>
      </c>
      <c r="BM159" s="111">
        <v>1.26</v>
      </c>
      <c r="BN159" s="118">
        <f t="shared" si="83"/>
        <v>0.97071701089588169</v>
      </c>
      <c r="BO159" s="108" t="e">
        <f t="shared" si="84"/>
        <v>#DIV/0!</v>
      </c>
      <c r="BP159" s="6" t="e">
        <f t="shared" si="85"/>
        <v>#DIV/0!</v>
      </c>
      <c r="BQ159" s="16">
        <f t="shared" si="86"/>
        <v>127.25109874278135</v>
      </c>
      <c r="BR159" s="118">
        <f t="shared" si="87"/>
        <v>4.2387607289550546</v>
      </c>
      <c r="BS159" s="108">
        <f t="shared" si="88"/>
        <v>4.9430270452325029</v>
      </c>
      <c r="BT159" s="118">
        <f t="shared" si="89"/>
        <v>1.1004337005055651</v>
      </c>
      <c r="BU159" s="108">
        <f t="shared" si="90"/>
        <v>5.4394735430842927</v>
      </c>
      <c r="BV159" s="6" cm="1">
        <f t="array" ref="BV159">IF(AP159=0,FactorPhi7121(BR159,"a"),noisuy2chieu(BU159,BR159,Data!$A$63:$M$85))</f>
        <v>0</v>
      </c>
      <c r="BW159" s="111">
        <v>1.26</v>
      </c>
      <c r="BX159" s="111">
        <f t="shared" si="91"/>
        <v>0.88286804358352666</v>
      </c>
      <c r="BY159" s="113" t="e">
        <f t="shared" si="92"/>
        <v>#DIV/0!</v>
      </c>
      <c r="BZ159" s="6" t="e">
        <f t="shared" si="93"/>
        <v>#DIV/0!</v>
      </c>
      <c r="CA159" s="114">
        <f t="shared" si="94"/>
        <v>127.25109874278135</v>
      </c>
      <c r="CB159" s="115" t="e">
        <f t="shared" si="95"/>
        <v>#DIV/0!</v>
      </c>
      <c r="CC159" s="6" t="e">
        <f t="shared" si="96"/>
        <v>#DIV/0!</v>
      </c>
      <c r="DG159" s="108"/>
      <c r="DH159" s="108"/>
      <c r="DI159" s="16"/>
      <c r="DJ159" s="108"/>
      <c r="DT159" s="6"/>
      <c r="DU159" s="6"/>
      <c r="DV159" s="111"/>
      <c r="DW159" s="111"/>
      <c r="DX159" s="111"/>
      <c r="DY159" s="111"/>
      <c r="DZ159" s="111"/>
      <c r="EA159" s="111"/>
      <c r="EB159" s="111"/>
      <c r="EC159" s="111"/>
      <c r="ED159" s="111"/>
      <c r="EE159" s="111"/>
      <c r="EF159" s="6"/>
      <c r="EG159" s="6"/>
      <c r="EH159" s="6"/>
      <c r="EI159" s="6"/>
      <c r="EJ159" s="6"/>
      <c r="EK159" s="6"/>
      <c r="EL159" s="112"/>
      <c r="EM159" s="112"/>
      <c r="EN159" s="118"/>
      <c r="EO159" s="118"/>
      <c r="EP159" s="112"/>
      <c r="EQ159" s="112"/>
      <c r="ER159" s="112"/>
      <c r="ES159" s="112"/>
      <c r="ET159" s="112"/>
      <c r="EU159" s="112"/>
      <c r="EV159" s="6"/>
      <c r="EW159" s="6"/>
      <c r="EX159" s="118"/>
      <c r="EY159" s="113"/>
      <c r="EZ159" s="6"/>
      <c r="FA159" s="114"/>
      <c r="FB159" s="115"/>
      <c r="FC159" s="6"/>
    </row>
    <row r="160" spans="27:159">
      <c r="AA160" s="79" t="s">
        <v>175</v>
      </c>
      <c r="AB160" s="80" t="s">
        <v>195</v>
      </c>
      <c r="AC160" s="81">
        <v>5.48</v>
      </c>
      <c r="AD160" s="81">
        <v>6</v>
      </c>
      <c r="AE160" s="80">
        <v>273</v>
      </c>
      <c r="AF160" s="80">
        <v>6.35</v>
      </c>
      <c r="AG160" s="108" cm="1">
        <f t="array" ref="AG160">_xll.DCEPropSectPipe(AE160, AF160, "Area")/100</f>
        <v>53.19431074856206</v>
      </c>
      <c r="AH160" s="16" cm="1">
        <f t="array" ref="AH160">_xll.DCEPropSectPipe(AE160, AF160, "Ix")/10000</f>
        <v>4730.4733077169503</v>
      </c>
      <c r="AI160" s="16" cm="1">
        <f t="array" ref="AI160">_xll.DCEPropSectPipe(AE160, AF160, "Wx")/1000</f>
        <v>346.55482107816493</v>
      </c>
      <c r="AJ160" s="108">
        <f t="shared" si="65"/>
        <v>9.4301739777164251</v>
      </c>
      <c r="AK160" s="80" t="s">
        <v>212</v>
      </c>
      <c r="AL160" s="82">
        <v>-77.918334249609046</v>
      </c>
      <c r="AM160" s="82">
        <v>9.3092998032778702</v>
      </c>
      <c r="AN160" s="82">
        <v>1.1748006421511262E-2</v>
      </c>
      <c r="AO160" s="82">
        <v>-6.4426067215567748E-2</v>
      </c>
      <c r="AP160" s="82">
        <v>-51.052200121175844</v>
      </c>
      <c r="AQ160" s="82">
        <v>1.222107343419408E-3</v>
      </c>
      <c r="AR160" s="72">
        <v>1</v>
      </c>
      <c r="AS160" s="116">
        <f t="shared" si="66"/>
        <v>6</v>
      </c>
      <c r="AT160" s="7">
        <v>2</v>
      </c>
      <c r="AU160" s="6">
        <f t="shared" si="67"/>
        <v>12</v>
      </c>
      <c r="AV160" s="111">
        <f t="shared" si="68"/>
        <v>6.4084430749251617E-2</v>
      </c>
      <c r="AW160" s="117">
        <f t="shared" si="69"/>
        <v>105</v>
      </c>
      <c r="AX160" s="111">
        <f t="shared" si="70"/>
        <v>1</v>
      </c>
      <c r="AY160" s="111">
        <f t="shared" si="71"/>
        <v>1</v>
      </c>
      <c r="AZ160" s="111">
        <f t="shared" si="72"/>
        <v>1</v>
      </c>
      <c r="BA160" s="111">
        <f t="shared" si="73"/>
        <v>6.7457295525528024E-2</v>
      </c>
      <c r="BB160" s="111">
        <f t="shared" si="74"/>
        <v>8.561386993054819E-4</v>
      </c>
      <c r="BC160" s="111">
        <f t="shared" si="75"/>
        <v>0.6784173875177224</v>
      </c>
      <c r="BD160" s="111">
        <v>0</v>
      </c>
      <c r="BE160" s="111">
        <f t="shared" si="76"/>
        <v>0.74673082174255589</v>
      </c>
      <c r="BF160" s="6" t="str">
        <f t="shared" si="77"/>
        <v>OK</v>
      </c>
      <c r="BG160" s="16">
        <f t="shared" si="78"/>
        <v>63.625549371390676</v>
      </c>
      <c r="BH160" s="118">
        <f t="shared" si="79"/>
        <v>2.1193803644775273</v>
      </c>
      <c r="BI160" s="108">
        <f t="shared" si="80"/>
        <v>1.2691565717773128E-2</v>
      </c>
      <c r="BJ160" s="6">
        <f t="shared" si="81"/>
        <v>1.2436653860420022</v>
      </c>
      <c r="BK160" s="108">
        <f t="shared" si="82"/>
        <v>1.5784060977871758E-2</v>
      </c>
      <c r="BL160" s="118" cm="1">
        <f t="array" ref="BL160">IF(AO160=0,FactorPhi7121(BH160,"a"),noisuy2chieu(BK160,BH160,Data!$A$63:$M$85))</f>
        <v>0</v>
      </c>
      <c r="BM160" s="111">
        <v>1.26</v>
      </c>
      <c r="BN160" s="118">
        <f t="shared" si="83"/>
        <v>0.97121472759519167</v>
      </c>
      <c r="BO160" s="108" t="e">
        <f t="shared" si="84"/>
        <v>#DIV/0!</v>
      </c>
      <c r="BP160" s="6" t="e">
        <f t="shared" si="85"/>
        <v>#DIV/0!</v>
      </c>
      <c r="BQ160" s="16">
        <f t="shared" si="86"/>
        <v>127.25109874278135</v>
      </c>
      <c r="BR160" s="118">
        <f t="shared" si="87"/>
        <v>4.2387607289550546</v>
      </c>
      <c r="BS160" s="108">
        <f t="shared" si="88"/>
        <v>10.056990607650247</v>
      </c>
      <c r="BT160" s="118">
        <f t="shared" si="89"/>
        <v>1.1000000000000001</v>
      </c>
      <c r="BU160" s="108">
        <f t="shared" si="90"/>
        <v>11.062689668415272</v>
      </c>
      <c r="BV160" s="6" cm="1">
        <f t="array" ref="BV160">IF(AP160=0,FactorPhi7121(BR160,"a"),noisuy2chieu(BU160,BR160,Data!$A$63:$M$85))</f>
        <v>0</v>
      </c>
      <c r="BW160" s="111">
        <v>1.26</v>
      </c>
      <c r="BX160" s="111">
        <f t="shared" si="91"/>
        <v>0.88485891038076669</v>
      </c>
      <c r="BY160" s="113" t="e">
        <f t="shared" si="92"/>
        <v>#DIV/0!</v>
      </c>
      <c r="BZ160" s="6" t="e">
        <f t="shared" si="93"/>
        <v>#DIV/0!</v>
      </c>
      <c r="CA160" s="114">
        <f t="shared" si="94"/>
        <v>127.25109874278135</v>
      </c>
      <c r="CB160" s="115" t="e">
        <f t="shared" si="95"/>
        <v>#DIV/0!</v>
      </c>
      <c r="CC160" s="6" t="e">
        <f t="shared" si="96"/>
        <v>#DIV/0!</v>
      </c>
      <c r="DG160" s="108"/>
      <c r="DH160" s="108"/>
      <c r="DI160" s="16"/>
      <c r="DJ160" s="108"/>
      <c r="DT160" s="6"/>
      <c r="DU160" s="6"/>
      <c r="DV160" s="111"/>
      <c r="DW160" s="111"/>
      <c r="DX160" s="111"/>
      <c r="DY160" s="111"/>
      <c r="DZ160" s="111"/>
      <c r="EA160" s="111"/>
      <c r="EB160" s="111"/>
      <c r="EC160" s="111"/>
      <c r="ED160" s="111"/>
      <c r="EE160" s="111"/>
      <c r="EF160" s="6"/>
      <c r="EG160" s="6"/>
      <c r="EH160" s="6"/>
      <c r="EI160" s="6"/>
      <c r="EJ160" s="6"/>
      <c r="EK160" s="6"/>
      <c r="EL160" s="112"/>
      <c r="EM160" s="112"/>
      <c r="EN160" s="118"/>
      <c r="EO160" s="118"/>
      <c r="EP160" s="112"/>
      <c r="EQ160" s="112"/>
      <c r="ER160" s="112"/>
      <c r="ES160" s="112"/>
      <c r="ET160" s="112"/>
      <c r="EU160" s="112"/>
      <c r="EV160" s="6"/>
      <c r="EW160" s="6"/>
      <c r="EX160" s="118"/>
      <c r="EY160" s="113"/>
      <c r="EZ160" s="6"/>
      <c r="FA160" s="114"/>
      <c r="FB160" s="115"/>
      <c r="FC160" s="6"/>
    </row>
    <row r="161" spans="27:159">
      <c r="AA161" s="79" t="s">
        <v>175</v>
      </c>
      <c r="AB161" s="80" t="s">
        <v>195</v>
      </c>
      <c r="AC161" s="81">
        <v>0</v>
      </c>
      <c r="AD161" s="81">
        <v>6</v>
      </c>
      <c r="AE161" s="80">
        <v>273</v>
      </c>
      <c r="AF161" s="80">
        <v>6.35</v>
      </c>
      <c r="AG161" s="108" cm="1">
        <f t="array" ref="AG161">_xll.DCEPropSectPipe(AE161, AF161, "Area")/100</f>
        <v>53.19431074856206</v>
      </c>
      <c r="AH161" s="16" cm="1">
        <f t="array" ref="AH161">_xll.DCEPropSectPipe(AE161, AF161, "Ix")/10000</f>
        <v>4730.4733077169503</v>
      </c>
      <c r="AI161" s="16" cm="1">
        <f t="array" ref="AI161">_xll.DCEPropSectPipe(AE161, AF161, "Wx")/1000</f>
        <v>346.55482107816493</v>
      </c>
      <c r="AJ161" s="108">
        <f t="shared" si="65"/>
        <v>9.4301739777164251</v>
      </c>
      <c r="AK161" s="80" t="s">
        <v>213</v>
      </c>
      <c r="AL161" s="82">
        <v>-19.149986511928152</v>
      </c>
      <c r="AM161" s="82">
        <v>0.94982510981590462</v>
      </c>
      <c r="AN161" s="82">
        <v>1.4830110352573686E-3</v>
      </c>
      <c r="AO161" s="82">
        <v>0</v>
      </c>
      <c r="AP161" s="82">
        <v>0</v>
      </c>
      <c r="AQ161" s="82">
        <v>3.4689348149100551E-4</v>
      </c>
      <c r="AR161" s="72">
        <v>1</v>
      </c>
      <c r="AS161" s="116">
        <f t="shared" si="66"/>
        <v>6</v>
      </c>
      <c r="AT161" s="7">
        <v>2</v>
      </c>
      <c r="AU161" s="6">
        <f t="shared" si="67"/>
        <v>12</v>
      </c>
      <c r="AV161" s="111">
        <f t="shared" si="68"/>
        <v>1.5750028491900409E-2</v>
      </c>
      <c r="AW161" s="117">
        <f t="shared" si="69"/>
        <v>105</v>
      </c>
      <c r="AX161" s="111">
        <f t="shared" si="70"/>
        <v>1</v>
      </c>
      <c r="AY161" s="111">
        <f t="shared" si="71"/>
        <v>1</v>
      </c>
      <c r="AZ161" s="111">
        <f t="shared" si="72"/>
        <v>1</v>
      </c>
      <c r="BA161" s="111">
        <f t="shared" si="73"/>
        <v>1.6578977359895171E-2</v>
      </c>
      <c r="BB161" s="111">
        <f t="shared" si="74"/>
        <v>0</v>
      </c>
      <c r="BC161" s="111">
        <f t="shared" si="75"/>
        <v>0</v>
      </c>
      <c r="BD161" s="111">
        <v>0</v>
      </c>
      <c r="BE161" s="111">
        <f t="shared" si="76"/>
        <v>1.6578977359895171E-2</v>
      </c>
      <c r="BF161" s="6" t="str">
        <f t="shared" si="77"/>
        <v>OK</v>
      </c>
      <c r="BG161" s="16">
        <f t="shared" si="78"/>
        <v>63.625549371390676</v>
      </c>
      <c r="BH161" s="118">
        <f t="shared" si="79"/>
        <v>2.1193803644775273</v>
      </c>
      <c r="BI161" s="108">
        <f t="shared" si="80"/>
        <v>0</v>
      </c>
      <c r="BJ161" s="6">
        <f t="shared" si="81"/>
        <v>1.2440309817761237</v>
      </c>
      <c r="BK161" s="108">
        <f t="shared" si="82"/>
        <v>0</v>
      </c>
      <c r="BL161" s="118" cm="1">
        <f t="array" ref="BL161">IF(AO161=0,FactorPhi7121(BH161,"a"),noisuy2chieu(BK161,BH161,Data!$A$63:$M$85))</f>
        <v>0.86214274110469236</v>
      </c>
      <c r="BM161" s="111">
        <v>1.26</v>
      </c>
      <c r="BN161" s="118">
        <f t="shared" si="83"/>
        <v>0.99292544452338538</v>
      </c>
      <c r="BO161" s="108">
        <f t="shared" si="84"/>
        <v>3.9194217221041078E-2</v>
      </c>
      <c r="BP161" s="6" t="str">
        <f t="shared" si="85"/>
        <v>OK</v>
      </c>
      <c r="BQ161" s="16">
        <f t="shared" si="86"/>
        <v>127.25109874278135</v>
      </c>
      <c r="BR161" s="118">
        <f t="shared" si="87"/>
        <v>4.2387607289550546</v>
      </c>
      <c r="BS161" s="108">
        <f t="shared" si="88"/>
        <v>0</v>
      </c>
      <c r="BT161" s="118">
        <f t="shared" si="89"/>
        <v>1.1380619635522473</v>
      </c>
      <c r="BU161" s="108">
        <f t="shared" si="90"/>
        <v>0</v>
      </c>
      <c r="BV161" s="6" cm="1">
        <f t="array" ref="BV161">IF(AP161=0,FactorPhi7121(BR161,"a"),noisuy2chieu(BU161,BR161,Data!$A$63:$M$85))</f>
        <v>0.42299549615688942</v>
      </c>
      <c r="BW161" s="111">
        <v>1.26</v>
      </c>
      <c r="BX161" s="111">
        <f t="shared" si="91"/>
        <v>0.97170177809354163</v>
      </c>
      <c r="BY161" s="113">
        <f t="shared" si="92"/>
        <v>1.9229968042939121E-2</v>
      </c>
      <c r="BZ161" s="6" t="str">
        <f t="shared" si="93"/>
        <v>OK</v>
      </c>
      <c r="CA161" s="114">
        <f t="shared" si="94"/>
        <v>127.25109874278135</v>
      </c>
      <c r="CB161" s="115">
        <f t="shared" si="95"/>
        <v>150</v>
      </c>
      <c r="CC161" s="6" t="str">
        <f t="shared" si="96"/>
        <v>OK</v>
      </c>
      <c r="DG161" s="108"/>
      <c r="DH161" s="108"/>
      <c r="DI161" s="16"/>
      <c r="DJ161" s="108"/>
      <c r="DT161" s="6"/>
      <c r="DU161" s="6"/>
      <c r="DV161" s="111"/>
      <c r="DW161" s="111"/>
      <c r="DX161" s="111"/>
      <c r="DY161" s="111"/>
      <c r="DZ161" s="111"/>
      <c r="EA161" s="111"/>
      <c r="EB161" s="111"/>
      <c r="EC161" s="111"/>
      <c r="ED161" s="111"/>
      <c r="EE161" s="111"/>
      <c r="EF161" s="6"/>
      <c r="EG161" s="6"/>
      <c r="EH161" s="6"/>
      <c r="EI161" s="6"/>
      <c r="EJ161" s="6"/>
      <c r="EK161" s="6"/>
      <c r="EL161" s="112"/>
      <c r="EM161" s="112"/>
      <c r="EN161" s="118"/>
      <c r="EO161" s="118"/>
      <c r="EP161" s="112"/>
      <c r="EQ161" s="112"/>
      <c r="ER161" s="112"/>
      <c r="ES161" s="112"/>
      <c r="ET161" s="112"/>
      <c r="EU161" s="112"/>
      <c r="EV161" s="6"/>
      <c r="EW161" s="6"/>
      <c r="EX161" s="118"/>
      <c r="EY161" s="113"/>
      <c r="EZ161" s="6"/>
      <c r="FA161" s="114"/>
      <c r="FB161" s="115"/>
      <c r="FC161" s="6"/>
    </row>
    <row r="162" spans="27:159">
      <c r="AA162" s="79" t="s">
        <v>175</v>
      </c>
      <c r="AB162" s="80" t="s">
        <v>195</v>
      </c>
      <c r="AC162" s="81">
        <v>2.74</v>
      </c>
      <c r="AD162" s="81">
        <v>6</v>
      </c>
      <c r="AE162" s="80">
        <v>273</v>
      </c>
      <c r="AF162" s="80">
        <v>6.35</v>
      </c>
      <c r="AG162" s="108" cm="1">
        <f t="array" ref="AG162">_xll.DCEPropSectPipe(AE162, AF162, "Area")/100</f>
        <v>53.19431074856206</v>
      </c>
      <c r="AH162" s="16" cm="1">
        <f t="array" ref="AH162">_xll.DCEPropSectPipe(AE162, AF162, "Ix")/10000</f>
        <v>4730.4733077169503</v>
      </c>
      <c r="AI162" s="16" cm="1">
        <f t="array" ref="AI162">_xll.DCEPropSectPipe(AE162, AF162, "Wx")/1000</f>
        <v>346.55482107816493</v>
      </c>
      <c r="AJ162" s="108">
        <f t="shared" si="65"/>
        <v>9.4301739777164251</v>
      </c>
      <c r="AK162" s="80" t="s">
        <v>213</v>
      </c>
      <c r="AL162" s="82">
        <v>-17.802726163196116</v>
      </c>
      <c r="AM162" s="82">
        <v>0.94982510981590462</v>
      </c>
      <c r="AN162" s="82">
        <v>1.4830110352573686E-3</v>
      </c>
      <c r="AO162" s="82">
        <v>-4.0664162586757039E-3</v>
      </c>
      <c r="AP162" s="82">
        <v>-2.6044204511152107</v>
      </c>
      <c r="AQ162" s="82">
        <v>3.4689348149100551E-4</v>
      </c>
      <c r="AR162" s="72">
        <v>1</v>
      </c>
      <c r="AS162" s="116">
        <f t="shared" si="66"/>
        <v>6</v>
      </c>
      <c r="AT162" s="7">
        <v>2</v>
      </c>
      <c r="AU162" s="6">
        <f t="shared" si="67"/>
        <v>12</v>
      </c>
      <c r="AV162" s="111">
        <f t="shared" si="68"/>
        <v>1.4641965629019536E-2</v>
      </c>
      <c r="AW162" s="117">
        <f t="shared" si="69"/>
        <v>105</v>
      </c>
      <c r="AX162" s="111">
        <f t="shared" si="70"/>
        <v>1</v>
      </c>
      <c r="AY162" s="111">
        <f t="shared" si="71"/>
        <v>1</v>
      </c>
      <c r="AZ162" s="111">
        <f t="shared" si="72"/>
        <v>1</v>
      </c>
      <c r="BA162" s="111">
        <f t="shared" si="73"/>
        <v>1.5412595398967934E-2</v>
      </c>
      <c r="BB162" s="111">
        <f t="shared" si="74"/>
        <v>5.4037386992574967E-5</v>
      </c>
      <c r="BC162" s="111">
        <f t="shared" si="75"/>
        <v>3.4609362853108984E-2</v>
      </c>
      <c r="BD162" s="111">
        <v>0</v>
      </c>
      <c r="BE162" s="111">
        <f t="shared" si="76"/>
        <v>5.007599563906949E-2</v>
      </c>
      <c r="BF162" s="6" t="str">
        <f t="shared" si="77"/>
        <v>OK</v>
      </c>
      <c r="BG162" s="16">
        <f t="shared" si="78"/>
        <v>63.625549371390676</v>
      </c>
      <c r="BH162" s="118">
        <f t="shared" si="79"/>
        <v>2.1193803644775273</v>
      </c>
      <c r="BI162" s="108">
        <f t="shared" si="80"/>
        <v>3.5060536913979752E-3</v>
      </c>
      <c r="BJ162" s="6">
        <f t="shared" si="81"/>
        <v>1.2439299857050574</v>
      </c>
      <c r="BK162" s="108">
        <f t="shared" si="82"/>
        <v>4.3612853182218468E-3</v>
      </c>
      <c r="BL162" s="118" cm="1">
        <f t="array" ref="BL162">IF(AO162=0,FactorPhi7121(BH162,"a"),noisuy2chieu(BK162,BH162,Data!$A$63:$M$85))</f>
        <v>0</v>
      </c>
      <c r="BM162" s="111">
        <v>1.26</v>
      </c>
      <c r="BN162" s="118">
        <f t="shared" si="83"/>
        <v>0.99342316122269547</v>
      </c>
      <c r="BO162" s="108" t="e">
        <f t="shared" si="84"/>
        <v>#DIV/0!</v>
      </c>
      <c r="BP162" s="6" t="e">
        <f t="shared" si="85"/>
        <v>#DIV/0!</v>
      </c>
      <c r="BQ162" s="16">
        <f t="shared" si="86"/>
        <v>127.25109874278135</v>
      </c>
      <c r="BR162" s="118">
        <f t="shared" si="87"/>
        <v>4.2387607289550546</v>
      </c>
      <c r="BS162" s="108">
        <f t="shared" si="88"/>
        <v>2.2455246476804627</v>
      </c>
      <c r="BT162" s="118">
        <f t="shared" si="89"/>
        <v>1.12096814809311</v>
      </c>
      <c r="BU162" s="108">
        <f t="shared" si="90"/>
        <v>2.5171616058078015</v>
      </c>
      <c r="BV162" s="6" cm="1">
        <f t="array" ref="BV162">IF(AP162=0,FactorPhi7121(BR162,"a"),noisuy2chieu(BU162,BR162,Data!$A$63:$M$85))</f>
        <v>0</v>
      </c>
      <c r="BW162" s="111">
        <v>1.26</v>
      </c>
      <c r="BX162" s="111">
        <f t="shared" si="91"/>
        <v>0.97369264489078167</v>
      </c>
      <c r="BY162" s="113" t="e">
        <f t="shared" si="92"/>
        <v>#DIV/0!</v>
      </c>
      <c r="BZ162" s="6" t="e">
        <f t="shared" si="93"/>
        <v>#DIV/0!</v>
      </c>
      <c r="CA162" s="114">
        <f t="shared" si="94"/>
        <v>127.25109874278135</v>
      </c>
      <c r="CB162" s="115" t="e">
        <f t="shared" si="95"/>
        <v>#DIV/0!</v>
      </c>
      <c r="CC162" s="6" t="e">
        <f t="shared" si="96"/>
        <v>#DIV/0!</v>
      </c>
      <c r="DG162" s="108"/>
      <c r="DH162" s="108"/>
      <c r="DI162" s="16"/>
      <c r="DJ162" s="108"/>
      <c r="DT162" s="6"/>
      <c r="DU162" s="6"/>
      <c r="DV162" s="111"/>
      <c r="DW162" s="111"/>
      <c r="DX162" s="111"/>
      <c r="DY162" s="111"/>
      <c r="DZ162" s="111"/>
      <c r="EA162" s="111"/>
      <c r="EB162" s="111"/>
      <c r="EC162" s="111"/>
      <c r="ED162" s="111"/>
      <c r="EE162" s="111"/>
      <c r="EF162" s="6"/>
      <c r="EG162" s="6"/>
      <c r="EH162" s="6"/>
      <c r="EI162" s="6"/>
      <c r="EJ162" s="6"/>
      <c r="EK162" s="6"/>
      <c r="EL162" s="112"/>
      <c r="EM162" s="112"/>
      <c r="EN162" s="118"/>
      <c r="EO162" s="118"/>
      <c r="EP162" s="112"/>
      <c r="EQ162" s="112"/>
      <c r="ER162" s="112"/>
      <c r="ES162" s="112"/>
      <c r="ET162" s="112"/>
      <c r="EU162" s="112"/>
      <c r="EV162" s="6"/>
      <c r="EW162" s="6"/>
      <c r="EX162" s="118"/>
      <c r="EY162" s="113"/>
      <c r="EZ162" s="6"/>
      <c r="FA162" s="114"/>
      <c r="FB162" s="115"/>
      <c r="FC162" s="6"/>
    </row>
    <row r="163" spans="27:159">
      <c r="AA163" s="79" t="s">
        <v>175</v>
      </c>
      <c r="AB163" s="80" t="s">
        <v>195</v>
      </c>
      <c r="AC163" s="81">
        <v>5.48</v>
      </c>
      <c r="AD163" s="81">
        <v>6</v>
      </c>
      <c r="AE163" s="80">
        <v>273</v>
      </c>
      <c r="AF163" s="80">
        <v>6.35</v>
      </c>
      <c r="AG163" s="108" cm="1">
        <f t="array" ref="AG163">_xll.DCEPropSectPipe(AE163, AF163, "Area")/100</f>
        <v>53.19431074856206</v>
      </c>
      <c r="AH163" s="16" cm="1">
        <f t="array" ref="AH163">_xll.DCEPropSectPipe(AE163, AF163, "Ix")/10000</f>
        <v>4730.4733077169503</v>
      </c>
      <c r="AI163" s="16" cm="1">
        <f t="array" ref="AI163">_xll.DCEPropSectPipe(AE163, AF163, "Wx")/1000</f>
        <v>346.55482107816493</v>
      </c>
      <c r="AJ163" s="108">
        <f t="shared" si="65"/>
        <v>9.4301739777164251</v>
      </c>
      <c r="AK163" s="80" t="s">
        <v>213</v>
      </c>
      <c r="AL163" s="82">
        <v>-16.455465814464084</v>
      </c>
      <c r="AM163" s="82">
        <v>0.94982510981590462</v>
      </c>
      <c r="AN163" s="82">
        <v>1.4830110352573686E-3</v>
      </c>
      <c r="AO163" s="82">
        <v>-8.1328325173514078E-3</v>
      </c>
      <c r="AP163" s="82">
        <v>-5.2088409022304214</v>
      </c>
      <c r="AQ163" s="82">
        <v>3.4689348149100551E-4</v>
      </c>
      <c r="AR163" s="72">
        <v>1</v>
      </c>
      <c r="AS163" s="116">
        <f t="shared" si="66"/>
        <v>6</v>
      </c>
      <c r="AT163" s="7">
        <v>2</v>
      </c>
      <c r="AU163" s="6">
        <f t="shared" si="67"/>
        <v>12</v>
      </c>
      <c r="AV163" s="111">
        <f t="shared" si="68"/>
        <v>1.3533902766138665E-2</v>
      </c>
      <c r="AW163" s="117">
        <f t="shared" si="69"/>
        <v>105</v>
      </c>
      <c r="AX163" s="111">
        <f t="shared" si="70"/>
        <v>1</v>
      </c>
      <c r="AY163" s="111">
        <f t="shared" si="71"/>
        <v>1</v>
      </c>
      <c r="AZ163" s="111">
        <f t="shared" si="72"/>
        <v>1</v>
      </c>
      <c r="BA163" s="111">
        <f t="shared" si="73"/>
        <v>1.4246213438040702E-2</v>
      </c>
      <c r="BB163" s="111">
        <f t="shared" si="74"/>
        <v>1.0807477398514993E-4</v>
      </c>
      <c r="BC163" s="111">
        <f t="shared" si="75"/>
        <v>6.9218725706217968E-2</v>
      </c>
      <c r="BD163" s="111">
        <v>0</v>
      </c>
      <c r="BE163" s="111">
        <f t="shared" si="76"/>
        <v>8.3573013918243816E-2</v>
      </c>
      <c r="BF163" s="6" t="str">
        <f t="shared" si="77"/>
        <v>OK</v>
      </c>
      <c r="BG163" s="16">
        <f t="shared" si="78"/>
        <v>63.625549371390676</v>
      </c>
      <c r="BH163" s="118">
        <f t="shared" si="79"/>
        <v>2.1193803644775273</v>
      </c>
      <c r="BI163" s="108">
        <f t="shared" si="80"/>
        <v>7.5862105011402677E-3</v>
      </c>
      <c r="BJ163" s="6">
        <f t="shared" si="81"/>
        <v>1.2438124519068359</v>
      </c>
      <c r="BK163" s="108">
        <f t="shared" si="82"/>
        <v>9.4358230841046619E-3</v>
      </c>
      <c r="BL163" s="118" cm="1">
        <f t="array" ref="BL163">IF(AO163=0,FactorPhi7121(BH163,"a"),noisuy2chieu(BK163,BH163,Data!$A$63:$M$85))</f>
        <v>0</v>
      </c>
      <c r="BM163" s="111">
        <v>1.26</v>
      </c>
      <c r="BN163" s="118">
        <f t="shared" si="83"/>
        <v>0.99392087792200545</v>
      </c>
      <c r="BO163" s="108" t="e">
        <f t="shared" si="84"/>
        <v>#DIV/0!</v>
      </c>
      <c r="BP163" s="6" t="e">
        <f t="shared" si="85"/>
        <v>#DIV/0!</v>
      </c>
      <c r="BQ163" s="16">
        <f t="shared" si="86"/>
        <v>127.25109874278135</v>
      </c>
      <c r="BR163" s="118">
        <f t="shared" si="87"/>
        <v>4.2387607289550546</v>
      </c>
      <c r="BS163" s="108">
        <f t="shared" si="88"/>
        <v>4.8587455190996858</v>
      </c>
      <c r="BT163" s="118">
        <f t="shared" si="89"/>
        <v>1.1010752845807239</v>
      </c>
      <c r="BU163" s="108">
        <f t="shared" si="90"/>
        <v>5.3498446051480038</v>
      </c>
      <c r="BV163" s="6" cm="1">
        <f t="array" ref="BV163">IF(AP163=0,FactorPhi7121(BR163,"a"),noisuy2chieu(BU163,BR163,Data!$A$63:$M$85))</f>
        <v>0</v>
      </c>
      <c r="BW163" s="111">
        <v>1.26</v>
      </c>
      <c r="BX163" s="111">
        <f t="shared" si="91"/>
        <v>0.9756835116880217</v>
      </c>
      <c r="BY163" s="113" t="e">
        <f t="shared" si="92"/>
        <v>#DIV/0!</v>
      </c>
      <c r="BZ163" s="6" t="e">
        <f t="shared" si="93"/>
        <v>#DIV/0!</v>
      </c>
      <c r="CA163" s="114">
        <f t="shared" si="94"/>
        <v>127.25109874278135</v>
      </c>
      <c r="CB163" s="115" t="e">
        <f t="shared" si="95"/>
        <v>#DIV/0!</v>
      </c>
      <c r="CC163" s="6" t="e">
        <f t="shared" si="96"/>
        <v>#DIV/0!</v>
      </c>
      <c r="DG163" s="108"/>
      <c r="DH163" s="108"/>
      <c r="DI163" s="16"/>
      <c r="DJ163" s="108"/>
      <c r="DT163" s="6"/>
      <c r="DU163" s="6"/>
      <c r="DV163" s="111"/>
      <c r="DW163" s="111"/>
      <c r="DX163" s="111"/>
      <c r="DY163" s="111"/>
      <c r="DZ163" s="111"/>
      <c r="EA163" s="111"/>
      <c r="EB163" s="111"/>
      <c r="EC163" s="111"/>
      <c r="ED163" s="111"/>
      <c r="EE163" s="111"/>
      <c r="EF163" s="6"/>
      <c r="EG163" s="6"/>
      <c r="EH163" s="6"/>
      <c r="EI163" s="6"/>
      <c r="EJ163" s="6"/>
      <c r="EK163" s="6"/>
      <c r="EL163" s="112"/>
      <c r="EM163" s="112"/>
      <c r="EN163" s="118"/>
      <c r="EO163" s="118"/>
      <c r="EP163" s="112"/>
      <c r="EQ163" s="112"/>
      <c r="ER163" s="112"/>
      <c r="ES163" s="112"/>
      <c r="ET163" s="112"/>
      <c r="EU163" s="112"/>
      <c r="EV163" s="6"/>
      <c r="EW163" s="6"/>
      <c r="EX163" s="118"/>
      <c r="EY163" s="113"/>
      <c r="EZ163" s="6"/>
      <c r="FA163" s="114"/>
      <c r="FB163" s="115"/>
      <c r="FC163" s="6"/>
    </row>
    <row r="164" spans="27:159">
      <c r="AA164" s="79" t="s">
        <v>175</v>
      </c>
      <c r="AB164" s="80" t="s">
        <v>195</v>
      </c>
      <c r="AC164" s="81">
        <v>0</v>
      </c>
      <c r="AD164" s="81">
        <v>6</v>
      </c>
      <c r="AE164" s="80">
        <v>273</v>
      </c>
      <c r="AF164" s="80">
        <v>6.35</v>
      </c>
      <c r="AG164" s="108" cm="1">
        <f t="array" ref="AG164">_xll.DCEPropSectPipe(AE164, AF164, "Area")/100</f>
        <v>53.19431074856206</v>
      </c>
      <c r="AH164" s="16" cm="1">
        <f t="array" ref="AH164">_xll.DCEPropSectPipe(AE164, AF164, "Ix")/10000</f>
        <v>4730.4733077169503</v>
      </c>
      <c r="AI164" s="16" cm="1">
        <f t="array" ref="AI164">_xll.DCEPropSectPipe(AE164, AF164, "Wx")/1000</f>
        <v>346.55482107816493</v>
      </c>
      <c r="AJ164" s="108">
        <f t="shared" si="65"/>
        <v>9.4301739777164251</v>
      </c>
      <c r="AK164" s="80" t="s">
        <v>214</v>
      </c>
      <c r="AL164" s="82">
        <v>-5.493601002088667</v>
      </c>
      <c r="AM164" s="82">
        <v>0.88177995976807944</v>
      </c>
      <c r="AN164" s="82">
        <v>7.4638000545695948E-4</v>
      </c>
      <c r="AO164" s="82">
        <v>0</v>
      </c>
      <c r="AP164" s="82">
        <v>0</v>
      </c>
      <c r="AQ164" s="82">
        <v>-3.8373667757673189E-4</v>
      </c>
      <c r="AR164" s="72">
        <v>1</v>
      </c>
      <c r="AS164" s="116">
        <f t="shared" si="66"/>
        <v>6</v>
      </c>
      <c r="AT164" s="7">
        <v>2</v>
      </c>
      <c r="AU164" s="6">
        <f t="shared" si="67"/>
        <v>12</v>
      </c>
      <c r="AV164" s="111">
        <f t="shared" si="68"/>
        <v>4.5182471670220138E-3</v>
      </c>
      <c r="AW164" s="117">
        <f t="shared" si="69"/>
        <v>105</v>
      </c>
      <c r="AX164" s="111">
        <f t="shared" si="70"/>
        <v>1</v>
      </c>
      <c r="AY164" s="111">
        <f t="shared" si="71"/>
        <v>1</v>
      </c>
      <c r="AZ164" s="111">
        <f t="shared" si="72"/>
        <v>1</v>
      </c>
      <c r="BA164" s="111">
        <f t="shared" si="73"/>
        <v>4.7560496494968574E-3</v>
      </c>
      <c r="BB164" s="111">
        <f t="shared" si="74"/>
        <v>0</v>
      </c>
      <c r="BC164" s="111">
        <f t="shared" si="75"/>
        <v>0</v>
      </c>
      <c r="BD164" s="111">
        <v>0</v>
      </c>
      <c r="BE164" s="111">
        <f t="shared" si="76"/>
        <v>4.7560496494968574E-3</v>
      </c>
      <c r="BF164" s="6" t="str">
        <f t="shared" si="77"/>
        <v>OK</v>
      </c>
      <c r="BG164" s="16">
        <f t="shared" si="78"/>
        <v>63.625549371390676</v>
      </c>
      <c r="BH164" s="118">
        <f t="shared" si="79"/>
        <v>2.1193803644775273</v>
      </c>
      <c r="BI164" s="108">
        <f t="shared" si="80"/>
        <v>0</v>
      </c>
      <c r="BJ164" s="6">
        <f t="shared" si="81"/>
        <v>1.2440309817761237</v>
      </c>
      <c r="BK164" s="108">
        <f t="shared" si="82"/>
        <v>0</v>
      </c>
      <c r="BL164" s="118" cm="1">
        <f t="array" ref="BL164">IF(AO164=0,FactorPhi7121(BH164,"a"),noisuy2chieu(BK164,BH164,Data!$A$63:$M$85))</f>
        <v>0.86214274110469236</v>
      </c>
      <c r="BM164" s="111">
        <v>1.26</v>
      </c>
      <c r="BN164" s="118">
        <f t="shared" si="83"/>
        <v>0.99797050587834857</v>
      </c>
      <c r="BO164" s="108">
        <f t="shared" si="84"/>
        <v>1.1243735909029239E-2</v>
      </c>
      <c r="BP164" s="6" t="str">
        <f t="shared" si="85"/>
        <v>OK</v>
      </c>
      <c r="BQ164" s="16">
        <f t="shared" si="86"/>
        <v>127.25109874278135</v>
      </c>
      <c r="BR164" s="118">
        <f t="shared" si="87"/>
        <v>4.2387607289550546</v>
      </c>
      <c r="BS164" s="108">
        <f t="shared" si="88"/>
        <v>0</v>
      </c>
      <c r="BT164" s="118">
        <f t="shared" si="89"/>
        <v>1.1380619635522473</v>
      </c>
      <c r="BU164" s="108">
        <f t="shared" si="90"/>
        <v>0</v>
      </c>
      <c r="BV164" s="6" cm="1">
        <f t="array" ref="BV164">IF(AP164=0,FactorPhi7121(BR164,"a"),noisuy2chieu(BU164,BR164,Data!$A$63:$M$85))</f>
        <v>0.42299549615688942</v>
      </c>
      <c r="BW164" s="111">
        <v>1.26</v>
      </c>
      <c r="BX164" s="111">
        <f t="shared" si="91"/>
        <v>0.99188202351339438</v>
      </c>
      <c r="BY164" s="113">
        <f t="shared" si="92"/>
        <v>5.5165454892107217E-3</v>
      </c>
      <c r="BZ164" s="6" t="str">
        <f t="shared" si="93"/>
        <v>OK</v>
      </c>
      <c r="CA164" s="114">
        <f t="shared" si="94"/>
        <v>127.25109874278135</v>
      </c>
      <c r="CB164" s="115">
        <f t="shared" si="95"/>
        <v>150</v>
      </c>
      <c r="CC164" s="6" t="str">
        <f t="shared" si="96"/>
        <v>OK</v>
      </c>
      <c r="DG164" s="108"/>
      <c r="DH164" s="108"/>
      <c r="DI164" s="16"/>
      <c r="DJ164" s="108"/>
      <c r="DT164" s="6"/>
      <c r="DU164" s="6"/>
      <c r="DV164" s="111"/>
      <c r="DW164" s="111"/>
      <c r="DX164" s="111"/>
      <c r="DY164" s="111"/>
      <c r="DZ164" s="111"/>
      <c r="EA164" s="111"/>
      <c r="EB164" s="111"/>
      <c r="EC164" s="111"/>
      <c r="ED164" s="111"/>
      <c r="EE164" s="111"/>
      <c r="EF164" s="6"/>
      <c r="EG164" s="6"/>
      <c r="EH164" s="6"/>
      <c r="EI164" s="6"/>
      <c r="EJ164" s="6"/>
      <c r="EK164" s="6"/>
      <c r="EL164" s="112"/>
      <c r="EM164" s="112"/>
      <c r="EN164" s="118"/>
      <c r="EO164" s="118"/>
      <c r="EP164" s="112"/>
      <c r="EQ164" s="112"/>
      <c r="ER164" s="112"/>
      <c r="ES164" s="112"/>
      <c r="ET164" s="112"/>
      <c r="EU164" s="112"/>
      <c r="EV164" s="6"/>
      <c r="EW164" s="6"/>
      <c r="EX164" s="118"/>
      <c r="EY164" s="113"/>
      <c r="EZ164" s="6"/>
      <c r="FA164" s="114"/>
      <c r="FB164" s="115"/>
      <c r="FC164" s="6"/>
    </row>
    <row r="165" spans="27:159">
      <c r="AA165" s="79" t="s">
        <v>175</v>
      </c>
      <c r="AB165" s="80" t="s">
        <v>195</v>
      </c>
      <c r="AC165" s="81">
        <v>2.74</v>
      </c>
      <c r="AD165" s="81">
        <v>6</v>
      </c>
      <c r="AE165" s="80">
        <v>273</v>
      </c>
      <c r="AF165" s="80">
        <v>6.35</v>
      </c>
      <c r="AG165" s="108" cm="1">
        <f t="array" ref="AG165">_xll.DCEPropSectPipe(AE165, AF165, "Area")/100</f>
        <v>53.19431074856206</v>
      </c>
      <c r="AH165" s="16" cm="1">
        <f t="array" ref="AH165">_xll.DCEPropSectPipe(AE165, AF165, "Ix")/10000</f>
        <v>4730.4733077169503</v>
      </c>
      <c r="AI165" s="16" cm="1">
        <f t="array" ref="AI165">_xll.DCEPropSectPipe(AE165, AF165, "Wx")/1000</f>
        <v>346.55482107816493</v>
      </c>
      <c r="AJ165" s="108">
        <f t="shared" si="65"/>
        <v>9.4301739777164251</v>
      </c>
      <c r="AK165" s="80" t="s">
        <v>214</v>
      </c>
      <c r="AL165" s="82">
        <v>-4.1463406533566296</v>
      </c>
      <c r="AM165" s="82">
        <v>0.88177995976807944</v>
      </c>
      <c r="AN165" s="82">
        <v>7.4638000545695948E-4</v>
      </c>
      <c r="AO165" s="82">
        <v>-2.0465739749629822E-3</v>
      </c>
      <c r="AP165" s="82">
        <v>-2.4178406496840745</v>
      </c>
      <c r="AQ165" s="82">
        <v>-3.8373667757673189E-4</v>
      </c>
      <c r="AR165" s="72">
        <v>1</v>
      </c>
      <c r="AS165" s="116">
        <f t="shared" si="66"/>
        <v>6</v>
      </c>
      <c r="AT165" s="7">
        <v>2</v>
      </c>
      <c r="AU165" s="6">
        <f t="shared" si="67"/>
        <v>12</v>
      </c>
      <c r="AV165" s="111">
        <f t="shared" si="68"/>
        <v>3.4101843041411382E-3</v>
      </c>
      <c r="AW165" s="117">
        <f t="shared" si="69"/>
        <v>105</v>
      </c>
      <c r="AX165" s="111">
        <f t="shared" si="70"/>
        <v>1</v>
      </c>
      <c r="AY165" s="111">
        <f t="shared" si="71"/>
        <v>1</v>
      </c>
      <c r="AZ165" s="111">
        <f t="shared" si="72"/>
        <v>1</v>
      </c>
      <c r="BA165" s="111">
        <f t="shared" si="73"/>
        <v>3.5896676885696192E-3</v>
      </c>
      <c r="BB165" s="111">
        <f t="shared" si="74"/>
        <v>2.7196308213174189E-5</v>
      </c>
      <c r="BC165" s="111">
        <f t="shared" si="75"/>
        <v>3.2129959788205938E-2</v>
      </c>
      <c r="BD165" s="111">
        <v>0</v>
      </c>
      <c r="BE165" s="111">
        <f t="shared" si="76"/>
        <v>3.5746823784988731E-2</v>
      </c>
      <c r="BF165" s="6" t="str">
        <f t="shared" si="77"/>
        <v>OK</v>
      </c>
      <c r="BG165" s="16">
        <f t="shared" si="78"/>
        <v>63.625549371390676</v>
      </c>
      <c r="BH165" s="118">
        <f t="shared" si="79"/>
        <v>2.1193803644775273</v>
      </c>
      <c r="BI165" s="108">
        <f t="shared" si="80"/>
        <v>7.5762746227941644E-3</v>
      </c>
      <c r="BJ165" s="6">
        <f t="shared" si="81"/>
        <v>1.2438127381216983</v>
      </c>
      <c r="BK165" s="108">
        <f t="shared" si="82"/>
        <v>9.4234668833395475E-3</v>
      </c>
      <c r="BL165" s="118" cm="1">
        <f t="array" ref="BL165">IF(AO165=0,FactorPhi7121(BH165,"a"),noisuy2chieu(BK165,BH165,Data!$A$63:$M$85))</f>
        <v>0</v>
      </c>
      <c r="BM165" s="111">
        <v>1.26</v>
      </c>
      <c r="BN165" s="118">
        <f t="shared" si="83"/>
        <v>0.99846822257765855</v>
      </c>
      <c r="BO165" s="108" t="e">
        <f t="shared" si="84"/>
        <v>#DIV/0!</v>
      </c>
      <c r="BP165" s="6" t="e">
        <f t="shared" si="85"/>
        <v>#DIV/0!</v>
      </c>
      <c r="BQ165" s="16">
        <f t="shared" si="86"/>
        <v>127.25109874278135</v>
      </c>
      <c r="BR165" s="118">
        <f t="shared" si="87"/>
        <v>4.2387607289550546</v>
      </c>
      <c r="BS165" s="108">
        <f t="shared" si="88"/>
        <v>8.9506780503709589</v>
      </c>
      <c r="BT165" s="118">
        <f t="shared" si="89"/>
        <v>1.1000000000000001</v>
      </c>
      <c r="BU165" s="108">
        <f t="shared" si="90"/>
        <v>9.8457458554080564</v>
      </c>
      <c r="BV165" s="6" cm="1">
        <f t="array" ref="BV165">IF(AP165=0,FactorPhi7121(BR165,"a"),noisuy2chieu(BU165,BR165,Data!$A$63:$M$85))</f>
        <v>0</v>
      </c>
      <c r="BW165" s="111">
        <v>1.26</v>
      </c>
      <c r="BX165" s="111">
        <f t="shared" si="91"/>
        <v>0.99387289031063442</v>
      </c>
      <c r="BY165" s="113" t="e">
        <f t="shared" si="92"/>
        <v>#DIV/0!</v>
      </c>
      <c r="BZ165" s="6" t="e">
        <f t="shared" si="93"/>
        <v>#DIV/0!</v>
      </c>
      <c r="CA165" s="114">
        <f t="shared" si="94"/>
        <v>127.25109874278135</v>
      </c>
      <c r="CB165" s="115" t="e">
        <f t="shared" si="95"/>
        <v>#DIV/0!</v>
      </c>
      <c r="CC165" s="6" t="e">
        <f t="shared" si="96"/>
        <v>#DIV/0!</v>
      </c>
      <c r="DG165" s="108"/>
      <c r="DH165" s="108"/>
      <c r="DI165" s="16"/>
      <c r="DJ165" s="108"/>
      <c r="DT165" s="6"/>
      <c r="DU165" s="6"/>
      <c r="DV165" s="111"/>
      <c r="DW165" s="111"/>
      <c r="DX165" s="111"/>
      <c r="DY165" s="111"/>
      <c r="DZ165" s="111"/>
      <c r="EA165" s="111"/>
      <c r="EB165" s="111"/>
      <c r="EC165" s="111"/>
      <c r="ED165" s="111"/>
      <c r="EE165" s="111"/>
      <c r="EF165" s="6"/>
      <c r="EG165" s="6"/>
      <c r="EH165" s="6"/>
      <c r="EI165" s="6"/>
      <c r="EJ165" s="6"/>
      <c r="EK165" s="6"/>
      <c r="EL165" s="112"/>
      <c r="EM165" s="112"/>
      <c r="EN165" s="118"/>
      <c r="EO165" s="118"/>
      <c r="EP165" s="112"/>
      <c r="EQ165" s="112"/>
      <c r="ER165" s="112"/>
      <c r="ES165" s="112"/>
      <c r="ET165" s="112"/>
      <c r="EU165" s="112"/>
      <c r="EV165" s="6"/>
      <c r="EW165" s="6"/>
      <c r="EX165" s="118"/>
      <c r="EY165" s="113"/>
      <c r="EZ165" s="6"/>
      <c r="FA165" s="114"/>
      <c r="FB165" s="115"/>
      <c r="FC165" s="6"/>
    </row>
    <row r="166" spans="27:159">
      <c r="AA166" s="79" t="s">
        <v>175</v>
      </c>
      <c r="AB166" s="80" t="s">
        <v>195</v>
      </c>
      <c r="AC166" s="81">
        <v>5.48</v>
      </c>
      <c r="AD166" s="81">
        <v>6</v>
      </c>
      <c r="AE166" s="80">
        <v>273</v>
      </c>
      <c r="AF166" s="80">
        <v>6.35</v>
      </c>
      <c r="AG166" s="108" cm="1">
        <f t="array" ref="AG166">_xll.DCEPropSectPipe(AE166, AF166, "Area")/100</f>
        <v>53.19431074856206</v>
      </c>
      <c r="AH166" s="16" cm="1">
        <f t="array" ref="AH166">_xll.DCEPropSectPipe(AE166, AF166, "Ix")/10000</f>
        <v>4730.4733077169503</v>
      </c>
      <c r="AI166" s="16" cm="1">
        <f t="array" ref="AI166">_xll.DCEPropSectPipe(AE166, AF166, "Wx")/1000</f>
        <v>346.55482107816493</v>
      </c>
      <c r="AJ166" s="108">
        <f t="shared" si="65"/>
        <v>9.4301739777164251</v>
      </c>
      <c r="AK166" s="80" t="s">
        <v>214</v>
      </c>
      <c r="AL166" s="82">
        <v>-2.7990803046245993</v>
      </c>
      <c r="AM166" s="82">
        <v>0.88177995976807944</v>
      </c>
      <c r="AN166" s="82">
        <v>7.4638000545695948E-4</v>
      </c>
      <c r="AO166" s="82">
        <v>-4.0931479499259644E-3</v>
      </c>
      <c r="AP166" s="82">
        <v>-4.8356812993681491</v>
      </c>
      <c r="AQ166" s="82">
        <v>-3.8373667757673189E-4</v>
      </c>
      <c r="AR166" s="72">
        <v>1</v>
      </c>
      <c r="AS166" s="116">
        <f t="shared" si="66"/>
        <v>6</v>
      </c>
      <c r="AT166" s="7">
        <v>2</v>
      </c>
      <c r="AU166" s="6">
        <f t="shared" si="67"/>
        <v>12</v>
      </c>
      <c r="AV166" s="111">
        <f t="shared" si="68"/>
        <v>2.3021214412602678E-3</v>
      </c>
      <c r="AW166" s="117">
        <f t="shared" si="69"/>
        <v>105</v>
      </c>
      <c r="AX166" s="111">
        <f t="shared" si="70"/>
        <v>1</v>
      </c>
      <c r="AY166" s="111">
        <f t="shared" si="71"/>
        <v>1</v>
      </c>
      <c r="AZ166" s="111">
        <f t="shared" si="72"/>
        <v>1</v>
      </c>
      <c r="BA166" s="111">
        <f t="shared" si="73"/>
        <v>2.4232857276423872E-3</v>
      </c>
      <c r="BB166" s="111">
        <f t="shared" si="74"/>
        <v>5.4392616426348378E-5</v>
      </c>
      <c r="BC166" s="111">
        <f t="shared" si="75"/>
        <v>6.4259919576411875E-2</v>
      </c>
      <c r="BD166" s="111">
        <v>0</v>
      </c>
      <c r="BE166" s="111">
        <f t="shared" si="76"/>
        <v>6.6737597920480604E-2</v>
      </c>
      <c r="BF166" s="6" t="str">
        <f t="shared" si="77"/>
        <v>OK</v>
      </c>
      <c r="BG166" s="16">
        <f t="shared" si="78"/>
        <v>63.625549371390676</v>
      </c>
      <c r="BH166" s="118">
        <f t="shared" si="79"/>
        <v>2.1193803644775273</v>
      </c>
      <c r="BI166" s="108">
        <f t="shared" si="80"/>
        <v>2.2445812231670643E-2</v>
      </c>
      <c r="BJ166" s="6">
        <f t="shared" si="81"/>
        <v>1.2433844033016257</v>
      </c>
      <c r="BK166" s="108">
        <f t="shared" si="82"/>
        <v>2.7908772848296133E-2</v>
      </c>
      <c r="BL166" s="118" cm="1">
        <f t="array" ref="BL166">IF(AO166=0,FactorPhi7121(BH166,"a"),noisuy2chieu(BK166,BH166,Data!$A$63:$M$85))</f>
        <v>0</v>
      </c>
      <c r="BM166" s="111">
        <v>1.26</v>
      </c>
      <c r="BN166" s="118">
        <f t="shared" si="83"/>
        <v>0.99896593927696864</v>
      </c>
      <c r="BO166" s="108" t="e">
        <f t="shared" si="84"/>
        <v>#DIV/0!</v>
      </c>
      <c r="BP166" s="6" t="e">
        <f t="shared" si="85"/>
        <v>#DIV/0!</v>
      </c>
      <c r="BQ166" s="16">
        <f t="shared" si="86"/>
        <v>127.25109874278135</v>
      </c>
      <c r="BR166" s="118">
        <f t="shared" si="87"/>
        <v>4.2387607289550546</v>
      </c>
      <c r="BS166" s="108">
        <f t="shared" si="88"/>
        <v>26.517681692835421</v>
      </c>
      <c r="BT166" s="118">
        <f t="shared" si="89"/>
        <v>1.1000000000000001</v>
      </c>
      <c r="BU166" s="108">
        <f t="shared" si="90"/>
        <v>29.169449862118967</v>
      </c>
      <c r="BV166" s="6" cm="1">
        <f t="array" ref="BV166">IF(AP166=0,FactorPhi7121(BR166,"a"),noisuy2chieu(BU166,BR166,Data!$A$63:$M$85))</f>
        <v>0</v>
      </c>
      <c r="BW166" s="111">
        <v>1.26</v>
      </c>
      <c r="BX166" s="111">
        <f t="shared" si="91"/>
        <v>0.99586375710787445</v>
      </c>
      <c r="BY166" s="113" t="e">
        <f t="shared" si="92"/>
        <v>#DIV/0!</v>
      </c>
      <c r="BZ166" s="6" t="e">
        <f t="shared" si="93"/>
        <v>#DIV/0!</v>
      </c>
      <c r="CA166" s="114">
        <f t="shared" si="94"/>
        <v>127.25109874278135</v>
      </c>
      <c r="CB166" s="115" t="e">
        <f t="shared" si="95"/>
        <v>#DIV/0!</v>
      </c>
      <c r="CC166" s="6" t="e">
        <f t="shared" si="96"/>
        <v>#DIV/0!</v>
      </c>
      <c r="DG166" s="108"/>
      <c r="DH166" s="108"/>
      <c r="DI166" s="16"/>
      <c r="DJ166" s="108"/>
      <c r="DT166" s="6"/>
      <c r="DU166" s="6"/>
      <c r="DV166" s="111"/>
      <c r="DW166" s="111"/>
      <c r="DX166" s="111"/>
      <c r="DY166" s="111"/>
      <c r="DZ166" s="111"/>
      <c r="EA166" s="111"/>
      <c r="EB166" s="111"/>
      <c r="EC166" s="111"/>
      <c r="ED166" s="111"/>
      <c r="EE166" s="111"/>
      <c r="EF166" s="6"/>
      <c r="EG166" s="6"/>
      <c r="EH166" s="6"/>
      <c r="EI166" s="6"/>
      <c r="EJ166" s="6"/>
      <c r="EK166" s="6"/>
      <c r="EL166" s="112"/>
      <c r="EM166" s="112"/>
      <c r="EN166" s="118"/>
      <c r="EO166" s="118"/>
      <c r="EP166" s="112"/>
      <c r="EQ166" s="112"/>
      <c r="ER166" s="112"/>
      <c r="ES166" s="112"/>
      <c r="ET166" s="112"/>
      <c r="EU166" s="112"/>
      <c r="EV166" s="6"/>
      <c r="EW166" s="6"/>
      <c r="EX166" s="118"/>
      <c r="EY166" s="113"/>
      <c r="EZ166" s="6"/>
      <c r="FA166" s="114"/>
      <c r="FB166" s="115"/>
      <c r="FC166" s="6"/>
    </row>
    <row r="167" spans="27:159">
      <c r="AA167" s="79" t="s">
        <v>175</v>
      </c>
      <c r="AB167" s="80" t="s">
        <v>195</v>
      </c>
      <c r="AC167" s="81">
        <v>0</v>
      </c>
      <c r="AD167" s="81">
        <v>6</v>
      </c>
      <c r="AE167" s="80">
        <v>273</v>
      </c>
      <c r="AF167" s="80">
        <v>6.35</v>
      </c>
      <c r="AG167" s="108" cm="1">
        <f t="array" ref="AG167">_xll.DCEPropSectPipe(AE167, AF167, "Area")/100</f>
        <v>53.19431074856206</v>
      </c>
      <c r="AH167" s="16" cm="1">
        <f t="array" ref="AH167">_xll.DCEPropSectPipe(AE167, AF167, "Ix")/10000</f>
        <v>4730.4733077169503</v>
      </c>
      <c r="AI167" s="16" cm="1">
        <f t="array" ref="AI167">_xll.DCEPropSectPipe(AE167, AF167, "Wx")/1000</f>
        <v>346.55482107816493</v>
      </c>
      <c r="AJ167" s="108">
        <f t="shared" si="65"/>
        <v>9.4301739777164251</v>
      </c>
      <c r="AK167" s="80" t="s">
        <v>215</v>
      </c>
      <c r="AL167" s="82">
        <v>-69.435381220741007</v>
      </c>
      <c r="AM167" s="82">
        <v>9.5035865755296882</v>
      </c>
      <c r="AN167" s="82">
        <v>1.1360813534230147E-2</v>
      </c>
      <c r="AO167" s="82">
        <v>0</v>
      </c>
      <c r="AP167" s="82">
        <v>0</v>
      </c>
      <c r="AQ167" s="82">
        <v>5.4919601171302308E-4</v>
      </c>
      <c r="AR167" s="72">
        <v>1</v>
      </c>
      <c r="AS167" s="116">
        <f t="shared" si="66"/>
        <v>6</v>
      </c>
      <c r="AT167" s="7">
        <v>2</v>
      </c>
      <c r="AU167" s="6">
        <f t="shared" si="67"/>
        <v>12</v>
      </c>
      <c r="AV167" s="111">
        <f t="shared" si="68"/>
        <v>5.7107571950061158E-2</v>
      </c>
      <c r="AW167" s="117">
        <f t="shared" si="69"/>
        <v>105</v>
      </c>
      <c r="AX167" s="111">
        <f t="shared" si="70"/>
        <v>1</v>
      </c>
      <c r="AY167" s="111">
        <f t="shared" si="71"/>
        <v>1</v>
      </c>
      <c r="AZ167" s="111">
        <f t="shared" si="72"/>
        <v>1</v>
      </c>
      <c r="BA167" s="111">
        <f t="shared" si="73"/>
        <v>6.0113233631643323E-2</v>
      </c>
      <c r="BB167" s="111">
        <f t="shared" si="74"/>
        <v>0</v>
      </c>
      <c r="BC167" s="111">
        <f t="shared" si="75"/>
        <v>0</v>
      </c>
      <c r="BD167" s="111">
        <v>0</v>
      </c>
      <c r="BE167" s="111">
        <f t="shared" si="76"/>
        <v>6.0113233631643323E-2</v>
      </c>
      <c r="BF167" s="6" t="str">
        <f t="shared" si="77"/>
        <v>OK</v>
      </c>
      <c r="BG167" s="16">
        <f t="shared" si="78"/>
        <v>63.625549371390676</v>
      </c>
      <c r="BH167" s="118">
        <f t="shared" si="79"/>
        <v>2.1193803644775273</v>
      </c>
      <c r="BI167" s="108">
        <f t="shared" si="80"/>
        <v>0</v>
      </c>
      <c r="BJ167" s="6">
        <f t="shared" si="81"/>
        <v>1.2440309817761237</v>
      </c>
      <c r="BK167" s="108">
        <f t="shared" si="82"/>
        <v>0</v>
      </c>
      <c r="BL167" s="118" cm="1">
        <f t="array" ref="BL167">IF(AO167=0,FactorPhi7121(BH167,"a"),noisuy2chieu(BK167,BH167,Data!$A$63:$M$85))</f>
        <v>0.86214274110469236</v>
      </c>
      <c r="BM167" s="111">
        <v>1.26</v>
      </c>
      <c r="BN167" s="118">
        <f t="shared" si="83"/>
        <v>0.974348574283327</v>
      </c>
      <c r="BO167" s="108">
        <f t="shared" si="84"/>
        <v>0.14211317656523528</v>
      </c>
      <c r="BP167" s="6" t="str">
        <f t="shared" si="85"/>
        <v>OK</v>
      </c>
      <c r="BQ167" s="16">
        <f t="shared" si="86"/>
        <v>127.25109874278135</v>
      </c>
      <c r="BR167" s="118">
        <f t="shared" si="87"/>
        <v>4.2387607289550546</v>
      </c>
      <c r="BS167" s="108">
        <f t="shared" si="88"/>
        <v>0</v>
      </c>
      <c r="BT167" s="118">
        <f t="shared" si="89"/>
        <v>1.1380619635522473</v>
      </c>
      <c r="BU167" s="108">
        <f t="shared" si="90"/>
        <v>0</v>
      </c>
      <c r="BV167" s="6" cm="1">
        <f t="array" ref="BV167">IF(AP167=0,FactorPhi7121(BR167,"a"),noisuy2chieu(BU167,BR167,Data!$A$63:$M$85))</f>
        <v>0.42299549615688942</v>
      </c>
      <c r="BW167" s="111">
        <v>1.26</v>
      </c>
      <c r="BX167" s="111">
        <f t="shared" si="91"/>
        <v>0.89739429713330809</v>
      </c>
      <c r="BY167" s="113">
        <f t="shared" si="92"/>
        <v>6.972538393656047E-2</v>
      </c>
      <c r="BZ167" s="6" t="str">
        <f t="shared" si="93"/>
        <v>OK</v>
      </c>
      <c r="CA167" s="114">
        <f t="shared" si="94"/>
        <v>127.25109874278135</v>
      </c>
      <c r="CB167" s="115">
        <f t="shared" si="95"/>
        <v>150</v>
      </c>
      <c r="CC167" s="6" t="str">
        <f t="shared" si="96"/>
        <v>OK</v>
      </c>
      <c r="DG167" s="108"/>
      <c r="DH167" s="108"/>
      <c r="DI167" s="16"/>
      <c r="DJ167" s="108"/>
      <c r="DT167" s="6"/>
      <c r="DU167" s="6"/>
      <c r="DV167" s="111"/>
      <c r="DW167" s="111"/>
      <c r="DX167" s="111"/>
      <c r="DY167" s="111"/>
      <c r="DZ167" s="111"/>
      <c r="EA167" s="111"/>
      <c r="EB167" s="111"/>
      <c r="EC167" s="111"/>
      <c r="ED167" s="111"/>
      <c r="EE167" s="111"/>
      <c r="EF167" s="6"/>
      <c r="EG167" s="6"/>
      <c r="EH167" s="6"/>
      <c r="EI167" s="6"/>
      <c r="EJ167" s="6"/>
      <c r="EK167" s="6"/>
      <c r="EL167" s="112"/>
      <c r="EM167" s="112"/>
      <c r="EN167" s="118"/>
      <c r="EO167" s="118"/>
      <c r="EP167" s="112"/>
      <c r="EQ167" s="112"/>
      <c r="ER167" s="112"/>
      <c r="ES167" s="112"/>
      <c r="ET167" s="112"/>
      <c r="EU167" s="112"/>
      <c r="EV167" s="6"/>
      <c r="EW167" s="6"/>
      <c r="EX167" s="118"/>
      <c r="EY167" s="113"/>
      <c r="EZ167" s="6"/>
      <c r="FA167" s="114"/>
      <c r="FB167" s="115"/>
      <c r="FC167" s="6"/>
    </row>
    <row r="168" spans="27:159">
      <c r="AA168" s="79" t="s">
        <v>175</v>
      </c>
      <c r="AB168" s="80" t="s">
        <v>195</v>
      </c>
      <c r="AC168" s="81">
        <v>2.74</v>
      </c>
      <c r="AD168" s="81">
        <v>6</v>
      </c>
      <c r="AE168" s="80">
        <v>273</v>
      </c>
      <c r="AF168" s="80">
        <v>6.35</v>
      </c>
      <c r="AG168" s="108" cm="1">
        <f t="array" ref="AG168">_xll.DCEPropSectPipe(AE168, AF168, "Area")/100</f>
        <v>53.19431074856206</v>
      </c>
      <c r="AH168" s="16" cm="1">
        <f t="array" ref="AH168">_xll.DCEPropSectPipe(AE168, AF168, "Ix")/10000</f>
        <v>4730.4733077169503</v>
      </c>
      <c r="AI168" s="16" cm="1">
        <f t="array" ref="AI168">_xll.DCEPropSectPipe(AE168, AF168, "Wx")/1000</f>
        <v>346.55482107816493</v>
      </c>
      <c r="AJ168" s="108">
        <f t="shared" si="65"/>
        <v>9.4301739777164251</v>
      </c>
      <c r="AK168" s="80" t="s">
        <v>215</v>
      </c>
      <c r="AL168" s="82">
        <v>-68.088120872008986</v>
      </c>
      <c r="AM168" s="82">
        <v>9.5035865755296882</v>
      </c>
      <c r="AN168" s="82">
        <v>1.1360813534230147E-2</v>
      </c>
      <c r="AO168" s="82">
        <v>-3.1151350710859067E-2</v>
      </c>
      <c r="AP168" s="82">
        <v>-26.058834390102408</v>
      </c>
      <c r="AQ168" s="82">
        <v>5.4919601171302308E-4</v>
      </c>
      <c r="AR168" s="72">
        <v>1</v>
      </c>
      <c r="AS168" s="116">
        <f t="shared" si="66"/>
        <v>6</v>
      </c>
      <c r="AT168" s="7">
        <v>2</v>
      </c>
      <c r="AU168" s="6">
        <f t="shared" si="67"/>
        <v>12</v>
      </c>
      <c r="AV168" s="111">
        <f t="shared" si="68"/>
        <v>5.5999509087180294E-2</v>
      </c>
      <c r="AW168" s="117">
        <f t="shared" si="69"/>
        <v>105</v>
      </c>
      <c r="AX168" s="111">
        <f t="shared" si="70"/>
        <v>1</v>
      </c>
      <c r="AY168" s="111">
        <f t="shared" si="71"/>
        <v>1</v>
      </c>
      <c r="AZ168" s="111">
        <f t="shared" si="72"/>
        <v>1</v>
      </c>
      <c r="BA168" s="111">
        <f t="shared" si="73"/>
        <v>5.8946851670716102E-2</v>
      </c>
      <c r="BB168" s="111">
        <f t="shared" si="74"/>
        <v>4.1396096381247596E-4</v>
      </c>
      <c r="BC168" s="111">
        <f t="shared" si="75"/>
        <v>0.34628804060801516</v>
      </c>
      <c r="BD168" s="111">
        <v>0</v>
      </c>
      <c r="BE168" s="111">
        <f t="shared" si="76"/>
        <v>0.40564885324254374</v>
      </c>
      <c r="BF168" s="6" t="str">
        <f t="shared" si="77"/>
        <v>OK</v>
      </c>
      <c r="BG168" s="16">
        <f t="shared" si="78"/>
        <v>63.625549371390676</v>
      </c>
      <c r="BH168" s="118">
        <f t="shared" si="79"/>
        <v>2.1193803644775273</v>
      </c>
      <c r="BI168" s="108">
        <f t="shared" si="80"/>
        <v>7.0226136270162406E-3</v>
      </c>
      <c r="BJ168" s="6">
        <f t="shared" si="81"/>
        <v>1.2438286869890569</v>
      </c>
      <c r="BK168" s="108">
        <f t="shared" si="82"/>
        <v>8.7349282869230698E-3</v>
      </c>
      <c r="BL168" s="118" cm="1">
        <f t="array" ref="BL168">IF(AO168=0,FactorPhi7121(BH168,"a"),noisuy2chieu(BK168,BH168,Data!$A$63:$M$85))</f>
        <v>0</v>
      </c>
      <c r="BM168" s="111">
        <v>1.26</v>
      </c>
      <c r="BN168" s="118">
        <f t="shared" si="83"/>
        <v>0.97484629098263698</v>
      </c>
      <c r="BO168" s="108" t="e">
        <f t="shared" si="84"/>
        <v>#DIV/0!</v>
      </c>
      <c r="BP168" s="6" t="e">
        <f t="shared" si="85"/>
        <v>#DIV/0!</v>
      </c>
      <c r="BQ168" s="16">
        <f t="shared" si="86"/>
        <v>127.25109874278135</v>
      </c>
      <c r="BR168" s="118">
        <f t="shared" si="87"/>
        <v>4.2387607289550546</v>
      </c>
      <c r="BS168" s="108">
        <f t="shared" si="88"/>
        <v>5.8745807586539138</v>
      </c>
      <c r="BT168" s="118">
        <f t="shared" si="89"/>
        <v>1.1000000000000001</v>
      </c>
      <c r="BU168" s="108">
        <f t="shared" si="90"/>
        <v>6.4620388345193058</v>
      </c>
      <c r="BV168" s="6" cm="1">
        <f t="array" ref="BV168">IF(AP168=0,FactorPhi7121(BR168,"a"),noisuy2chieu(BU168,BR168,Data!$A$63:$M$85))</f>
        <v>0</v>
      </c>
      <c r="BW168" s="111">
        <v>1.26</v>
      </c>
      <c r="BX168" s="111">
        <f t="shared" si="91"/>
        <v>0.89938516393054813</v>
      </c>
      <c r="BY168" s="113" t="e">
        <f t="shared" si="92"/>
        <v>#DIV/0!</v>
      </c>
      <c r="BZ168" s="6" t="e">
        <f t="shared" si="93"/>
        <v>#DIV/0!</v>
      </c>
      <c r="CA168" s="114">
        <f t="shared" si="94"/>
        <v>127.25109874278135</v>
      </c>
      <c r="CB168" s="115" t="e">
        <f t="shared" si="95"/>
        <v>#DIV/0!</v>
      </c>
      <c r="CC168" s="6" t="e">
        <f t="shared" si="96"/>
        <v>#DIV/0!</v>
      </c>
      <c r="DG168" s="108"/>
      <c r="DH168" s="108"/>
      <c r="DI168" s="16"/>
      <c r="DJ168" s="108"/>
      <c r="DT168" s="6"/>
      <c r="DU168" s="6"/>
      <c r="DV168" s="111"/>
      <c r="DW168" s="111"/>
      <c r="DX168" s="111"/>
      <c r="DY168" s="111"/>
      <c r="DZ168" s="111"/>
      <c r="EA168" s="111"/>
      <c r="EB168" s="111"/>
      <c r="EC168" s="111"/>
      <c r="ED168" s="111"/>
      <c r="EE168" s="111"/>
      <c r="EF168" s="6"/>
      <c r="EG168" s="6"/>
      <c r="EH168" s="6"/>
      <c r="EI168" s="6"/>
      <c r="EJ168" s="6"/>
      <c r="EK168" s="6"/>
      <c r="EL168" s="112"/>
      <c r="EM168" s="112"/>
      <c r="EN168" s="118"/>
      <c r="EO168" s="118"/>
      <c r="EP168" s="112"/>
      <c r="EQ168" s="112"/>
      <c r="ER168" s="112"/>
      <c r="ES168" s="112"/>
      <c r="ET168" s="112"/>
      <c r="EU168" s="112"/>
      <c r="EV168" s="6"/>
      <c r="EW168" s="6"/>
      <c r="EX168" s="118"/>
      <c r="EY168" s="113"/>
      <c r="EZ168" s="6"/>
      <c r="FA168" s="114"/>
      <c r="FB168" s="115"/>
      <c r="FC168" s="6"/>
    </row>
    <row r="169" spans="27:159">
      <c r="AA169" s="79" t="s">
        <v>175</v>
      </c>
      <c r="AB169" s="80" t="s">
        <v>195</v>
      </c>
      <c r="AC169" s="81">
        <v>5.48</v>
      </c>
      <c r="AD169" s="81">
        <v>6</v>
      </c>
      <c r="AE169" s="80">
        <v>273</v>
      </c>
      <c r="AF169" s="80">
        <v>6.35</v>
      </c>
      <c r="AG169" s="108" cm="1">
        <f t="array" ref="AG169">_xll.DCEPropSectPipe(AE169, AF169, "Area")/100</f>
        <v>53.19431074856206</v>
      </c>
      <c r="AH169" s="16" cm="1">
        <f t="array" ref="AH169">_xll.DCEPropSectPipe(AE169, AF169, "Ix")/10000</f>
        <v>4730.4733077169503</v>
      </c>
      <c r="AI169" s="16" cm="1">
        <f t="array" ref="AI169">_xll.DCEPropSectPipe(AE169, AF169, "Wx")/1000</f>
        <v>346.55482107816493</v>
      </c>
      <c r="AJ169" s="108">
        <f t="shared" si="65"/>
        <v>9.4301739777164251</v>
      </c>
      <c r="AK169" s="80" t="s">
        <v>215</v>
      </c>
      <c r="AL169" s="82">
        <v>-66.74086052327695</v>
      </c>
      <c r="AM169" s="82">
        <v>9.5035865755296882</v>
      </c>
      <c r="AN169" s="82">
        <v>1.1360813534230147E-2</v>
      </c>
      <c r="AO169" s="82">
        <v>-6.2302701421718135E-2</v>
      </c>
      <c r="AP169" s="82">
        <v>-52.117668780204816</v>
      </c>
      <c r="AQ169" s="82">
        <v>5.4919601171302308E-4</v>
      </c>
      <c r="AR169" s="72">
        <v>1</v>
      </c>
      <c r="AS169" s="116">
        <f t="shared" si="66"/>
        <v>6</v>
      </c>
      <c r="AT169" s="7">
        <v>2</v>
      </c>
      <c r="AU169" s="6">
        <f t="shared" si="67"/>
        <v>12</v>
      </c>
      <c r="AV169" s="111">
        <f t="shared" si="68"/>
        <v>5.4891446224299423E-2</v>
      </c>
      <c r="AW169" s="117">
        <f t="shared" si="69"/>
        <v>105</v>
      </c>
      <c r="AX169" s="111">
        <f t="shared" si="70"/>
        <v>1</v>
      </c>
      <c r="AY169" s="111">
        <f t="shared" si="71"/>
        <v>1</v>
      </c>
      <c r="AZ169" s="111">
        <f t="shared" si="72"/>
        <v>1</v>
      </c>
      <c r="BA169" s="111">
        <f t="shared" si="73"/>
        <v>5.7780469709788868E-2</v>
      </c>
      <c r="BB169" s="111">
        <f t="shared" si="74"/>
        <v>8.2792192762495191E-4</v>
      </c>
      <c r="BC169" s="111">
        <f t="shared" si="75"/>
        <v>0.69257608121603031</v>
      </c>
      <c r="BD169" s="111">
        <v>0</v>
      </c>
      <c r="BE169" s="111">
        <f t="shared" si="76"/>
        <v>0.75118447285344414</v>
      </c>
      <c r="BF169" s="6" t="str">
        <f t="shared" si="77"/>
        <v>OK</v>
      </c>
      <c r="BG169" s="16">
        <f t="shared" si="78"/>
        <v>63.625549371390676</v>
      </c>
      <c r="BH169" s="118">
        <f t="shared" si="79"/>
        <v>2.1193803644775273</v>
      </c>
      <c r="BI169" s="108">
        <f t="shared" si="80"/>
        <v>1.432875038543845E-2</v>
      </c>
      <c r="BJ169" s="6">
        <f t="shared" si="81"/>
        <v>1.2436182249789958</v>
      </c>
      <c r="BK169" s="108">
        <f t="shared" si="82"/>
        <v>1.7819495120506065E-2</v>
      </c>
      <c r="BL169" s="118" cm="1">
        <f t="array" ref="BL169">IF(AO169=0,FactorPhi7121(BH169,"a"),noisuy2chieu(BK169,BH169,Data!$A$63:$M$85))</f>
        <v>0</v>
      </c>
      <c r="BM169" s="111">
        <v>1.26</v>
      </c>
      <c r="BN169" s="118">
        <f t="shared" si="83"/>
        <v>0.97534400768194707</v>
      </c>
      <c r="BO169" s="108" t="e">
        <f t="shared" si="84"/>
        <v>#DIV/0!</v>
      </c>
      <c r="BP169" s="6" t="e">
        <f t="shared" si="85"/>
        <v>#DIV/0!</v>
      </c>
      <c r="BQ169" s="16">
        <f t="shared" si="86"/>
        <v>127.25109874278135</v>
      </c>
      <c r="BR169" s="118">
        <f t="shared" si="87"/>
        <v>4.2387607289550546</v>
      </c>
      <c r="BS169" s="108">
        <f t="shared" si="88"/>
        <v>11.986335256438695</v>
      </c>
      <c r="BT169" s="118">
        <f t="shared" si="89"/>
        <v>1.1000000000000001</v>
      </c>
      <c r="BU169" s="108">
        <f t="shared" si="90"/>
        <v>13.184968782082565</v>
      </c>
      <c r="BV169" s="6" cm="1">
        <f t="array" ref="BV169">IF(AP169=0,FactorPhi7121(BR169,"a"),noisuy2chieu(BU169,BR169,Data!$A$63:$M$85))</f>
        <v>0</v>
      </c>
      <c r="BW169" s="111">
        <v>1.26</v>
      </c>
      <c r="BX169" s="111">
        <f t="shared" si="91"/>
        <v>0.90137603072778805</v>
      </c>
      <c r="BY169" s="113" t="e">
        <f t="shared" si="92"/>
        <v>#DIV/0!</v>
      </c>
      <c r="BZ169" s="6" t="e">
        <f t="shared" si="93"/>
        <v>#DIV/0!</v>
      </c>
      <c r="CA169" s="114">
        <f t="shared" si="94"/>
        <v>127.25109874278135</v>
      </c>
      <c r="CB169" s="115" t="e">
        <f t="shared" si="95"/>
        <v>#DIV/0!</v>
      </c>
      <c r="CC169" s="6" t="e">
        <f t="shared" si="96"/>
        <v>#DIV/0!</v>
      </c>
      <c r="DG169" s="108"/>
      <c r="DH169" s="108"/>
      <c r="DI169" s="16"/>
      <c r="DJ169" s="108"/>
      <c r="DT169" s="6"/>
      <c r="DU169" s="6"/>
      <c r="DV169" s="111"/>
      <c r="DW169" s="111"/>
      <c r="DX169" s="111"/>
      <c r="DY169" s="111"/>
      <c r="DZ169" s="111"/>
      <c r="EA169" s="111"/>
      <c r="EB169" s="111"/>
      <c r="EC169" s="111"/>
      <c r="ED169" s="111"/>
      <c r="EE169" s="111"/>
      <c r="EF169" s="6"/>
      <c r="EG169" s="6"/>
      <c r="EH169" s="6"/>
      <c r="EI169" s="6"/>
      <c r="EJ169" s="6"/>
      <c r="EK169" s="6"/>
      <c r="EL169" s="112"/>
      <c r="EM169" s="112"/>
      <c r="EN169" s="118"/>
      <c r="EO169" s="118"/>
      <c r="EP169" s="112"/>
      <c r="EQ169" s="112"/>
      <c r="ER169" s="112"/>
      <c r="ES169" s="112"/>
      <c r="ET169" s="112"/>
      <c r="EU169" s="112"/>
      <c r="EV169" s="6"/>
      <c r="EW169" s="6"/>
      <c r="EX169" s="118"/>
      <c r="EY169" s="113"/>
      <c r="EZ169" s="6"/>
      <c r="FA169" s="114"/>
      <c r="FB169" s="115"/>
      <c r="FC169" s="6"/>
    </row>
    <row r="170" spans="27:159">
      <c r="AA170" s="79" t="s">
        <v>175</v>
      </c>
      <c r="AB170" s="80" t="s">
        <v>195</v>
      </c>
      <c r="AC170" s="81">
        <v>0</v>
      </c>
      <c r="AD170" s="81">
        <v>6</v>
      </c>
      <c r="AE170" s="80">
        <v>273</v>
      </c>
      <c r="AF170" s="80">
        <v>6.35</v>
      </c>
      <c r="AG170" s="108" cm="1">
        <f t="array" ref="AG170">_xll.DCEPropSectPipe(AE170, AF170, "Area")/100</f>
        <v>53.19431074856206</v>
      </c>
      <c r="AH170" s="16" cm="1">
        <f t="array" ref="AH170">_xll.DCEPropSectPipe(AE170, AF170, "Ix")/10000</f>
        <v>4730.4733077169503</v>
      </c>
      <c r="AI170" s="16" cm="1">
        <f t="array" ref="AI170">_xll.DCEPropSectPipe(AE170, AF170, "Wx")/1000</f>
        <v>346.55482107816493</v>
      </c>
      <c r="AJ170" s="108">
        <f t="shared" si="65"/>
        <v>9.4301739777164251</v>
      </c>
      <c r="AK170" s="80" t="s">
        <v>216</v>
      </c>
      <c r="AL170" s="82">
        <v>-83.229710018558677</v>
      </c>
      <c r="AM170" s="82">
        <v>9.5723190503254756</v>
      </c>
      <c r="AN170" s="82">
        <v>1.2104885281503375E-2</v>
      </c>
      <c r="AO170" s="82">
        <v>0</v>
      </c>
      <c r="AP170" s="82">
        <v>0</v>
      </c>
      <c r="AQ170" s="82">
        <v>1.2872062733960358E-3</v>
      </c>
      <c r="AR170" s="72">
        <v>1</v>
      </c>
      <c r="AS170" s="116">
        <f t="shared" si="66"/>
        <v>6</v>
      </c>
      <c r="AT170" s="7">
        <v>2</v>
      </c>
      <c r="AU170" s="6">
        <f t="shared" si="67"/>
        <v>12</v>
      </c>
      <c r="AV170" s="111">
        <f t="shared" si="68"/>
        <v>6.8452805611554493E-2</v>
      </c>
      <c r="AW170" s="117">
        <f t="shared" si="69"/>
        <v>105</v>
      </c>
      <c r="AX170" s="111">
        <f t="shared" si="70"/>
        <v>1</v>
      </c>
      <c r="AY170" s="111">
        <f t="shared" si="71"/>
        <v>1</v>
      </c>
      <c r="AZ170" s="111">
        <f t="shared" si="72"/>
        <v>1</v>
      </c>
      <c r="BA170" s="111">
        <f t="shared" si="73"/>
        <v>7.2055584854267885E-2</v>
      </c>
      <c r="BB170" s="111">
        <f t="shared" si="74"/>
        <v>0</v>
      </c>
      <c r="BC170" s="111">
        <f t="shared" si="75"/>
        <v>0</v>
      </c>
      <c r="BD170" s="111">
        <v>0</v>
      </c>
      <c r="BE170" s="111">
        <f t="shared" si="76"/>
        <v>7.2055584854267885E-2</v>
      </c>
      <c r="BF170" s="6" t="str">
        <f t="shared" si="77"/>
        <v>OK</v>
      </c>
      <c r="BG170" s="16">
        <f t="shared" si="78"/>
        <v>63.625549371390676</v>
      </c>
      <c r="BH170" s="118">
        <f t="shared" si="79"/>
        <v>2.1193803644775273</v>
      </c>
      <c r="BI170" s="108">
        <f t="shared" si="80"/>
        <v>0</v>
      </c>
      <c r="BJ170" s="6">
        <f t="shared" si="81"/>
        <v>1.2440309817761237</v>
      </c>
      <c r="BK170" s="108">
        <f t="shared" si="82"/>
        <v>0</v>
      </c>
      <c r="BL170" s="118" cm="1">
        <f t="array" ref="BL170">IF(AO170=0,FactorPhi7121(BH170,"a"),noisuy2chieu(BK170,BH170,Data!$A$63:$M$85))</f>
        <v>0.86214274110469236</v>
      </c>
      <c r="BM170" s="111">
        <v>1.26</v>
      </c>
      <c r="BN170" s="118">
        <f t="shared" si="83"/>
        <v>0.96925255271265709</v>
      </c>
      <c r="BO170" s="108">
        <f t="shared" si="84"/>
        <v>0.17034598597130785</v>
      </c>
      <c r="BP170" s="6" t="str">
        <f t="shared" si="85"/>
        <v>OK</v>
      </c>
      <c r="BQ170" s="16">
        <f t="shared" si="86"/>
        <v>127.25109874278135</v>
      </c>
      <c r="BR170" s="118">
        <f t="shared" si="87"/>
        <v>4.2387607289550546</v>
      </c>
      <c r="BS170" s="108">
        <f t="shared" si="88"/>
        <v>0</v>
      </c>
      <c r="BT170" s="118">
        <f t="shared" si="89"/>
        <v>1.1380619635522473</v>
      </c>
      <c r="BU170" s="108">
        <f t="shared" si="90"/>
        <v>0</v>
      </c>
      <c r="BV170" s="6" cm="1">
        <f t="array" ref="BV170">IF(AP170=0,FactorPhi7121(BR170,"a"),noisuy2chieu(BU170,BR170,Data!$A$63:$M$85))</f>
        <v>0.42299549615688942</v>
      </c>
      <c r="BW170" s="111">
        <v>1.26</v>
      </c>
      <c r="BX170" s="111">
        <f t="shared" si="91"/>
        <v>0.87701021085062858</v>
      </c>
      <c r="BY170" s="113">
        <f t="shared" si="92"/>
        <v>8.3577325910023509E-2</v>
      </c>
      <c r="BZ170" s="6" t="str">
        <f t="shared" si="93"/>
        <v>OK</v>
      </c>
      <c r="CA170" s="114">
        <f t="shared" si="94"/>
        <v>127.25109874278135</v>
      </c>
      <c r="CB170" s="115">
        <f t="shared" si="95"/>
        <v>150</v>
      </c>
      <c r="CC170" s="6" t="str">
        <f t="shared" si="96"/>
        <v>OK</v>
      </c>
      <c r="DG170" s="108"/>
      <c r="DH170" s="108"/>
      <c r="DI170" s="16"/>
      <c r="DJ170" s="108"/>
      <c r="DT170" s="6"/>
      <c r="DU170" s="6"/>
      <c r="DV170" s="111"/>
      <c r="DW170" s="111"/>
      <c r="DX170" s="111"/>
      <c r="DY170" s="111"/>
      <c r="DZ170" s="111"/>
      <c r="EA170" s="111"/>
      <c r="EB170" s="111"/>
      <c r="EC170" s="111"/>
      <c r="ED170" s="111"/>
      <c r="EE170" s="111"/>
      <c r="EF170" s="6"/>
      <c r="EG170" s="6"/>
      <c r="EH170" s="6"/>
      <c r="EI170" s="6"/>
      <c r="EJ170" s="6"/>
      <c r="EK170" s="6"/>
      <c r="EL170" s="112"/>
      <c r="EM170" s="112"/>
      <c r="EN170" s="118"/>
      <c r="EO170" s="118"/>
      <c r="EP170" s="112"/>
      <c r="EQ170" s="112"/>
      <c r="ER170" s="112"/>
      <c r="ES170" s="112"/>
      <c r="ET170" s="112"/>
      <c r="EU170" s="112"/>
      <c r="EV170" s="6"/>
      <c r="EW170" s="6"/>
      <c r="EX170" s="118"/>
      <c r="EY170" s="113"/>
      <c r="EZ170" s="6"/>
      <c r="FA170" s="114"/>
      <c r="FB170" s="115"/>
      <c r="FC170" s="6"/>
    </row>
    <row r="171" spans="27:159">
      <c r="AA171" s="79" t="s">
        <v>175</v>
      </c>
      <c r="AB171" s="80" t="s">
        <v>195</v>
      </c>
      <c r="AC171" s="81">
        <v>2.74</v>
      </c>
      <c r="AD171" s="81">
        <v>6</v>
      </c>
      <c r="AE171" s="80">
        <v>273</v>
      </c>
      <c r="AF171" s="80">
        <v>6.35</v>
      </c>
      <c r="AG171" s="108" cm="1">
        <f t="array" ref="AG171">_xll.DCEPropSectPipe(AE171, AF171, "Area")/100</f>
        <v>53.19431074856206</v>
      </c>
      <c r="AH171" s="16" cm="1">
        <f t="array" ref="AH171">_xll.DCEPropSectPipe(AE171, AF171, "Ix")/10000</f>
        <v>4730.4733077169503</v>
      </c>
      <c r="AI171" s="16" cm="1">
        <f t="array" ref="AI171">_xll.DCEPropSectPipe(AE171, AF171, "Wx")/1000</f>
        <v>346.55482107816493</v>
      </c>
      <c r="AJ171" s="108">
        <f t="shared" si="65"/>
        <v>9.4301739777164251</v>
      </c>
      <c r="AK171" s="80" t="s">
        <v>216</v>
      </c>
      <c r="AL171" s="82">
        <v>-81.882449669826642</v>
      </c>
      <c r="AM171" s="82">
        <v>9.5723190503254756</v>
      </c>
      <c r="AN171" s="82">
        <v>1.2104885281503375E-2</v>
      </c>
      <c r="AO171" s="82">
        <v>-3.3191595441882257E-2</v>
      </c>
      <c r="AP171" s="82">
        <v>-26.247298835992449</v>
      </c>
      <c r="AQ171" s="82">
        <v>1.2872062733960358E-3</v>
      </c>
      <c r="AR171" s="72">
        <v>1</v>
      </c>
      <c r="AS171" s="116">
        <f t="shared" si="66"/>
        <v>6</v>
      </c>
      <c r="AT171" s="7">
        <v>2</v>
      </c>
      <c r="AU171" s="6">
        <f t="shared" si="67"/>
        <v>12</v>
      </c>
      <c r="AV171" s="111">
        <f t="shared" si="68"/>
        <v>6.7344742748673622E-2</v>
      </c>
      <c r="AW171" s="117">
        <f t="shared" si="69"/>
        <v>105</v>
      </c>
      <c r="AX171" s="111">
        <f t="shared" si="70"/>
        <v>1</v>
      </c>
      <c r="AY171" s="111">
        <f t="shared" si="71"/>
        <v>1</v>
      </c>
      <c r="AZ171" s="111">
        <f t="shared" si="72"/>
        <v>1</v>
      </c>
      <c r="BA171" s="111">
        <f t="shared" si="73"/>
        <v>7.0889202893340664E-2</v>
      </c>
      <c r="BB171" s="111">
        <f t="shared" si="74"/>
        <v>4.4107316459975261E-4</v>
      </c>
      <c r="BC171" s="111">
        <f t="shared" si="75"/>
        <v>0.34879248814832131</v>
      </c>
      <c r="BD171" s="111">
        <v>0</v>
      </c>
      <c r="BE171" s="111">
        <f t="shared" si="76"/>
        <v>0.42012276420626171</v>
      </c>
      <c r="BF171" s="6" t="str">
        <f t="shared" si="77"/>
        <v>OK</v>
      </c>
      <c r="BG171" s="16">
        <f t="shared" si="78"/>
        <v>63.625549371390676</v>
      </c>
      <c r="BH171" s="118">
        <f t="shared" si="79"/>
        <v>2.1193803644775273</v>
      </c>
      <c r="BI171" s="108">
        <f t="shared" si="80"/>
        <v>6.2220076767316437E-3</v>
      </c>
      <c r="BJ171" s="6">
        <f t="shared" si="81"/>
        <v>1.2438517494012642</v>
      </c>
      <c r="BK171" s="108">
        <f t="shared" si="82"/>
        <v>7.7392551334907501E-3</v>
      </c>
      <c r="BL171" s="118" cm="1">
        <f t="array" ref="BL171">IF(AO171=0,FactorPhi7121(BH171,"a"),noisuy2chieu(BK171,BH171,Data!$A$63:$M$85))</f>
        <v>0</v>
      </c>
      <c r="BM171" s="111">
        <v>1.26</v>
      </c>
      <c r="BN171" s="118">
        <f t="shared" si="83"/>
        <v>0.96975026941196718</v>
      </c>
      <c r="BO171" s="108" t="e">
        <f t="shared" si="84"/>
        <v>#DIV/0!</v>
      </c>
      <c r="BP171" s="6" t="e">
        <f t="shared" si="85"/>
        <v>#DIV/0!</v>
      </c>
      <c r="BQ171" s="16">
        <f t="shared" si="86"/>
        <v>127.25109874278135</v>
      </c>
      <c r="BR171" s="118">
        <f t="shared" si="87"/>
        <v>4.2387607289550546</v>
      </c>
      <c r="BS171" s="108">
        <f t="shared" si="88"/>
        <v>4.9202484146014704</v>
      </c>
      <c r="BT171" s="118">
        <f t="shared" si="89"/>
        <v>1.1006071003873346</v>
      </c>
      <c r="BU171" s="108">
        <f t="shared" si="90"/>
        <v>5.4152603407799047</v>
      </c>
      <c r="BV171" s="6" cm="1">
        <f t="array" ref="BV171">IF(AP171=0,FactorPhi7121(BR171,"a"),noisuy2chieu(BU171,BR171,Data!$A$63:$M$85))</f>
        <v>0</v>
      </c>
      <c r="BW171" s="111">
        <v>1.26</v>
      </c>
      <c r="BX171" s="111">
        <f t="shared" si="91"/>
        <v>0.87900107764786861</v>
      </c>
      <c r="BY171" s="113" t="e">
        <f t="shared" si="92"/>
        <v>#DIV/0!</v>
      </c>
      <c r="BZ171" s="6" t="e">
        <f t="shared" si="93"/>
        <v>#DIV/0!</v>
      </c>
      <c r="CA171" s="114">
        <f t="shared" si="94"/>
        <v>127.25109874278135</v>
      </c>
      <c r="CB171" s="115" t="e">
        <f t="shared" si="95"/>
        <v>#DIV/0!</v>
      </c>
      <c r="CC171" s="6" t="e">
        <f t="shared" si="96"/>
        <v>#DIV/0!</v>
      </c>
      <c r="DG171" s="108"/>
      <c r="DH171" s="108"/>
      <c r="DI171" s="16"/>
      <c r="DJ171" s="108"/>
      <c r="DT171" s="6"/>
      <c r="DU171" s="6"/>
      <c r="DV171" s="111"/>
      <c r="DW171" s="111"/>
      <c r="DX171" s="111"/>
      <c r="DY171" s="111"/>
      <c r="DZ171" s="111"/>
      <c r="EA171" s="111"/>
      <c r="EB171" s="111"/>
      <c r="EC171" s="111"/>
      <c r="ED171" s="111"/>
      <c r="EE171" s="111"/>
      <c r="EF171" s="6"/>
      <c r="EG171" s="6"/>
      <c r="EH171" s="6"/>
      <c r="EI171" s="6"/>
      <c r="EJ171" s="6"/>
      <c r="EK171" s="6"/>
      <c r="EL171" s="112"/>
      <c r="EM171" s="112"/>
      <c r="EN171" s="118"/>
      <c r="EO171" s="118"/>
      <c r="EP171" s="112"/>
      <c r="EQ171" s="112"/>
      <c r="ER171" s="112"/>
      <c r="ES171" s="112"/>
      <c r="ET171" s="112"/>
      <c r="EU171" s="112"/>
      <c r="EV171" s="6"/>
      <c r="EW171" s="6"/>
      <c r="EX171" s="118"/>
      <c r="EY171" s="113"/>
      <c r="EZ171" s="6"/>
      <c r="FA171" s="114"/>
      <c r="FB171" s="115"/>
      <c r="FC171" s="6"/>
    </row>
    <row r="172" spans="27:159">
      <c r="AA172" s="79" t="s">
        <v>175</v>
      </c>
      <c r="AB172" s="80" t="s">
        <v>195</v>
      </c>
      <c r="AC172" s="81">
        <v>5.48</v>
      </c>
      <c r="AD172" s="81">
        <v>6</v>
      </c>
      <c r="AE172" s="80">
        <v>273</v>
      </c>
      <c r="AF172" s="80">
        <v>6.35</v>
      </c>
      <c r="AG172" s="108" cm="1">
        <f t="array" ref="AG172">_xll.DCEPropSectPipe(AE172, AF172, "Area")/100</f>
        <v>53.19431074856206</v>
      </c>
      <c r="AH172" s="16" cm="1">
        <f t="array" ref="AH172">_xll.DCEPropSectPipe(AE172, AF172, "Ix")/10000</f>
        <v>4730.4733077169503</v>
      </c>
      <c r="AI172" s="16" cm="1">
        <f t="array" ref="AI172">_xll.DCEPropSectPipe(AE172, AF172, "Wx")/1000</f>
        <v>346.55482107816493</v>
      </c>
      <c r="AJ172" s="108">
        <f t="shared" si="65"/>
        <v>9.4301739777164251</v>
      </c>
      <c r="AK172" s="80" t="s">
        <v>216</v>
      </c>
      <c r="AL172" s="82">
        <v>-80.53518932109462</v>
      </c>
      <c r="AM172" s="82">
        <v>9.5723190503254756</v>
      </c>
      <c r="AN172" s="82">
        <v>1.2104885281503375E-2</v>
      </c>
      <c r="AO172" s="82">
        <v>-6.6383190883764515E-2</v>
      </c>
      <c r="AP172" s="82">
        <v>-52.494597671984899</v>
      </c>
      <c r="AQ172" s="82">
        <v>1.2872062733960358E-3</v>
      </c>
      <c r="AR172" s="72">
        <v>1</v>
      </c>
      <c r="AS172" s="116">
        <f t="shared" si="66"/>
        <v>6</v>
      </c>
      <c r="AT172" s="7">
        <v>2</v>
      </c>
      <c r="AU172" s="6">
        <f t="shared" si="67"/>
        <v>12</v>
      </c>
      <c r="AV172" s="111">
        <f t="shared" si="68"/>
        <v>6.6236679885792751E-2</v>
      </c>
      <c r="AW172" s="117">
        <f t="shared" si="69"/>
        <v>105</v>
      </c>
      <c r="AX172" s="111">
        <f t="shared" si="70"/>
        <v>1</v>
      </c>
      <c r="AY172" s="111">
        <f t="shared" si="71"/>
        <v>1</v>
      </c>
      <c r="AZ172" s="111">
        <f t="shared" si="72"/>
        <v>1</v>
      </c>
      <c r="BA172" s="111">
        <f t="shared" si="73"/>
        <v>6.9722820932413429E-2</v>
      </c>
      <c r="BB172" s="111">
        <f t="shared" si="74"/>
        <v>8.8214632919950521E-4</v>
      </c>
      <c r="BC172" s="111">
        <f t="shared" si="75"/>
        <v>0.69758497629664262</v>
      </c>
      <c r="BD172" s="111">
        <v>0</v>
      </c>
      <c r="BE172" s="111">
        <f t="shared" si="76"/>
        <v>0.76818994355825554</v>
      </c>
      <c r="BF172" s="6" t="str">
        <f t="shared" si="77"/>
        <v>OK</v>
      </c>
      <c r="BG172" s="16">
        <f t="shared" si="78"/>
        <v>63.625549371390676</v>
      </c>
      <c r="BH172" s="118">
        <f t="shared" si="79"/>
        <v>2.1193803644775273</v>
      </c>
      <c r="BI172" s="108">
        <f t="shared" si="80"/>
        <v>1.265218930333618E-2</v>
      </c>
      <c r="BJ172" s="6">
        <f t="shared" si="81"/>
        <v>1.2436665203267283</v>
      </c>
      <c r="BK172" s="108">
        <f t="shared" si="82"/>
        <v>1.5735104245395159E-2</v>
      </c>
      <c r="BL172" s="118" cm="1">
        <f t="array" ref="BL172">IF(AO172=0,FactorPhi7121(BH172,"a"),noisuy2chieu(BK172,BH172,Data!$A$63:$M$85))</f>
        <v>0</v>
      </c>
      <c r="BM172" s="111">
        <v>1.26</v>
      </c>
      <c r="BN172" s="118">
        <f t="shared" si="83"/>
        <v>0.97024798611127716</v>
      </c>
      <c r="BO172" s="108" t="e">
        <f t="shared" si="84"/>
        <v>#DIV/0!</v>
      </c>
      <c r="BP172" s="6" t="e">
        <f t="shared" si="85"/>
        <v>#DIV/0!</v>
      </c>
      <c r="BQ172" s="16">
        <f t="shared" si="86"/>
        <v>127.25109874278135</v>
      </c>
      <c r="BR172" s="118">
        <f t="shared" si="87"/>
        <v>4.2387607289550546</v>
      </c>
      <c r="BS172" s="108">
        <f t="shared" si="88"/>
        <v>10.005116932558627</v>
      </c>
      <c r="BT172" s="118">
        <f t="shared" si="89"/>
        <v>1.1000000000000001</v>
      </c>
      <c r="BU172" s="108">
        <f t="shared" si="90"/>
        <v>11.00562862581449</v>
      </c>
      <c r="BV172" s="6" cm="1">
        <f t="array" ref="BV172">IF(AP172=0,FactorPhi7121(BR172,"a"),noisuy2chieu(BU172,BR172,Data!$A$63:$M$85))</f>
        <v>0</v>
      </c>
      <c r="BW172" s="111">
        <v>1.26</v>
      </c>
      <c r="BX172" s="111">
        <f t="shared" si="91"/>
        <v>0.88099194444510853</v>
      </c>
      <c r="BY172" s="113" t="e">
        <f t="shared" si="92"/>
        <v>#DIV/0!</v>
      </c>
      <c r="BZ172" s="6" t="e">
        <f t="shared" si="93"/>
        <v>#DIV/0!</v>
      </c>
      <c r="CA172" s="114">
        <f t="shared" si="94"/>
        <v>127.25109874278135</v>
      </c>
      <c r="CB172" s="115" t="e">
        <f t="shared" si="95"/>
        <v>#DIV/0!</v>
      </c>
      <c r="CC172" s="6" t="e">
        <f t="shared" si="96"/>
        <v>#DIV/0!</v>
      </c>
      <c r="DG172" s="108"/>
      <c r="DH172" s="108"/>
      <c r="DI172" s="16"/>
      <c r="DJ172" s="108"/>
      <c r="DT172" s="6"/>
      <c r="DU172" s="6"/>
      <c r="DV172" s="111"/>
      <c r="DW172" s="111"/>
      <c r="DX172" s="111"/>
      <c r="DY172" s="111"/>
      <c r="DZ172" s="111"/>
      <c r="EA172" s="111"/>
      <c r="EB172" s="111"/>
      <c r="EC172" s="111"/>
      <c r="ED172" s="111"/>
      <c r="EE172" s="111"/>
      <c r="EF172" s="6"/>
      <c r="EG172" s="6"/>
      <c r="EH172" s="6"/>
      <c r="EI172" s="6"/>
      <c r="EJ172" s="6"/>
      <c r="EK172" s="6"/>
      <c r="EL172" s="112"/>
      <c r="EM172" s="112"/>
      <c r="EN172" s="118"/>
      <c r="EO172" s="118"/>
      <c r="EP172" s="112"/>
      <c r="EQ172" s="112"/>
      <c r="ER172" s="112"/>
      <c r="ES172" s="112"/>
      <c r="ET172" s="112"/>
      <c r="EU172" s="112"/>
      <c r="EV172" s="6"/>
      <c r="EW172" s="6"/>
      <c r="EX172" s="118"/>
      <c r="EY172" s="113"/>
      <c r="EZ172" s="6"/>
      <c r="FA172" s="114"/>
      <c r="FB172" s="115"/>
      <c r="FC172" s="6"/>
    </row>
    <row r="173" spans="27:159">
      <c r="AA173" s="79" t="s">
        <v>175</v>
      </c>
      <c r="AB173" s="80" t="s">
        <v>195</v>
      </c>
      <c r="AC173" s="81">
        <v>0</v>
      </c>
      <c r="AD173" s="81">
        <v>6</v>
      </c>
      <c r="AE173" s="80">
        <v>273</v>
      </c>
      <c r="AF173" s="80">
        <v>6.35</v>
      </c>
      <c r="AG173" s="108" cm="1">
        <f t="array" ref="AG173">_xll.DCEPropSectPipe(AE173, AF173, "Area")/100</f>
        <v>53.19431074856206</v>
      </c>
      <c r="AH173" s="16" cm="1">
        <f t="array" ref="AH173">_xll.DCEPropSectPipe(AE173, AF173, "Ix")/10000</f>
        <v>4730.4733077169503</v>
      </c>
      <c r="AI173" s="16" cm="1">
        <f t="array" ref="AI173">_xll.DCEPropSectPipe(AE173, AF173, "Wx")/1000</f>
        <v>346.55482107816493</v>
      </c>
      <c r="AJ173" s="108">
        <f t="shared" si="65"/>
        <v>9.4301739777164251</v>
      </c>
      <c r="AK173" s="80" t="s">
        <v>217</v>
      </c>
      <c r="AL173" s="82">
        <v>-14.937633979508734</v>
      </c>
      <c r="AM173" s="82">
        <v>0.28401383536773478</v>
      </c>
      <c r="AN173" s="82">
        <v>6.9933485233238265E-4</v>
      </c>
      <c r="AO173" s="82">
        <v>0</v>
      </c>
      <c r="AP173" s="82">
        <v>0</v>
      </c>
      <c r="AQ173" s="82">
        <v>3.1474642680892178E-4</v>
      </c>
      <c r="AR173" s="72">
        <v>1</v>
      </c>
      <c r="AS173" s="116">
        <f t="shared" si="66"/>
        <v>6</v>
      </c>
      <c r="AT173" s="7">
        <v>2</v>
      </c>
      <c r="AU173" s="6">
        <f t="shared" si="67"/>
        <v>12</v>
      </c>
      <c r="AV173" s="111">
        <f t="shared" si="68"/>
        <v>1.228555229698456E-2</v>
      </c>
      <c r="AW173" s="117">
        <f t="shared" si="69"/>
        <v>105</v>
      </c>
      <c r="AX173" s="111">
        <f t="shared" si="70"/>
        <v>1</v>
      </c>
      <c r="AY173" s="111">
        <f t="shared" si="71"/>
        <v>1</v>
      </c>
      <c r="AZ173" s="111">
        <f t="shared" si="72"/>
        <v>1</v>
      </c>
      <c r="BA173" s="111">
        <f t="shared" si="73"/>
        <v>1.2932160312615329E-2</v>
      </c>
      <c r="BB173" s="111">
        <f t="shared" si="74"/>
        <v>0</v>
      </c>
      <c r="BC173" s="111">
        <f t="shared" si="75"/>
        <v>0</v>
      </c>
      <c r="BD173" s="111">
        <v>0</v>
      </c>
      <c r="BE173" s="111">
        <f t="shared" si="76"/>
        <v>1.2932160312615329E-2</v>
      </c>
      <c r="BF173" s="6" t="str">
        <f t="shared" si="77"/>
        <v>OK</v>
      </c>
      <c r="BG173" s="16">
        <f t="shared" si="78"/>
        <v>63.625549371390676</v>
      </c>
      <c r="BH173" s="118">
        <f t="shared" si="79"/>
        <v>2.1193803644775273</v>
      </c>
      <c r="BI173" s="108">
        <f t="shared" si="80"/>
        <v>0</v>
      </c>
      <c r="BJ173" s="6">
        <f t="shared" si="81"/>
        <v>1.2440309817761237</v>
      </c>
      <c r="BK173" s="108">
        <f t="shared" si="82"/>
        <v>0</v>
      </c>
      <c r="BL173" s="118" cm="1">
        <f t="array" ref="BL173">IF(AO173=0,FactorPhi7121(BH173,"a"),noisuy2chieu(BK173,BH173,Data!$A$63:$M$85))</f>
        <v>0.86214274110469236</v>
      </c>
      <c r="BM173" s="111">
        <v>1.26</v>
      </c>
      <c r="BN173" s="118">
        <f t="shared" si="83"/>
        <v>0.99448160863133905</v>
      </c>
      <c r="BO173" s="108">
        <f t="shared" si="84"/>
        <v>3.0572808528956011E-2</v>
      </c>
      <c r="BP173" s="6" t="str">
        <f t="shared" si="85"/>
        <v>OK</v>
      </c>
      <c r="BQ173" s="16">
        <f t="shared" si="86"/>
        <v>127.25109874278135</v>
      </c>
      <c r="BR173" s="118">
        <f t="shared" si="87"/>
        <v>4.2387607289550546</v>
      </c>
      <c r="BS173" s="108">
        <f t="shared" si="88"/>
        <v>0</v>
      </c>
      <c r="BT173" s="118">
        <f t="shared" si="89"/>
        <v>1.1380619635522473</v>
      </c>
      <c r="BU173" s="108">
        <f t="shared" si="90"/>
        <v>0</v>
      </c>
      <c r="BV173" s="6" cm="1">
        <f t="array" ref="BV173">IF(AP173=0,FactorPhi7121(BR173,"a"),noisuy2chieu(BU173,BR173,Data!$A$63:$M$85))</f>
        <v>0.42299549615688942</v>
      </c>
      <c r="BW173" s="111">
        <v>1.26</v>
      </c>
      <c r="BX173" s="111">
        <f t="shared" si="91"/>
        <v>0.97792643452535633</v>
      </c>
      <c r="BY173" s="113">
        <f t="shared" si="92"/>
        <v>1.5000022265506658E-2</v>
      </c>
      <c r="BZ173" s="6" t="str">
        <f t="shared" si="93"/>
        <v>OK</v>
      </c>
      <c r="CA173" s="114">
        <f t="shared" si="94"/>
        <v>127.25109874278135</v>
      </c>
      <c r="CB173" s="115">
        <f t="shared" si="95"/>
        <v>150</v>
      </c>
      <c r="CC173" s="6" t="str">
        <f t="shared" si="96"/>
        <v>OK</v>
      </c>
      <c r="DG173" s="108"/>
      <c r="DH173" s="108"/>
      <c r="DI173" s="16"/>
      <c r="DJ173" s="108"/>
      <c r="DT173" s="6"/>
      <c r="DU173" s="6"/>
      <c r="DV173" s="111"/>
      <c r="DW173" s="111"/>
      <c r="DX173" s="111"/>
      <c r="DY173" s="111"/>
      <c r="DZ173" s="111"/>
      <c r="EA173" s="111"/>
      <c r="EB173" s="111"/>
      <c r="EC173" s="111"/>
      <c r="ED173" s="111"/>
      <c r="EE173" s="111"/>
      <c r="EF173" s="6"/>
      <c r="EG173" s="6"/>
      <c r="EH173" s="6"/>
      <c r="EI173" s="6"/>
      <c r="EJ173" s="6"/>
      <c r="EK173" s="6"/>
      <c r="EL173" s="112"/>
      <c r="EM173" s="112"/>
      <c r="EN173" s="118"/>
      <c r="EO173" s="118"/>
      <c r="EP173" s="112"/>
      <c r="EQ173" s="112"/>
      <c r="ER173" s="112"/>
      <c r="ES173" s="112"/>
      <c r="ET173" s="112"/>
      <c r="EU173" s="112"/>
      <c r="EV173" s="6"/>
      <c r="EW173" s="6"/>
      <c r="EX173" s="118"/>
      <c r="EY173" s="113"/>
      <c r="EZ173" s="6"/>
      <c r="FA173" s="114"/>
      <c r="FB173" s="115"/>
      <c r="FC173" s="6"/>
    </row>
    <row r="174" spans="27:159">
      <c r="AA174" s="79" t="s">
        <v>175</v>
      </c>
      <c r="AB174" s="80" t="s">
        <v>195</v>
      </c>
      <c r="AC174" s="81">
        <v>2.74</v>
      </c>
      <c r="AD174" s="81">
        <v>6</v>
      </c>
      <c r="AE174" s="80">
        <v>273</v>
      </c>
      <c r="AF174" s="80">
        <v>6.35</v>
      </c>
      <c r="AG174" s="108" cm="1">
        <f t="array" ref="AG174">_xll.DCEPropSectPipe(AE174, AF174, "Area")/100</f>
        <v>53.19431074856206</v>
      </c>
      <c r="AH174" s="16" cm="1">
        <f t="array" ref="AH174">_xll.DCEPropSectPipe(AE174, AF174, "Ix")/10000</f>
        <v>4730.4733077169503</v>
      </c>
      <c r="AI174" s="16" cm="1">
        <f t="array" ref="AI174">_xll.DCEPropSectPipe(AE174, AF174, "Wx")/1000</f>
        <v>346.55482107816493</v>
      </c>
      <c r="AJ174" s="108">
        <f t="shared" si="65"/>
        <v>9.4301739777164251</v>
      </c>
      <c r="AK174" s="80" t="s">
        <v>217</v>
      </c>
      <c r="AL174" s="82">
        <v>-13.590373630776703</v>
      </c>
      <c r="AM174" s="82">
        <v>0.28401383536773478</v>
      </c>
      <c r="AN174" s="82">
        <v>6.9933485233238265E-4</v>
      </c>
      <c r="AO174" s="82">
        <v>-1.9175761650953968E-3</v>
      </c>
      <c r="AP174" s="82">
        <v>-0.7787659365783276</v>
      </c>
      <c r="AQ174" s="82">
        <v>3.1474642680892178E-4</v>
      </c>
      <c r="AR174" s="72">
        <v>1</v>
      </c>
      <c r="AS174" s="116">
        <f t="shared" si="66"/>
        <v>6</v>
      </c>
      <c r="AT174" s="7">
        <v>2</v>
      </c>
      <c r="AU174" s="6">
        <f t="shared" si="67"/>
        <v>12</v>
      </c>
      <c r="AV174" s="111">
        <f t="shared" si="68"/>
        <v>1.1177489434103691E-2</v>
      </c>
      <c r="AW174" s="117">
        <f t="shared" si="69"/>
        <v>105</v>
      </c>
      <c r="AX174" s="111">
        <f t="shared" si="70"/>
        <v>1</v>
      </c>
      <c r="AY174" s="111">
        <f t="shared" si="71"/>
        <v>1</v>
      </c>
      <c r="AZ174" s="111">
        <f t="shared" si="72"/>
        <v>1</v>
      </c>
      <c r="BA174" s="111">
        <f t="shared" si="73"/>
        <v>1.1765778351688096E-2</v>
      </c>
      <c r="BB174" s="111">
        <f t="shared" si="74"/>
        <v>2.5482094977345881E-5</v>
      </c>
      <c r="BC174" s="111">
        <f t="shared" si="75"/>
        <v>1.034878714192999E-2</v>
      </c>
      <c r="BD174" s="111">
        <v>0</v>
      </c>
      <c r="BE174" s="111">
        <f t="shared" si="76"/>
        <v>2.2140047588595432E-2</v>
      </c>
      <c r="BF174" s="6" t="str">
        <f t="shared" si="77"/>
        <v>OK</v>
      </c>
      <c r="BG174" s="16">
        <f t="shared" si="78"/>
        <v>63.625549371390676</v>
      </c>
      <c r="BH174" s="118">
        <f t="shared" si="79"/>
        <v>2.1193803644775273</v>
      </c>
      <c r="BI174" s="108">
        <f t="shared" si="80"/>
        <v>2.1657806407418714E-3</v>
      </c>
      <c r="BJ174" s="6">
        <f t="shared" si="81"/>
        <v>1.2439685938737242</v>
      </c>
      <c r="BK174" s="108">
        <f t="shared" si="82"/>
        <v>2.694163098302599E-3</v>
      </c>
      <c r="BL174" s="118" cm="1">
        <f t="array" ref="BL174">IF(AO174=0,FactorPhi7121(BH174,"a"),noisuy2chieu(BK174,BH174,Data!$A$63:$M$85))</f>
        <v>0</v>
      </c>
      <c r="BM174" s="111">
        <v>1.26</v>
      </c>
      <c r="BN174" s="118">
        <f t="shared" si="83"/>
        <v>0.99497932533064903</v>
      </c>
      <c r="BO174" s="108" t="e">
        <f t="shared" si="84"/>
        <v>#DIV/0!</v>
      </c>
      <c r="BP174" s="6" t="e">
        <f t="shared" si="85"/>
        <v>#DIV/0!</v>
      </c>
      <c r="BQ174" s="16">
        <f t="shared" si="86"/>
        <v>127.25109874278135</v>
      </c>
      <c r="BR174" s="118">
        <f t="shared" si="87"/>
        <v>4.2387607289550546</v>
      </c>
      <c r="BS174" s="108">
        <f t="shared" si="88"/>
        <v>0.87956672585500462</v>
      </c>
      <c r="BT174" s="118">
        <f t="shared" si="89"/>
        <v>1.1313663562199949</v>
      </c>
      <c r="BU174" s="108">
        <f t="shared" si="90"/>
        <v>0.9951122016829278</v>
      </c>
      <c r="BV174" s="6" cm="1">
        <f t="array" ref="BV174">IF(AP174=0,FactorPhi7121(BR174,"a"),noisuy2chieu(BU174,BR174,Data!$A$63:$M$85))</f>
        <v>0</v>
      </c>
      <c r="BW174" s="111">
        <v>1.26</v>
      </c>
      <c r="BX174" s="111">
        <f t="shared" si="91"/>
        <v>0.97991730132259625</v>
      </c>
      <c r="BY174" s="113" t="e">
        <f t="shared" si="92"/>
        <v>#DIV/0!</v>
      </c>
      <c r="BZ174" s="6" t="e">
        <f t="shared" si="93"/>
        <v>#DIV/0!</v>
      </c>
      <c r="CA174" s="114">
        <f t="shared" si="94"/>
        <v>127.25109874278135</v>
      </c>
      <c r="CB174" s="115" t="e">
        <f t="shared" si="95"/>
        <v>#DIV/0!</v>
      </c>
      <c r="CC174" s="6" t="e">
        <f t="shared" si="96"/>
        <v>#DIV/0!</v>
      </c>
      <c r="DG174" s="108"/>
      <c r="DH174" s="108"/>
      <c r="DI174" s="16"/>
      <c r="DJ174" s="108"/>
      <c r="DT174" s="6"/>
      <c r="DU174" s="6"/>
      <c r="DV174" s="111"/>
      <c r="DW174" s="111"/>
      <c r="DX174" s="111"/>
      <c r="DY174" s="111"/>
      <c r="DZ174" s="111"/>
      <c r="EA174" s="111"/>
      <c r="EB174" s="111"/>
      <c r="EC174" s="111"/>
      <c r="ED174" s="111"/>
      <c r="EE174" s="111"/>
      <c r="EF174" s="6"/>
      <c r="EG174" s="6"/>
      <c r="EH174" s="6"/>
      <c r="EI174" s="6"/>
      <c r="EJ174" s="6"/>
      <c r="EK174" s="6"/>
      <c r="EL174" s="112"/>
      <c r="EM174" s="112"/>
      <c r="EN174" s="118"/>
      <c r="EO174" s="118"/>
      <c r="EP174" s="112"/>
      <c r="EQ174" s="112"/>
      <c r="ER174" s="112"/>
      <c r="ES174" s="112"/>
      <c r="ET174" s="112"/>
      <c r="EU174" s="112"/>
      <c r="EV174" s="6"/>
      <c r="EW174" s="6"/>
      <c r="EX174" s="118"/>
      <c r="EY174" s="113"/>
      <c r="EZ174" s="6"/>
      <c r="FA174" s="114"/>
      <c r="FB174" s="115"/>
      <c r="FC174" s="6"/>
    </row>
    <row r="175" spans="27:159">
      <c r="AA175" s="79" t="s">
        <v>175</v>
      </c>
      <c r="AB175" s="80" t="s">
        <v>195</v>
      </c>
      <c r="AC175" s="81">
        <v>5.48</v>
      </c>
      <c r="AD175" s="81">
        <v>6</v>
      </c>
      <c r="AE175" s="80">
        <v>273</v>
      </c>
      <c r="AF175" s="80">
        <v>6.35</v>
      </c>
      <c r="AG175" s="108" cm="1">
        <f t="array" ref="AG175">_xll.DCEPropSectPipe(AE175, AF175, "Area")/100</f>
        <v>53.19431074856206</v>
      </c>
      <c r="AH175" s="16" cm="1">
        <f t="array" ref="AH175">_xll.DCEPropSectPipe(AE175, AF175, "Ix")/10000</f>
        <v>4730.4733077169503</v>
      </c>
      <c r="AI175" s="16" cm="1">
        <f t="array" ref="AI175">_xll.DCEPropSectPipe(AE175, AF175, "Wx")/1000</f>
        <v>346.55482107816493</v>
      </c>
      <c r="AJ175" s="108">
        <f t="shared" si="65"/>
        <v>9.4301739777164251</v>
      </c>
      <c r="AK175" s="80" t="s">
        <v>217</v>
      </c>
      <c r="AL175" s="82">
        <v>-12.243113282044675</v>
      </c>
      <c r="AM175" s="82">
        <v>0.28401383536773478</v>
      </c>
      <c r="AN175" s="82">
        <v>6.9933485233238265E-4</v>
      </c>
      <c r="AO175" s="82">
        <v>-3.8351523301907936E-3</v>
      </c>
      <c r="AP175" s="82">
        <v>-1.5575318731566552</v>
      </c>
      <c r="AQ175" s="82">
        <v>3.1474642680892178E-4</v>
      </c>
      <c r="AR175" s="72">
        <v>1</v>
      </c>
      <c r="AS175" s="116">
        <f t="shared" si="66"/>
        <v>6</v>
      </c>
      <c r="AT175" s="7">
        <v>2</v>
      </c>
      <c r="AU175" s="6">
        <f t="shared" si="67"/>
        <v>12</v>
      </c>
      <c r="AV175" s="111">
        <f t="shared" si="68"/>
        <v>1.0069426571222822E-2</v>
      </c>
      <c r="AW175" s="117">
        <f t="shared" si="69"/>
        <v>105</v>
      </c>
      <c r="AX175" s="111">
        <f t="shared" si="70"/>
        <v>1</v>
      </c>
      <c r="AY175" s="111">
        <f t="shared" si="71"/>
        <v>1</v>
      </c>
      <c r="AZ175" s="111">
        <f t="shared" si="72"/>
        <v>1</v>
      </c>
      <c r="BA175" s="111">
        <f t="shared" si="73"/>
        <v>1.0599396390760867E-2</v>
      </c>
      <c r="BB175" s="111">
        <f t="shared" si="74"/>
        <v>5.0964189954691762E-5</v>
      </c>
      <c r="BC175" s="111">
        <f t="shared" si="75"/>
        <v>2.069757428385998E-2</v>
      </c>
      <c r="BD175" s="111">
        <v>0</v>
      </c>
      <c r="BE175" s="111">
        <f t="shared" si="76"/>
        <v>3.1347934864575537E-2</v>
      </c>
      <c r="BF175" s="6" t="str">
        <f t="shared" si="77"/>
        <v>OK</v>
      </c>
      <c r="BG175" s="16">
        <f t="shared" si="78"/>
        <v>63.625549371390676</v>
      </c>
      <c r="BH175" s="118">
        <f t="shared" si="79"/>
        <v>2.1193803644775273</v>
      </c>
      <c r="BI175" s="108">
        <f t="shared" si="80"/>
        <v>4.808216248909751E-3</v>
      </c>
      <c r="BJ175" s="6">
        <f t="shared" si="81"/>
        <v>1.2438924753547393</v>
      </c>
      <c r="BK175" s="108">
        <f t="shared" si="82"/>
        <v>5.9809040118972302E-3</v>
      </c>
      <c r="BL175" s="118" cm="1">
        <f t="array" ref="BL175">IF(AO175=0,FactorPhi7121(BH175,"a"),noisuy2chieu(BK175,BH175,Data!$A$63:$M$85))</f>
        <v>0</v>
      </c>
      <c r="BM175" s="111">
        <v>1.26</v>
      </c>
      <c r="BN175" s="118">
        <f t="shared" si="83"/>
        <v>0.99547704202995901</v>
      </c>
      <c r="BO175" s="108" t="e">
        <f t="shared" si="84"/>
        <v>#DIV/0!</v>
      </c>
      <c r="BP175" s="6" t="e">
        <f t="shared" si="85"/>
        <v>#DIV/0!</v>
      </c>
      <c r="BQ175" s="16">
        <f t="shared" si="86"/>
        <v>127.25109874278135</v>
      </c>
      <c r="BR175" s="118">
        <f t="shared" si="87"/>
        <v>4.2387607289550546</v>
      </c>
      <c r="BS175" s="108">
        <f t="shared" si="88"/>
        <v>1.9527125433200474</v>
      </c>
      <c r="BT175" s="118">
        <f t="shared" si="89"/>
        <v>1.1231971488218746</v>
      </c>
      <c r="BU175" s="108">
        <f t="shared" si="90"/>
        <v>2.1932811611257885</v>
      </c>
      <c r="BV175" s="6" cm="1">
        <f t="array" ref="BV175">IF(AP175=0,FactorPhi7121(BR175,"a"),noisuy2chieu(BU175,BR175,Data!$A$63:$M$85))</f>
        <v>0</v>
      </c>
      <c r="BW175" s="111">
        <v>1.26</v>
      </c>
      <c r="BX175" s="111">
        <f t="shared" si="91"/>
        <v>0.98190816811983628</v>
      </c>
      <c r="BY175" s="113" t="e">
        <f t="shared" si="92"/>
        <v>#DIV/0!</v>
      </c>
      <c r="BZ175" s="6" t="e">
        <f t="shared" si="93"/>
        <v>#DIV/0!</v>
      </c>
      <c r="CA175" s="114">
        <f t="shared" si="94"/>
        <v>127.25109874278135</v>
      </c>
      <c r="CB175" s="115" t="e">
        <f t="shared" si="95"/>
        <v>#DIV/0!</v>
      </c>
      <c r="CC175" s="6" t="e">
        <f t="shared" si="96"/>
        <v>#DIV/0!</v>
      </c>
      <c r="DG175" s="108"/>
      <c r="DH175" s="108"/>
      <c r="DI175" s="16"/>
      <c r="DJ175" s="108"/>
      <c r="DT175" s="6"/>
      <c r="DU175" s="6"/>
      <c r="DV175" s="111"/>
      <c r="DW175" s="111"/>
      <c r="DX175" s="111"/>
      <c r="DY175" s="111"/>
      <c r="DZ175" s="111"/>
      <c r="EA175" s="111"/>
      <c r="EB175" s="111"/>
      <c r="EC175" s="111"/>
      <c r="ED175" s="111"/>
      <c r="EE175" s="111"/>
      <c r="EF175" s="6"/>
      <c r="EG175" s="6"/>
      <c r="EH175" s="6"/>
      <c r="EI175" s="6"/>
      <c r="EJ175" s="6"/>
      <c r="EK175" s="6"/>
      <c r="EL175" s="112"/>
      <c r="EM175" s="112"/>
      <c r="EN175" s="118"/>
      <c r="EO175" s="118"/>
      <c r="EP175" s="112"/>
      <c r="EQ175" s="112"/>
      <c r="ER175" s="112"/>
      <c r="ES175" s="112"/>
      <c r="ET175" s="112"/>
      <c r="EU175" s="112"/>
      <c r="EV175" s="6"/>
      <c r="EW175" s="6"/>
      <c r="EX175" s="118"/>
      <c r="EY175" s="113"/>
      <c r="EZ175" s="6"/>
      <c r="FA175" s="114"/>
      <c r="FB175" s="115"/>
      <c r="FC175" s="6"/>
    </row>
    <row r="176" spans="27:159">
      <c r="AA176" s="79" t="s">
        <v>175</v>
      </c>
      <c r="AB176" s="80" t="s">
        <v>195</v>
      </c>
      <c r="AC176" s="81">
        <v>0</v>
      </c>
      <c r="AD176" s="81">
        <v>6</v>
      </c>
      <c r="AE176" s="80">
        <v>273</v>
      </c>
      <c r="AF176" s="80">
        <v>6.35</v>
      </c>
      <c r="AG176" s="108" cm="1">
        <f t="array" ref="AG176">_xll.DCEPropSectPipe(AE176, AF176, "Area")/100</f>
        <v>53.19431074856206</v>
      </c>
      <c r="AH176" s="16" cm="1">
        <f t="array" ref="AH176">_xll.DCEPropSectPipe(AE176, AF176, "Ix")/10000</f>
        <v>4730.4733077169503</v>
      </c>
      <c r="AI176" s="16" cm="1">
        <f t="array" ref="AI176">_xll.DCEPropSectPipe(AE176, AF176, "Wx")/1000</f>
        <v>346.55482107816493</v>
      </c>
      <c r="AJ176" s="108">
        <f t="shared" si="65"/>
        <v>9.4301739777164251</v>
      </c>
      <c r="AK176" s="80" t="s">
        <v>218</v>
      </c>
      <c r="AL176" s="82">
        <v>0.23612769809069864</v>
      </c>
      <c r="AM176" s="82">
        <v>0.20840811309237411</v>
      </c>
      <c r="AN176" s="82">
        <v>-1.1914406966807166E-4</v>
      </c>
      <c r="AO176" s="82">
        <v>0</v>
      </c>
      <c r="AP176" s="82">
        <v>0</v>
      </c>
      <c r="AQ176" s="82">
        <v>-4.9706486104411987E-4</v>
      </c>
      <c r="AR176" s="72">
        <v>1</v>
      </c>
      <c r="AS176" s="116">
        <f t="shared" si="66"/>
        <v>6</v>
      </c>
      <c r="AT176" s="7">
        <v>2</v>
      </c>
      <c r="AU176" s="6">
        <f t="shared" si="67"/>
        <v>12</v>
      </c>
      <c r="AV176" s="111">
        <f t="shared" si="68"/>
        <v>1.9420473065810562E-4</v>
      </c>
      <c r="AW176" s="117">
        <f t="shared" si="69"/>
        <v>105</v>
      </c>
      <c r="AX176" s="111">
        <f t="shared" si="70"/>
        <v>1</v>
      </c>
      <c r="AY176" s="111">
        <f t="shared" si="71"/>
        <v>1</v>
      </c>
      <c r="AZ176" s="111">
        <f t="shared" si="72"/>
        <v>1</v>
      </c>
      <c r="BA176" s="111">
        <f t="shared" si="73"/>
        <v>2.0442603227169013E-4</v>
      </c>
      <c r="BB176" s="111">
        <f t="shared" si="74"/>
        <v>0</v>
      </c>
      <c r="BC176" s="111">
        <f t="shared" si="75"/>
        <v>0</v>
      </c>
      <c r="BD176" s="111">
        <v>0</v>
      </c>
      <c r="BE176" s="111">
        <f t="shared" si="76"/>
        <v>2.0442603227169013E-4</v>
      </c>
      <c r="BF176" s="6" t="str">
        <f t="shared" si="77"/>
        <v>OK</v>
      </c>
      <c r="BG176" s="16">
        <f t="shared" si="78"/>
        <v>63.625549371390676</v>
      </c>
      <c r="BH176" s="118">
        <f t="shared" si="79"/>
        <v>2.1193803644775273</v>
      </c>
      <c r="BI176" s="108">
        <f t="shared" si="80"/>
        <v>0</v>
      </c>
      <c r="BJ176" s="6">
        <f t="shared" si="81"/>
        <v>1.2440309817761237</v>
      </c>
      <c r="BK176" s="108">
        <f t="shared" si="82"/>
        <v>0</v>
      </c>
      <c r="BL176" s="118" cm="1">
        <f t="array" ref="BL176">IF(AO176=0,FactorPhi7121(BH176,"a"),noisuy2chieu(BK176,BH176,Data!$A$63:$M$85))</f>
        <v>0.86214274110469236</v>
      </c>
      <c r="BM176" s="111">
        <v>1.26</v>
      </c>
      <c r="BN176" s="118">
        <f t="shared" si="83"/>
        <v>0.99991276764092407</v>
      </c>
      <c r="BO176" s="108">
        <f t="shared" si="84"/>
        <v>4.8328181772381879E-4</v>
      </c>
      <c r="BP176" s="6" t="str">
        <f t="shared" si="85"/>
        <v>OK</v>
      </c>
      <c r="BQ176" s="16">
        <f t="shared" si="86"/>
        <v>127.25109874278135</v>
      </c>
      <c r="BR176" s="118">
        <f t="shared" si="87"/>
        <v>4.2387607289550546</v>
      </c>
      <c r="BS176" s="108">
        <f t="shared" si="88"/>
        <v>0</v>
      </c>
      <c r="BT176" s="118">
        <f t="shared" si="89"/>
        <v>1.1380619635522473</v>
      </c>
      <c r="BU176" s="108">
        <f t="shared" si="90"/>
        <v>0</v>
      </c>
      <c r="BV176" s="6" cm="1">
        <f t="array" ref="BV176">IF(AP176=0,FactorPhi7121(BR176,"a"),noisuy2chieu(BU176,BR176,Data!$A$63:$M$85))</f>
        <v>0.42299549615688942</v>
      </c>
      <c r="BW176" s="111">
        <v>1.26</v>
      </c>
      <c r="BX176" s="111">
        <f t="shared" si="91"/>
        <v>0.99965107056369629</v>
      </c>
      <c r="BY176" s="113">
        <f t="shared" si="92"/>
        <v>2.3711390530267902E-4</v>
      </c>
      <c r="BZ176" s="6" t="str">
        <f t="shared" si="93"/>
        <v>OK</v>
      </c>
      <c r="CA176" s="114">
        <f t="shared" si="94"/>
        <v>127.25109874278135</v>
      </c>
      <c r="CB176" s="115">
        <f t="shared" si="95"/>
        <v>150</v>
      </c>
      <c r="CC176" s="6" t="str">
        <f t="shared" si="96"/>
        <v>OK</v>
      </c>
      <c r="DG176" s="108"/>
      <c r="DH176" s="108"/>
      <c r="DI176" s="16"/>
      <c r="DJ176" s="108"/>
      <c r="DT176" s="6"/>
      <c r="DU176" s="6"/>
      <c r="DV176" s="111"/>
      <c r="DW176" s="111"/>
      <c r="DX176" s="111"/>
      <c r="DY176" s="111"/>
      <c r="DZ176" s="111"/>
      <c r="EA176" s="111"/>
      <c r="EB176" s="111"/>
      <c r="EC176" s="111"/>
      <c r="ED176" s="111"/>
      <c r="EE176" s="111"/>
      <c r="EF176" s="6"/>
      <c r="EG176" s="6"/>
      <c r="EH176" s="6"/>
      <c r="EI176" s="6"/>
      <c r="EJ176" s="6"/>
      <c r="EK176" s="6"/>
      <c r="EL176" s="112"/>
      <c r="EM176" s="112"/>
      <c r="EN176" s="118"/>
      <c r="EO176" s="118"/>
      <c r="EP176" s="112"/>
      <c r="EQ176" s="112"/>
      <c r="ER176" s="112"/>
      <c r="ES176" s="112"/>
      <c r="ET176" s="112"/>
      <c r="EU176" s="112"/>
      <c r="EV176" s="6"/>
      <c r="EW176" s="6"/>
      <c r="EX176" s="118"/>
      <c r="EY176" s="113"/>
      <c r="EZ176" s="6"/>
      <c r="FA176" s="114"/>
      <c r="FB176" s="115"/>
      <c r="FC176" s="6"/>
    </row>
    <row r="177" spans="27:159">
      <c r="AA177" s="79" t="s">
        <v>175</v>
      </c>
      <c r="AB177" s="80" t="s">
        <v>195</v>
      </c>
      <c r="AC177" s="81">
        <v>2.74</v>
      </c>
      <c r="AD177" s="81">
        <v>6</v>
      </c>
      <c r="AE177" s="80">
        <v>273</v>
      </c>
      <c r="AF177" s="80">
        <v>6.35</v>
      </c>
      <c r="AG177" s="108" cm="1">
        <f t="array" ref="AG177">_xll.DCEPropSectPipe(AE177, AF177, "Area")/100</f>
        <v>53.19431074856206</v>
      </c>
      <c r="AH177" s="16" cm="1">
        <f t="array" ref="AH177">_xll.DCEPropSectPipe(AE177, AF177, "Ix")/10000</f>
        <v>4730.4733077169503</v>
      </c>
      <c r="AI177" s="16" cm="1">
        <f t="array" ref="AI177">_xll.DCEPropSectPipe(AE177, AF177, "Wx")/1000</f>
        <v>346.55482107816493</v>
      </c>
      <c r="AJ177" s="108">
        <f t="shared" si="65"/>
        <v>9.4301739777164251</v>
      </c>
      <c r="AK177" s="80" t="s">
        <v>218</v>
      </c>
      <c r="AL177" s="82">
        <v>1.5833880468227286</v>
      </c>
      <c r="AM177" s="82">
        <v>0.20840811309237411</v>
      </c>
      <c r="AN177" s="82">
        <v>-1.1914406966807166E-4</v>
      </c>
      <c r="AO177" s="82">
        <v>3.2669303902984931E-4</v>
      </c>
      <c r="AP177" s="82">
        <v>-0.57145504609928821</v>
      </c>
      <c r="AQ177" s="82">
        <v>-4.9706486104411987E-4</v>
      </c>
      <c r="AR177" s="72">
        <v>1</v>
      </c>
      <c r="AS177" s="116">
        <f t="shared" si="66"/>
        <v>6</v>
      </c>
      <c r="AT177" s="7">
        <v>2</v>
      </c>
      <c r="AU177" s="6">
        <f t="shared" si="67"/>
        <v>12</v>
      </c>
      <c r="AV177" s="111">
        <f t="shared" si="68"/>
        <v>1.3022675935389757E-3</v>
      </c>
      <c r="AW177" s="117">
        <f t="shared" si="69"/>
        <v>105</v>
      </c>
      <c r="AX177" s="111">
        <f t="shared" si="70"/>
        <v>1</v>
      </c>
      <c r="AY177" s="111">
        <f t="shared" si="71"/>
        <v>1</v>
      </c>
      <c r="AZ177" s="111">
        <f t="shared" si="72"/>
        <v>1</v>
      </c>
      <c r="BA177" s="111">
        <f t="shared" si="73"/>
        <v>1.3708079931989219E-3</v>
      </c>
      <c r="BB177" s="111">
        <f t="shared" si="74"/>
        <v>4.3413258886549819E-6</v>
      </c>
      <c r="BC177" s="111">
        <f t="shared" si="75"/>
        <v>7.5938948475932893E-3</v>
      </c>
      <c r="BD177" s="111">
        <v>0</v>
      </c>
      <c r="BE177" s="111">
        <f t="shared" si="76"/>
        <v>8.969044166680866E-3</v>
      </c>
      <c r="BF177" s="6" t="str">
        <f t="shared" si="77"/>
        <v>OK</v>
      </c>
      <c r="BG177" s="16">
        <f t="shared" si="78"/>
        <v>63.625549371390676</v>
      </c>
      <c r="BH177" s="118">
        <f t="shared" si="79"/>
        <v>2.1193803644775273</v>
      </c>
      <c r="BI177" s="108">
        <f t="shared" si="80"/>
        <v>3.1669832027489495E-3</v>
      </c>
      <c r="BJ177" s="6">
        <f t="shared" si="81"/>
        <v>1.2439397530361318</v>
      </c>
      <c r="BK177" s="108">
        <f t="shared" si="82"/>
        <v>3.939536303097106E-3</v>
      </c>
      <c r="BL177" s="118" cm="1">
        <f t="array" ref="BL177">IF(AO177=0,FactorPhi7121(BH177,"a"),noisuy2chieu(BK177,BH177,Data!$A$63:$M$85))</f>
        <v>0</v>
      </c>
      <c r="BM177" s="111">
        <v>1.26</v>
      </c>
      <c r="BN177" s="118">
        <f t="shared" si="83"/>
        <v>0.99941505094161409</v>
      </c>
      <c r="BO177" s="108" t="e">
        <f t="shared" si="84"/>
        <v>#DIV/0!</v>
      </c>
      <c r="BP177" s="6" t="e">
        <f t="shared" si="85"/>
        <v>#DIV/0!</v>
      </c>
      <c r="BQ177" s="16">
        <f t="shared" si="86"/>
        <v>127.25109874278135</v>
      </c>
      <c r="BR177" s="118">
        <f t="shared" si="87"/>
        <v>4.2387607289550546</v>
      </c>
      <c r="BS177" s="108">
        <f t="shared" si="88"/>
        <v>5.5397217445983458</v>
      </c>
      <c r="BT177" s="118">
        <f t="shared" si="89"/>
        <v>1.1000000000000001</v>
      </c>
      <c r="BU177" s="108">
        <f t="shared" si="90"/>
        <v>6.0936939190581807</v>
      </c>
      <c r="BV177" s="6" cm="1">
        <f t="array" ref="BV177">IF(AP177=0,FactorPhi7121(BR177,"a"),noisuy2chieu(BU177,BR177,Data!$A$63:$M$85))</f>
        <v>0</v>
      </c>
      <c r="BW177" s="111">
        <v>1.26</v>
      </c>
      <c r="BX177" s="111">
        <f t="shared" si="91"/>
        <v>0.99766020376645626</v>
      </c>
      <c r="BY177" s="113" t="e">
        <f t="shared" si="92"/>
        <v>#DIV/0!</v>
      </c>
      <c r="BZ177" s="6" t="e">
        <f t="shared" si="93"/>
        <v>#DIV/0!</v>
      </c>
      <c r="CA177" s="114">
        <f t="shared" si="94"/>
        <v>127.25109874278135</v>
      </c>
      <c r="CB177" s="115" t="e">
        <f t="shared" si="95"/>
        <v>#DIV/0!</v>
      </c>
      <c r="CC177" s="6" t="e">
        <f t="shared" si="96"/>
        <v>#DIV/0!</v>
      </c>
      <c r="DG177" s="108"/>
      <c r="DH177" s="108"/>
      <c r="DI177" s="16"/>
      <c r="DJ177" s="108"/>
      <c r="DT177" s="6"/>
      <c r="DU177" s="6"/>
      <c r="DV177" s="111"/>
      <c r="DW177" s="111"/>
      <c r="DX177" s="111"/>
      <c r="DY177" s="111"/>
      <c r="DZ177" s="111"/>
      <c r="EA177" s="111"/>
      <c r="EB177" s="111"/>
      <c r="EC177" s="111"/>
      <c r="ED177" s="111"/>
      <c r="EE177" s="111"/>
      <c r="EF177" s="6"/>
      <c r="EG177" s="6"/>
      <c r="EH177" s="6"/>
      <c r="EI177" s="6"/>
      <c r="EJ177" s="6"/>
      <c r="EK177" s="6"/>
      <c r="EL177" s="112"/>
      <c r="EM177" s="112"/>
      <c r="EN177" s="118"/>
      <c r="EO177" s="118"/>
      <c r="EP177" s="112"/>
      <c r="EQ177" s="112"/>
      <c r="ER177" s="112"/>
      <c r="ES177" s="112"/>
      <c r="ET177" s="112"/>
      <c r="EU177" s="112"/>
      <c r="EV177" s="6"/>
      <c r="EW177" s="6"/>
      <c r="EX177" s="118"/>
      <c r="EY177" s="113"/>
      <c r="EZ177" s="6"/>
      <c r="FA177" s="114"/>
      <c r="FB177" s="115"/>
      <c r="FC177" s="6"/>
    </row>
    <row r="178" spans="27:159">
      <c r="AA178" s="79" t="s">
        <v>175</v>
      </c>
      <c r="AB178" s="80" t="s">
        <v>195</v>
      </c>
      <c r="AC178" s="81">
        <v>5.48</v>
      </c>
      <c r="AD178" s="81">
        <v>6</v>
      </c>
      <c r="AE178" s="80">
        <v>273</v>
      </c>
      <c r="AF178" s="80">
        <v>6.35</v>
      </c>
      <c r="AG178" s="108" cm="1">
        <f t="array" ref="AG178">_xll.DCEPropSectPipe(AE178, AF178, "Area")/100</f>
        <v>53.19431074856206</v>
      </c>
      <c r="AH178" s="16" cm="1">
        <f t="array" ref="AH178">_xll.DCEPropSectPipe(AE178, AF178, "Ix")/10000</f>
        <v>4730.4733077169503</v>
      </c>
      <c r="AI178" s="16" cm="1">
        <f t="array" ref="AI178">_xll.DCEPropSectPipe(AE178, AF178, "Wx")/1000</f>
        <v>346.55482107816493</v>
      </c>
      <c r="AJ178" s="108">
        <f t="shared" si="65"/>
        <v>9.4301739777164251</v>
      </c>
      <c r="AK178" s="80" t="s">
        <v>218</v>
      </c>
      <c r="AL178" s="82">
        <v>2.9306483955547584</v>
      </c>
      <c r="AM178" s="82">
        <v>0.20840811309237411</v>
      </c>
      <c r="AN178" s="82">
        <v>-1.1914406966807166E-4</v>
      </c>
      <c r="AO178" s="82">
        <v>6.5338607805969862E-4</v>
      </c>
      <c r="AP178" s="82">
        <v>-1.1429100921985764</v>
      </c>
      <c r="AQ178" s="82">
        <v>-4.9706486104411987E-4</v>
      </c>
      <c r="AR178" s="72">
        <v>1</v>
      </c>
      <c r="AS178" s="116">
        <f t="shared" si="66"/>
        <v>6</v>
      </c>
      <c r="AT178" s="7">
        <v>2</v>
      </c>
      <c r="AU178" s="6">
        <f t="shared" si="67"/>
        <v>12</v>
      </c>
      <c r="AV178" s="111">
        <f t="shared" si="68"/>
        <v>2.4103304564198455E-3</v>
      </c>
      <c r="AW178" s="117">
        <f t="shared" si="69"/>
        <v>105</v>
      </c>
      <c r="AX178" s="111">
        <f t="shared" si="70"/>
        <v>1</v>
      </c>
      <c r="AY178" s="111">
        <f t="shared" si="71"/>
        <v>1</v>
      </c>
      <c r="AZ178" s="111">
        <f t="shared" si="72"/>
        <v>1</v>
      </c>
      <c r="BA178" s="111">
        <f t="shared" si="73"/>
        <v>2.5371899541261535E-3</v>
      </c>
      <c r="BB178" s="111">
        <f t="shared" si="74"/>
        <v>8.6826517773099639E-6</v>
      </c>
      <c r="BC178" s="111">
        <f t="shared" si="75"/>
        <v>1.5187789695186579E-2</v>
      </c>
      <c r="BD178" s="111">
        <v>0</v>
      </c>
      <c r="BE178" s="111">
        <f t="shared" si="76"/>
        <v>1.7733662301090043E-2</v>
      </c>
      <c r="BF178" s="6" t="str">
        <f t="shared" si="77"/>
        <v>OK</v>
      </c>
      <c r="BG178" s="16">
        <f t="shared" si="78"/>
        <v>63.625549371390676</v>
      </c>
      <c r="BH178" s="118">
        <f t="shared" si="79"/>
        <v>2.1193803644775273</v>
      </c>
      <c r="BI178" s="108">
        <f t="shared" si="80"/>
        <v>3.4221528282459245E-3</v>
      </c>
      <c r="BJ178" s="6">
        <f t="shared" si="81"/>
        <v>1.2439324025697955</v>
      </c>
      <c r="BK178" s="108">
        <f t="shared" si="82"/>
        <v>4.2569267896009734E-3</v>
      </c>
      <c r="BL178" s="118" cm="1">
        <f t="array" ref="BL178">IF(AO178=0,FactorPhi7121(BH178,"a"),noisuy2chieu(BK178,BH178,Data!$A$63:$M$85))</f>
        <v>0</v>
      </c>
      <c r="BM178" s="111">
        <v>1.26</v>
      </c>
      <c r="BN178" s="118">
        <f t="shared" si="83"/>
        <v>0.99891733424230411</v>
      </c>
      <c r="BO178" s="108" t="e">
        <f t="shared" si="84"/>
        <v>#DIV/0!</v>
      </c>
      <c r="BP178" s="6" t="e">
        <f t="shared" si="85"/>
        <v>#DIV/0!</v>
      </c>
      <c r="BQ178" s="16">
        <f t="shared" si="86"/>
        <v>127.25109874278135</v>
      </c>
      <c r="BR178" s="118">
        <f t="shared" si="87"/>
        <v>4.2387607289550546</v>
      </c>
      <c r="BS178" s="108">
        <f t="shared" si="88"/>
        <v>5.9860672514831403</v>
      </c>
      <c r="BT178" s="118">
        <f t="shared" si="89"/>
        <v>1.1000000000000001</v>
      </c>
      <c r="BU178" s="108">
        <f t="shared" si="90"/>
        <v>6.5846739766314553</v>
      </c>
      <c r="BV178" s="6" cm="1">
        <f t="array" ref="BV178">IF(AP178=0,FactorPhi7121(BR178,"a"),noisuy2chieu(BU178,BR178,Data!$A$63:$M$85))</f>
        <v>0</v>
      </c>
      <c r="BW178" s="111">
        <v>1.26</v>
      </c>
      <c r="BX178" s="111">
        <f t="shared" si="91"/>
        <v>0.99566933696921622</v>
      </c>
      <c r="BY178" s="113" t="e">
        <f t="shared" si="92"/>
        <v>#DIV/0!</v>
      </c>
      <c r="BZ178" s="6" t="e">
        <f t="shared" si="93"/>
        <v>#DIV/0!</v>
      </c>
      <c r="CA178" s="114">
        <f t="shared" si="94"/>
        <v>127.25109874278135</v>
      </c>
      <c r="CB178" s="115" t="e">
        <f t="shared" si="95"/>
        <v>#DIV/0!</v>
      </c>
      <c r="CC178" s="6" t="e">
        <f t="shared" si="96"/>
        <v>#DIV/0!</v>
      </c>
      <c r="DG178" s="108"/>
      <c r="DH178" s="108"/>
      <c r="DI178" s="16"/>
      <c r="DJ178" s="108"/>
      <c r="DT178" s="6"/>
      <c r="DU178" s="6"/>
      <c r="DV178" s="111"/>
      <c r="DW178" s="111"/>
      <c r="DX178" s="111"/>
      <c r="DY178" s="111"/>
      <c r="DZ178" s="111"/>
      <c r="EA178" s="111"/>
      <c r="EB178" s="111"/>
      <c r="EC178" s="111"/>
      <c r="ED178" s="111"/>
      <c r="EE178" s="111"/>
      <c r="EF178" s="6"/>
      <c r="EG178" s="6"/>
      <c r="EH178" s="6"/>
      <c r="EI178" s="6"/>
      <c r="EJ178" s="6"/>
      <c r="EK178" s="6"/>
      <c r="EL178" s="112"/>
      <c r="EM178" s="112"/>
      <c r="EN178" s="118"/>
      <c r="EO178" s="118"/>
      <c r="EP178" s="112"/>
      <c r="EQ178" s="112"/>
      <c r="ER178" s="112"/>
      <c r="ES178" s="112"/>
      <c r="ET178" s="112"/>
      <c r="EU178" s="112"/>
      <c r="EV178" s="6"/>
      <c r="EW178" s="6"/>
      <c r="EX178" s="118"/>
      <c r="EY178" s="113"/>
      <c r="EZ178" s="6"/>
      <c r="FA178" s="114"/>
      <c r="FB178" s="115"/>
      <c r="FC178" s="6"/>
    </row>
    <row r="179" spans="27:159">
      <c r="AA179" s="79" t="s">
        <v>175</v>
      </c>
      <c r="AB179" s="80" t="s">
        <v>196</v>
      </c>
      <c r="AC179" s="81">
        <v>0</v>
      </c>
      <c r="AD179" s="81">
        <v>6</v>
      </c>
      <c r="AE179" s="80">
        <v>273</v>
      </c>
      <c r="AF179" s="80">
        <v>6.35</v>
      </c>
      <c r="AG179" s="108" cm="1">
        <f t="array" ref="AG179">_xll.DCEPropSectPipe(AE179, AF179, "Area")/100</f>
        <v>53.19431074856206</v>
      </c>
      <c r="AH179" s="16" cm="1">
        <f t="array" ref="AH179">_xll.DCEPropSectPipe(AE179, AF179, "Ix")/10000</f>
        <v>4730.4733077169503</v>
      </c>
      <c r="AI179" s="16" cm="1">
        <f t="array" ref="AI179">_xll.DCEPropSectPipe(AE179, AF179, "Wx")/1000</f>
        <v>346.55482107816493</v>
      </c>
      <c r="AJ179" s="108">
        <f t="shared" si="65"/>
        <v>9.4301739777164251</v>
      </c>
      <c r="AK179" s="80" t="s">
        <v>206</v>
      </c>
      <c r="AL179" s="82">
        <v>-42.337831032461715</v>
      </c>
      <c r="AM179" s="82">
        <v>4.8058317048484547</v>
      </c>
      <c r="AN179" s="82">
        <v>-0.95641013599128977</v>
      </c>
      <c r="AO179" s="82">
        <v>0</v>
      </c>
      <c r="AP179" s="82">
        <v>0</v>
      </c>
      <c r="AQ179" s="82">
        <v>-5.5755571157366658E-2</v>
      </c>
      <c r="AR179" s="72">
        <v>1</v>
      </c>
      <c r="AS179" s="116">
        <f t="shared" si="66"/>
        <v>6</v>
      </c>
      <c r="AT179" s="7">
        <v>2</v>
      </c>
      <c r="AU179" s="6">
        <f t="shared" si="67"/>
        <v>12</v>
      </c>
      <c r="AV179" s="111">
        <f t="shared" si="68"/>
        <v>3.4821019045166796E-2</v>
      </c>
      <c r="AW179" s="117">
        <f t="shared" si="69"/>
        <v>105</v>
      </c>
      <c r="AX179" s="111">
        <f t="shared" si="70"/>
        <v>1</v>
      </c>
      <c r="AY179" s="111">
        <f t="shared" si="71"/>
        <v>1</v>
      </c>
      <c r="AZ179" s="111">
        <f t="shared" si="72"/>
        <v>1</v>
      </c>
      <c r="BA179" s="111">
        <f t="shared" si="73"/>
        <v>3.665370425807031E-2</v>
      </c>
      <c r="BB179" s="111">
        <f t="shared" si="74"/>
        <v>0</v>
      </c>
      <c r="BC179" s="111">
        <f t="shared" si="75"/>
        <v>0</v>
      </c>
      <c r="BD179" s="111">
        <v>0</v>
      </c>
      <c r="BE179" s="111">
        <f t="shared" si="76"/>
        <v>3.665370425807031E-2</v>
      </c>
      <c r="BF179" s="6" t="str">
        <f t="shared" si="77"/>
        <v>OK</v>
      </c>
      <c r="BG179" s="16">
        <f t="shared" si="78"/>
        <v>63.625549371390676</v>
      </c>
      <c r="BH179" s="118">
        <f t="shared" si="79"/>
        <v>2.1193803644775273</v>
      </c>
      <c r="BI179" s="108">
        <f t="shared" si="80"/>
        <v>0</v>
      </c>
      <c r="BJ179" s="6">
        <f t="shared" si="81"/>
        <v>1.2440309817761237</v>
      </c>
      <c r="BK179" s="108">
        <f t="shared" si="82"/>
        <v>0</v>
      </c>
      <c r="BL179" s="118" cm="1">
        <f t="array" ref="BL179">IF(AO179=0,FactorPhi7121(BH179,"a"),noisuy2chieu(BK179,BH179,Data!$A$63:$M$85))</f>
        <v>0.86214274110469236</v>
      </c>
      <c r="BM179" s="111">
        <v>1.26</v>
      </c>
      <c r="BN179" s="118">
        <f t="shared" si="83"/>
        <v>0.98435918823169311</v>
      </c>
      <c r="BO179" s="108">
        <f t="shared" si="84"/>
        <v>8.6652705740572281E-2</v>
      </c>
      <c r="BP179" s="6" t="str">
        <f t="shared" si="85"/>
        <v>OK</v>
      </c>
      <c r="BQ179" s="16">
        <f t="shared" si="86"/>
        <v>127.25109874278135</v>
      </c>
      <c r="BR179" s="118">
        <f t="shared" si="87"/>
        <v>4.2387607289550546</v>
      </c>
      <c r="BS179" s="108">
        <f t="shared" si="88"/>
        <v>0</v>
      </c>
      <c r="BT179" s="118">
        <f t="shared" si="89"/>
        <v>1.1380619635522473</v>
      </c>
      <c r="BU179" s="108">
        <f t="shared" si="90"/>
        <v>0</v>
      </c>
      <c r="BV179" s="6" cm="1">
        <f t="array" ref="BV179">IF(AP179=0,FactorPhi7121(BR179,"a"),noisuy2chieu(BU179,BR179,Data!$A$63:$M$85))</f>
        <v>0.42299549615688942</v>
      </c>
      <c r="BW179" s="111">
        <v>1.26</v>
      </c>
      <c r="BX179" s="111">
        <f t="shared" si="91"/>
        <v>0.93743675292677231</v>
      </c>
      <c r="BY179" s="113">
        <f t="shared" si="92"/>
        <v>4.2514658548426329E-2</v>
      </c>
      <c r="BZ179" s="6" t="str">
        <f t="shared" si="93"/>
        <v>OK</v>
      </c>
      <c r="CA179" s="114">
        <f t="shared" si="94"/>
        <v>127.25109874278135</v>
      </c>
      <c r="CB179" s="115">
        <f t="shared" si="95"/>
        <v>150</v>
      </c>
      <c r="CC179" s="6" t="str">
        <f t="shared" si="96"/>
        <v>OK</v>
      </c>
      <c r="DG179" s="108"/>
      <c r="DH179" s="108"/>
      <c r="DI179" s="16"/>
      <c r="DJ179" s="108"/>
      <c r="DT179" s="6"/>
      <c r="DU179" s="6"/>
      <c r="DV179" s="111"/>
      <c r="DW179" s="111"/>
      <c r="DX179" s="111"/>
      <c r="DY179" s="111"/>
      <c r="DZ179" s="111"/>
      <c r="EA179" s="111"/>
      <c r="EB179" s="111"/>
      <c r="EC179" s="111"/>
      <c r="ED179" s="111"/>
      <c r="EE179" s="111"/>
      <c r="EF179" s="6"/>
      <c r="EG179" s="6"/>
      <c r="EH179" s="6"/>
      <c r="EI179" s="6"/>
      <c r="EJ179" s="6"/>
      <c r="EK179" s="6"/>
      <c r="EL179" s="112"/>
      <c r="EM179" s="112"/>
      <c r="EN179" s="118"/>
      <c r="EO179" s="118"/>
      <c r="EP179" s="112"/>
      <c r="EQ179" s="112"/>
      <c r="ER179" s="112"/>
      <c r="ES179" s="112"/>
      <c r="ET179" s="112"/>
      <c r="EU179" s="112"/>
      <c r="EV179" s="6"/>
      <c r="EW179" s="6"/>
      <c r="EX179" s="118"/>
      <c r="EY179" s="113"/>
      <c r="EZ179" s="6"/>
      <c r="FA179" s="114"/>
      <c r="FB179" s="115"/>
      <c r="FC179" s="6"/>
    </row>
    <row r="180" spans="27:159">
      <c r="AA180" s="79" t="s">
        <v>175</v>
      </c>
      <c r="AB180" s="80" t="s">
        <v>196</v>
      </c>
      <c r="AC180" s="81">
        <v>2.74</v>
      </c>
      <c r="AD180" s="81">
        <v>6</v>
      </c>
      <c r="AE180" s="80">
        <v>273</v>
      </c>
      <c r="AF180" s="80">
        <v>6.35</v>
      </c>
      <c r="AG180" s="108" cm="1">
        <f t="array" ref="AG180">_xll.DCEPropSectPipe(AE180, AF180, "Area")/100</f>
        <v>53.19431074856206</v>
      </c>
      <c r="AH180" s="16" cm="1">
        <f t="array" ref="AH180">_xll.DCEPropSectPipe(AE180, AF180, "Ix")/10000</f>
        <v>4730.4733077169503</v>
      </c>
      <c r="AI180" s="16" cm="1">
        <f t="array" ref="AI180">_xll.DCEPropSectPipe(AE180, AF180, "Wx")/1000</f>
        <v>346.55482107816493</v>
      </c>
      <c r="AJ180" s="108">
        <f t="shared" si="65"/>
        <v>9.4301739777164251</v>
      </c>
      <c r="AK180" s="80" t="s">
        <v>206</v>
      </c>
      <c r="AL180" s="82">
        <v>-40.990570683729679</v>
      </c>
      <c r="AM180" s="82">
        <v>4.8058317048484547</v>
      </c>
      <c r="AN180" s="82">
        <v>-0.95641013599128977</v>
      </c>
      <c r="AO180" s="82">
        <v>2.6224765928881162</v>
      </c>
      <c r="AP180" s="82">
        <v>-13.177590534694463</v>
      </c>
      <c r="AQ180" s="82">
        <v>-5.5755571157366658E-2</v>
      </c>
      <c r="AR180" s="72">
        <v>1</v>
      </c>
      <c r="AS180" s="116">
        <f t="shared" si="66"/>
        <v>6</v>
      </c>
      <c r="AT180" s="7">
        <v>2</v>
      </c>
      <c r="AU180" s="6">
        <f t="shared" si="67"/>
        <v>12</v>
      </c>
      <c r="AV180" s="111">
        <f t="shared" si="68"/>
        <v>3.3712956182285918E-2</v>
      </c>
      <c r="AW180" s="117">
        <f t="shared" si="69"/>
        <v>105</v>
      </c>
      <c r="AX180" s="111">
        <f t="shared" si="70"/>
        <v>1</v>
      </c>
      <c r="AY180" s="111">
        <f t="shared" si="71"/>
        <v>1</v>
      </c>
      <c r="AZ180" s="111">
        <f t="shared" si="72"/>
        <v>1</v>
      </c>
      <c r="BA180" s="111">
        <f t="shared" si="73"/>
        <v>3.5487322297143076E-2</v>
      </c>
      <c r="BB180" s="111">
        <f t="shared" si="74"/>
        <v>3.4849305509863225E-2</v>
      </c>
      <c r="BC180" s="111">
        <f t="shared" si="75"/>
        <v>0.17511305140828823</v>
      </c>
      <c r="BD180" s="111">
        <v>0</v>
      </c>
      <c r="BE180" s="111">
        <f t="shared" si="76"/>
        <v>0.24544967921529454</v>
      </c>
      <c r="BF180" s="6" t="str">
        <f t="shared" si="77"/>
        <v>OK</v>
      </c>
      <c r="BG180" s="16">
        <f t="shared" si="78"/>
        <v>63.625549371390676</v>
      </c>
      <c r="BH180" s="118">
        <f t="shared" si="79"/>
        <v>2.1193803644775273</v>
      </c>
      <c r="BI180" s="108">
        <f t="shared" si="80"/>
        <v>0.98202127559984398</v>
      </c>
      <c r="BJ180" s="6">
        <f t="shared" si="81"/>
        <v>1.2157426840861862</v>
      </c>
      <c r="BK180" s="108">
        <f t="shared" si="82"/>
        <v>1.1938851814274947</v>
      </c>
      <c r="BL180" s="118" cm="1">
        <f t="array" ref="BL180">IF(AO180=0,FactorPhi7121(BH180,"a"),noisuy2chieu(BK180,BH180,Data!$A$63:$M$85))</f>
        <v>0</v>
      </c>
      <c r="BM180" s="111">
        <v>1.26</v>
      </c>
      <c r="BN180" s="118">
        <f t="shared" si="83"/>
        <v>0.98485690493100309</v>
      </c>
      <c r="BO180" s="108" t="e">
        <f t="shared" si="84"/>
        <v>#DIV/0!</v>
      </c>
      <c r="BP180" s="6" t="e">
        <f t="shared" si="85"/>
        <v>#DIV/0!</v>
      </c>
      <c r="BQ180" s="16">
        <f t="shared" si="86"/>
        <v>127.25109874278135</v>
      </c>
      <c r="BR180" s="118">
        <f t="shared" si="87"/>
        <v>4.2387607289550546</v>
      </c>
      <c r="BS180" s="108">
        <f t="shared" si="88"/>
        <v>4.9345242208478997</v>
      </c>
      <c r="BT180" s="118">
        <f t="shared" si="89"/>
        <v>1.1004984273439287</v>
      </c>
      <c r="BU180" s="108">
        <f t="shared" si="90"/>
        <v>5.4304361447336387</v>
      </c>
      <c r="BV180" s="6" cm="1">
        <f t="array" ref="BV180">IF(AP180=0,FactorPhi7121(BR180,"a"),noisuy2chieu(BU180,BR180,Data!$A$63:$M$85))</f>
        <v>0</v>
      </c>
      <c r="BW180" s="111">
        <v>1.26</v>
      </c>
      <c r="BX180" s="111">
        <f t="shared" si="91"/>
        <v>0.93942761972401234</v>
      </c>
      <c r="BY180" s="113" t="e">
        <f t="shared" si="92"/>
        <v>#DIV/0!</v>
      </c>
      <c r="BZ180" s="6" t="e">
        <f t="shared" si="93"/>
        <v>#DIV/0!</v>
      </c>
      <c r="CA180" s="114">
        <f t="shared" si="94"/>
        <v>127.25109874278135</v>
      </c>
      <c r="CB180" s="115" t="e">
        <f t="shared" si="95"/>
        <v>#DIV/0!</v>
      </c>
      <c r="CC180" s="6" t="e">
        <f t="shared" si="96"/>
        <v>#DIV/0!</v>
      </c>
      <c r="DG180" s="108"/>
      <c r="DH180" s="108"/>
      <c r="DI180" s="16"/>
      <c r="DJ180" s="108"/>
      <c r="DT180" s="6"/>
      <c r="DU180" s="6"/>
      <c r="DV180" s="111"/>
      <c r="DW180" s="111"/>
      <c r="DX180" s="111"/>
      <c r="DY180" s="111"/>
      <c r="DZ180" s="111"/>
      <c r="EA180" s="111"/>
      <c r="EB180" s="111"/>
      <c r="EC180" s="111"/>
      <c r="ED180" s="111"/>
      <c r="EE180" s="111"/>
      <c r="EF180" s="6"/>
      <c r="EG180" s="6"/>
      <c r="EH180" s="6"/>
      <c r="EI180" s="6"/>
      <c r="EJ180" s="6"/>
      <c r="EK180" s="6"/>
      <c r="EL180" s="112"/>
      <c r="EM180" s="112"/>
      <c r="EN180" s="118"/>
      <c r="EO180" s="118"/>
      <c r="EP180" s="112"/>
      <c r="EQ180" s="112"/>
      <c r="ER180" s="112"/>
      <c r="ES180" s="112"/>
      <c r="ET180" s="112"/>
      <c r="EU180" s="112"/>
      <c r="EV180" s="6"/>
      <c r="EW180" s="6"/>
      <c r="EX180" s="118"/>
      <c r="EY180" s="113"/>
      <c r="EZ180" s="6"/>
      <c r="FA180" s="114"/>
      <c r="FB180" s="115"/>
      <c r="FC180" s="6"/>
    </row>
    <row r="181" spans="27:159">
      <c r="AA181" s="79" t="s">
        <v>175</v>
      </c>
      <c r="AB181" s="80" t="s">
        <v>196</v>
      </c>
      <c r="AC181" s="81">
        <v>5.48</v>
      </c>
      <c r="AD181" s="81">
        <v>6</v>
      </c>
      <c r="AE181" s="80">
        <v>273</v>
      </c>
      <c r="AF181" s="80">
        <v>6.35</v>
      </c>
      <c r="AG181" s="108" cm="1">
        <f t="array" ref="AG181">_xll.DCEPropSectPipe(AE181, AF181, "Area")/100</f>
        <v>53.19431074856206</v>
      </c>
      <c r="AH181" s="16" cm="1">
        <f t="array" ref="AH181">_xll.DCEPropSectPipe(AE181, AF181, "Ix")/10000</f>
        <v>4730.4733077169503</v>
      </c>
      <c r="AI181" s="16" cm="1">
        <f t="array" ref="AI181">_xll.DCEPropSectPipe(AE181, AF181, "Wx")/1000</f>
        <v>346.55482107816493</v>
      </c>
      <c r="AJ181" s="108">
        <f t="shared" si="65"/>
        <v>9.4301739777164251</v>
      </c>
      <c r="AK181" s="80" t="s">
        <v>206</v>
      </c>
      <c r="AL181" s="82">
        <v>-39.643310334997643</v>
      </c>
      <c r="AM181" s="82">
        <v>4.8058317048484547</v>
      </c>
      <c r="AN181" s="82">
        <v>-0.95641013599128977</v>
      </c>
      <c r="AO181" s="82">
        <v>5.2449531857762324</v>
      </c>
      <c r="AP181" s="82">
        <v>-26.355181069388927</v>
      </c>
      <c r="AQ181" s="82">
        <v>-5.5755571157366658E-2</v>
      </c>
      <c r="AR181" s="72">
        <v>1</v>
      </c>
      <c r="AS181" s="116">
        <f t="shared" si="66"/>
        <v>6</v>
      </c>
      <c r="AT181" s="7">
        <v>2</v>
      </c>
      <c r="AU181" s="6">
        <f t="shared" si="67"/>
        <v>12</v>
      </c>
      <c r="AV181" s="111">
        <f t="shared" si="68"/>
        <v>3.2604893319405047E-2</v>
      </c>
      <c r="AW181" s="117">
        <f t="shared" si="69"/>
        <v>105</v>
      </c>
      <c r="AX181" s="111">
        <f t="shared" si="70"/>
        <v>1</v>
      </c>
      <c r="AY181" s="111">
        <f t="shared" si="71"/>
        <v>1</v>
      </c>
      <c r="AZ181" s="111">
        <f t="shared" si="72"/>
        <v>1</v>
      </c>
      <c r="BA181" s="111">
        <f t="shared" si="73"/>
        <v>3.4320940336215841E-2</v>
      </c>
      <c r="BB181" s="111">
        <f t="shared" si="74"/>
        <v>6.969861101972645E-2</v>
      </c>
      <c r="BC181" s="111">
        <f t="shared" si="75"/>
        <v>0.35022610281657646</v>
      </c>
      <c r="BD181" s="111">
        <v>0</v>
      </c>
      <c r="BE181" s="111">
        <f t="shared" si="76"/>
        <v>0.45424565417251872</v>
      </c>
      <c r="BF181" s="6" t="str">
        <f t="shared" si="77"/>
        <v>OK</v>
      </c>
      <c r="BG181" s="16">
        <f t="shared" si="78"/>
        <v>63.625549371390676</v>
      </c>
      <c r="BH181" s="118">
        <f t="shared" si="79"/>
        <v>2.1193803644775273</v>
      </c>
      <c r="BI181" s="108">
        <f t="shared" si="80"/>
        <v>2.0307896676764332</v>
      </c>
      <c r="BJ181" s="6">
        <f t="shared" si="81"/>
        <v>1.1855316558528748</v>
      </c>
      <c r="BK181" s="108">
        <f t="shared" si="82"/>
        <v>2.4075654374093514</v>
      </c>
      <c r="BL181" s="118" cm="1">
        <f t="array" ref="BL181">IF(AO181=0,FactorPhi7121(BH181,"a"),noisuy2chieu(BK181,BH181,Data!$A$63:$M$85))</f>
        <v>0</v>
      </c>
      <c r="BM181" s="111">
        <v>1.26</v>
      </c>
      <c r="BN181" s="118">
        <f t="shared" si="83"/>
        <v>0.98535462163031307</v>
      </c>
      <c r="BO181" s="108" t="e">
        <f t="shared" si="84"/>
        <v>#DIV/0!</v>
      </c>
      <c r="BP181" s="6" t="e">
        <f t="shared" si="85"/>
        <v>#DIV/0!</v>
      </c>
      <c r="BQ181" s="16">
        <f t="shared" si="86"/>
        <v>127.25109874278135</v>
      </c>
      <c r="BR181" s="118">
        <f t="shared" si="87"/>
        <v>4.2387607289550546</v>
      </c>
      <c r="BS181" s="108">
        <f t="shared" si="88"/>
        <v>10.204443683234809</v>
      </c>
      <c r="BT181" s="118">
        <f t="shared" si="89"/>
        <v>1.1000000000000001</v>
      </c>
      <c r="BU181" s="108">
        <f t="shared" si="90"/>
        <v>11.22488805155829</v>
      </c>
      <c r="BV181" s="6" cm="1">
        <f t="array" ref="BV181">IF(AP181=0,FactorPhi7121(BR181,"a"),noisuy2chieu(BU181,BR181,Data!$A$63:$M$85))</f>
        <v>0</v>
      </c>
      <c r="BW181" s="111">
        <v>1.26</v>
      </c>
      <c r="BX181" s="111">
        <f t="shared" si="91"/>
        <v>0.94141848652125226</v>
      </c>
      <c r="BY181" s="113" t="e">
        <f t="shared" si="92"/>
        <v>#DIV/0!</v>
      </c>
      <c r="BZ181" s="6" t="e">
        <f t="shared" si="93"/>
        <v>#DIV/0!</v>
      </c>
      <c r="CA181" s="114">
        <f t="shared" si="94"/>
        <v>127.25109874278135</v>
      </c>
      <c r="CB181" s="115" t="e">
        <f t="shared" si="95"/>
        <v>#DIV/0!</v>
      </c>
      <c r="CC181" s="6" t="e">
        <f t="shared" si="96"/>
        <v>#DIV/0!</v>
      </c>
      <c r="DG181" s="108"/>
      <c r="DH181" s="108"/>
      <c r="DI181" s="16"/>
      <c r="DJ181" s="108"/>
      <c r="DT181" s="6"/>
      <c r="DU181" s="6"/>
      <c r="DV181" s="111"/>
      <c r="DW181" s="111"/>
      <c r="DX181" s="111"/>
      <c r="DY181" s="111"/>
      <c r="DZ181" s="111"/>
      <c r="EA181" s="111"/>
      <c r="EB181" s="111"/>
      <c r="EC181" s="111"/>
      <c r="ED181" s="111"/>
      <c r="EE181" s="111"/>
      <c r="EF181" s="6"/>
      <c r="EG181" s="6"/>
      <c r="EH181" s="6"/>
      <c r="EI181" s="6"/>
      <c r="EJ181" s="6"/>
      <c r="EK181" s="6"/>
      <c r="EL181" s="112"/>
      <c r="EM181" s="112"/>
      <c r="EN181" s="118"/>
      <c r="EO181" s="118"/>
      <c r="EP181" s="112"/>
      <c r="EQ181" s="112"/>
      <c r="ER181" s="112"/>
      <c r="ES181" s="112"/>
      <c r="ET181" s="112"/>
      <c r="EU181" s="112"/>
      <c r="EV181" s="6"/>
      <c r="EW181" s="6"/>
      <c r="EX181" s="118"/>
      <c r="EY181" s="113"/>
      <c r="EZ181" s="6"/>
      <c r="FA181" s="114"/>
      <c r="FB181" s="115"/>
      <c r="FC181" s="6"/>
    </row>
    <row r="182" spans="27:159">
      <c r="AA182" s="79" t="s">
        <v>175</v>
      </c>
      <c r="AB182" s="80" t="s">
        <v>196</v>
      </c>
      <c r="AC182" s="81">
        <v>0</v>
      </c>
      <c r="AD182" s="81">
        <v>6</v>
      </c>
      <c r="AE182" s="80">
        <v>273</v>
      </c>
      <c r="AF182" s="80">
        <v>6.35</v>
      </c>
      <c r="AG182" s="108" cm="1">
        <f t="array" ref="AG182">_xll.DCEPropSectPipe(AE182, AF182, "Area")/100</f>
        <v>53.19431074856206</v>
      </c>
      <c r="AH182" s="16" cm="1">
        <f t="array" ref="AH182">_xll.DCEPropSectPipe(AE182, AF182, "Ix")/10000</f>
        <v>4730.4733077169503</v>
      </c>
      <c r="AI182" s="16" cm="1">
        <f t="array" ref="AI182">_xll.DCEPropSectPipe(AE182, AF182, "Wx")/1000</f>
        <v>346.55482107816493</v>
      </c>
      <c r="AJ182" s="108">
        <f t="shared" si="65"/>
        <v>9.4301739777164251</v>
      </c>
      <c r="AK182" s="80" t="s">
        <v>207</v>
      </c>
      <c r="AL182" s="82">
        <v>-55.427264207949918</v>
      </c>
      <c r="AM182" s="82">
        <v>7.4262978786039184</v>
      </c>
      <c r="AN182" s="82">
        <v>-1.4264881876512094</v>
      </c>
      <c r="AO182" s="82">
        <v>0</v>
      </c>
      <c r="AP182" s="82">
        <v>0</v>
      </c>
      <c r="AQ182" s="82">
        <v>-4.6293987636048944E-2</v>
      </c>
      <c r="AR182" s="72">
        <v>1</v>
      </c>
      <c r="AS182" s="116">
        <f t="shared" si="66"/>
        <v>6</v>
      </c>
      <c r="AT182" s="7">
        <v>2</v>
      </c>
      <c r="AU182" s="6">
        <f t="shared" si="67"/>
        <v>12</v>
      </c>
      <c r="AV182" s="111">
        <f t="shared" si="68"/>
        <v>4.5586506808218394E-2</v>
      </c>
      <c r="AW182" s="117">
        <f t="shared" si="69"/>
        <v>105</v>
      </c>
      <c r="AX182" s="111">
        <f t="shared" si="70"/>
        <v>1</v>
      </c>
      <c r="AY182" s="111">
        <f t="shared" si="71"/>
        <v>1</v>
      </c>
      <c r="AZ182" s="111">
        <f t="shared" si="72"/>
        <v>1</v>
      </c>
      <c r="BA182" s="111">
        <f t="shared" si="73"/>
        <v>4.7985796640229894E-2</v>
      </c>
      <c r="BB182" s="111">
        <f t="shared" si="74"/>
        <v>0</v>
      </c>
      <c r="BC182" s="111">
        <f t="shared" si="75"/>
        <v>0</v>
      </c>
      <c r="BD182" s="111">
        <v>0</v>
      </c>
      <c r="BE182" s="111">
        <f t="shared" si="76"/>
        <v>4.7985796640229894E-2</v>
      </c>
      <c r="BF182" s="6" t="str">
        <f t="shared" si="77"/>
        <v>OK</v>
      </c>
      <c r="BG182" s="16">
        <f t="shared" si="78"/>
        <v>63.625549371390676</v>
      </c>
      <c r="BH182" s="118">
        <f t="shared" si="79"/>
        <v>2.1193803644775273</v>
      </c>
      <c r="BI182" s="108">
        <f t="shared" si="80"/>
        <v>0</v>
      </c>
      <c r="BJ182" s="6">
        <f t="shared" si="81"/>
        <v>1.2440309817761237</v>
      </c>
      <c r="BK182" s="108">
        <f t="shared" si="82"/>
        <v>0</v>
      </c>
      <c r="BL182" s="118" cm="1">
        <f t="array" ref="BL182">IF(AO182=0,FactorPhi7121(BH182,"a"),noisuy2chieu(BK182,BH182,Data!$A$63:$M$85))</f>
        <v>0.86214274110469236</v>
      </c>
      <c r="BM182" s="111">
        <v>1.26</v>
      </c>
      <c r="BN182" s="118">
        <f t="shared" si="83"/>
        <v>0.97952357536586931</v>
      </c>
      <c r="BO182" s="108">
        <f t="shared" si="84"/>
        <v>0.11344280749134009</v>
      </c>
      <c r="BP182" s="6" t="str">
        <f t="shared" si="85"/>
        <v>OK</v>
      </c>
      <c r="BQ182" s="16">
        <f t="shared" si="86"/>
        <v>127.25109874278135</v>
      </c>
      <c r="BR182" s="118">
        <f t="shared" si="87"/>
        <v>4.2387607289550546</v>
      </c>
      <c r="BS182" s="108">
        <f t="shared" si="88"/>
        <v>0</v>
      </c>
      <c r="BT182" s="118">
        <f t="shared" si="89"/>
        <v>1.1380619635522473</v>
      </c>
      <c r="BU182" s="108">
        <f t="shared" si="90"/>
        <v>0</v>
      </c>
      <c r="BV182" s="6" cm="1">
        <f t="array" ref="BV182">IF(AP182=0,FactorPhi7121(BR182,"a"),noisuy2chieu(BU182,BR182,Data!$A$63:$M$85))</f>
        <v>0.42299549615688942</v>
      </c>
      <c r="BW182" s="111">
        <v>1.26</v>
      </c>
      <c r="BX182" s="111">
        <f t="shared" si="91"/>
        <v>0.91809430146347737</v>
      </c>
      <c r="BY182" s="113">
        <f t="shared" si="92"/>
        <v>5.5658760843644156E-2</v>
      </c>
      <c r="BZ182" s="6" t="str">
        <f t="shared" si="93"/>
        <v>OK</v>
      </c>
      <c r="CA182" s="114">
        <f t="shared" si="94"/>
        <v>127.25109874278135</v>
      </c>
      <c r="CB182" s="115">
        <f t="shared" si="95"/>
        <v>150</v>
      </c>
      <c r="CC182" s="6" t="str">
        <f t="shared" si="96"/>
        <v>OK</v>
      </c>
      <c r="DG182" s="108"/>
      <c r="DH182" s="108"/>
      <c r="DI182" s="16"/>
      <c r="DJ182" s="108"/>
      <c r="DT182" s="6"/>
      <c r="DU182" s="6"/>
      <c r="DV182" s="111"/>
      <c r="DW182" s="111"/>
      <c r="DX182" s="111"/>
      <c r="DY182" s="111"/>
      <c r="DZ182" s="111"/>
      <c r="EA182" s="111"/>
      <c r="EB182" s="111"/>
      <c r="EC182" s="111"/>
      <c r="ED182" s="111"/>
      <c r="EE182" s="111"/>
      <c r="EF182" s="6"/>
      <c r="EG182" s="6"/>
      <c r="EH182" s="6"/>
      <c r="EI182" s="6"/>
      <c r="EJ182" s="6"/>
      <c r="EK182" s="6"/>
      <c r="EL182" s="112"/>
      <c r="EM182" s="112"/>
      <c r="EN182" s="118"/>
      <c r="EO182" s="118"/>
      <c r="EP182" s="112"/>
      <c r="EQ182" s="112"/>
      <c r="ER182" s="112"/>
      <c r="ES182" s="112"/>
      <c r="ET182" s="112"/>
      <c r="EU182" s="112"/>
      <c r="EV182" s="6"/>
      <c r="EW182" s="6"/>
      <c r="EX182" s="118"/>
      <c r="EY182" s="113"/>
      <c r="EZ182" s="6"/>
      <c r="FA182" s="114"/>
      <c r="FB182" s="115"/>
      <c r="FC182" s="6"/>
    </row>
    <row r="183" spans="27:159">
      <c r="AA183" s="79" t="s">
        <v>175</v>
      </c>
      <c r="AB183" s="80" t="s">
        <v>196</v>
      </c>
      <c r="AC183" s="81">
        <v>2.74</v>
      </c>
      <c r="AD183" s="81">
        <v>6</v>
      </c>
      <c r="AE183" s="80">
        <v>273</v>
      </c>
      <c r="AF183" s="80">
        <v>6.35</v>
      </c>
      <c r="AG183" s="108" cm="1">
        <f t="array" ref="AG183">_xll.DCEPropSectPipe(AE183, AF183, "Area")/100</f>
        <v>53.19431074856206</v>
      </c>
      <c r="AH183" s="16" cm="1">
        <f t="array" ref="AH183">_xll.DCEPropSectPipe(AE183, AF183, "Ix")/10000</f>
        <v>4730.4733077169503</v>
      </c>
      <c r="AI183" s="16" cm="1">
        <f t="array" ref="AI183">_xll.DCEPropSectPipe(AE183, AF183, "Wx")/1000</f>
        <v>346.55482107816493</v>
      </c>
      <c r="AJ183" s="108">
        <f t="shared" si="65"/>
        <v>9.4301739777164251</v>
      </c>
      <c r="AK183" s="80" t="s">
        <v>207</v>
      </c>
      <c r="AL183" s="82">
        <v>-54.080003859217889</v>
      </c>
      <c r="AM183" s="82">
        <v>7.4262978786039184</v>
      </c>
      <c r="AN183" s="82">
        <v>-1.4264881876512094</v>
      </c>
      <c r="AO183" s="82">
        <v>3.9114306105396159</v>
      </c>
      <c r="AP183" s="82">
        <v>-20.362908783131946</v>
      </c>
      <c r="AQ183" s="82">
        <v>-4.6293987636048944E-2</v>
      </c>
      <c r="AR183" s="72">
        <v>1</v>
      </c>
      <c r="AS183" s="116">
        <f t="shared" si="66"/>
        <v>6</v>
      </c>
      <c r="AT183" s="7">
        <v>2</v>
      </c>
      <c r="AU183" s="6">
        <f t="shared" si="67"/>
        <v>12</v>
      </c>
      <c r="AV183" s="111">
        <f t="shared" si="68"/>
        <v>4.4478443945337523E-2</v>
      </c>
      <c r="AW183" s="117">
        <f t="shared" si="69"/>
        <v>105</v>
      </c>
      <c r="AX183" s="111">
        <f t="shared" si="70"/>
        <v>1</v>
      </c>
      <c r="AY183" s="111">
        <f t="shared" si="71"/>
        <v>1</v>
      </c>
      <c r="AZ183" s="111">
        <f t="shared" si="72"/>
        <v>1</v>
      </c>
      <c r="BA183" s="111">
        <f t="shared" si="73"/>
        <v>4.6819414679302659E-2</v>
      </c>
      <c r="BB183" s="111">
        <f t="shared" si="74"/>
        <v>5.1977829162321673E-2</v>
      </c>
      <c r="BC183" s="111">
        <f t="shared" si="75"/>
        <v>0.27059659223548221</v>
      </c>
      <c r="BD183" s="111">
        <v>0</v>
      </c>
      <c r="BE183" s="111">
        <f t="shared" si="76"/>
        <v>0.36939383607710652</v>
      </c>
      <c r="BF183" s="6" t="str">
        <f t="shared" si="77"/>
        <v>OK</v>
      </c>
      <c r="BG183" s="16">
        <f t="shared" si="78"/>
        <v>63.625549371390676</v>
      </c>
      <c r="BH183" s="118">
        <f t="shared" si="79"/>
        <v>2.1193803644775273</v>
      </c>
      <c r="BI183" s="108">
        <f t="shared" si="80"/>
        <v>1.1101768255402686</v>
      </c>
      <c r="BJ183" s="6">
        <f t="shared" si="81"/>
        <v>1.2120510101505906</v>
      </c>
      <c r="BK183" s="108">
        <f t="shared" si="82"/>
        <v>1.3455909428418587</v>
      </c>
      <c r="BL183" s="118" cm="1">
        <f t="array" ref="BL183">IF(AO183=0,FactorPhi7121(BH183,"a"),noisuy2chieu(BK183,BH183,Data!$A$63:$M$85))</f>
        <v>0</v>
      </c>
      <c r="BM183" s="111">
        <v>1.26</v>
      </c>
      <c r="BN183" s="118">
        <f t="shared" si="83"/>
        <v>0.98002129206517929</v>
      </c>
      <c r="BO183" s="108" t="e">
        <f t="shared" si="84"/>
        <v>#DIV/0!</v>
      </c>
      <c r="BP183" s="6" t="e">
        <f t="shared" si="85"/>
        <v>#DIV/0!</v>
      </c>
      <c r="BQ183" s="16">
        <f t="shared" si="86"/>
        <v>127.25109874278135</v>
      </c>
      <c r="BR183" s="118">
        <f t="shared" si="87"/>
        <v>4.2387607289550546</v>
      </c>
      <c r="BS183" s="108">
        <f t="shared" si="88"/>
        <v>5.779580844591468</v>
      </c>
      <c r="BT183" s="118">
        <f t="shared" si="89"/>
        <v>1.1000000000000001</v>
      </c>
      <c r="BU183" s="108">
        <f t="shared" si="90"/>
        <v>6.357538929050615</v>
      </c>
      <c r="BV183" s="6" cm="1">
        <f t="array" ref="BV183">IF(AP183=0,FactorPhi7121(BR183,"a"),noisuy2chieu(BU183,BR183,Data!$A$63:$M$85))</f>
        <v>0</v>
      </c>
      <c r="BW183" s="111">
        <v>1.26</v>
      </c>
      <c r="BX183" s="111">
        <f t="shared" si="91"/>
        <v>0.9200851682607174</v>
      </c>
      <c r="BY183" s="113" t="e">
        <f t="shared" si="92"/>
        <v>#DIV/0!</v>
      </c>
      <c r="BZ183" s="6" t="e">
        <f t="shared" si="93"/>
        <v>#DIV/0!</v>
      </c>
      <c r="CA183" s="114">
        <f t="shared" si="94"/>
        <v>127.25109874278135</v>
      </c>
      <c r="CB183" s="115" t="e">
        <f t="shared" si="95"/>
        <v>#DIV/0!</v>
      </c>
      <c r="CC183" s="6" t="e">
        <f t="shared" si="96"/>
        <v>#DIV/0!</v>
      </c>
      <c r="DG183" s="108"/>
      <c r="DH183" s="108"/>
      <c r="DI183" s="16"/>
      <c r="DJ183" s="108"/>
      <c r="DT183" s="6"/>
      <c r="DU183" s="6"/>
      <c r="DV183" s="111"/>
      <c r="DW183" s="111"/>
      <c r="DX183" s="111"/>
      <c r="DY183" s="111"/>
      <c r="DZ183" s="111"/>
      <c r="EA183" s="111"/>
      <c r="EB183" s="111"/>
      <c r="EC183" s="111"/>
      <c r="ED183" s="111"/>
      <c r="EE183" s="111"/>
      <c r="EF183" s="6"/>
      <c r="EG183" s="6"/>
      <c r="EH183" s="6"/>
      <c r="EI183" s="6"/>
      <c r="EJ183" s="6"/>
      <c r="EK183" s="6"/>
      <c r="EL183" s="112"/>
      <c r="EM183" s="112"/>
      <c r="EN183" s="118"/>
      <c r="EO183" s="118"/>
      <c r="EP183" s="112"/>
      <c r="EQ183" s="112"/>
      <c r="ER183" s="112"/>
      <c r="ES183" s="112"/>
      <c r="ET183" s="112"/>
      <c r="EU183" s="112"/>
      <c r="EV183" s="6"/>
      <c r="EW183" s="6"/>
      <c r="EX183" s="118"/>
      <c r="EY183" s="113"/>
      <c r="EZ183" s="6"/>
      <c r="FA183" s="114"/>
      <c r="FB183" s="115"/>
      <c r="FC183" s="6"/>
    </row>
    <row r="184" spans="27:159">
      <c r="AA184" s="79" t="s">
        <v>175</v>
      </c>
      <c r="AB184" s="80" t="s">
        <v>196</v>
      </c>
      <c r="AC184" s="81">
        <v>5.48</v>
      </c>
      <c r="AD184" s="81">
        <v>6</v>
      </c>
      <c r="AE184" s="80">
        <v>273</v>
      </c>
      <c r="AF184" s="80">
        <v>6.35</v>
      </c>
      <c r="AG184" s="108" cm="1">
        <f t="array" ref="AG184">_xll.DCEPropSectPipe(AE184, AF184, "Area")/100</f>
        <v>53.19431074856206</v>
      </c>
      <c r="AH184" s="16" cm="1">
        <f t="array" ref="AH184">_xll.DCEPropSectPipe(AE184, AF184, "Ix")/10000</f>
        <v>4730.4733077169503</v>
      </c>
      <c r="AI184" s="16" cm="1">
        <f t="array" ref="AI184">_xll.DCEPropSectPipe(AE184, AF184, "Wx")/1000</f>
        <v>346.55482107816493</v>
      </c>
      <c r="AJ184" s="108">
        <f t="shared" si="65"/>
        <v>9.4301739777164251</v>
      </c>
      <c r="AK184" s="80" t="s">
        <v>207</v>
      </c>
      <c r="AL184" s="82">
        <v>-52.732743510485847</v>
      </c>
      <c r="AM184" s="82">
        <v>7.4262978786039184</v>
      </c>
      <c r="AN184" s="82">
        <v>-1.4264881876512094</v>
      </c>
      <c r="AO184" s="82">
        <v>7.8228612210792319</v>
      </c>
      <c r="AP184" s="82">
        <v>-40.725817566263892</v>
      </c>
      <c r="AQ184" s="82">
        <v>-4.6293987636048944E-2</v>
      </c>
      <c r="AR184" s="72">
        <v>1</v>
      </c>
      <c r="AS184" s="116">
        <f t="shared" si="66"/>
        <v>6</v>
      </c>
      <c r="AT184" s="7">
        <v>2</v>
      </c>
      <c r="AU184" s="6">
        <f t="shared" si="67"/>
        <v>12</v>
      </c>
      <c r="AV184" s="111">
        <f t="shared" si="68"/>
        <v>4.3370381082456645E-2</v>
      </c>
      <c r="AW184" s="117">
        <f t="shared" si="69"/>
        <v>105</v>
      </c>
      <c r="AX184" s="111">
        <f t="shared" si="70"/>
        <v>1</v>
      </c>
      <c r="AY184" s="111">
        <f t="shared" si="71"/>
        <v>1</v>
      </c>
      <c r="AZ184" s="111">
        <f t="shared" si="72"/>
        <v>1</v>
      </c>
      <c r="BA184" s="111">
        <f t="shared" si="73"/>
        <v>4.5653032718375418E-2</v>
      </c>
      <c r="BB184" s="111">
        <f t="shared" si="74"/>
        <v>0.10395565832464335</v>
      </c>
      <c r="BC184" s="111">
        <f t="shared" si="75"/>
        <v>0.54119318447096443</v>
      </c>
      <c r="BD184" s="111">
        <v>0</v>
      </c>
      <c r="BE184" s="111">
        <f t="shared" si="76"/>
        <v>0.6908018755139832</v>
      </c>
      <c r="BF184" s="6" t="str">
        <f t="shared" si="77"/>
        <v>OK</v>
      </c>
      <c r="BG184" s="16">
        <f t="shared" si="78"/>
        <v>63.625549371390676</v>
      </c>
      <c r="BH184" s="118">
        <f t="shared" si="79"/>
        <v>2.1193803644775273</v>
      </c>
      <c r="BI184" s="108">
        <f t="shared" si="80"/>
        <v>2.2770811079720676</v>
      </c>
      <c r="BJ184" s="6">
        <f t="shared" si="81"/>
        <v>1.1784369362631077</v>
      </c>
      <c r="BK184" s="108">
        <f t="shared" si="82"/>
        <v>2.6833964845012064</v>
      </c>
      <c r="BL184" s="118" cm="1">
        <f t="array" ref="BL184">IF(AO184=0,FactorPhi7121(BH184,"a"),noisuy2chieu(BK184,BH184,Data!$A$63:$M$85))</f>
        <v>0</v>
      </c>
      <c r="BM184" s="111">
        <v>1.26</v>
      </c>
      <c r="BN184" s="118">
        <f t="shared" si="83"/>
        <v>0.98051900876448939</v>
      </c>
      <c r="BO184" s="108" t="e">
        <f t="shared" si="84"/>
        <v>#DIV/0!</v>
      </c>
      <c r="BP184" s="6" t="e">
        <f t="shared" si="85"/>
        <v>#DIV/0!</v>
      </c>
      <c r="BQ184" s="16">
        <f t="shared" si="86"/>
        <v>127.25109874278135</v>
      </c>
      <c r="BR184" s="118">
        <f t="shared" si="87"/>
        <v>4.2387607289550546</v>
      </c>
      <c r="BS184" s="108">
        <f t="shared" si="88"/>
        <v>11.854484844620922</v>
      </c>
      <c r="BT184" s="118">
        <f t="shared" si="89"/>
        <v>1.1000000000000001</v>
      </c>
      <c r="BU184" s="108">
        <f t="shared" si="90"/>
        <v>13.039933329083015</v>
      </c>
      <c r="BV184" s="6" cm="1">
        <f t="array" ref="BV184">IF(AP184=0,FactorPhi7121(BR184,"a"),noisuy2chieu(BU184,BR184,Data!$A$63:$M$85))</f>
        <v>0</v>
      </c>
      <c r="BW184" s="111">
        <v>1.26</v>
      </c>
      <c r="BX184" s="111">
        <f t="shared" si="91"/>
        <v>0.92207603505795743</v>
      </c>
      <c r="BY184" s="113" t="e">
        <f t="shared" si="92"/>
        <v>#DIV/0!</v>
      </c>
      <c r="BZ184" s="6" t="e">
        <f t="shared" si="93"/>
        <v>#DIV/0!</v>
      </c>
      <c r="CA184" s="114">
        <f t="shared" si="94"/>
        <v>127.25109874278135</v>
      </c>
      <c r="CB184" s="115" t="e">
        <f t="shared" si="95"/>
        <v>#DIV/0!</v>
      </c>
      <c r="CC184" s="6" t="e">
        <f t="shared" si="96"/>
        <v>#DIV/0!</v>
      </c>
      <c r="DG184" s="108"/>
      <c r="DH184" s="108"/>
      <c r="DI184" s="16"/>
      <c r="DJ184" s="108"/>
      <c r="DT184" s="6"/>
      <c r="DU184" s="6"/>
      <c r="DV184" s="111"/>
      <c r="DW184" s="111"/>
      <c r="DX184" s="111"/>
      <c r="DY184" s="111"/>
      <c r="DZ184" s="111"/>
      <c r="EA184" s="111"/>
      <c r="EB184" s="111"/>
      <c r="EC184" s="111"/>
      <c r="ED184" s="111"/>
      <c r="EE184" s="111"/>
      <c r="EF184" s="6"/>
      <c r="EG184" s="6"/>
      <c r="EH184" s="6"/>
      <c r="EI184" s="6"/>
      <c r="EJ184" s="6"/>
      <c r="EK184" s="6"/>
      <c r="EL184" s="112"/>
      <c r="EM184" s="112"/>
      <c r="EN184" s="118"/>
      <c r="EO184" s="118"/>
      <c r="EP184" s="112"/>
      <c r="EQ184" s="112"/>
      <c r="ER184" s="112"/>
      <c r="ES184" s="112"/>
      <c r="ET184" s="112"/>
      <c r="EU184" s="112"/>
      <c r="EV184" s="6"/>
      <c r="EW184" s="6"/>
      <c r="EX184" s="118"/>
      <c r="EY184" s="113"/>
      <c r="EZ184" s="6"/>
      <c r="FA184" s="114"/>
      <c r="FB184" s="115"/>
      <c r="FC184" s="6"/>
    </row>
    <row r="185" spans="27:159">
      <c r="AA185" s="79" t="s">
        <v>175</v>
      </c>
      <c r="AB185" s="80" t="s">
        <v>196</v>
      </c>
      <c r="AC185" s="81">
        <v>0</v>
      </c>
      <c r="AD185" s="81">
        <v>6</v>
      </c>
      <c r="AE185" s="80">
        <v>273</v>
      </c>
      <c r="AF185" s="80">
        <v>6.35</v>
      </c>
      <c r="AG185" s="108" cm="1">
        <f t="array" ref="AG185">_xll.DCEPropSectPipe(AE185, AF185, "Area")/100</f>
        <v>53.19431074856206</v>
      </c>
      <c r="AH185" s="16" cm="1">
        <f t="array" ref="AH185">_xll.DCEPropSectPipe(AE185, AF185, "Ix")/10000</f>
        <v>4730.4733077169503</v>
      </c>
      <c r="AI185" s="16" cm="1">
        <f t="array" ref="AI185">_xll.DCEPropSectPipe(AE185, AF185, "Wx")/1000</f>
        <v>346.55482107816493</v>
      </c>
      <c r="AJ185" s="108">
        <f t="shared" si="65"/>
        <v>9.4301739777164251</v>
      </c>
      <c r="AK185" s="80" t="s">
        <v>208</v>
      </c>
      <c r="AL185" s="82">
        <v>-69.801343554295684</v>
      </c>
      <c r="AM185" s="82">
        <v>7.4854824639565214</v>
      </c>
      <c r="AN185" s="82">
        <v>-1.5396287475661004</v>
      </c>
      <c r="AO185" s="82">
        <v>0</v>
      </c>
      <c r="AP185" s="82">
        <v>0</v>
      </c>
      <c r="AQ185" s="82">
        <v>-0.12788382751495739</v>
      </c>
      <c r="AR185" s="72">
        <v>1</v>
      </c>
      <c r="AS185" s="116">
        <f t="shared" si="66"/>
        <v>6</v>
      </c>
      <c r="AT185" s="7">
        <v>2</v>
      </c>
      <c r="AU185" s="6">
        <f t="shared" si="67"/>
        <v>12</v>
      </c>
      <c r="AV185" s="111">
        <f t="shared" si="68"/>
        <v>5.7408560004379543E-2</v>
      </c>
      <c r="AW185" s="117">
        <f t="shared" si="69"/>
        <v>105</v>
      </c>
      <c r="AX185" s="111">
        <f t="shared" si="70"/>
        <v>1</v>
      </c>
      <c r="AY185" s="111">
        <f t="shared" si="71"/>
        <v>1</v>
      </c>
      <c r="AZ185" s="111">
        <f t="shared" si="72"/>
        <v>1</v>
      </c>
      <c r="BA185" s="111">
        <f t="shared" si="73"/>
        <v>6.043006316250478E-2</v>
      </c>
      <c r="BB185" s="111">
        <f t="shared" si="74"/>
        <v>0</v>
      </c>
      <c r="BC185" s="111">
        <f t="shared" si="75"/>
        <v>0</v>
      </c>
      <c r="BD185" s="111">
        <v>0</v>
      </c>
      <c r="BE185" s="111">
        <f t="shared" si="76"/>
        <v>6.043006316250478E-2</v>
      </c>
      <c r="BF185" s="6" t="str">
        <f t="shared" si="77"/>
        <v>OK</v>
      </c>
      <c r="BG185" s="16">
        <f t="shared" si="78"/>
        <v>63.625549371390676</v>
      </c>
      <c r="BH185" s="118">
        <f t="shared" si="79"/>
        <v>2.1193803644775273</v>
      </c>
      <c r="BI185" s="108">
        <f t="shared" si="80"/>
        <v>0</v>
      </c>
      <c r="BJ185" s="6">
        <f t="shared" si="81"/>
        <v>1.2440309817761237</v>
      </c>
      <c r="BK185" s="108">
        <f t="shared" si="82"/>
        <v>0</v>
      </c>
      <c r="BL185" s="118" cm="1">
        <f t="array" ref="BL185">IF(AO185=0,FactorPhi7121(BH185,"a"),noisuy2chieu(BK185,BH185,Data!$A$63:$M$85))</f>
        <v>0.86214274110469236</v>
      </c>
      <c r="BM185" s="111">
        <v>1.26</v>
      </c>
      <c r="BN185" s="118">
        <f t="shared" si="83"/>
        <v>0.97421337727786328</v>
      </c>
      <c r="BO185" s="108">
        <f t="shared" si="84"/>
        <v>0.14286219052339794</v>
      </c>
      <c r="BP185" s="6" t="str">
        <f t="shared" si="85"/>
        <v>OK</v>
      </c>
      <c r="BQ185" s="16">
        <f t="shared" si="86"/>
        <v>127.25109874278135</v>
      </c>
      <c r="BR185" s="118">
        <f t="shared" si="87"/>
        <v>4.2387607289550546</v>
      </c>
      <c r="BS185" s="108">
        <f t="shared" si="88"/>
        <v>0</v>
      </c>
      <c r="BT185" s="118">
        <f t="shared" si="89"/>
        <v>1.1380619635522473</v>
      </c>
      <c r="BU185" s="108">
        <f t="shared" si="90"/>
        <v>0</v>
      </c>
      <c r="BV185" s="6" cm="1">
        <f t="array" ref="BV185">IF(AP185=0,FactorPhi7121(BR185,"a"),noisuy2chieu(BU185,BR185,Data!$A$63:$M$85))</f>
        <v>0.42299549615688942</v>
      </c>
      <c r="BW185" s="111">
        <v>1.26</v>
      </c>
      <c r="BX185" s="111">
        <f t="shared" si="91"/>
        <v>0.89685350911145312</v>
      </c>
      <c r="BY185" s="113">
        <f t="shared" si="92"/>
        <v>7.0092874742613637E-2</v>
      </c>
      <c r="BZ185" s="6" t="str">
        <f t="shared" si="93"/>
        <v>OK</v>
      </c>
      <c r="CA185" s="114">
        <f t="shared" si="94"/>
        <v>127.25109874278135</v>
      </c>
      <c r="CB185" s="115">
        <f t="shared" si="95"/>
        <v>150</v>
      </c>
      <c r="CC185" s="6" t="str">
        <f t="shared" si="96"/>
        <v>OK</v>
      </c>
      <c r="DG185" s="108"/>
      <c r="DH185" s="108"/>
      <c r="DI185" s="16"/>
      <c r="DJ185" s="108"/>
      <c r="DT185" s="6"/>
      <c r="DU185" s="6"/>
      <c r="DV185" s="111"/>
      <c r="DW185" s="111"/>
      <c r="DX185" s="111"/>
      <c r="DY185" s="111"/>
      <c r="DZ185" s="111"/>
      <c r="EA185" s="111"/>
      <c r="EB185" s="111"/>
      <c r="EC185" s="111"/>
      <c r="ED185" s="111"/>
      <c r="EE185" s="111"/>
      <c r="EF185" s="6"/>
      <c r="EG185" s="6"/>
      <c r="EH185" s="6"/>
      <c r="EI185" s="6"/>
      <c r="EJ185" s="6"/>
      <c r="EK185" s="6"/>
      <c r="EL185" s="112"/>
      <c r="EM185" s="112"/>
      <c r="EN185" s="118"/>
      <c r="EO185" s="118"/>
      <c r="EP185" s="112"/>
      <c r="EQ185" s="112"/>
      <c r="ER185" s="112"/>
      <c r="ES185" s="112"/>
      <c r="ET185" s="112"/>
      <c r="EU185" s="112"/>
      <c r="EV185" s="6"/>
      <c r="EW185" s="6"/>
      <c r="EX185" s="118"/>
      <c r="EY185" s="113"/>
      <c r="EZ185" s="6"/>
      <c r="FA185" s="114"/>
      <c r="FB185" s="115"/>
      <c r="FC185" s="6"/>
    </row>
    <row r="186" spans="27:159">
      <c r="AA186" s="79" t="s">
        <v>175</v>
      </c>
      <c r="AB186" s="80" t="s">
        <v>196</v>
      </c>
      <c r="AC186" s="81">
        <v>2.74</v>
      </c>
      <c r="AD186" s="81">
        <v>6</v>
      </c>
      <c r="AE186" s="80">
        <v>273</v>
      </c>
      <c r="AF186" s="80">
        <v>6.35</v>
      </c>
      <c r="AG186" s="108" cm="1">
        <f t="array" ref="AG186">_xll.DCEPropSectPipe(AE186, AF186, "Area")/100</f>
        <v>53.19431074856206</v>
      </c>
      <c r="AH186" s="16" cm="1">
        <f t="array" ref="AH186">_xll.DCEPropSectPipe(AE186, AF186, "Ix")/10000</f>
        <v>4730.4733077169503</v>
      </c>
      <c r="AI186" s="16" cm="1">
        <f t="array" ref="AI186">_xll.DCEPropSectPipe(AE186, AF186, "Wx")/1000</f>
        <v>346.55482107816493</v>
      </c>
      <c r="AJ186" s="108">
        <f t="shared" si="65"/>
        <v>9.4301739777164251</v>
      </c>
      <c r="AK186" s="80" t="s">
        <v>208</v>
      </c>
      <c r="AL186" s="82">
        <v>-68.454083205563663</v>
      </c>
      <c r="AM186" s="82">
        <v>7.4854824639565214</v>
      </c>
      <c r="AN186" s="82">
        <v>-1.5396287475661004</v>
      </c>
      <c r="AO186" s="82">
        <v>4.2216620258262472</v>
      </c>
      <c r="AP186" s="82">
        <v>-20.52519291616878</v>
      </c>
      <c r="AQ186" s="82">
        <v>-0.12788382751495739</v>
      </c>
      <c r="AR186" s="72">
        <v>1</v>
      </c>
      <c r="AS186" s="116">
        <f t="shared" si="66"/>
        <v>6</v>
      </c>
      <c r="AT186" s="7">
        <v>2</v>
      </c>
      <c r="AU186" s="6">
        <f t="shared" si="67"/>
        <v>12</v>
      </c>
      <c r="AV186" s="111">
        <f t="shared" si="68"/>
        <v>5.6300497141498679E-2</v>
      </c>
      <c r="AW186" s="117">
        <f t="shared" si="69"/>
        <v>105</v>
      </c>
      <c r="AX186" s="111">
        <f t="shared" si="70"/>
        <v>1</v>
      </c>
      <c r="AY186" s="111">
        <f t="shared" si="71"/>
        <v>1</v>
      </c>
      <c r="AZ186" s="111">
        <f t="shared" si="72"/>
        <v>1</v>
      </c>
      <c r="BA186" s="111">
        <f t="shared" si="73"/>
        <v>5.9263681201577559E-2</v>
      </c>
      <c r="BB186" s="111">
        <f t="shared" si="74"/>
        <v>5.6100401466455986E-2</v>
      </c>
      <c r="BC186" s="111">
        <f t="shared" si="75"/>
        <v>0.27275313744429025</v>
      </c>
      <c r="BD186" s="111">
        <v>0</v>
      </c>
      <c r="BE186" s="111">
        <f t="shared" si="76"/>
        <v>0.3881172201123238</v>
      </c>
      <c r="BF186" s="6" t="str">
        <f t="shared" si="77"/>
        <v>OK</v>
      </c>
      <c r="BG186" s="16">
        <f t="shared" si="78"/>
        <v>63.625549371390676</v>
      </c>
      <c r="BH186" s="118">
        <f t="shared" si="79"/>
        <v>2.1193803644775273</v>
      </c>
      <c r="BI186" s="108">
        <f t="shared" si="80"/>
        <v>0.94662363742876365</v>
      </c>
      <c r="BJ186" s="6">
        <f t="shared" si="81"/>
        <v>1.2167623554018538</v>
      </c>
      <c r="BK186" s="108">
        <f t="shared" si="82"/>
        <v>1.151816006756893</v>
      </c>
      <c r="BL186" s="118" cm="1">
        <f t="array" ref="BL186">IF(AO186=0,FactorPhi7121(BH186,"a"),noisuy2chieu(BK186,BH186,Data!$A$63:$M$85))</f>
        <v>0</v>
      </c>
      <c r="BM186" s="111">
        <v>1.26</v>
      </c>
      <c r="BN186" s="118">
        <f t="shared" si="83"/>
        <v>0.97471109397717326</v>
      </c>
      <c r="BO186" s="108" t="e">
        <f t="shared" si="84"/>
        <v>#DIV/0!</v>
      </c>
      <c r="BP186" s="6" t="e">
        <f t="shared" si="85"/>
        <v>#DIV/0!</v>
      </c>
      <c r="BQ186" s="16">
        <f t="shared" si="86"/>
        <v>127.25109874278135</v>
      </c>
      <c r="BR186" s="118">
        <f t="shared" si="87"/>
        <v>4.2387607289550546</v>
      </c>
      <c r="BS186" s="108">
        <f t="shared" si="88"/>
        <v>4.602365764565933</v>
      </c>
      <c r="BT186" s="118">
        <f t="shared" si="89"/>
        <v>1.1030269479552435</v>
      </c>
      <c r="BU186" s="108">
        <f t="shared" si="90"/>
        <v>5.0765334626628622</v>
      </c>
      <c r="BV186" s="6" cm="1">
        <f t="array" ref="BV186">IF(AP186=0,FactorPhi7121(BR186,"a"),noisuy2chieu(BU186,BR186,Data!$A$63:$M$85))</f>
        <v>0</v>
      </c>
      <c r="BW186" s="111">
        <v>1.26</v>
      </c>
      <c r="BX186" s="111">
        <f t="shared" si="91"/>
        <v>0.89884437590869304</v>
      </c>
      <c r="BY186" s="113" t="e">
        <f t="shared" si="92"/>
        <v>#DIV/0!</v>
      </c>
      <c r="BZ186" s="6" t="e">
        <f t="shared" si="93"/>
        <v>#DIV/0!</v>
      </c>
      <c r="CA186" s="114">
        <f t="shared" si="94"/>
        <v>127.25109874278135</v>
      </c>
      <c r="CB186" s="115" t="e">
        <f t="shared" si="95"/>
        <v>#DIV/0!</v>
      </c>
      <c r="CC186" s="6" t="e">
        <f t="shared" si="96"/>
        <v>#DIV/0!</v>
      </c>
      <c r="DG186" s="108"/>
      <c r="DH186" s="108"/>
      <c r="DI186" s="16"/>
      <c r="DJ186" s="108"/>
      <c r="DT186" s="6"/>
      <c r="DU186" s="6"/>
      <c r="DV186" s="111"/>
      <c r="DW186" s="111"/>
      <c r="DX186" s="111"/>
      <c r="DY186" s="111"/>
      <c r="DZ186" s="111"/>
      <c r="EA186" s="111"/>
      <c r="EB186" s="111"/>
      <c r="EC186" s="111"/>
      <c r="ED186" s="111"/>
      <c r="EE186" s="111"/>
      <c r="EF186" s="6"/>
      <c r="EG186" s="6"/>
      <c r="EH186" s="6"/>
      <c r="EI186" s="6"/>
      <c r="EJ186" s="6"/>
      <c r="EK186" s="6"/>
      <c r="EL186" s="112"/>
      <c r="EM186" s="112"/>
      <c r="EN186" s="118"/>
      <c r="EO186" s="118"/>
      <c r="EP186" s="112"/>
      <c r="EQ186" s="112"/>
      <c r="ER186" s="112"/>
      <c r="ES186" s="112"/>
      <c r="ET186" s="112"/>
      <c r="EU186" s="112"/>
      <c r="EV186" s="6"/>
      <c r="EW186" s="6"/>
      <c r="EX186" s="118"/>
      <c r="EY186" s="113"/>
      <c r="EZ186" s="6"/>
      <c r="FA186" s="114"/>
      <c r="FB186" s="115"/>
      <c r="FC186" s="6"/>
    </row>
    <row r="187" spans="27:159">
      <c r="AA187" s="79" t="s">
        <v>175</v>
      </c>
      <c r="AB187" s="80" t="s">
        <v>196</v>
      </c>
      <c r="AC187" s="81">
        <v>5.48</v>
      </c>
      <c r="AD187" s="81">
        <v>6</v>
      </c>
      <c r="AE187" s="80">
        <v>273</v>
      </c>
      <c r="AF187" s="80">
        <v>6.35</v>
      </c>
      <c r="AG187" s="108" cm="1">
        <f t="array" ref="AG187">_xll.DCEPropSectPipe(AE187, AF187, "Area")/100</f>
        <v>53.19431074856206</v>
      </c>
      <c r="AH187" s="16" cm="1">
        <f t="array" ref="AH187">_xll.DCEPropSectPipe(AE187, AF187, "Ix")/10000</f>
        <v>4730.4733077169503</v>
      </c>
      <c r="AI187" s="16" cm="1">
        <f t="array" ref="AI187">_xll.DCEPropSectPipe(AE187, AF187, "Wx")/1000</f>
        <v>346.55482107816493</v>
      </c>
      <c r="AJ187" s="108">
        <f t="shared" si="65"/>
        <v>9.4301739777164251</v>
      </c>
      <c r="AK187" s="80" t="s">
        <v>208</v>
      </c>
      <c r="AL187" s="82">
        <v>-67.106822856831627</v>
      </c>
      <c r="AM187" s="82">
        <v>7.4854824639565214</v>
      </c>
      <c r="AN187" s="82">
        <v>-1.5396287475661004</v>
      </c>
      <c r="AO187" s="82">
        <v>8.4433240516524943</v>
      </c>
      <c r="AP187" s="82">
        <v>-41.050385832337561</v>
      </c>
      <c r="AQ187" s="82">
        <v>-0.12788382751495739</v>
      </c>
      <c r="AR187" s="72">
        <v>1</v>
      </c>
      <c r="AS187" s="116">
        <f t="shared" si="66"/>
        <v>6</v>
      </c>
      <c r="AT187" s="7">
        <v>2</v>
      </c>
      <c r="AU187" s="6">
        <f t="shared" si="67"/>
        <v>12</v>
      </c>
      <c r="AV187" s="111">
        <f t="shared" si="68"/>
        <v>5.5192434278617801E-2</v>
      </c>
      <c r="AW187" s="117">
        <f t="shared" si="69"/>
        <v>105</v>
      </c>
      <c r="AX187" s="111">
        <f t="shared" si="70"/>
        <v>1</v>
      </c>
      <c r="AY187" s="111">
        <f t="shared" si="71"/>
        <v>1</v>
      </c>
      <c r="AZ187" s="111">
        <f t="shared" si="72"/>
        <v>1</v>
      </c>
      <c r="BA187" s="111">
        <f t="shared" si="73"/>
        <v>5.8097299240650324E-2</v>
      </c>
      <c r="BB187" s="111">
        <f t="shared" si="74"/>
        <v>0.11220080293291197</v>
      </c>
      <c r="BC187" s="111">
        <f t="shared" si="75"/>
        <v>0.5455062748885805</v>
      </c>
      <c r="BD187" s="111">
        <v>0</v>
      </c>
      <c r="BE187" s="111">
        <f t="shared" si="76"/>
        <v>0.71580437706214273</v>
      </c>
      <c r="BF187" s="6" t="str">
        <f t="shared" si="77"/>
        <v>OK</v>
      </c>
      <c r="BG187" s="16">
        <f t="shared" si="78"/>
        <v>63.625549371390676</v>
      </c>
      <c r="BH187" s="118">
        <f t="shared" si="79"/>
        <v>2.1193803644775273</v>
      </c>
      <c r="BI187" s="108">
        <f t="shared" si="80"/>
        <v>1.9312567778435694</v>
      </c>
      <c r="BJ187" s="6">
        <f t="shared" si="81"/>
        <v>1.1883988198212032</v>
      </c>
      <c r="BK187" s="108">
        <f t="shared" si="82"/>
        <v>2.2951032755609977</v>
      </c>
      <c r="BL187" s="118" cm="1">
        <f t="array" ref="BL187">IF(AO187=0,FactorPhi7121(BH187,"a"),noisuy2chieu(BK187,BH187,Data!$A$63:$M$85))</f>
        <v>0</v>
      </c>
      <c r="BM187" s="111">
        <v>1.26</v>
      </c>
      <c r="BN187" s="118">
        <f t="shared" si="83"/>
        <v>0.97520881067648324</v>
      </c>
      <c r="BO187" s="108" t="e">
        <f t="shared" si="84"/>
        <v>#DIV/0!</v>
      </c>
      <c r="BP187" s="6" t="e">
        <f t="shared" si="85"/>
        <v>#DIV/0!</v>
      </c>
      <c r="BQ187" s="16">
        <f t="shared" si="86"/>
        <v>127.25109874278135</v>
      </c>
      <c r="BR187" s="118">
        <f t="shared" si="87"/>
        <v>4.2387607289550546</v>
      </c>
      <c r="BS187" s="108">
        <f t="shared" si="88"/>
        <v>9.3895289801508213</v>
      </c>
      <c r="BT187" s="118">
        <f t="shared" si="89"/>
        <v>1.1000000000000001</v>
      </c>
      <c r="BU187" s="108">
        <f t="shared" si="90"/>
        <v>10.328481878165904</v>
      </c>
      <c r="BV187" s="6" cm="1">
        <f t="array" ref="BV187">IF(AP187=0,FactorPhi7121(BR187,"a"),noisuy2chieu(BU187,BR187,Data!$A$63:$M$85))</f>
        <v>0</v>
      </c>
      <c r="BW187" s="111">
        <v>1.26</v>
      </c>
      <c r="BX187" s="111">
        <f t="shared" si="91"/>
        <v>0.90083524270593307</v>
      </c>
      <c r="BY187" s="113" t="e">
        <f t="shared" si="92"/>
        <v>#DIV/0!</v>
      </c>
      <c r="BZ187" s="6" t="e">
        <f t="shared" si="93"/>
        <v>#DIV/0!</v>
      </c>
      <c r="CA187" s="114">
        <f t="shared" si="94"/>
        <v>127.25109874278135</v>
      </c>
      <c r="CB187" s="115" t="e">
        <f t="shared" si="95"/>
        <v>#DIV/0!</v>
      </c>
      <c r="CC187" s="6" t="e">
        <f t="shared" si="96"/>
        <v>#DIV/0!</v>
      </c>
      <c r="DG187" s="108"/>
      <c r="DH187" s="108"/>
      <c r="DI187" s="16"/>
      <c r="DJ187" s="108"/>
      <c r="DT187" s="6"/>
      <c r="DU187" s="6"/>
      <c r="DV187" s="111"/>
      <c r="DW187" s="111"/>
      <c r="DX187" s="111"/>
      <c r="DY187" s="111"/>
      <c r="DZ187" s="111"/>
      <c r="EA187" s="111"/>
      <c r="EB187" s="111"/>
      <c r="EC187" s="111"/>
      <c r="ED187" s="111"/>
      <c r="EE187" s="111"/>
      <c r="EF187" s="6"/>
      <c r="EG187" s="6"/>
      <c r="EH187" s="6"/>
      <c r="EI187" s="6"/>
      <c r="EJ187" s="6"/>
      <c r="EK187" s="6"/>
      <c r="EL187" s="112"/>
      <c r="EM187" s="112"/>
      <c r="EN187" s="118"/>
      <c r="EO187" s="118"/>
      <c r="EP187" s="112"/>
      <c r="EQ187" s="112"/>
      <c r="ER187" s="112"/>
      <c r="ES187" s="112"/>
      <c r="ET187" s="112"/>
      <c r="EU187" s="112"/>
      <c r="EV187" s="6"/>
      <c r="EW187" s="6"/>
      <c r="EX187" s="118"/>
      <c r="EY187" s="113"/>
      <c r="EZ187" s="6"/>
      <c r="FA187" s="114"/>
      <c r="FB187" s="115"/>
      <c r="FC187" s="6"/>
    </row>
    <row r="188" spans="27:159">
      <c r="AA188" s="79" t="s">
        <v>175</v>
      </c>
      <c r="AB188" s="80" t="s">
        <v>196</v>
      </c>
      <c r="AC188" s="81">
        <v>0</v>
      </c>
      <c r="AD188" s="81">
        <v>6</v>
      </c>
      <c r="AE188" s="80">
        <v>273</v>
      </c>
      <c r="AF188" s="80">
        <v>6.35</v>
      </c>
      <c r="AG188" s="108" cm="1">
        <f t="array" ref="AG188">_xll.DCEPropSectPipe(AE188, AF188, "Area")/100</f>
        <v>53.19431074856206</v>
      </c>
      <c r="AH188" s="16" cm="1">
        <f t="array" ref="AH188">_xll.DCEPropSectPipe(AE188, AF188, "Ix")/10000</f>
        <v>4730.4733077169503</v>
      </c>
      <c r="AI188" s="16" cm="1">
        <f t="array" ref="AI188">_xll.DCEPropSectPipe(AE188, AF188, "Wx")/1000</f>
        <v>346.55482107816493</v>
      </c>
      <c r="AJ188" s="108">
        <f t="shared" si="65"/>
        <v>9.4301739777164251</v>
      </c>
      <c r="AK188" s="80" t="s">
        <v>209</v>
      </c>
      <c r="AL188" s="82">
        <v>2.0594451687387734</v>
      </c>
      <c r="AM188" s="82">
        <v>-1.9974240453078738</v>
      </c>
      <c r="AN188" s="82">
        <v>0.33984824258335528</v>
      </c>
      <c r="AO188" s="82">
        <v>0</v>
      </c>
      <c r="AP188" s="82">
        <v>0</v>
      </c>
      <c r="AQ188" s="82">
        <v>-1.9805861034828603E-2</v>
      </c>
      <c r="AR188" s="72">
        <v>1</v>
      </c>
      <c r="AS188" s="116">
        <f t="shared" si="66"/>
        <v>6</v>
      </c>
      <c r="AT188" s="7">
        <v>2</v>
      </c>
      <c r="AU188" s="6">
        <f t="shared" si="67"/>
        <v>12</v>
      </c>
      <c r="AV188" s="111">
        <f t="shared" si="68"/>
        <v>1.6938038084224436E-3</v>
      </c>
      <c r="AW188" s="117">
        <f t="shared" si="69"/>
        <v>105</v>
      </c>
      <c r="AX188" s="111">
        <f t="shared" si="70"/>
        <v>1</v>
      </c>
      <c r="AY188" s="111">
        <f t="shared" si="71"/>
        <v>1</v>
      </c>
      <c r="AZ188" s="111">
        <f t="shared" si="72"/>
        <v>1</v>
      </c>
      <c r="BA188" s="111">
        <f t="shared" si="73"/>
        <v>1.7829513772867828E-3</v>
      </c>
      <c r="BB188" s="111">
        <f t="shared" si="74"/>
        <v>0</v>
      </c>
      <c r="BC188" s="111">
        <f t="shared" si="75"/>
        <v>0</v>
      </c>
      <c r="BD188" s="111">
        <v>0</v>
      </c>
      <c r="BE188" s="111">
        <f t="shared" si="76"/>
        <v>1.7829513772867828E-3</v>
      </c>
      <c r="BF188" s="6" t="str">
        <f t="shared" si="77"/>
        <v>OK</v>
      </c>
      <c r="BG188" s="16">
        <f t="shared" si="78"/>
        <v>63.625549371390676</v>
      </c>
      <c r="BH188" s="118">
        <f t="shared" si="79"/>
        <v>2.1193803644775273</v>
      </c>
      <c r="BI188" s="108">
        <f t="shared" si="80"/>
        <v>0</v>
      </c>
      <c r="BJ188" s="6">
        <f t="shared" si="81"/>
        <v>1.2440309817761237</v>
      </c>
      <c r="BK188" s="108">
        <f t="shared" si="82"/>
        <v>0</v>
      </c>
      <c r="BL188" s="118" cm="1">
        <f t="array" ref="BL188">IF(AO188=0,FactorPhi7121(BH188,"a"),noisuy2chieu(BK188,BH188,Data!$A$63:$M$85))</f>
        <v>0.86214274110469236</v>
      </c>
      <c r="BM188" s="111">
        <v>1.26</v>
      </c>
      <c r="BN188" s="118">
        <f t="shared" si="83"/>
        <v>0.99923918175669668</v>
      </c>
      <c r="BO188" s="108">
        <f t="shared" si="84"/>
        <v>4.2150599556868198E-3</v>
      </c>
      <c r="BP188" s="6" t="str">
        <f t="shared" si="85"/>
        <v>OK</v>
      </c>
      <c r="BQ188" s="16">
        <f t="shared" si="86"/>
        <v>127.25109874278135</v>
      </c>
      <c r="BR188" s="118">
        <f t="shared" si="87"/>
        <v>4.2387607289550546</v>
      </c>
      <c r="BS188" s="108">
        <f t="shared" si="88"/>
        <v>0</v>
      </c>
      <c r="BT188" s="118">
        <f t="shared" si="89"/>
        <v>1.1380619635522473</v>
      </c>
      <c r="BU188" s="108">
        <f t="shared" si="90"/>
        <v>0</v>
      </c>
      <c r="BV188" s="6" cm="1">
        <f t="array" ref="BV188">IF(AP188=0,FactorPhi7121(BR188,"a"),noisuy2chieu(BU188,BR188,Data!$A$63:$M$85))</f>
        <v>0.42299549615688942</v>
      </c>
      <c r="BW188" s="111">
        <v>1.26</v>
      </c>
      <c r="BX188" s="111">
        <f t="shared" si="91"/>
        <v>0.9969567270267865</v>
      </c>
      <c r="BY188" s="113">
        <f t="shared" si="92"/>
        <v>2.0680466148821569E-3</v>
      </c>
      <c r="BZ188" s="6" t="str">
        <f t="shared" si="93"/>
        <v>OK</v>
      </c>
      <c r="CA188" s="114">
        <f t="shared" si="94"/>
        <v>127.25109874278135</v>
      </c>
      <c r="CB188" s="115">
        <f t="shared" si="95"/>
        <v>150</v>
      </c>
      <c r="CC188" s="6" t="str">
        <f t="shared" si="96"/>
        <v>OK</v>
      </c>
      <c r="DG188" s="108"/>
      <c r="DH188" s="108"/>
      <c r="DI188" s="16"/>
      <c r="DJ188" s="108"/>
      <c r="DT188" s="6"/>
      <c r="DU188" s="6"/>
      <c r="DV188" s="111"/>
      <c r="DW188" s="111"/>
      <c r="DX188" s="111"/>
      <c r="DY188" s="111"/>
      <c r="DZ188" s="111"/>
      <c r="EA188" s="111"/>
      <c r="EB188" s="111"/>
      <c r="EC188" s="111"/>
      <c r="ED188" s="111"/>
      <c r="EE188" s="111"/>
      <c r="EF188" s="6"/>
      <c r="EG188" s="6"/>
      <c r="EH188" s="6"/>
      <c r="EI188" s="6"/>
      <c r="EJ188" s="6"/>
      <c r="EK188" s="6"/>
      <c r="EL188" s="112"/>
      <c r="EM188" s="112"/>
      <c r="EN188" s="118"/>
      <c r="EO188" s="118"/>
      <c r="EP188" s="112"/>
      <c r="EQ188" s="112"/>
      <c r="ER188" s="112"/>
      <c r="ES188" s="112"/>
      <c r="ET188" s="112"/>
      <c r="EU188" s="112"/>
      <c r="EV188" s="6"/>
      <c r="EW188" s="6"/>
      <c r="EX188" s="118"/>
      <c r="EY188" s="113"/>
      <c r="EZ188" s="6"/>
      <c r="FA188" s="114"/>
      <c r="FB188" s="115"/>
      <c r="FC188" s="6"/>
    </row>
    <row r="189" spans="27:159">
      <c r="AA189" s="79" t="s">
        <v>175</v>
      </c>
      <c r="AB189" s="80" t="s">
        <v>196</v>
      </c>
      <c r="AC189" s="81">
        <v>2.74</v>
      </c>
      <c r="AD189" s="81">
        <v>6</v>
      </c>
      <c r="AE189" s="80">
        <v>273</v>
      </c>
      <c r="AF189" s="80">
        <v>6.35</v>
      </c>
      <c r="AG189" s="108" cm="1">
        <f t="array" ref="AG189">_xll.DCEPropSectPipe(AE189, AF189, "Area")/100</f>
        <v>53.19431074856206</v>
      </c>
      <c r="AH189" s="16" cm="1">
        <f t="array" ref="AH189">_xll.DCEPropSectPipe(AE189, AF189, "Ix")/10000</f>
        <v>4730.4733077169503</v>
      </c>
      <c r="AI189" s="16" cm="1">
        <f t="array" ref="AI189">_xll.DCEPropSectPipe(AE189, AF189, "Wx")/1000</f>
        <v>346.55482107816493</v>
      </c>
      <c r="AJ189" s="108">
        <f t="shared" si="65"/>
        <v>9.4301739777164251</v>
      </c>
      <c r="AK189" s="80" t="s">
        <v>209</v>
      </c>
      <c r="AL189" s="82">
        <v>3.4067055174708032</v>
      </c>
      <c r="AM189" s="82">
        <v>-1.9974240453078738</v>
      </c>
      <c r="AN189" s="82">
        <v>0.33984824258335528</v>
      </c>
      <c r="AO189" s="82">
        <v>-0.93186388116356034</v>
      </c>
      <c r="AP189" s="82">
        <v>5.4769367322341891</v>
      </c>
      <c r="AQ189" s="82">
        <v>-1.9805861034828603E-2</v>
      </c>
      <c r="AR189" s="72">
        <v>1</v>
      </c>
      <c r="AS189" s="116">
        <f t="shared" si="66"/>
        <v>6</v>
      </c>
      <c r="AT189" s="7">
        <v>2</v>
      </c>
      <c r="AU189" s="6">
        <f t="shared" si="67"/>
        <v>12</v>
      </c>
      <c r="AV189" s="111">
        <f t="shared" si="68"/>
        <v>2.8018666713033138E-3</v>
      </c>
      <c r="AW189" s="117">
        <f t="shared" si="69"/>
        <v>105</v>
      </c>
      <c r="AX189" s="111">
        <f t="shared" si="70"/>
        <v>1</v>
      </c>
      <c r="AY189" s="111">
        <f t="shared" si="71"/>
        <v>1</v>
      </c>
      <c r="AZ189" s="111">
        <f t="shared" si="72"/>
        <v>1</v>
      </c>
      <c r="BA189" s="111">
        <f t="shared" si="73"/>
        <v>2.9493333382140142E-3</v>
      </c>
      <c r="BB189" s="111">
        <f t="shared" si="74"/>
        <v>1.2383259845424016E-2</v>
      </c>
      <c r="BC189" s="111">
        <f t="shared" si="75"/>
        <v>7.2781370845190332E-2</v>
      </c>
      <c r="BD189" s="111">
        <v>0</v>
      </c>
      <c r="BE189" s="111">
        <f t="shared" si="76"/>
        <v>8.8113964028828359E-2</v>
      </c>
      <c r="BF189" s="6" t="str">
        <f t="shared" si="77"/>
        <v>OK</v>
      </c>
      <c r="BG189" s="16">
        <f t="shared" si="78"/>
        <v>63.625549371390676</v>
      </c>
      <c r="BH189" s="118">
        <f t="shared" si="79"/>
        <v>2.1193803644775273</v>
      </c>
      <c r="BI189" s="108">
        <f t="shared" si="80"/>
        <v>4.1986640455238504</v>
      </c>
      <c r="BJ189" s="6">
        <f t="shared" si="81"/>
        <v>1.1230834408511414</v>
      </c>
      <c r="BK189" s="108">
        <f t="shared" si="82"/>
        <v>4.7154500632248997</v>
      </c>
      <c r="BL189" s="118" cm="1">
        <f t="array" ref="BL189">IF(AO189=0,FactorPhi7121(BH189,"a"),noisuy2chieu(BK189,BH189,Data!$A$63:$M$85))</f>
        <v>0</v>
      </c>
      <c r="BM189" s="111">
        <v>1.26</v>
      </c>
      <c r="BN189" s="118">
        <f t="shared" si="83"/>
        <v>0.99874146505738659</v>
      </c>
      <c r="BO189" s="108" t="e">
        <f t="shared" si="84"/>
        <v>#DIV/0!</v>
      </c>
      <c r="BP189" s="6" t="e">
        <f t="shared" si="85"/>
        <v>#DIV/0!</v>
      </c>
      <c r="BQ189" s="16">
        <f t="shared" si="86"/>
        <v>127.25109874278135</v>
      </c>
      <c r="BR189" s="118">
        <f t="shared" si="87"/>
        <v>4.2387607289550546</v>
      </c>
      <c r="BS189" s="108">
        <f t="shared" si="88"/>
        <v>24.677227867794524</v>
      </c>
      <c r="BT189" s="118">
        <f t="shared" si="89"/>
        <v>1.1000000000000001</v>
      </c>
      <c r="BU189" s="108">
        <f t="shared" si="90"/>
        <v>27.144950654573979</v>
      </c>
      <c r="BV189" s="6" cm="1">
        <f t="array" ref="BV189">IF(AP189=0,FactorPhi7121(BR189,"a"),noisuy2chieu(BU189,BR189,Data!$A$63:$M$85))</f>
        <v>0</v>
      </c>
      <c r="BW189" s="111">
        <v>1.26</v>
      </c>
      <c r="BX189" s="111">
        <f t="shared" si="91"/>
        <v>0.99496586022954658</v>
      </c>
      <c r="BY189" s="113" t="e">
        <f t="shared" si="92"/>
        <v>#DIV/0!</v>
      </c>
      <c r="BZ189" s="6" t="e">
        <f t="shared" si="93"/>
        <v>#DIV/0!</v>
      </c>
      <c r="CA189" s="114">
        <f t="shared" si="94"/>
        <v>127.25109874278135</v>
      </c>
      <c r="CB189" s="115" t="e">
        <f t="shared" si="95"/>
        <v>#DIV/0!</v>
      </c>
      <c r="CC189" s="6" t="e">
        <f t="shared" si="96"/>
        <v>#DIV/0!</v>
      </c>
      <c r="DG189" s="108"/>
      <c r="DH189" s="108"/>
      <c r="DI189" s="16"/>
      <c r="DJ189" s="108"/>
      <c r="DT189" s="6"/>
      <c r="DU189" s="6"/>
      <c r="DV189" s="111"/>
      <c r="DW189" s="111"/>
      <c r="DX189" s="111"/>
      <c r="DY189" s="111"/>
      <c r="DZ189" s="111"/>
      <c r="EA189" s="111"/>
      <c r="EB189" s="111"/>
      <c r="EC189" s="111"/>
      <c r="ED189" s="111"/>
      <c r="EE189" s="111"/>
      <c r="EF189" s="6"/>
      <c r="EG189" s="6"/>
      <c r="EH189" s="6"/>
      <c r="EI189" s="6"/>
      <c r="EJ189" s="6"/>
      <c r="EK189" s="6"/>
      <c r="EL189" s="112"/>
      <c r="EM189" s="112"/>
      <c r="EN189" s="118"/>
      <c r="EO189" s="118"/>
      <c r="EP189" s="112"/>
      <c r="EQ189" s="112"/>
      <c r="ER189" s="112"/>
      <c r="ES189" s="112"/>
      <c r="ET189" s="112"/>
      <c r="EU189" s="112"/>
      <c r="EV189" s="6"/>
      <c r="EW189" s="6"/>
      <c r="EX189" s="118"/>
      <c r="EY189" s="113"/>
      <c r="EZ189" s="6"/>
      <c r="FA189" s="114"/>
      <c r="FB189" s="115"/>
      <c r="FC189" s="6"/>
    </row>
    <row r="190" spans="27:159">
      <c r="AA190" s="79" t="s">
        <v>175</v>
      </c>
      <c r="AB190" s="80" t="s">
        <v>196</v>
      </c>
      <c r="AC190" s="81">
        <v>5.48</v>
      </c>
      <c r="AD190" s="81">
        <v>6</v>
      </c>
      <c r="AE190" s="80">
        <v>273</v>
      </c>
      <c r="AF190" s="80">
        <v>6.35</v>
      </c>
      <c r="AG190" s="108" cm="1">
        <f t="array" ref="AG190">_xll.DCEPropSectPipe(AE190, AF190, "Area")/100</f>
        <v>53.19431074856206</v>
      </c>
      <c r="AH190" s="16" cm="1">
        <f t="array" ref="AH190">_xll.DCEPropSectPipe(AE190, AF190, "Ix")/10000</f>
        <v>4730.4733077169503</v>
      </c>
      <c r="AI190" s="16" cm="1">
        <f t="array" ref="AI190">_xll.DCEPropSectPipe(AE190, AF190, "Wx")/1000</f>
        <v>346.55482107816493</v>
      </c>
      <c r="AJ190" s="108">
        <f t="shared" si="65"/>
        <v>9.4301739777164251</v>
      </c>
      <c r="AK190" s="80" t="s">
        <v>209</v>
      </c>
      <c r="AL190" s="82">
        <v>4.7539658662028366</v>
      </c>
      <c r="AM190" s="82">
        <v>-1.9974240453078738</v>
      </c>
      <c r="AN190" s="82">
        <v>0.33984824258335528</v>
      </c>
      <c r="AO190" s="82">
        <v>-1.8637277623271207</v>
      </c>
      <c r="AP190" s="82">
        <v>10.953873464468378</v>
      </c>
      <c r="AQ190" s="82">
        <v>-1.9805861034828603E-2</v>
      </c>
      <c r="AR190" s="72">
        <v>1</v>
      </c>
      <c r="AS190" s="116">
        <f t="shared" si="66"/>
        <v>6</v>
      </c>
      <c r="AT190" s="7">
        <v>2</v>
      </c>
      <c r="AU190" s="6">
        <f t="shared" si="67"/>
        <v>12</v>
      </c>
      <c r="AV190" s="111">
        <f t="shared" si="68"/>
        <v>3.9099295341841868E-3</v>
      </c>
      <c r="AW190" s="117">
        <f t="shared" si="69"/>
        <v>105</v>
      </c>
      <c r="AX190" s="111">
        <f t="shared" si="70"/>
        <v>1</v>
      </c>
      <c r="AY190" s="111">
        <f t="shared" si="71"/>
        <v>1</v>
      </c>
      <c r="AZ190" s="111">
        <f t="shared" si="72"/>
        <v>1</v>
      </c>
      <c r="BA190" s="111">
        <f t="shared" si="73"/>
        <v>4.1157152991412489E-3</v>
      </c>
      <c r="BB190" s="111">
        <f t="shared" si="74"/>
        <v>2.4766519690848032E-2</v>
      </c>
      <c r="BC190" s="111">
        <f t="shared" si="75"/>
        <v>0.14556274169038066</v>
      </c>
      <c r="BD190" s="111">
        <v>0</v>
      </c>
      <c r="BE190" s="111">
        <f t="shared" si="76"/>
        <v>0.17444497668036996</v>
      </c>
      <c r="BF190" s="6" t="str">
        <f t="shared" si="77"/>
        <v>OK</v>
      </c>
      <c r="BG190" s="16">
        <f t="shared" si="78"/>
        <v>63.625549371390676</v>
      </c>
      <c r="BH190" s="118">
        <f t="shared" si="79"/>
        <v>2.1193803644775273</v>
      </c>
      <c r="BI190" s="108">
        <f t="shared" si="80"/>
        <v>6.0175492935615855</v>
      </c>
      <c r="BJ190" s="6">
        <f t="shared" si="81"/>
        <v>1.1000000000000001</v>
      </c>
      <c r="BK190" s="108">
        <f t="shared" si="82"/>
        <v>6.6193042229177443</v>
      </c>
      <c r="BL190" s="118" cm="1">
        <f t="array" ref="BL190">IF(AO190=0,FactorPhi7121(BH190,"a"),noisuy2chieu(BK190,BH190,Data!$A$63:$M$85))</f>
        <v>0</v>
      </c>
      <c r="BM190" s="111">
        <v>1.26</v>
      </c>
      <c r="BN190" s="118">
        <f t="shared" si="83"/>
        <v>0.99824374835807661</v>
      </c>
      <c r="BO190" s="108" t="e">
        <f t="shared" si="84"/>
        <v>#DIV/0!</v>
      </c>
      <c r="BP190" s="6" t="e">
        <f t="shared" si="85"/>
        <v>#DIV/0!</v>
      </c>
      <c r="BQ190" s="16">
        <f t="shared" si="86"/>
        <v>127.25109874278135</v>
      </c>
      <c r="BR190" s="118">
        <f t="shared" si="87"/>
        <v>4.2387607289550546</v>
      </c>
      <c r="BS190" s="108">
        <f t="shared" si="88"/>
        <v>35.367543940843667</v>
      </c>
      <c r="BT190" s="118">
        <f t="shared" si="89"/>
        <v>1.1000000000000001</v>
      </c>
      <c r="BU190" s="108">
        <f t="shared" si="90"/>
        <v>38.904298334928036</v>
      </c>
      <c r="BV190" s="6" cm="1">
        <f t="array" ref="BV190">IF(AP190=0,FactorPhi7121(BR190,"a"),noisuy2chieu(BU190,BR190,Data!$A$63:$M$85))</f>
        <v>0</v>
      </c>
      <c r="BW190" s="111">
        <v>1.26</v>
      </c>
      <c r="BX190" s="111">
        <f t="shared" si="91"/>
        <v>0.99297499343230655</v>
      </c>
      <c r="BY190" s="113" t="e">
        <f t="shared" si="92"/>
        <v>#DIV/0!</v>
      </c>
      <c r="BZ190" s="6" t="e">
        <f t="shared" si="93"/>
        <v>#DIV/0!</v>
      </c>
      <c r="CA190" s="114">
        <f t="shared" si="94"/>
        <v>127.25109874278135</v>
      </c>
      <c r="CB190" s="115" t="e">
        <f t="shared" si="95"/>
        <v>#DIV/0!</v>
      </c>
      <c r="CC190" s="6" t="e">
        <f t="shared" si="96"/>
        <v>#DIV/0!</v>
      </c>
      <c r="DG190" s="108"/>
      <c r="DH190" s="108"/>
      <c r="DI190" s="16"/>
      <c r="DJ190" s="108"/>
      <c r="DT190" s="6"/>
      <c r="DU190" s="6"/>
      <c r="DV190" s="111"/>
      <c r="DW190" s="111"/>
      <c r="DX190" s="111"/>
      <c r="DY190" s="111"/>
      <c r="DZ190" s="111"/>
      <c r="EA190" s="111"/>
      <c r="EB190" s="111"/>
      <c r="EC190" s="111"/>
      <c r="ED190" s="111"/>
      <c r="EE190" s="111"/>
      <c r="EF190" s="6"/>
      <c r="EG190" s="6"/>
      <c r="EH190" s="6"/>
      <c r="EI190" s="6"/>
      <c r="EJ190" s="6"/>
      <c r="EK190" s="6"/>
      <c r="EL190" s="112"/>
      <c r="EM190" s="112"/>
      <c r="EN190" s="118"/>
      <c r="EO190" s="118"/>
      <c r="EP190" s="112"/>
      <c r="EQ190" s="112"/>
      <c r="ER190" s="112"/>
      <c r="ES190" s="112"/>
      <c r="ET190" s="112"/>
      <c r="EU190" s="112"/>
      <c r="EV190" s="6"/>
      <c r="EW190" s="6"/>
      <c r="EX190" s="118"/>
      <c r="EY190" s="113"/>
      <c r="EZ190" s="6"/>
      <c r="FA190" s="114"/>
      <c r="FB190" s="115"/>
      <c r="FC190" s="6"/>
    </row>
    <row r="191" spans="27:159">
      <c r="AA191" s="79" t="s">
        <v>175</v>
      </c>
      <c r="AB191" s="80" t="s">
        <v>196</v>
      </c>
      <c r="AC191" s="81">
        <v>0</v>
      </c>
      <c r="AD191" s="81">
        <v>6</v>
      </c>
      <c r="AE191" s="80">
        <v>273</v>
      </c>
      <c r="AF191" s="80">
        <v>6.35</v>
      </c>
      <c r="AG191" s="108" cm="1">
        <f t="array" ref="AG191">_xll.DCEPropSectPipe(AE191, AF191, "Area")/100</f>
        <v>53.19431074856206</v>
      </c>
      <c r="AH191" s="16" cm="1">
        <f t="array" ref="AH191">_xll.DCEPropSectPipe(AE191, AF191, "Ix")/10000</f>
        <v>4730.4733077169503</v>
      </c>
      <c r="AI191" s="16" cm="1">
        <f t="array" ref="AI191">_xll.DCEPropSectPipe(AE191, AF191, "Wx")/1000</f>
        <v>346.55482107816493</v>
      </c>
      <c r="AJ191" s="108">
        <f t="shared" si="65"/>
        <v>9.4301739777164251</v>
      </c>
      <c r="AK191" s="80" t="s">
        <v>210</v>
      </c>
      <c r="AL191" s="82">
        <v>17.87093244971917</v>
      </c>
      <c r="AM191" s="82">
        <v>-2.062527089195739</v>
      </c>
      <c r="AN191" s="82">
        <v>0.46430285848973596</v>
      </c>
      <c r="AO191" s="82">
        <v>0</v>
      </c>
      <c r="AP191" s="82">
        <v>0</v>
      </c>
      <c r="AQ191" s="82">
        <v>6.9942962831969213E-2</v>
      </c>
      <c r="AR191" s="72">
        <v>1</v>
      </c>
      <c r="AS191" s="116">
        <f t="shared" si="66"/>
        <v>6</v>
      </c>
      <c r="AT191" s="7">
        <v>2</v>
      </c>
      <c r="AU191" s="6">
        <f t="shared" si="67"/>
        <v>12</v>
      </c>
      <c r="AV191" s="111">
        <f t="shared" si="68"/>
        <v>1.4698062324199748E-2</v>
      </c>
      <c r="AW191" s="117">
        <f t="shared" si="69"/>
        <v>105</v>
      </c>
      <c r="AX191" s="111">
        <f t="shared" si="70"/>
        <v>1</v>
      </c>
      <c r="AY191" s="111">
        <f t="shared" si="71"/>
        <v>1</v>
      </c>
      <c r="AZ191" s="111">
        <f t="shared" si="72"/>
        <v>1</v>
      </c>
      <c r="BA191" s="111">
        <f t="shared" si="73"/>
        <v>1.5471644551789209E-2</v>
      </c>
      <c r="BB191" s="111">
        <f t="shared" si="74"/>
        <v>0</v>
      </c>
      <c r="BC191" s="111">
        <f t="shared" si="75"/>
        <v>0</v>
      </c>
      <c r="BD191" s="111">
        <v>0</v>
      </c>
      <c r="BE191" s="111">
        <f t="shared" si="76"/>
        <v>1.5471644551789209E-2</v>
      </c>
      <c r="BF191" s="6" t="str">
        <f t="shared" si="77"/>
        <v>OK</v>
      </c>
      <c r="BG191" s="16">
        <f t="shared" si="78"/>
        <v>63.625549371390676</v>
      </c>
      <c r="BH191" s="118">
        <f t="shared" si="79"/>
        <v>2.1193803644775273</v>
      </c>
      <c r="BI191" s="108">
        <f t="shared" si="80"/>
        <v>0</v>
      </c>
      <c r="BJ191" s="6">
        <f t="shared" si="81"/>
        <v>1.2440309817761237</v>
      </c>
      <c r="BK191" s="108">
        <f t="shared" si="82"/>
        <v>0</v>
      </c>
      <c r="BL191" s="118" cm="1">
        <f t="array" ref="BL191">IF(AO191=0,FactorPhi7121(BH191,"a"),noisuy2chieu(BK191,BH191,Data!$A$63:$M$85))</f>
        <v>0.86214274110469236</v>
      </c>
      <c r="BM191" s="111">
        <v>1.26</v>
      </c>
      <c r="BN191" s="118">
        <f t="shared" si="83"/>
        <v>0.99339796385988999</v>
      </c>
      <c r="BO191" s="108">
        <f t="shared" si="84"/>
        <v>3.6576381290950581E-2</v>
      </c>
      <c r="BP191" s="6" t="str">
        <f t="shared" si="85"/>
        <v>OK</v>
      </c>
      <c r="BQ191" s="16">
        <f t="shared" si="86"/>
        <v>127.25109874278135</v>
      </c>
      <c r="BR191" s="118">
        <f t="shared" si="87"/>
        <v>4.2387607289550546</v>
      </c>
      <c r="BS191" s="108">
        <f t="shared" si="88"/>
        <v>0</v>
      </c>
      <c r="BT191" s="118">
        <f t="shared" si="89"/>
        <v>1.1380619635522473</v>
      </c>
      <c r="BU191" s="108">
        <f t="shared" si="90"/>
        <v>0</v>
      </c>
      <c r="BV191" s="6" cm="1">
        <f t="array" ref="BV191">IF(AP191=0,FactorPhi7121(BR191,"a"),noisuy2chieu(BU191,BR191,Data!$A$63:$M$85))</f>
        <v>0.42299549615688942</v>
      </c>
      <c r="BW191" s="111">
        <v>1.26</v>
      </c>
      <c r="BX191" s="111">
        <f t="shared" si="91"/>
        <v>0.97359185543955973</v>
      </c>
      <c r="BY191" s="113">
        <f t="shared" si="92"/>
        <v>1.7945571903748646E-2</v>
      </c>
      <c r="BZ191" s="6" t="str">
        <f t="shared" si="93"/>
        <v>OK</v>
      </c>
      <c r="CA191" s="114">
        <f t="shared" si="94"/>
        <v>127.25109874278135</v>
      </c>
      <c r="CB191" s="115">
        <f t="shared" si="95"/>
        <v>150</v>
      </c>
      <c r="CC191" s="6" t="str">
        <f t="shared" si="96"/>
        <v>OK</v>
      </c>
      <c r="DG191" s="108"/>
      <c r="DH191" s="108"/>
      <c r="DI191" s="16"/>
      <c r="DJ191" s="108"/>
      <c r="DT191" s="6"/>
      <c r="DU191" s="6"/>
      <c r="DV191" s="111"/>
      <c r="DW191" s="111"/>
      <c r="DX191" s="111"/>
      <c r="DY191" s="111"/>
      <c r="DZ191" s="111"/>
      <c r="EA191" s="111"/>
      <c r="EB191" s="111"/>
      <c r="EC191" s="111"/>
      <c r="ED191" s="111"/>
      <c r="EE191" s="111"/>
      <c r="EF191" s="6"/>
      <c r="EG191" s="6"/>
      <c r="EH191" s="6"/>
      <c r="EI191" s="6"/>
      <c r="EJ191" s="6"/>
      <c r="EK191" s="6"/>
      <c r="EL191" s="112"/>
      <c r="EM191" s="112"/>
      <c r="EN191" s="118"/>
      <c r="EO191" s="118"/>
      <c r="EP191" s="112"/>
      <c r="EQ191" s="112"/>
      <c r="ER191" s="112"/>
      <c r="ES191" s="112"/>
      <c r="ET191" s="112"/>
      <c r="EU191" s="112"/>
      <c r="EV191" s="6"/>
      <c r="EW191" s="6"/>
      <c r="EX191" s="118"/>
      <c r="EY191" s="113"/>
      <c r="EZ191" s="6"/>
      <c r="FA191" s="114"/>
      <c r="FB191" s="115"/>
      <c r="FC191" s="6"/>
    </row>
    <row r="192" spans="27:159">
      <c r="AA192" s="79" t="s">
        <v>175</v>
      </c>
      <c r="AB192" s="80" t="s">
        <v>196</v>
      </c>
      <c r="AC192" s="81">
        <v>2.74</v>
      </c>
      <c r="AD192" s="81">
        <v>6</v>
      </c>
      <c r="AE192" s="80">
        <v>273</v>
      </c>
      <c r="AF192" s="80">
        <v>6.35</v>
      </c>
      <c r="AG192" s="108" cm="1">
        <f t="array" ref="AG192">_xll.DCEPropSectPipe(AE192, AF192, "Area")/100</f>
        <v>53.19431074856206</v>
      </c>
      <c r="AH192" s="16" cm="1">
        <f t="array" ref="AH192">_xll.DCEPropSectPipe(AE192, AF192, "Ix")/10000</f>
        <v>4730.4733077169503</v>
      </c>
      <c r="AI192" s="16" cm="1">
        <f t="array" ref="AI192">_xll.DCEPropSectPipe(AE192, AF192, "Wx")/1000</f>
        <v>346.55482107816493</v>
      </c>
      <c r="AJ192" s="108">
        <f t="shared" si="65"/>
        <v>9.4301739777164251</v>
      </c>
      <c r="AK192" s="80" t="s">
        <v>210</v>
      </c>
      <c r="AL192" s="82">
        <v>19.218192798451199</v>
      </c>
      <c r="AM192" s="82">
        <v>-2.062527089195739</v>
      </c>
      <c r="AN192" s="82">
        <v>0.46430285848973596</v>
      </c>
      <c r="AO192" s="82">
        <v>-1.2731184379788563</v>
      </c>
      <c r="AP192" s="82">
        <v>5.6554492785747144</v>
      </c>
      <c r="AQ192" s="82">
        <v>6.9942962831969213E-2</v>
      </c>
      <c r="AR192" s="72">
        <v>1</v>
      </c>
      <c r="AS192" s="116">
        <f t="shared" si="66"/>
        <v>6</v>
      </c>
      <c r="AT192" s="7">
        <v>2</v>
      </c>
      <c r="AU192" s="6">
        <f t="shared" si="67"/>
        <v>12</v>
      </c>
      <c r="AV192" s="111">
        <f t="shared" si="68"/>
        <v>1.5806125187080619E-2</v>
      </c>
      <c r="AW192" s="117">
        <f t="shared" si="69"/>
        <v>105</v>
      </c>
      <c r="AX192" s="111">
        <f t="shared" si="70"/>
        <v>1</v>
      </c>
      <c r="AY192" s="111">
        <f t="shared" si="71"/>
        <v>1</v>
      </c>
      <c r="AZ192" s="111">
        <f t="shared" si="72"/>
        <v>1</v>
      </c>
      <c r="BA192" s="111">
        <f t="shared" si="73"/>
        <v>1.6638026512716439E-2</v>
      </c>
      <c r="BB192" s="111">
        <f t="shared" si="74"/>
        <v>1.691808937997178E-2</v>
      </c>
      <c r="BC192" s="111">
        <f t="shared" si="75"/>
        <v>7.5153570574879203E-2</v>
      </c>
      <c r="BD192" s="111">
        <v>0</v>
      </c>
      <c r="BE192" s="111">
        <f t="shared" si="76"/>
        <v>0.10870968646756743</v>
      </c>
      <c r="BF192" s="6" t="str">
        <f t="shared" si="77"/>
        <v>OK</v>
      </c>
      <c r="BG192" s="16">
        <f t="shared" si="78"/>
        <v>63.625549371390676</v>
      </c>
      <c r="BH192" s="118">
        <f t="shared" si="79"/>
        <v>2.1193803644775273</v>
      </c>
      <c r="BI192" s="108">
        <f t="shared" si="80"/>
        <v>1.0168326974981852</v>
      </c>
      <c r="BJ192" s="6">
        <f t="shared" si="81"/>
        <v>1.2147398994315781</v>
      </c>
      <c r="BK192" s="108">
        <f t="shared" si="82"/>
        <v>1.2351872486976858</v>
      </c>
      <c r="BL192" s="118" cm="1">
        <f t="array" ref="BL192">IF(AO192=0,FactorPhi7121(BH192,"a"),noisuy2chieu(BK192,BH192,Data!$A$63:$M$85))</f>
        <v>0</v>
      </c>
      <c r="BM192" s="111">
        <v>1.26</v>
      </c>
      <c r="BN192" s="118">
        <f t="shared" si="83"/>
        <v>0.9929002471605799</v>
      </c>
      <c r="BO192" s="108" t="e">
        <f t="shared" si="84"/>
        <v>#DIV/0!</v>
      </c>
      <c r="BP192" s="6" t="e">
        <f t="shared" si="85"/>
        <v>#DIV/0!</v>
      </c>
      <c r="BQ192" s="16">
        <f t="shared" si="86"/>
        <v>127.25109874278135</v>
      </c>
      <c r="BR192" s="118">
        <f t="shared" si="87"/>
        <v>4.2387607289550546</v>
      </c>
      <c r="BS192" s="108">
        <f t="shared" si="88"/>
        <v>4.5169762482010318</v>
      </c>
      <c r="BT192" s="118">
        <f t="shared" si="89"/>
        <v>1.1036769664871684</v>
      </c>
      <c r="BU192" s="108">
        <f t="shared" si="90"/>
        <v>4.9852826433091062</v>
      </c>
      <c r="BV192" s="6" cm="1">
        <f t="array" ref="BV192">IF(AP192=0,FactorPhi7121(BR192,"a"),noisuy2chieu(BU192,BR192,Data!$A$63:$M$85))</f>
        <v>0</v>
      </c>
      <c r="BW192" s="111">
        <v>1.26</v>
      </c>
      <c r="BX192" s="111">
        <f t="shared" si="91"/>
        <v>0.97160098864231981</v>
      </c>
      <c r="BY192" s="113" t="e">
        <f t="shared" si="92"/>
        <v>#DIV/0!</v>
      </c>
      <c r="BZ192" s="6" t="e">
        <f t="shared" si="93"/>
        <v>#DIV/0!</v>
      </c>
      <c r="CA192" s="114">
        <f t="shared" si="94"/>
        <v>127.25109874278135</v>
      </c>
      <c r="CB192" s="115" t="e">
        <f t="shared" si="95"/>
        <v>#DIV/0!</v>
      </c>
      <c r="CC192" s="6" t="e">
        <f t="shared" si="96"/>
        <v>#DIV/0!</v>
      </c>
      <c r="DG192" s="108"/>
      <c r="DH192" s="108"/>
      <c r="DI192" s="16"/>
      <c r="DJ192" s="108"/>
      <c r="DT192" s="6"/>
      <c r="DU192" s="6"/>
      <c r="DV192" s="111"/>
      <c r="DW192" s="111"/>
      <c r="DX192" s="111"/>
      <c r="DY192" s="111"/>
      <c r="DZ192" s="111"/>
      <c r="EA192" s="111"/>
      <c r="EB192" s="111"/>
      <c r="EC192" s="111"/>
      <c r="ED192" s="111"/>
      <c r="EE192" s="111"/>
      <c r="EF192" s="6"/>
      <c r="EG192" s="6"/>
      <c r="EH192" s="6"/>
      <c r="EI192" s="6"/>
      <c r="EJ192" s="6"/>
      <c r="EK192" s="6"/>
      <c r="EL192" s="112"/>
      <c r="EM192" s="112"/>
      <c r="EN192" s="118"/>
      <c r="EO192" s="118"/>
      <c r="EP192" s="112"/>
      <c r="EQ192" s="112"/>
      <c r="ER192" s="112"/>
      <c r="ES192" s="112"/>
      <c r="ET192" s="112"/>
      <c r="EU192" s="112"/>
      <c r="EV192" s="6"/>
      <c r="EW192" s="6"/>
      <c r="EX192" s="118"/>
      <c r="EY192" s="113"/>
      <c r="EZ192" s="6"/>
      <c r="FA192" s="114"/>
      <c r="FB192" s="115"/>
      <c r="FC192" s="6"/>
    </row>
    <row r="193" spans="27:159">
      <c r="AA193" s="79" t="s">
        <v>175</v>
      </c>
      <c r="AB193" s="80" t="s">
        <v>196</v>
      </c>
      <c r="AC193" s="81">
        <v>5.48</v>
      </c>
      <c r="AD193" s="81">
        <v>6</v>
      </c>
      <c r="AE193" s="80">
        <v>273</v>
      </c>
      <c r="AF193" s="80">
        <v>6.35</v>
      </c>
      <c r="AG193" s="108" cm="1">
        <f t="array" ref="AG193">_xll.DCEPropSectPipe(AE193, AF193, "Area")/100</f>
        <v>53.19431074856206</v>
      </c>
      <c r="AH193" s="16" cm="1">
        <f t="array" ref="AH193">_xll.DCEPropSectPipe(AE193, AF193, "Ix")/10000</f>
        <v>4730.4733077169503</v>
      </c>
      <c r="AI193" s="16" cm="1">
        <f t="array" ref="AI193">_xll.DCEPropSectPipe(AE193, AF193, "Wx")/1000</f>
        <v>346.55482107816493</v>
      </c>
      <c r="AJ193" s="108">
        <f t="shared" si="65"/>
        <v>9.4301739777164251</v>
      </c>
      <c r="AK193" s="80" t="s">
        <v>210</v>
      </c>
      <c r="AL193" s="82">
        <v>20.565453147183234</v>
      </c>
      <c r="AM193" s="82">
        <v>-2.062527089195739</v>
      </c>
      <c r="AN193" s="82">
        <v>0.46430285848973596</v>
      </c>
      <c r="AO193" s="82">
        <v>-2.5462368759577125</v>
      </c>
      <c r="AP193" s="82">
        <v>11.310898557149429</v>
      </c>
      <c r="AQ193" s="82">
        <v>6.9942962831969213E-2</v>
      </c>
      <c r="AR193" s="72">
        <v>1</v>
      </c>
      <c r="AS193" s="116">
        <f t="shared" si="66"/>
        <v>6</v>
      </c>
      <c r="AT193" s="7">
        <v>2</v>
      </c>
      <c r="AU193" s="6">
        <f t="shared" si="67"/>
        <v>12</v>
      </c>
      <c r="AV193" s="111">
        <f t="shared" si="68"/>
        <v>1.6914188049961493E-2</v>
      </c>
      <c r="AW193" s="117">
        <f t="shared" si="69"/>
        <v>105</v>
      </c>
      <c r="AX193" s="111">
        <f t="shared" si="70"/>
        <v>1</v>
      </c>
      <c r="AY193" s="111">
        <f t="shared" si="71"/>
        <v>1</v>
      </c>
      <c r="AZ193" s="111">
        <f t="shared" si="72"/>
        <v>1</v>
      </c>
      <c r="BA193" s="111">
        <f t="shared" si="73"/>
        <v>1.7804408473643677E-2</v>
      </c>
      <c r="BB193" s="111">
        <f t="shared" si="74"/>
        <v>3.3836178759943561E-2</v>
      </c>
      <c r="BC193" s="111">
        <f t="shared" si="75"/>
        <v>0.15030714114975841</v>
      </c>
      <c r="BD193" s="111">
        <v>0</v>
      </c>
      <c r="BE193" s="111">
        <f t="shared" si="76"/>
        <v>0.20194772838334563</v>
      </c>
      <c r="BF193" s="6" t="str">
        <f t="shared" si="77"/>
        <v>OK</v>
      </c>
      <c r="BG193" s="16">
        <f t="shared" si="78"/>
        <v>63.625549371390676</v>
      </c>
      <c r="BH193" s="118">
        <f t="shared" si="79"/>
        <v>2.1193803644775273</v>
      </c>
      <c r="BI193" s="108">
        <f t="shared" si="80"/>
        <v>1.9004382431481575</v>
      </c>
      <c r="BJ193" s="6">
        <f t="shared" si="81"/>
        <v>1.1892865845830196</v>
      </c>
      <c r="BK193" s="108">
        <f t="shared" si="82"/>
        <v>2.2601657074046262</v>
      </c>
      <c r="BL193" s="118" cm="1">
        <f t="array" ref="BL193">IF(AO193=0,FactorPhi7121(BH193,"a"),noisuy2chieu(BK193,BH193,Data!$A$63:$M$85))</f>
        <v>0</v>
      </c>
      <c r="BM193" s="111">
        <v>1.26</v>
      </c>
      <c r="BN193" s="118">
        <f t="shared" si="83"/>
        <v>0.99240253046126992</v>
      </c>
      <c r="BO193" s="108" t="e">
        <f t="shared" si="84"/>
        <v>#DIV/0!</v>
      </c>
      <c r="BP193" s="6" t="e">
        <f t="shared" si="85"/>
        <v>#DIV/0!</v>
      </c>
      <c r="BQ193" s="16">
        <f t="shared" si="86"/>
        <v>127.25109874278135</v>
      </c>
      <c r="BR193" s="118">
        <f t="shared" si="87"/>
        <v>4.2387607289550546</v>
      </c>
      <c r="BS193" s="108">
        <f t="shared" si="88"/>
        <v>8.4421305752596005</v>
      </c>
      <c r="BT193" s="118">
        <f t="shared" si="89"/>
        <v>1.1000000000000001</v>
      </c>
      <c r="BU193" s="108">
        <f t="shared" si="90"/>
        <v>9.2863436327855613</v>
      </c>
      <c r="BV193" s="6" cm="1">
        <f t="array" ref="BV193">IF(AP193=0,FactorPhi7121(BR193,"a"),noisuy2chieu(BU193,BR193,Data!$A$63:$M$85))</f>
        <v>0</v>
      </c>
      <c r="BW193" s="111">
        <v>1.26</v>
      </c>
      <c r="BX193" s="111">
        <f t="shared" si="91"/>
        <v>0.96961012184507978</v>
      </c>
      <c r="BY193" s="113" t="e">
        <f t="shared" si="92"/>
        <v>#DIV/0!</v>
      </c>
      <c r="BZ193" s="6" t="e">
        <f t="shared" si="93"/>
        <v>#DIV/0!</v>
      </c>
      <c r="CA193" s="114">
        <f t="shared" si="94"/>
        <v>127.25109874278135</v>
      </c>
      <c r="CB193" s="115" t="e">
        <f t="shared" si="95"/>
        <v>#DIV/0!</v>
      </c>
      <c r="CC193" s="6" t="e">
        <f t="shared" si="96"/>
        <v>#DIV/0!</v>
      </c>
      <c r="DG193" s="108"/>
      <c r="DH193" s="108"/>
      <c r="DI193" s="16"/>
      <c r="DJ193" s="108"/>
      <c r="DT193" s="6"/>
      <c r="DU193" s="6"/>
      <c r="DV193" s="111"/>
      <c r="DW193" s="111"/>
      <c r="DX193" s="111"/>
      <c r="DY193" s="111"/>
      <c r="DZ193" s="111"/>
      <c r="EA193" s="111"/>
      <c r="EB193" s="111"/>
      <c r="EC193" s="111"/>
      <c r="ED193" s="111"/>
      <c r="EE193" s="111"/>
      <c r="EF193" s="6"/>
      <c r="EG193" s="6"/>
      <c r="EH193" s="6"/>
      <c r="EI193" s="6"/>
      <c r="EJ193" s="6"/>
      <c r="EK193" s="6"/>
      <c r="EL193" s="112"/>
      <c r="EM193" s="112"/>
      <c r="EN193" s="118"/>
      <c r="EO193" s="118"/>
      <c r="EP193" s="112"/>
      <c r="EQ193" s="112"/>
      <c r="ER193" s="112"/>
      <c r="ES193" s="112"/>
      <c r="ET193" s="112"/>
      <c r="EU193" s="112"/>
      <c r="EV193" s="6"/>
      <c r="EW193" s="6"/>
      <c r="EX193" s="118"/>
      <c r="EY193" s="113"/>
      <c r="EZ193" s="6"/>
      <c r="FA193" s="114"/>
      <c r="FB193" s="115"/>
      <c r="FC193" s="6"/>
    </row>
    <row r="194" spans="27:159">
      <c r="AA194" s="79" t="s">
        <v>175</v>
      </c>
      <c r="AB194" s="80" t="s">
        <v>196</v>
      </c>
      <c r="AC194" s="81">
        <v>0</v>
      </c>
      <c r="AD194" s="81">
        <v>6</v>
      </c>
      <c r="AE194" s="80">
        <v>273</v>
      </c>
      <c r="AF194" s="80">
        <v>6.35</v>
      </c>
      <c r="AG194" s="108" cm="1">
        <f t="array" ref="AG194">_xll.DCEPropSectPipe(AE194, AF194, "Area")/100</f>
        <v>53.19431074856206</v>
      </c>
      <c r="AH194" s="16" cm="1">
        <f t="array" ref="AH194">_xll.DCEPropSectPipe(AE194, AF194, "Ix")/10000</f>
        <v>4730.4733077169503</v>
      </c>
      <c r="AI194" s="16" cm="1">
        <f t="array" ref="AI194">_xll.DCEPropSectPipe(AE194, AF194, "Wx")/1000</f>
        <v>346.55482107816493</v>
      </c>
      <c r="AJ194" s="108">
        <f t="shared" si="65"/>
        <v>9.4301739777164251</v>
      </c>
      <c r="AK194" s="80" t="s">
        <v>211</v>
      </c>
      <c r="AL194" s="82">
        <v>-71.499428101869697</v>
      </c>
      <c r="AM194" s="82">
        <v>9.4358963676282315</v>
      </c>
      <c r="AN194" s="82">
        <v>-1.8309263111190504</v>
      </c>
      <c r="AO194" s="82">
        <v>0</v>
      </c>
      <c r="AP194" s="82">
        <v>0</v>
      </c>
      <c r="AQ194" s="82">
        <v>-7.4099259190040054E-2</v>
      </c>
      <c r="AR194" s="72">
        <v>1</v>
      </c>
      <c r="AS194" s="116">
        <f t="shared" si="66"/>
        <v>6</v>
      </c>
      <c r="AT194" s="7">
        <v>2</v>
      </c>
      <c r="AU194" s="6">
        <f t="shared" si="67"/>
        <v>12</v>
      </c>
      <c r="AV194" s="111">
        <f t="shared" si="68"/>
        <v>5.8805160466175566E-2</v>
      </c>
      <c r="AW194" s="117">
        <f t="shared" si="69"/>
        <v>105</v>
      </c>
      <c r="AX194" s="111">
        <f t="shared" si="70"/>
        <v>1</v>
      </c>
      <c r="AY194" s="111">
        <f t="shared" si="71"/>
        <v>1</v>
      </c>
      <c r="AZ194" s="111">
        <f t="shared" si="72"/>
        <v>1</v>
      </c>
      <c r="BA194" s="111">
        <f t="shared" si="73"/>
        <v>6.1900168911763753E-2</v>
      </c>
      <c r="BB194" s="111">
        <f t="shared" si="74"/>
        <v>0</v>
      </c>
      <c r="BC194" s="111">
        <f t="shared" si="75"/>
        <v>0</v>
      </c>
      <c r="BD194" s="111">
        <v>0</v>
      </c>
      <c r="BE194" s="111">
        <f t="shared" si="76"/>
        <v>6.1900168911763753E-2</v>
      </c>
      <c r="BF194" s="6" t="str">
        <f t="shared" si="77"/>
        <v>OK</v>
      </c>
      <c r="BG194" s="16">
        <f t="shared" si="78"/>
        <v>63.625549371390676</v>
      </c>
      <c r="BH194" s="118">
        <f t="shared" si="79"/>
        <v>2.1193803644775273</v>
      </c>
      <c r="BI194" s="108">
        <f t="shared" si="80"/>
        <v>0</v>
      </c>
      <c r="BJ194" s="6">
        <f t="shared" si="81"/>
        <v>1.2440309817761237</v>
      </c>
      <c r="BK194" s="108">
        <f t="shared" si="82"/>
        <v>0</v>
      </c>
      <c r="BL194" s="118" cm="1">
        <f t="array" ref="BL194">IF(AO194=0,FactorPhi7121(BH194,"a"),noisuy2chieu(BK194,BH194,Data!$A$63:$M$85))</f>
        <v>0.86214274110469236</v>
      </c>
      <c r="BM194" s="111">
        <v>1.26</v>
      </c>
      <c r="BN194" s="118">
        <f t="shared" si="83"/>
        <v>0.97358605603519233</v>
      </c>
      <c r="BO194" s="108">
        <f t="shared" si="84"/>
        <v>0.14633765483121108</v>
      </c>
      <c r="BP194" s="6" t="str">
        <f t="shared" si="85"/>
        <v>OK</v>
      </c>
      <c r="BQ194" s="16">
        <f t="shared" si="86"/>
        <v>127.25109874278135</v>
      </c>
      <c r="BR194" s="118">
        <f t="shared" si="87"/>
        <v>4.2387607289550546</v>
      </c>
      <c r="BS194" s="108">
        <f t="shared" si="88"/>
        <v>0</v>
      </c>
      <c r="BT194" s="118">
        <f t="shared" si="89"/>
        <v>1.1380619635522473</v>
      </c>
      <c r="BU194" s="108">
        <f t="shared" si="90"/>
        <v>0</v>
      </c>
      <c r="BV194" s="6" cm="1">
        <f t="array" ref="BV194">IF(AP194=0,FactorPhi7121(BR194,"a"),noisuy2chieu(BU194,BR194,Data!$A$63:$M$85))</f>
        <v>0.42299549615688942</v>
      </c>
      <c r="BW194" s="111">
        <v>1.26</v>
      </c>
      <c r="BX194" s="111">
        <f t="shared" si="91"/>
        <v>0.89434422414076942</v>
      </c>
      <c r="BY194" s="113">
        <f t="shared" si="92"/>
        <v>7.1798051483271785E-2</v>
      </c>
      <c r="BZ194" s="6" t="str">
        <f t="shared" si="93"/>
        <v>OK</v>
      </c>
      <c r="CA194" s="114">
        <f t="shared" si="94"/>
        <v>127.25109874278135</v>
      </c>
      <c r="CB194" s="115">
        <f t="shared" si="95"/>
        <v>150</v>
      </c>
      <c r="CC194" s="6" t="str">
        <f t="shared" si="96"/>
        <v>OK</v>
      </c>
      <c r="DG194" s="108"/>
      <c r="DH194" s="108"/>
      <c r="DI194" s="16"/>
      <c r="DJ194" s="108"/>
      <c r="DT194" s="6"/>
      <c r="DU194" s="6"/>
      <c r="DV194" s="111"/>
      <c r="DW194" s="111"/>
      <c r="DX194" s="111"/>
      <c r="DY194" s="111"/>
      <c r="DZ194" s="111"/>
      <c r="EA194" s="111"/>
      <c r="EB194" s="111"/>
      <c r="EC194" s="111"/>
      <c r="ED194" s="111"/>
      <c r="EE194" s="111"/>
      <c r="EF194" s="6"/>
      <c r="EG194" s="6"/>
      <c r="EH194" s="6"/>
      <c r="EI194" s="6"/>
      <c r="EJ194" s="6"/>
      <c r="EK194" s="6"/>
      <c r="EL194" s="112"/>
      <c r="EM194" s="112"/>
      <c r="EN194" s="118"/>
      <c r="EO194" s="118"/>
      <c r="EP194" s="112"/>
      <c r="EQ194" s="112"/>
      <c r="ER194" s="112"/>
      <c r="ES194" s="112"/>
      <c r="ET194" s="112"/>
      <c r="EU194" s="112"/>
      <c r="EV194" s="6"/>
      <c r="EW194" s="6"/>
      <c r="EX194" s="118"/>
      <c r="EY194" s="113"/>
      <c r="EZ194" s="6"/>
      <c r="FA194" s="114"/>
      <c r="FB194" s="115"/>
      <c r="FC194" s="6"/>
    </row>
    <row r="195" spans="27:159">
      <c r="AA195" s="79" t="s">
        <v>175</v>
      </c>
      <c r="AB195" s="80" t="s">
        <v>196</v>
      </c>
      <c r="AC195" s="81">
        <v>2.74</v>
      </c>
      <c r="AD195" s="81">
        <v>6</v>
      </c>
      <c r="AE195" s="80">
        <v>273</v>
      </c>
      <c r="AF195" s="80">
        <v>6.35</v>
      </c>
      <c r="AG195" s="108" cm="1">
        <f t="array" ref="AG195">_xll.DCEPropSectPipe(AE195, AF195, "Area")/100</f>
        <v>53.19431074856206</v>
      </c>
      <c r="AH195" s="16" cm="1">
        <f t="array" ref="AH195">_xll.DCEPropSectPipe(AE195, AF195, "Ix")/10000</f>
        <v>4730.4733077169503</v>
      </c>
      <c r="AI195" s="16" cm="1">
        <f t="array" ref="AI195">_xll.DCEPropSectPipe(AE195, AF195, "Wx")/1000</f>
        <v>346.55482107816493</v>
      </c>
      <c r="AJ195" s="108">
        <f t="shared" si="65"/>
        <v>9.4301739777164251</v>
      </c>
      <c r="AK195" s="80" t="s">
        <v>211</v>
      </c>
      <c r="AL195" s="82">
        <v>-70.152167753137661</v>
      </c>
      <c r="AM195" s="82">
        <v>9.4358963676282315</v>
      </c>
      <c r="AN195" s="82">
        <v>-1.8309263111190504</v>
      </c>
      <c r="AO195" s="82">
        <v>5.0203999450884353</v>
      </c>
      <c r="AP195" s="82">
        <v>-25.873227840036609</v>
      </c>
      <c r="AQ195" s="82">
        <v>-7.4099259190040054E-2</v>
      </c>
      <c r="AR195" s="72">
        <v>1</v>
      </c>
      <c r="AS195" s="116">
        <f t="shared" si="66"/>
        <v>6</v>
      </c>
      <c r="AT195" s="7">
        <v>2</v>
      </c>
      <c r="AU195" s="6">
        <f t="shared" si="67"/>
        <v>12</v>
      </c>
      <c r="AV195" s="111">
        <f t="shared" si="68"/>
        <v>5.7697097603294695E-2</v>
      </c>
      <c r="AW195" s="117">
        <f t="shared" si="69"/>
        <v>105</v>
      </c>
      <c r="AX195" s="111">
        <f t="shared" si="70"/>
        <v>1</v>
      </c>
      <c r="AY195" s="111">
        <f t="shared" si="71"/>
        <v>1</v>
      </c>
      <c r="AZ195" s="111">
        <f t="shared" si="72"/>
        <v>1</v>
      </c>
      <c r="BA195" s="111">
        <f t="shared" si="73"/>
        <v>6.0733786950836519E-2</v>
      </c>
      <c r="BB195" s="111">
        <f t="shared" si="74"/>
        <v>6.6714590300845339E-2</v>
      </c>
      <c r="BC195" s="111">
        <f t="shared" si="75"/>
        <v>0.34382157078883124</v>
      </c>
      <c r="BD195" s="111">
        <v>0</v>
      </c>
      <c r="BE195" s="111">
        <f t="shared" si="76"/>
        <v>0.47126994804051309</v>
      </c>
      <c r="BF195" s="6" t="str">
        <f t="shared" si="77"/>
        <v>OK</v>
      </c>
      <c r="BG195" s="16">
        <f t="shared" si="78"/>
        <v>63.625549371390676</v>
      </c>
      <c r="BH195" s="118">
        <f t="shared" si="79"/>
        <v>2.1193803644775273</v>
      </c>
      <c r="BI195" s="108">
        <f t="shared" si="80"/>
        <v>1.0984757192047028</v>
      </c>
      <c r="BJ195" s="6">
        <f t="shared" si="81"/>
        <v>1.2123880745172664</v>
      </c>
      <c r="BK195" s="108">
        <f t="shared" si="82"/>
        <v>1.3317788621105591</v>
      </c>
      <c r="BL195" s="118" cm="1">
        <f t="array" ref="BL195">IF(AO195=0,FactorPhi7121(BH195,"a"),noisuy2chieu(BK195,BH195,Data!$A$63:$M$85))</f>
        <v>0</v>
      </c>
      <c r="BM195" s="111">
        <v>1.26</v>
      </c>
      <c r="BN195" s="118">
        <f t="shared" si="83"/>
        <v>0.97408377273450231</v>
      </c>
      <c r="BO195" s="108" t="e">
        <f t="shared" si="84"/>
        <v>#DIV/0!</v>
      </c>
      <c r="BP195" s="6" t="e">
        <f t="shared" si="85"/>
        <v>#DIV/0!</v>
      </c>
      <c r="BQ195" s="16">
        <f t="shared" si="86"/>
        <v>127.25109874278135</v>
      </c>
      <c r="BR195" s="118">
        <f t="shared" si="87"/>
        <v>4.2387607289550546</v>
      </c>
      <c r="BS195" s="108">
        <f t="shared" si="88"/>
        <v>5.661125183370368</v>
      </c>
      <c r="BT195" s="118">
        <f t="shared" si="89"/>
        <v>1.1000000000000001</v>
      </c>
      <c r="BU195" s="108">
        <f t="shared" si="90"/>
        <v>6.2272377017074056</v>
      </c>
      <c r="BV195" s="6" cm="1">
        <f t="array" ref="BV195">IF(AP195=0,FactorPhi7121(BR195,"a"),noisuy2chieu(BU195,BR195,Data!$A$63:$M$85))</f>
        <v>0</v>
      </c>
      <c r="BW195" s="111">
        <v>1.26</v>
      </c>
      <c r="BX195" s="111">
        <f t="shared" si="91"/>
        <v>0.89633509093800934</v>
      </c>
      <c r="BY195" s="113" t="e">
        <f t="shared" si="92"/>
        <v>#DIV/0!</v>
      </c>
      <c r="BZ195" s="6" t="e">
        <f t="shared" si="93"/>
        <v>#DIV/0!</v>
      </c>
      <c r="CA195" s="114">
        <f t="shared" si="94"/>
        <v>127.25109874278135</v>
      </c>
      <c r="CB195" s="115" t="e">
        <f t="shared" si="95"/>
        <v>#DIV/0!</v>
      </c>
      <c r="CC195" s="6" t="e">
        <f t="shared" si="96"/>
        <v>#DIV/0!</v>
      </c>
      <c r="DG195" s="108"/>
      <c r="DH195" s="108"/>
      <c r="DI195" s="16"/>
      <c r="DJ195" s="108"/>
      <c r="DT195" s="6"/>
      <c r="DU195" s="6"/>
      <c r="DV195" s="111"/>
      <c r="DW195" s="111"/>
      <c r="DX195" s="111"/>
      <c r="DY195" s="111"/>
      <c r="DZ195" s="111"/>
      <c r="EA195" s="111"/>
      <c r="EB195" s="111"/>
      <c r="EC195" s="111"/>
      <c r="ED195" s="111"/>
      <c r="EE195" s="111"/>
      <c r="EF195" s="6"/>
      <c r="EG195" s="6"/>
      <c r="EH195" s="6"/>
      <c r="EI195" s="6"/>
      <c r="EJ195" s="6"/>
      <c r="EK195" s="6"/>
      <c r="EL195" s="112"/>
      <c r="EM195" s="112"/>
      <c r="EN195" s="118"/>
      <c r="EO195" s="118"/>
      <c r="EP195" s="112"/>
      <c r="EQ195" s="112"/>
      <c r="ER195" s="112"/>
      <c r="ES195" s="112"/>
      <c r="ET195" s="112"/>
      <c r="EU195" s="112"/>
      <c r="EV195" s="6"/>
      <c r="EW195" s="6"/>
      <c r="EX195" s="118"/>
      <c r="EY195" s="113"/>
      <c r="EZ195" s="6"/>
      <c r="FA195" s="114"/>
      <c r="FB195" s="115"/>
      <c r="FC195" s="6"/>
    </row>
    <row r="196" spans="27:159">
      <c r="AA196" s="79" t="s">
        <v>175</v>
      </c>
      <c r="AB196" s="80" t="s">
        <v>196</v>
      </c>
      <c r="AC196" s="81">
        <v>5.48</v>
      </c>
      <c r="AD196" s="81">
        <v>6</v>
      </c>
      <c r="AE196" s="80">
        <v>273</v>
      </c>
      <c r="AF196" s="80">
        <v>6.35</v>
      </c>
      <c r="AG196" s="108" cm="1">
        <f t="array" ref="AG196">_xll.DCEPropSectPipe(AE196, AF196, "Area")/100</f>
        <v>53.19431074856206</v>
      </c>
      <c r="AH196" s="16" cm="1">
        <f t="array" ref="AH196">_xll.DCEPropSectPipe(AE196, AF196, "Ix")/10000</f>
        <v>4730.4733077169503</v>
      </c>
      <c r="AI196" s="16" cm="1">
        <f t="array" ref="AI196">_xll.DCEPropSectPipe(AE196, AF196, "Wx")/1000</f>
        <v>346.55482107816493</v>
      </c>
      <c r="AJ196" s="108">
        <f t="shared" si="65"/>
        <v>9.4301739777164251</v>
      </c>
      <c r="AK196" s="80" t="s">
        <v>211</v>
      </c>
      <c r="AL196" s="82">
        <v>-68.80490740440564</v>
      </c>
      <c r="AM196" s="82">
        <v>9.4358963676282315</v>
      </c>
      <c r="AN196" s="82">
        <v>-1.8309263111190504</v>
      </c>
      <c r="AO196" s="82">
        <v>10.040799890176871</v>
      </c>
      <c r="AP196" s="82">
        <v>-51.746455680073218</v>
      </c>
      <c r="AQ196" s="82">
        <v>-7.4099259190040054E-2</v>
      </c>
      <c r="AR196" s="72">
        <v>1</v>
      </c>
      <c r="AS196" s="116">
        <f t="shared" si="66"/>
        <v>6</v>
      </c>
      <c r="AT196" s="7">
        <v>2</v>
      </c>
      <c r="AU196" s="6">
        <f t="shared" si="67"/>
        <v>12</v>
      </c>
      <c r="AV196" s="111">
        <f t="shared" si="68"/>
        <v>5.6589034740413824E-2</v>
      </c>
      <c r="AW196" s="117">
        <f t="shared" si="69"/>
        <v>105</v>
      </c>
      <c r="AX196" s="111">
        <f t="shared" si="70"/>
        <v>1</v>
      </c>
      <c r="AY196" s="111">
        <f t="shared" si="71"/>
        <v>1</v>
      </c>
      <c r="AZ196" s="111">
        <f t="shared" si="72"/>
        <v>1</v>
      </c>
      <c r="BA196" s="111">
        <f t="shared" si="73"/>
        <v>5.9567404989909298E-2</v>
      </c>
      <c r="BB196" s="111">
        <f t="shared" si="74"/>
        <v>0.13342918060169068</v>
      </c>
      <c r="BC196" s="111">
        <f t="shared" si="75"/>
        <v>0.68764314157766249</v>
      </c>
      <c r="BD196" s="111">
        <v>0</v>
      </c>
      <c r="BE196" s="111">
        <f t="shared" si="76"/>
        <v>0.88063972716926253</v>
      </c>
      <c r="BF196" s="6" t="str">
        <f t="shared" si="77"/>
        <v>OK</v>
      </c>
      <c r="BG196" s="16">
        <f t="shared" si="78"/>
        <v>63.625549371390676</v>
      </c>
      <c r="BH196" s="118">
        <f t="shared" si="79"/>
        <v>2.1193803644775273</v>
      </c>
      <c r="BI196" s="108">
        <f t="shared" si="80"/>
        <v>2.2399696717406701</v>
      </c>
      <c r="BJ196" s="6">
        <f t="shared" si="81"/>
        <v>1.1795059755822137</v>
      </c>
      <c r="BK196" s="108">
        <f t="shared" si="82"/>
        <v>2.6420576129410502</v>
      </c>
      <c r="BL196" s="118" cm="1">
        <f t="array" ref="BL196">IF(AO196=0,FactorPhi7121(BH196,"a"),noisuy2chieu(BK196,BH196,Data!$A$63:$M$85))</f>
        <v>0</v>
      </c>
      <c r="BM196" s="111">
        <v>1.26</v>
      </c>
      <c r="BN196" s="118">
        <f t="shared" si="83"/>
        <v>0.97458148943381229</v>
      </c>
      <c r="BO196" s="108" t="e">
        <f t="shared" si="84"/>
        <v>#DIV/0!</v>
      </c>
      <c r="BP196" s="6" t="e">
        <f t="shared" si="85"/>
        <v>#DIV/0!</v>
      </c>
      <c r="BQ196" s="16">
        <f t="shared" si="86"/>
        <v>127.25109874278135</v>
      </c>
      <c r="BR196" s="118">
        <f t="shared" si="87"/>
        <v>4.2387607289550546</v>
      </c>
      <c r="BS196" s="108">
        <f t="shared" si="88"/>
        <v>11.543949945345934</v>
      </c>
      <c r="BT196" s="118">
        <f t="shared" si="89"/>
        <v>1.1000000000000001</v>
      </c>
      <c r="BU196" s="108">
        <f t="shared" si="90"/>
        <v>12.698344939880529</v>
      </c>
      <c r="BV196" s="6" cm="1">
        <f t="array" ref="BV196">IF(AP196=0,FactorPhi7121(BR196,"a"),noisuy2chieu(BU196,BR196,Data!$A$63:$M$85))</f>
        <v>0</v>
      </c>
      <c r="BW196" s="111">
        <v>1.26</v>
      </c>
      <c r="BX196" s="111">
        <f t="shared" si="91"/>
        <v>0.89832595773524937</v>
      </c>
      <c r="BY196" s="113" t="e">
        <f t="shared" si="92"/>
        <v>#DIV/0!</v>
      </c>
      <c r="BZ196" s="6" t="e">
        <f t="shared" si="93"/>
        <v>#DIV/0!</v>
      </c>
      <c r="CA196" s="114">
        <f t="shared" si="94"/>
        <v>127.25109874278135</v>
      </c>
      <c r="CB196" s="115" t="e">
        <f t="shared" si="95"/>
        <v>#DIV/0!</v>
      </c>
      <c r="CC196" s="6" t="e">
        <f t="shared" si="96"/>
        <v>#DIV/0!</v>
      </c>
      <c r="DG196" s="108"/>
      <c r="DH196" s="108"/>
      <c r="DI196" s="16"/>
      <c r="DJ196" s="108"/>
      <c r="DT196" s="6"/>
      <c r="DU196" s="6"/>
      <c r="DV196" s="111"/>
      <c r="DW196" s="111"/>
      <c r="DX196" s="111"/>
      <c r="DY196" s="111"/>
      <c r="DZ196" s="111"/>
      <c r="EA196" s="111"/>
      <c r="EB196" s="111"/>
      <c r="EC196" s="111"/>
      <c r="ED196" s="111"/>
      <c r="EE196" s="111"/>
      <c r="EF196" s="6"/>
      <c r="EG196" s="6"/>
      <c r="EH196" s="6"/>
      <c r="EI196" s="6"/>
      <c r="EJ196" s="6"/>
      <c r="EK196" s="6"/>
      <c r="EL196" s="112"/>
      <c r="EM196" s="112"/>
      <c r="EN196" s="118"/>
      <c r="EO196" s="118"/>
      <c r="EP196" s="112"/>
      <c r="EQ196" s="112"/>
      <c r="ER196" s="112"/>
      <c r="ES196" s="112"/>
      <c r="ET196" s="112"/>
      <c r="EU196" s="112"/>
      <c r="EV196" s="6"/>
      <c r="EW196" s="6"/>
      <c r="EX196" s="118"/>
      <c r="EY196" s="113"/>
      <c r="EZ196" s="6"/>
      <c r="FA196" s="114"/>
      <c r="FB196" s="115"/>
      <c r="FC196" s="6"/>
    </row>
    <row r="197" spans="27:159">
      <c r="AA197" s="79" t="s">
        <v>175</v>
      </c>
      <c r="AB197" s="80" t="s">
        <v>196</v>
      </c>
      <c r="AC197" s="81">
        <v>0</v>
      </c>
      <c r="AD197" s="81">
        <v>6</v>
      </c>
      <c r="AE197" s="80">
        <v>273</v>
      </c>
      <c r="AF197" s="80">
        <v>6.35</v>
      </c>
      <c r="AG197" s="108" cm="1">
        <f t="array" ref="AG197">_xll.DCEPropSectPipe(AE197, AF197, "Area")/100</f>
        <v>53.19431074856206</v>
      </c>
      <c r="AH197" s="16" cm="1">
        <f t="array" ref="AH197">_xll.DCEPropSectPipe(AE197, AF197, "Ix")/10000</f>
        <v>4730.4733077169503</v>
      </c>
      <c r="AI197" s="16" cm="1">
        <f t="array" ref="AI197">_xll.DCEPropSectPipe(AE197, AF197, "Wx")/1000</f>
        <v>346.55482107816493</v>
      </c>
      <c r="AJ197" s="108">
        <f t="shared" si="65"/>
        <v>9.4301739777164251</v>
      </c>
      <c r="AK197" s="80" t="s">
        <v>212</v>
      </c>
      <c r="AL197" s="82">
        <v>-84.436099513580885</v>
      </c>
      <c r="AM197" s="82">
        <v>9.4891624944455746</v>
      </c>
      <c r="AN197" s="82">
        <v>-1.9327528150424524</v>
      </c>
      <c r="AO197" s="82">
        <v>0</v>
      </c>
      <c r="AP197" s="82">
        <v>0</v>
      </c>
      <c r="AQ197" s="82">
        <v>-0.14753011508105765</v>
      </c>
      <c r="AR197" s="72">
        <v>1</v>
      </c>
      <c r="AS197" s="116">
        <f t="shared" si="66"/>
        <v>6</v>
      </c>
      <c r="AT197" s="7">
        <v>2</v>
      </c>
      <c r="AU197" s="6">
        <f t="shared" si="67"/>
        <v>12</v>
      </c>
      <c r="AV197" s="111">
        <f t="shared" si="68"/>
        <v>6.9445008342720591E-2</v>
      </c>
      <c r="AW197" s="117">
        <f t="shared" si="69"/>
        <v>105</v>
      </c>
      <c r="AX197" s="111">
        <f t="shared" si="70"/>
        <v>1</v>
      </c>
      <c r="AY197" s="111">
        <f t="shared" si="71"/>
        <v>1</v>
      </c>
      <c r="AZ197" s="111">
        <f t="shared" si="72"/>
        <v>1</v>
      </c>
      <c r="BA197" s="111">
        <f t="shared" si="73"/>
        <v>7.3100008781811165E-2</v>
      </c>
      <c r="BB197" s="111">
        <f t="shared" si="74"/>
        <v>0</v>
      </c>
      <c r="BC197" s="111">
        <f t="shared" si="75"/>
        <v>0</v>
      </c>
      <c r="BD197" s="111">
        <v>0</v>
      </c>
      <c r="BE197" s="111">
        <f t="shared" si="76"/>
        <v>7.3100008781811165E-2</v>
      </c>
      <c r="BF197" s="6" t="str">
        <f t="shared" si="77"/>
        <v>OK</v>
      </c>
      <c r="BG197" s="16">
        <f t="shared" si="78"/>
        <v>63.625549371390676</v>
      </c>
      <c r="BH197" s="118">
        <f t="shared" si="79"/>
        <v>2.1193803644775273</v>
      </c>
      <c r="BI197" s="108">
        <f t="shared" si="80"/>
        <v>0</v>
      </c>
      <c r="BJ197" s="6">
        <f t="shared" si="81"/>
        <v>1.2440309817761237</v>
      </c>
      <c r="BK197" s="108">
        <f t="shared" si="82"/>
        <v>0</v>
      </c>
      <c r="BL197" s="118" cm="1">
        <f t="array" ref="BL197">IF(AO197=0,FactorPhi7121(BH197,"a"),noisuy2chieu(BK197,BH197,Data!$A$63:$M$85))</f>
        <v>0.86214274110469236</v>
      </c>
      <c r="BM197" s="111">
        <v>1.26</v>
      </c>
      <c r="BN197" s="118">
        <f t="shared" si="83"/>
        <v>0.96880687775598684</v>
      </c>
      <c r="BO197" s="108">
        <f t="shared" si="84"/>
        <v>0.17281509956006316</v>
      </c>
      <c r="BP197" s="6" t="str">
        <f t="shared" si="85"/>
        <v>OK</v>
      </c>
      <c r="BQ197" s="16">
        <f t="shared" si="86"/>
        <v>127.25109874278135</v>
      </c>
      <c r="BR197" s="118">
        <f t="shared" si="87"/>
        <v>4.2387607289550546</v>
      </c>
      <c r="BS197" s="108">
        <f t="shared" si="88"/>
        <v>0</v>
      </c>
      <c r="BT197" s="118">
        <f t="shared" si="89"/>
        <v>1.1380619635522473</v>
      </c>
      <c r="BU197" s="108">
        <f t="shared" si="90"/>
        <v>0</v>
      </c>
      <c r="BV197" s="6" cm="1">
        <f t="array" ref="BV197">IF(AP197=0,FactorPhi7121(BR197,"a"),noisuy2chieu(BU197,BR197,Data!$A$63:$M$85))</f>
        <v>0.42299549615688942</v>
      </c>
      <c r="BW197" s="111">
        <v>1.26</v>
      </c>
      <c r="BX197" s="111">
        <f t="shared" si="91"/>
        <v>0.87522751102394747</v>
      </c>
      <c r="BY197" s="113">
        <f t="shared" si="92"/>
        <v>8.4788753992344326E-2</v>
      </c>
      <c r="BZ197" s="6" t="str">
        <f t="shared" si="93"/>
        <v>OK</v>
      </c>
      <c r="CA197" s="114">
        <f t="shared" si="94"/>
        <v>127.25109874278135</v>
      </c>
      <c r="CB197" s="115">
        <f t="shared" si="95"/>
        <v>150</v>
      </c>
      <c r="CC197" s="6" t="str">
        <f t="shared" si="96"/>
        <v>OK</v>
      </c>
      <c r="DG197" s="108"/>
      <c r="DH197" s="108"/>
      <c r="DI197" s="16"/>
      <c r="DJ197" s="108"/>
      <c r="DT197" s="6"/>
      <c r="DU197" s="6"/>
      <c r="DV197" s="111"/>
      <c r="DW197" s="111"/>
      <c r="DX197" s="111"/>
      <c r="DY197" s="111"/>
      <c r="DZ197" s="111"/>
      <c r="EA197" s="111"/>
      <c r="EB197" s="111"/>
      <c r="EC197" s="111"/>
      <c r="ED197" s="111"/>
      <c r="EE197" s="111"/>
      <c r="EF197" s="6"/>
      <c r="EG197" s="6"/>
      <c r="EH197" s="6"/>
      <c r="EI197" s="6"/>
      <c r="EJ197" s="6"/>
      <c r="EK197" s="6"/>
      <c r="EL197" s="112"/>
      <c r="EM197" s="112"/>
      <c r="EN197" s="118"/>
      <c r="EO197" s="118"/>
      <c r="EP197" s="112"/>
      <c r="EQ197" s="112"/>
      <c r="ER197" s="112"/>
      <c r="ES197" s="112"/>
      <c r="ET197" s="112"/>
      <c r="EU197" s="112"/>
      <c r="EV197" s="6"/>
      <c r="EW197" s="6"/>
      <c r="EX197" s="118"/>
      <c r="EY197" s="113"/>
      <c r="EZ197" s="6"/>
      <c r="FA197" s="114"/>
      <c r="FB197" s="115"/>
      <c r="FC197" s="6"/>
    </row>
    <row r="198" spans="27:159">
      <c r="AA198" s="79" t="s">
        <v>175</v>
      </c>
      <c r="AB198" s="80" t="s">
        <v>196</v>
      </c>
      <c r="AC198" s="81">
        <v>2.74</v>
      </c>
      <c r="AD198" s="81">
        <v>6</v>
      </c>
      <c r="AE198" s="80">
        <v>273</v>
      </c>
      <c r="AF198" s="80">
        <v>6.35</v>
      </c>
      <c r="AG198" s="108" cm="1">
        <f t="array" ref="AG198">_xll.DCEPropSectPipe(AE198, AF198, "Area")/100</f>
        <v>53.19431074856206</v>
      </c>
      <c r="AH198" s="16" cm="1">
        <f t="array" ref="AH198">_xll.DCEPropSectPipe(AE198, AF198, "Ix")/10000</f>
        <v>4730.4733077169503</v>
      </c>
      <c r="AI198" s="16" cm="1">
        <f t="array" ref="AI198">_xll.DCEPropSectPipe(AE198, AF198, "Wx")/1000</f>
        <v>346.55482107816493</v>
      </c>
      <c r="AJ198" s="108">
        <f t="shared" si="65"/>
        <v>9.4301739777164251</v>
      </c>
      <c r="AK198" s="80" t="s">
        <v>212</v>
      </c>
      <c r="AL198" s="82">
        <v>-83.088839164848864</v>
      </c>
      <c r="AM198" s="82">
        <v>9.4891624944455746</v>
      </c>
      <c r="AN198" s="82">
        <v>-1.9327528150424524</v>
      </c>
      <c r="AO198" s="82">
        <v>5.2996082188464033</v>
      </c>
      <c r="AP198" s="82">
        <v>-26.019283559769764</v>
      </c>
      <c r="AQ198" s="82">
        <v>-0.14753011508105765</v>
      </c>
      <c r="AR198" s="72">
        <v>1</v>
      </c>
      <c r="AS198" s="116">
        <f t="shared" si="66"/>
        <v>6</v>
      </c>
      <c r="AT198" s="7">
        <v>2</v>
      </c>
      <c r="AU198" s="6">
        <f t="shared" si="67"/>
        <v>12</v>
      </c>
      <c r="AV198" s="111">
        <f t="shared" si="68"/>
        <v>6.8336945479839734E-2</v>
      </c>
      <c r="AW198" s="117">
        <f t="shared" si="69"/>
        <v>105</v>
      </c>
      <c r="AX198" s="111">
        <f t="shared" si="70"/>
        <v>1</v>
      </c>
      <c r="AY198" s="111">
        <f t="shared" si="71"/>
        <v>1</v>
      </c>
      <c r="AZ198" s="111">
        <f t="shared" si="72"/>
        <v>1</v>
      </c>
      <c r="BA198" s="111">
        <f t="shared" si="73"/>
        <v>7.1933626820883931E-2</v>
      </c>
      <c r="BB198" s="111">
        <f t="shared" si="74"/>
        <v>7.0424905374566207E-2</v>
      </c>
      <c r="BC198" s="111">
        <f t="shared" si="75"/>
        <v>0.34576246147675849</v>
      </c>
      <c r="BD198" s="111">
        <v>0</v>
      </c>
      <c r="BE198" s="111">
        <f t="shared" si="76"/>
        <v>0.48812099367220863</v>
      </c>
      <c r="BF198" s="6" t="str">
        <f t="shared" si="77"/>
        <v>OK</v>
      </c>
      <c r="BG198" s="16">
        <f t="shared" si="78"/>
        <v>63.625549371390676</v>
      </c>
      <c r="BH198" s="118">
        <f t="shared" si="79"/>
        <v>2.1193803644775273</v>
      </c>
      <c r="BI198" s="108">
        <f t="shared" si="80"/>
        <v>0.97902620077707947</v>
      </c>
      <c r="BJ198" s="6">
        <f t="shared" si="81"/>
        <v>1.2158289607996295</v>
      </c>
      <c r="BK198" s="108">
        <f t="shared" si="82"/>
        <v>1.1903284082864061</v>
      </c>
      <c r="BL198" s="118" cm="1">
        <f t="array" ref="BL198">IF(AO198=0,FactorPhi7121(BH198,"a"),noisuy2chieu(BK198,BH198,Data!$A$63:$M$85))</f>
        <v>0</v>
      </c>
      <c r="BM198" s="111">
        <v>1.26</v>
      </c>
      <c r="BN198" s="118">
        <f t="shared" si="83"/>
        <v>0.96930459445529693</v>
      </c>
      <c r="BO198" s="108" t="e">
        <f t="shared" si="84"/>
        <v>#DIV/0!</v>
      </c>
      <c r="BP198" s="6" t="e">
        <f t="shared" si="85"/>
        <v>#DIV/0!</v>
      </c>
      <c r="BQ198" s="16">
        <f t="shared" si="86"/>
        <v>127.25109874278135</v>
      </c>
      <c r="BR198" s="118">
        <f t="shared" si="87"/>
        <v>4.2387607289550546</v>
      </c>
      <c r="BS198" s="108">
        <f t="shared" si="88"/>
        <v>4.8066874528336161</v>
      </c>
      <c r="BT198" s="118">
        <f t="shared" si="89"/>
        <v>1.1014715710248879</v>
      </c>
      <c r="BU198" s="108">
        <f t="shared" si="90"/>
        <v>5.2944295800982601</v>
      </c>
      <c r="BV198" s="6" cm="1">
        <f t="array" ref="BV198">IF(AP198=0,FactorPhi7121(BR198,"a"),noisuy2chieu(BU198,BR198,Data!$A$63:$M$85))</f>
        <v>0</v>
      </c>
      <c r="BW198" s="111">
        <v>1.26</v>
      </c>
      <c r="BX198" s="111">
        <f t="shared" si="91"/>
        <v>0.8772183778211875</v>
      </c>
      <c r="BY198" s="113" t="e">
        <f t="shared" si="92"/>
        <v>#DIV/0!</v>
      </c>
      <c r="BZ198" s="6" t="e">
        <f t="shared" si="93"/>
        <v>#DIV/0!</v>
      </c>
      <c r="CA198" s="114">
        <f t="shared" si="94"/>
        <v>127.25109874278135</v>
      </c>
      <c r="CB198" s="115" t="e">
        <f t="shared" si="95"/>
        <v>#DIV/0!</v>
      </c>
      <c r="CC198" s="6" t="e">
        <f t="shared" si="96"/>
        <v>#DIV/0!</v>
      </c>
      <c r="DG198" s="108"/>
      <c r="DH198" s="108"/>
      <c r="DI198" s="16"/>
      <c r="DJ198" s="108"/>
      <c r="DT198" s="6"/>
      <c r="DU198" s="6"/>
      <c r="DV198" s="111"/>
      <c r="DW198" s="111"/>
      <c r="DX198" s="111"/>
      <c r="DY198" s="111"/>
      <c r="DZ198" s="111"/>
      <c r="EA198" s="111"/>
      <c r="EB198" s="111"/>
      <c r="EC198" s="111"/>
      <c r="ED198" s="111"/>
      <c r="EE198" s="111"/>
      <c r="EF198" s="6"/>
      <c r="EG198" s="6"/>
      <c r="EH198" s="6"/>
      <c r="EI198" s="6"/>
      <c r="EJ198" s="6"/>
      <c r="EK198" s="6"/>
      <c r="EL198" s="112"/>
      <c r="EM198" s="112"/>
      <c r="EN198" s="118"/>
      <c r="EO198" s="118"/>
      <c r="EP198" s="112"/>
      <c r="EQ198" s="112"/>
      <c r="ER198" s="112"/>
      <c r="ES198" s="112"/>
      <c r="ET198" s="112"/>
      <c r="EU198" s="112"/>
      <c r="EV198" s="6"/>
      <c r="EW198" s="6"/>
      <c r="EX198" s="118"/>
      <c r="EY198" s="113"/>
      <c r="EZ198" s="6"/>
      <c r="FA198" s="114"/>
      <c r="FB198" s="115"/>
      <c r="FC198" s="6"/>
    </row>
    <row r="199" spans="27:159">
      <c r="AA199" s="79" t="s">
        <v>175</v>
      </c>
      <c r="AB199" s="80" t="s">
        <v>196</v>
      </c>
      <c r="AC199" s="81">
        <v>5.48</v>
      </c>
      <c r="AD199" s="81">
        <v>6</v>
      </c>
      <c r="AE199" s="80">
        <v>273</v>
      </c>
      <c r="AF199" s="80">
        <v>6.35</v>
      </c>
      <c r="AG199" s="108" cm="1">
        <f t="array" ref="AG199">_xll.DCEPropSectPipe(AE199, AF199, "Area")/100</f>
        <v>53.19431074856206</v>
      </c>
      <c r="AH199" s="16" cm="1">
        <f t="array" ref="AH199">_xll.DCEPropSectPipe(AE199, AF199, "Ix")/10000</f>
        <v>4730.4733077169503</v>
      </c>
      <c r="AI199" s="16" cm="1">
        <f t="array" ref="AI199">_xll.DCEPropSectPipe(AE199, AF199, "Wx")/1000</f>
        <v>346.55482107816493</v>
      </c>
      <c r="AJ199" s="108">
        <f t="shared" si="65"/>
        <v>9.4301739777164251</v>
      </c>
      <c r="AK199" s="80" t="s">
        <v>212</v>
      </c>
      <c r="AL199" s="82">
        <v>-81.741578816116828</v>
      </c>
      <c r="AM199" s="82">
        <v>9.4891624944455746</v>
      </c>
      <c r="AN199" s="82">
        <v>-1.9327528150424524</v>
      </c>
      <c r="AO199" s="82">
        <v>10.599216437692807</v>
      </c>
      <c r="AP199" s="82">
        <v>-52.038567119539529</v>
      </c>
      <c r="AQ199" s="82">
        <v>-0.14753011508105765</v>
      </c>
      <c r="AR199" s="72">
        <v>1</v>
      </c>
      <c r="AS199" s="116">
        <f t="shared" si="66"/>
        <v>6</v>
      </c>
      <c r="AT199" s="7">
        <v>2</v>
      </c>
      <c r="AU199" s="6">
        <f t="shared" si="67"/>
        <v>12</v>
      </c>
      <c r="AV199" s="111">
        <f t="shared" si="68"/>
        <v>6.7228882616958863E-2</v>
      </c>
      <c r="AW199" s="117">
        <f t="shared" si="69"/>
        <v>105</v>
      </c>
      <c r="AX199" s="111">
        <f t="shared" si="70"/>
        <v>1</v>
      </c>
      <c r="AY199" s="111">
        <f t="shared" si="71"/>
        <v>1</v>
      </c>
      <c r="AZ199" s="111">
        <f t="shared" si="72"/>
        <v>1</v>
      </c>
      <c r="BA199" s="111">
        <f t="shared" si="73"/>
        <v>7.0767244859956696E-2</v>
      </c>
      <c r="BB199" s="111">
        <f t="shared" si="74"/>
        <v>0.14084981074913241</v>
      </c>
      <c r="BC199" s="111">
        <f t="shared" si="75"/>
        <v>0.69152492295351697</v>
      </c>
      <c r="BD199" s="111">
        <v>0</v>
      </c>
      <c r="BE199" s="111">
        <f t="shared" si="76"/>
        <v>0.90314197856260603</v>
      </c>
      <c r="BF199" s="6" t="str">
        <f t="shared" si="77"/>
        <v>OK</v>
      </c>
      <c r="BG199" s="16">
        <f t="shared" si="78"/>
        <v>63.625549371390676</v>
      </c>
      <c r="BH199" s="118">
        <f t="shared" si="79"/>
        <v>2.1193803644775273</v>
      </c>
      <c r="BI199" s="108">
        <f t="shared" si="80"/>
        <v>1.9903249169564834</v>
      </c>
      <c r="BJ199" s="6">
        <f t="shared" si="81"/>
        <v>1.1866972914075788</v>
      </c>
      <c r="BK199" s="108">
        <f t="shared" si="82"/>
        <v>2.3619131879732733</v>
      </c>
      <c r="BL199" s="118" cm="1">
        <f t="array" ref="BL199">IF(AO199=0,FactorPhi7121(BH199,"a"),noisuy2chieu(BK199,BH199,Data!$A$63:$M$85))</f>
        <v>0</v>
      </c>
      <c r="BM199" s="111">
        <v>1.26</v>
      </c>
      <c r="BN199" s="118">
        <f t="shared" si="83"/>
        <v>0.96980231115460691</v>
      </c>
      <c r="BO199" s="108" t="e">
        <f t="shared" si="84"/>
        <v>#DIV/0!</v>
      </c>
      <c r="BP199" s="6" t="e">
        <f t="shared" si="85"/>
        <v>#DIV/0!</v>
      </c>
      <c r="BQ199" s="16">
        <f t="shared" si="86"/>
        <v>127.25109874278135</v>
      </c>
      <c r="BR199" s="118">
        <f t="shared" si="87"/>
        <v>4.2387607289550546</v>
      </c>
      <c r="BS199" s="108">
        <f t="shared" si="88"/>
        <v>9.771822038882469</v>
      </c>
      <c r="BT199" s="118">
        <f t="shared" si="89"/>
        <v>1.1000000000000001</v>
      </c>
      <c r="BU199" s="108">
        <f t="shared" si="90"/>
        <v>10.749004242770717</v>
      </c>
      <c r="BV199" s="6" cm="1">
        <f t="array" ref="BV199">IF(AP199=0,FactorPhi7121(BR199,"a"),noisuy2chieu(BU199,BR199,Data!$A$63:$M$85))</f>
        <v>0</v>
      </c>
      <c r="BW199" s="111">
        <v>1.26</v>
      </c>
      <c r="BX199" s="111">
        <f t="shared" si="91"/>
        <v>0.87920924461842753</v>
      </c>
      <c r="BY199" s="113" t="e">
        <f t="shared" si="92"/>
        <v>#DIV/0!</v>
      </c>
      <c r="BZ199" s="6" t="e">
        <f t="shared" si="93"/>
        <v>#DIV/0!</v>
      </c>
      <c r="CA199" s="114">
        <f t="shared" si="94"/>
        <v>127.25109874278135</v>
      </c>
      <c r="CB199" s="115" t="e">
        <f t="shared" si="95"/>
        <v>#DIV/0!</v>
      </c>
      <c r="CC199" s="6" t="e">
        <f t="shared" si="96"/>
        <v>#DIV/0!</v>
      </c>
      <c r="DG199" s="108"/>
      <c r="DH199" s="108"/>
      <c r="DI199" s="16"/>
      <c r="DJ199" s="108"/>
      <c r="DT199" s="6"/>
      <c r="DU199" s="6"/>
      <c r="DV199" s="111"/>
      <c r="DW199" s="111"/>
      <c r="DX199" s="111"/>
      <c r="DY199" s="111"/>
      <c r="DZ199" s="111"/>
      <c r="EA199" s="111"/>
      <c r="EB199" s="111"/>
      <c r="EC199" s="111"/>
      <c r="ED199" s="111"/>
      <c r="EE199" s="111"/>
      <c r="EF199" s="6"/>
      <c r="EG199" s="6"/>
      <c r="EH199" s="6"/>
      <c r="EI199" s="6"/>
      <c r="EJ199" s="6"/>
      <c r="EK199" s="6"/>
      <c r="EL199" s="112"/>
      <c r="EM199" s="112"/>
      <c r="EN199" s="118"/>
      <c r="EO199" s="118"/>
      <c r="EP199" s="112"/>
      <c r="EQ199" s="112"/>
      <c r="ER199" s="112"/>
      <c r="ES199" s="112"/>
      <c r="ET199" s="112"/>
      <c r="EU199" s="112"/>
      <c r="EV199" s="6"/>
      <c r="EW199" s="6"/>
      <c r="EX199" s="118"/>
      <c r="EY199" s="113"/>
      <c r="EZ199" s="6"/>
      <c r="FA199" s="114"/>
      <c r="FB199" s="115"/>
      <c r="FC199" s="6"/>
    </row>
    <row r="200" spans="27:159">
      <c r="AA200" s="79" t="s">
        <v>175</v>
      </c>
      <c r="AB200" s="80" t="s">
        <v>196</v>
      </c>
      <c r="AC200" s="81">
        <v>0</v>
      </c>
      <c r="AD200" s="81">
        <v>6</v>
      </c>
      <c r="AE200" s="80">
        <v>273</v>
      </c>
      <c r="AF200" s="80">
        <v>6.35</v>
      </c>
      <c r="AG200" s="108" cm="1">
        <f t="array" ref="AG200">_xll.DCEPropSectPipe(AE200, AF200, "Area")/100</f>
        <v>53.19431074856206</v>
      </c>
      <c r="AH200" s="16" cm="1">
        <f t="array" ref="AH200">_xll.DCEPropSectPipe(AE200, AF200, "Ix")/10000</f>
        <v>4730.4733077169503</v>
      </c>
      <c r="AI200" s="16" cm="1">
        <f t="array" ref="AI200">_xll.DCEPropSectPipe(AE200, AF200, "Wx")/1000</f>
        <v>346.55482107816493</v>
      </c>
      <c r="AJ200" s="108">
        <f t="shared" si="65"/>
        <v>9.4301739777164251</v>
      </c>
      <c r="AK200" s="80" t="s">
        <v>213</v>
      </c>
      <c r="AL200" s="82">
        <v>-19.761389662849883</v>
      </c>
      <c r="AM200" s="82">
        <v>0.95454663610761992</v>
      </c>
      <c r="AN200" s="82">
        <v>-0.24122352390794249</v>
      </c>
      <c r="AO200" s="82">
        <v>0</v>
      </c>
      <c r="AP200" s="82">
        <v>0</v>
      </c>
      <c r="AQ200" s="82">
        <v>-5.0259945248941749E-2</v>
      </c>
      <c r="AR200" s="72">
        <v>1</v>
      </c>
      <c r="AS200" s="116">
        <f t="shared" si="66"/>
        <v>6</v>
      </c>
      <c r="AT200" s="7">
        <v>2</v>
      </c>
      <c r="AU200" s="6">
        <f t="shared" si="67"/>
        <v>12</v>
      </c>
      <c r="AV200" s="111">
        <f t="shared" si="68"/>
        <v>1.6252880911198819E-2</v>
      </c>
      <c r="AW200" s="117">
        <f t="shared" si="69"/>
        <v>105</v>
      </c>
      <c r="AX200" s="111">
        <f t="shared" si="70"/>
        <v>1</v>
      </c>
      <c r="AY200" s="111">
        <f t="shared" si="71"/>
        <v>1</v>
      </c>
      <c r="AZ200" s="111">
        <f t="shared" si="72"/>
        <v>1</v>
      </c>
      <c r="BA200" s="111">
        <f t="shared" si="73"/>
        <v>1.7108295695998758E-2</v>
      </c>
      <c r="BB200" s="111">
        <f t="shared" si="74"/>
        <v>0</v>
      </c>
      <c r="BC200" s="111">
        <f t="shared" si="75"/>
        <v>0</v>
      </c>
      <c r="BD200" s="111">
        <v>0</v>
      </c>
      <c r="BE200" s="111">
        <f t="shared" si="76"/>
        <v>1.7108295695998758E-2</v>
      </c>
      <c r="BF200" s="6" t="str">
        <f t="shared" si="77"/>
        <v>OK</v>
      </c>
      <c r="BG200" s="16">
        <f t="shared" si="78"/>
        <v>63.625549371390676</v>
      </c>
      <c r="BH200" s="118">
        <f t="shared" si="79"/>
        <v>2.1193803644775273</v>
      </c>
      <c r="BI200" s="108">
        <f t="shared" si="80"/>
        <v>0</v>
      </c>
      <c r="BJ200" s="6">
        <f t="shared" si="81"/>
        <v>1.2440309817761237</v>
      </c>
      <c r="BK200" s="108">
        <f t="shared" si="82"/>
        <v>0</v>
      </c>
      <c r="BL200" s="118" cm="1">
        <f t="array" ref="BL200">IF(AO200=0,FactorPhi7121(BH200,"a"),noisuy2chieu(BK200,BH200,Data!$A$63:$M$85))</f>
        <v>0.86214274110469236</v>
      </c>
      <c r="BM200" s="111">
        <v>1.26</v>
      </c>
      <c r="BN200" s="118">
        <f t="shared" si="83"/>
        <v>0.99269957462488301</v>
      </c>
      <c r="BO200" s="108">
        <f t="shared" si="84"/>
        <v>4.0445574128886885E-2</v>
      </c>
      <c r="BP200" s="6" t="str">
        <f t="shared" si="85"/>
        <v>OK</v>
      </c>
      <c r="BQ200" s="16">
        <f t="shared" si="86"/>
        <v>127.25109874278135</v>
      </c>
      <c r="BR200" s="118">
        <f t="shared" si="87"/>
        <v>4.2387607289550546</v>
      </c>
      <c r="BS200" s="108">
        <f t="shared" si="88"/>
        <v>0</v>
      </c>
      <c r="BT200" s="118">
        <f t="shared" si="89"/>
        <v>1.1380619635522473</v>
      </c>
      <c r="BU200" s="108">
        <f t="shared" si="90"/>
        <v>0</v>
      </c>
      <c r="BV200" s="6" cm="1">
        <f t="array" ref="BV200">IF(AP200=0,FactorPhi7121(BR200,"a"),noisuy2chieu(BU200,BR200,Data!$A$63:$M$85))</f>
        <v>0.42299549615688942</v>
      </c>
      <c r="BW200" s="111">
        <v>1.26</v>
      </c>
      <c r="BX200" s="111">
        <f t="shared" si="91"/>
        <v>0.97079829849953181</v>
      </c>
      <c r="BY200" s="113">
        <f t="shared" si="92"/>
        <v>1.9843924770598112E-2</v>
      </c>
      <c r="BZ200" s="6" t="str">
        <f t="shared" si="93"/>
        <v>OK</v>
      </c>
      <c r="CA200" s="114">
        <f t="shared" si="94"/>
        <v>127.25109874278135</v>
      </c>
      <c r="CB200" s="115">
        <f t="shared" si="95"/>
        <v>150</v>
      </c>
      <c r="CC200" s="6" t="str">
        <f t="shared" si="96"/>
        <v>OK</v>
      </c>
      <c r="DG200" s="108"/>
      <c r="DH200" s="108"/>
      <c r="DI200" s="16"/>
      <c r="DJ200" s="108"/>
      <c r="DT200" s="6"/>
      <c r="DU200" s="6"/>
      <c r="DV200" s="111"/>
      <c r="DW200" s="111"/>
      <c r="DX200" s="111"/>
      <c r="DY200" s="111"/>
      <c r="DZ200" s="111"/>
      <c r="EA200" s="111"/>
      <c r="EB200" s="111"/>
      <c r="EC200" s="111"/>
      <c r="ED200" s="111"/>
      <c r="EE200" s="111"/>
      <c r="EF200" s="6"/>
      <c r="EG200" s="6"/>
      <c r="EH200" s="6"/>
      <c r="EI200" s="6"/>
      <c r="EJ200" s="6"/>
      <c r="EK200" s="6"/>
      <c r="EL200" s="112"/>
      <c r="EM200" s="112"/>
      <c r="EN200" s="118"/>
      <c r="EO200" s="118"/>
      <c r="EP200" s="112"/>
      <c r="EQ200" s="112"/>
      <c r="ER200" s="112"/>
      <c r="ES200" s="112"/>
      <c r="ET200" s="112"/>
      <c r="EU200" s="112"/>
      <c r="EV200" s="6"/>
      <c r="EW200" s="6"/>
      <c r="EX200" s="118"/>
      <c r="EY200" s="113"/>
      <c r="EZ200" s="6"/>
      <c r="FA200" s="114"/>
      <c r="FB200" s="115"/>
      <c r="FC200" s="6"/>
    </row>
    <row r="201" spans="27:159">
      <c r="AA201" s="79" t="s">
        <v>175</v>
      </c>
      <c r="AB201" s="80" t="s">
        <v>196</v>
      </c>
      <c r="AC201" s="81">
        <v>2.74</v>
      </c>
      <c r="AD201" s="81">
        <v>6</v>
      </c>
      <c r="AE201" s="80">
        <v>273</v>
      </c>
      <c r="AF201" s="80">
        <v>6.35</v>
      </c>
      <c r="AG201" s="108" cm="1">
        <f t="array" ref="AG201">_xll.DCEPropSectPipe(AE201, AF201, "Area")/100</f>
        <v>53.19431074856206</v>
      </c>
      <c r="AH201" s="16" cm="1">
        <f t="array" ref="AH201">_xll.DCEPropSectPipe(AE201, AF201, "Ix")/10000</f>
        <v>4730.4733077169503</v>
      </c>
      <c r="AI201" s="16" cm="1">
        <f t="array" ref="AI201">_xll.DCEPropSectPipe(AE201, AF201, "Wx")/1000</f>
        <v>346.55482107816493</v>
      </c>
      <c r="AJ201" s="108">
        <f t="shared" si="65"/>
        <v>9.4301739777164251</v>
      </c>
      <c r="AK201" s="80" t="s">
        <v>213</v>
      </c>
      <c r="AL201" s="82">
        <v>-18.414129314117854</v>
      </c>
      <c r="AM201" s="82">
        <v>0.95454663610761992</v>
      </c>
      <c r="AN201" s="82">
        <v>-0.24122352390794249</v>
      </c>
      <c r="AO201" s="82">
        <v>0.6614349025555778</v>
      </c>
      <c r="AP201" s="82">
        <v>-2.6173668762070941</v>
      </c>
      <c r="AQ201" s="82">
        <v>-5.0259945248941749E-2</v>
      </c>
      <c r="AR201" s="72">
        <v>1</v>
      </c>
      <c r="AS201" s="116">
        <f t="shared" si="66"/>
        <v>6</v>
      </c>
      <c r="AT201" s="7">
        <v>2</v>
      </c>
      <c r="AU201" s="6">
        <f t="shared" si="67"/>
        <v>12</v>
      </c>
      <c r="AV201" s="111">
        <f t="shared" si="68"/>
        <v>1.5144818048317949E-2</v>
      </c>
      <c r="AW201" s="117">
        <f t="shared" si="69"/>
        <v>105</v>
      </c>
      <c r="AX201" s="111">
        <f t="shared" si="70"/>
        <v>1</v>
      </c>
      <c r="AY201" s="111">
        <f t="shared" si="71"/>
        <v>1</v>
      </c>
      <c r="AZ201" s="111">
        <f t="shared" si="72"/>
        <v>1</v>
      </c>
      <c r="BA201" s="111">
        <f t="shared" si="73"/>
        <v>1.5941913735071526E-2</v>
      </c>
      <c r="BB201" s="111">
        <f t="shared" si="74"/>
        <v>8.789610193874229E-3</v>
      </c>
      <c r="BC201" s="111">
        <f t="shared" si="75"/>
        <v>3.4781404016225988E-2</v>
      </c>
      <c r="BD201" s="111">
        <v>0</v>
      </c>
      <c r="BE201" s="111">
        <f t="shared" si="76"/>
        <v>5.951292794517174E-2</v>
      </c>
      <c r="BF201" s="6" t="str">
        <f t="shared" si="77"/>
        <v>OK</v>
      </c>
      <c r="BG201" s="16">
        <f t="shared" si="78"/>
        <v>63.625549371390676</v>
      </c>
      <c r="BH201" s="118">
        <f t="shared" si="79"/>
        <v>2.1193803644775273</v>
      </c>
      <c r="BI201" s="108">
        <f t="shared" si="80"/>
        <v>0.55135226171356477</v>
      </c>
      <c r="BJ201" s="6">
        <f t="shared" si="81"/>
        <v>1.2281486202643055</v>
      </c>
      <c r="BK201" s="108">
        <f t="shared" si="82"/>
        <v>0.67714251950311888</v>
      </c>
      <c r="BL201" s="118" cm="1">
        <f t="array" ref="BL201">IF(AO201=0,FactorPhi7121(BH201,"a"),noisuy2chieu(BK201,BH201,Data!$A$63:$M$85))</f>
        <v>0</v>
      </c>
      <c r="BM201" s="111">
        <v>1.26</v>
      </c>
      <c r="BN201" s="118">
        <f t="shared" si="83"/>
        <v>0.99319729132419299</v>
      </c>
      <c r="BO201" s="108" t="e">
        <f t="shared" si="84"/>
        <v>#DIV/0!</v>
      </c>
      <c r="BP201" s="6" t="e">
        <f t="shared" si="85"/>
        <v>#DIV/0!</v>
      </c>
      <c r="BQ201" s="16">
        <f t="shared" si="86"/>
        <v>127.25109874278135</v>
      </c>
      <c r="BR201" s="118">
        <f t="shared" si="87"/>
        <v>4.2387607289550546</v>
      </c>
      <c r="BS201" s="108">
        <f t="shared" si="88"/>
        <v>2.1817583882484817</v>
      </c>
      <c r="BT201" s="118">
        <f t="shared" si="89"/>
        <v>1.1214535619015826</v>
      </c>
      <c r="BU201" s="108">
        <f t="shared" si="90"/>
        <v>2.4467407157099159</v>
      </c>
      <c r="BV201" s="6" cm="1">
        <f t="array" ref="BV201">IF(AP201=0,FactorPhi7121(BR201,"a"),noisuy2chieu(BU201,BR201,Data!$A$63:$M$85))</f>
        <v>0</v>
      </c>
      <c r="BW201" s="111">
        <v>1.26</v>
      </c>
      <c r="BX201" s="111">
        <f t="shared" si="91"/>
        <v>0.97278916529677184</v>
      </c>
      <c r="BY201" s="113" t="e">
        <f t="shared" si="92"/>
        <v>#DIV/0!</v>
      </c>
      <c r="BZ201" s="6" t="e">
        <f t="shared" si="93"/>
        <v>#DIV/0!</v>
      </c>
      <c r="CA201" s="114">
        <f t="shared" si="94"/>
        <v>127.25109874278135</v>
      </c>
      <c r="CB201" s="115" t="e">
        <f t="shared" si="95"/>
        <v>#DIV/0!</v>
      </c>
      <c r="CC201" s="6" t="e">
        <f t="shared" si="96"/>
        <v>#DIV/0!</v>
      </c>
      <c r="DG201" s="108"/>
      <c r="DH201" s="108"/>
      <c r="DI201" s="16"/>
      <c r="DJ201" s="108"/>
      <c r="DT201" s="6"/>
      <c r="DU201" s="6"/>
      <c r="DV201" s="111"/>
      <c r="DW201" s="111"/>
      <c r="DX201" s="111"/>
      <c r="DY201" s="111"/>
      <c r="DZ201" s="111"/>
      <c r="EA201" s="111"/>
      <c r="EB201" s="111"/>
      <c r="EC201" s="111"/>
      <c r="ED201" s="111"/>
      <c r="EE201" s="111"/>
      <c r="EF201" s="6"/>
      <c r="EG201" s="6"/>
      <c r="EH201" s="6"/>
      <c r="EI201" s="6"/>
      <c r="EJ201" s="6"/>
      <c r="EK201" s="6"/>
      <c r="EL201" s="112"/>
      <c r="EM201" s="112"/>
      <c r="EN201" s="118"/>
      <c r="EO201" s="118"/>
      <c r="EP201" s="112"/>
      <c r="EQ201" s="112"/>
      <c r="ER201" s="112"/>
      <c r="ES201" s="112"/>
      <c r="ET201" s="112"/>
      <c r="EU201" s="112"/>
      <c r="EV201" s="6"/>
      <c r="EW201" s="6"/>
      <c r="EX201" s="118"/>
      <c r="EY201" s="113"/>
      <c r="EZ201" s="6"/>
      <c r="FA201" s="114"/>
      <c r="FB201" s="115"/>
      <c r="FC201" s="6"/>
    </row>
    <row r="202" spans="27:159">
      <c r="AA202" s="79" t="s">
        <v>175</v>
      </c>
      <c r="AB202" s="80" t="s">
        <v>196</v>
      </c>
      <c r="AC202" s="81">
        <v>5.48</v>
      </c>
      <c r="AD202" s="81">
        <v>6</v>
      </c>
      <c r="AE202" s="80">
        <v>273</v>
      </c>
      <c r="AF202" s="80">
        <v>6.35</v>
      </c>
      <c r="AG202" s="108" cm="1">
        <f t="array" ref="AG202">_xll.DCEPropSectPipe(AE202, AF202, "Area")/100</f>
        <v>53.19431074856206</v>
      </c>
      <c r="AH202" s="16" cm="1">
        <f t="array" ref="AH202">_xll.DCEPropSectPipe(AE202, AF202, "Ix")/10000</f>
        <v>4730.4733077169503</v>
      </c>
      <c r="AI202" s="16" cm="1">
        <f t="array" ref="AI202">_xll.DCEPropSectPipe(AE202, AF202, "Wx")/1000</f>
        <v>346.55482107816493</v>
      </c>
      <c r="AJ202" s="108">
        <f t="shared" si="65"/>
        <v>9.4301739777164251</v>
      </c>
      <c r="AK202" s="80" t="s">
        <v>213</v>
      </c>
      <c r="AL202" s="82">
        <v>-17.066868965385815</v>
      </c>
      <c r="AM202" s="82">
        <v>0.95454663610761992</v>
      </c>
      <c r="AN202" s="82">
        <v>-0.24122352390794249</v>
      </c>
      <c r="AO202" s="82">
        <v>1.3228698051111556</v>
      </c>
      <c r="AP202" s="82">
        <v>-5.2347337524141881</v>
      </c>
      <c r="AQ202" s="82">
        <v>-5.0259945248941749E-2</v>
      </c>
      <c r="AR202" s="72">
        <v>1</v>
      </c>
      <c r="AS202" s="116">
        <f t="shared" si="66"/>
        <v>6</v>
      </c>
      <c r="AT202" s="7">
        <v>2</v>
      </c>
      <c r="AU202" s="6">
        <f t="shared" si="67"/>
        <v>12</v>
      </c>
      <c r="AV202" s="111">
        <f t="shared" si="68"/>
        <v>1.4036755185437072E-2</v>
      </c>
      <c r="AW202" s="117">
        <f t="shared" si="69"/>
        <v>105</v>
      </c>
      <c r="AX202" s="111">
        <f t="shared" si="70"/>
        <v>1</v>
      </c>
      <c r="AY202" s="111">
        <f t="shared" si="71"/>
        <v>1</v>
      </c>
      <c r="AZ202" s="111">
        <f t="shared" si="72"/>
        <v>1</v>
      </c>
      <c r="BA202" s="111">
        <f t="shared" si="73"/>
        <v>1.4775531774144288E-2</v>
      </c>
      <c r="BB202" s="111">
        <f t="shared" si="74"/>
        <v>1.7579220387748458E-2</v>
      </c>
      <c r="BC202" s="111">
        <f t="shared" si="75"/>
        <v>6.9562808032451975E-2</v>
      </c>
      <c r="BD202" s="111">
        <v>0</v>
      </c>
      <c r="BE202" s="111">
        <f t="shared" si="76"/>
        <v>0.10191756019434473</v>
      </c>
      <c r="BF202" s="6" t="str">
        <f t="shared" si="77"/>
        <v>OK</v>
      </c>
      <c r="BG202" s="16">
        <f t="shared" si="78"/>
        <v>63.625549371390676</v>
      </c>
      <c r="BH202" s="118">
        <f t="shared" si="79"/>
        <v>2.1193803644775273</v>
      </c>
      <c r="BI202" s="108">
        <f t="shared" si="80"/>
        <v>1.1897521291592597</v>
      </c>
      <c r="BJ202" s="6">
        <f t="shared" si="81"/>
        <v>1.2097587483295154</v>
      </c>
      <c r="BK202" s="108">
        <f t="shared" si="82"/>
        <v>1.4393130465940818</v>
      </c>
      <c r="BL202" s="118" cm="1">
        <f t="array" ref="BL202">IF(AO202=0,FactorPhi7121(BH202,"a"),noisuy2chieu(BK202,BH202,Data!$A$63:$M$85))</f>
        <v>0</v>
      </c>
      <c r="BM202" s="111">
        <v>1.26</v>
      </c>
      <c r="BN202" s="118">
        <f t="shared" si="83"/>
        <v>0.99369500802350297</v>
      </c>
      <c r="BO202" s="108" t="e">
        <f t="shared" si="84"/>
        <v>#DIV/0!</v>
      </c>
      <c r="BP202" s="6" t="e">
        <f t="shared" si="85"/>
        <v>#DIV/0!</v>
      </c>
      <c r="BQ202" s="16">
        <f t="shared" si="86"/>
        <v>127.25109874278135</v>
      </c>
      <c r="BR202" s="118">
        <f t="shared" si="87"/>
        <v>4.2387607289550546</v>
      </c>
      <c r="BS202" s="108">
        <f t="shared" si="88"/>
        <v>4.7079732286982718</v>
      </c>
      <c r="BT202" s="118">
        <f t="shared" si="89"/>
        <v>1.1022230224651135</v>
      </c>
      <c r="BU202" s="108">
        <f t="shared" si="90"/>
        <v>5.1892364818206485</v>
      </c>
      <c r="BV202" s="6" cm="1">
        <f t="array" ref="BV202">IF(AP202=0,FactorPhi7121(BR202,"a"),noisuy2chieu(BU202,BR202,Data!$A$63:$M$85))</f>
        <v>0</v>
      </c>
      <c r="BW202" s="111">
        <v>1.26</v>
      </c>
      <c r="BX202" s="111">
        <f t="shared" si="91"/>
        <v>0.97478003209401187</v>
      </c>
      <c r="BY202" s="113" t="e">
        <f t="shared" si="92"/>
        <v>#DIV/0!</v>
      </c>
      <c r="BZ202" s="6" t="e">
        <f t="shared" si="93"/>
        <v>#DIV/0!</v>
      </c>
      <c r="CA202" s="114">
        <f t="shared" si="94"/>
        <v>127.25109874278135</v>
      </c>
      <c r="CB202" s="115" t="e">
        <f t="shared" si="95"/>
        <v>#DIV/0!</v>
      </c>
      <c r="CC202" s="6" t="e">
        <f t="shared" si="96"/>
        <v>#DIV/0!</v>
      </c>
      <c r="DG202" s="108"/>
      <c r="DH202" s="108"/>
      <c r="DI202" s="16"/>
      <c r="DJ202" s="108"/>
      <c r="DT202" s="6"/>
      <c r="DU202" s="6"/>
      <c r="DV202" s="111"/>
      <c r="DW202" s="111"/>
      <c r="DX202" s="111"/>
      <c r="DY202" s="111"/>
      <c r="DZ202" s="111"/>
      <c r="EA202" s="111"/>
      <c r="EB202" s="111"/>
      <c r="EC202" s="111"/>
      <c r="ED202" s="111"/>
      <c r="EE202" s="111"/>
      <c r="EF202" s="6"/>
      <c r="EG202" s="6"/>
      <c r="EH202" s="6"/>
      <c r="EI202" s="6"/>
      <c r="EJ202" s="6"/>
      <c r="EK202" s="6"/>
      <c r="EL202" s="112"/>
      <c r="EM202" s="112"/>
      <c r="EN202" s="118"/>
      <c r="EO202" s="118"/>
      <c r="EP202" s="112"/>
      <c r="EQ202" s="112"/>
      <c r="ER202" s="112"/>
      <c r="ES202" s="112"/>
      <c r="ET202" s="112"/>
      <c r="EU202" s="112"/>
      <c r="EV202" s="6"/>
      <c r="EW202" s="6"/>
      <c r="EX202" s="118"/>
      <c r="EY202" s="113"/>
      <c r="EZ202" s="6"/>
      <c r="FA202" s="114"/>
      <c r="FB202" s="115"/>
      <c r="FC202" s="6"/>
    </row>
    <row r="203" spans="27:159">
      <c r="AA203" s="79" t="s">
        <v>175</v>
      </c>
      <c r="AB203" s="80" t="s">
        <v>196</v>
      </c>
      <c r="AC203" s="81">
        <v>0</v>
      </c>
      <c r="AD203" s="81">
        <v>6</v>
      </c>
      <c r="AE203" s="80">
        <v>273</v>
      </c>
      <c r="AF203" s="80">
        <v>6.35</v>
      </c>
      <c r="AG203" s="108" cm="1">
        <f t="array" ref="AG203">_xll.DCEPropSectPipe(AE203, AF203, "Area")/100</f>
        <v>53.19431074856206</v>
      </c>
      <c r="AH203" s="16" cm="1">
        <f t="array" ref="AH203">_xll.DCEPropSectPipe(AE203, AF203, "Ix")/10000</f>
        <v>4730.4733077169503</v>
      </c>
      <c r="AI203" s="16" cm="1">
        <f t="array" ref="AI203">_xll.DCEPropSectPipe(AE203, AF203, "Wx")/1000</f>
        <v>346.55482107816493</v>
      </c>
      <c r="AJ203" s="108">
        <f t="shared" si="65"/>
        <v>9.4301739777164251</v>
      </c>
      <c r="AK203" s="80" t="s">
        <v>214</v>
      </c>
      <c r="AL203" s="82">
        <v>-5.5310511099675264</v>
      </c>
      <c r="AM203" s="82">
        <v>0.8959538966085413</v>
      </c>
      <c r="AN203" s="82">
        <v>-0.12921436959219987</v>
      </c>
      <c r="AO203" s="82">
        <v>0</v>
      </c>
      <c r="AP203" s="82">
        <v>0</v>
      </c>
      <c r="AQ203" s="82">
        <v>3.0513996231176278E-2</v>
      </c>
      <c r="AR203" s="72">
        <v>1</v>
      </c>
      <c r="AS203" s="116">
        <f t="shared" si="66"/>
        <v>6</v>
      </c>
      <c r="AT203" s="7">
        <v>2</v>
      </c>
      <c r="AU203" s="6">
        <f t="shared" si="67"/>
        <v>12</v>
      </c>
      <c r="AV203" s="111">
        <f t="shared" si="68"/>
        <v>4.5490482469992448E-3</v>
      </c>
      <c r="AW203" s="117">
        <f t="shared" si="69"/>
        <v>105</v>
      </c>
      <c r="AX203" s="111">
        <f t="shared" si="70"/>
        <v>1</v>
      </c>
      <c r="AY203" s="111">
        <f t="shared" si="71"/>
        <v>1</v>
      </c>
      <c r="AZ203" s="111">
        <f t="shared" si="72"/>
        <v>1</v>
      </c>
      <c r="BA203" s="111">
        <f t="shared" si="73"/>
        <v>4.7884718389465735E-3</v>
      </c>
      <c r="BB203" s="111">
        <f t="shared" si="74"/>
        <v>0</v>
      </c>
      <c r="BC203" s="111">
        <f t="shared" si="75"/>
        <v>0</v>
      </c>
      <c r="BD203" s="111">
        <v>0</v>
      </c>
      <c r="BE203" s="111">
        <f t="shared" si="76"/>
        <v>4.7884718389465735E-3</v>
      </c>
      <c r="BF203" s="6" t="str">
        <f t="shared" si="77"/>
        <v>OK</v>
      </c>
      <c r="BG203" s="16">
        <f t="shared" si="78"/>
        <v>63.625549371390676</v>
      </c>
      <c r="BH203" s="118">
        <f t="shared" si="79"/>
        <v>2.1193803644775273</v>
      </c>
      <c r="BI203" s="108">
        <f t="shared" si="80"/>
        <v>0</v>
      </c>
      <c r="BJ203" s="6">
        <f t="shared" si="81"/>
        <v>1.2440309817761237</v>
      </c>
      <c r="BK203" s="108">
        <f t="shared" si="82"/>
        <v>0</v>
      </c>
      <c r="BL203" s="118" cm="1">
        <f t="array" ref="BL203">IF(AO203=0,FactorPhi7121(BH203,"a"),noisuy2chieu(BK203,BH203,Data!$A$63:$M$85))</f>
        <v>0.86214274110469236</v>
      </c>
      <c r="BM203" s="111">
        <v>1.26</v>
      </c>
      <c r="BN203" s="118">
        <f t="shared" si="83"/>
        <v>0.997956670732009</v>
      </c>
      <c r="BO203" s="108">
        <f t="shared" si="84"/>
        <v>1.1320384927149495E-2</v>
      </c>
      <c r="BP203" s="6" t="str">
        <f t="shared" si="85"/>
        <v>OK</v>
      </c>
      <c r="BQ203" s="16">
        <f t="shared" si="86"/>
        <v>127.25109874278135</v>
      </c>
      <c r="BR203" s="118">
        <f t="shared" si="87"/>
        <v>4.2387607289550546</v>
      </c>
      <c r="BS203" s="108">
        <f t="shared" si="88"/>
        <v>0</v>
      </c>
      <c r="BT203" s="118">
        <f t="shared" si="89"/>
        <v>1.1380619635522473</v>
      </c>
      <c r="BU203" s="108">
        <f t="shared" si="90"/>
        <v>0</v>
      </c>
      <c r="BV203" s="6" cm="1">
        <f t="array" ref="BV203">IF(AP203=0,FactorPhi7121(BR203,"a"),noisuy2chieu(BU203,BR203,Data!$A$63:$M$85))</f>
        <v>0.42299549615688942</v>
      </c>
      <c r="BW203" s="111">
        <v>1.26</v>
      </c>
      <c r="BX203" s="111">
        <f t="shared" si="91"/>
        <v>0.991826682928036</v>
      </c>
      <c r="BY203" s="113">
        <f t="shared" si="92"/>
        <v>5.5541520106182699E-3</v>
      </c>
      <c r="BZ203" s="6" t="str">
        <f t="shared" si="93"/>
        <v>OK</v>
      </c>
      <c r="CA203" s="114">
        <f t="shared" si="94"/>
        <v>127.25109874278135</v>
      </c>
      <c r="CB203" s="115">
        <f t="shared" si="95"/>
        <v>150</v>
      </c>
      <c r="CC203" s="6" t="str">
        <f t="shared" si="96"/>
        <v>OK</v>
      </c>
      <c r="DG203" s="108"/>
      <c r="DH203" s="108"/>
      <c r="DI203" s="16"/>
      <c r="DJ203" s="108"/>
      <c r="DT203" s="6"/>
      <c r="DU203" s="6"/>
      <c r="DV203" s="111"/>
      <c r="DW203" s="111"/>
      <c r="DX203" s="111"/>
      <c r="DY203" s="111"/>
      <c r="DZ203" s="111"/>
      <c r="EA203" s="111"/>
      <c r="EB203" s="111"/>
      <c r="EC203" s="111"/>
      <c r="ED203" s="111"/>
      <c r="EE203" s="111"/>
      <c r="EF203" s="6"/>
      <c r="EG203" s="6"/>
      <c r="EH203" s="6"/>
      <c r="EI203" s="6"/>
      <c r="EJ203" s="6"/>
      <c r="EK203" s="6"/>
      <c r="EL203" s="112"/>
      <c r="EM203" s="112"/>
      <c r="EN203" s="118"/>
      <c r="EO203" s="118"/>
      <c r="EP203" s="112"/>
      <c r="EQ203" s="112"/>
      <c r="ER203" s="112"/>
      <c r="ES203" s="112"/>
      <c r="ET203" s="112"/>
      <c r="EU203" s="112"/>
      <c r="EV203" s="6"/>
      <c r="EW203" s="6"/>
      <c r="EX203" s="118"/>
      <c r="EY203" s="113"/>
      <c r="EZ203" s="6"/>
      <c r="FA203" s="114"/>
      <c r="FB203" s="115"/>
      <c r="FC203" s="6"/>
    </row>
    <row r="204" spans="27:159">
      <c r="AA204" s="79" t="s">
        <v>175</v>
      </c>
      <c r="AB204" s="80" t="s">
        <v>196</v>
      </c>
      <c r="AC204" s="81">
        <v>2.74</v>
      </c>
      <c r="AD204" s="81">
        <v>6</v>
      </c>
      <c r="AE204" s="80">
        <v>273</v>
      </c>
      <c r="AF204" s="80">
        <v>6.35</v>
      </c>
      <c r="AG204" s="108" cm="1">
        <f t="array" ref="AG204">_xll.DCEPropSectPipe(AE204, AF204, "Area")/100</f>
        <v>53.19431074856206</v>
      </c>
      <c r="AH204" s="16" cm="1">
        <f t="array" ref="AH204">_xll.DCEPropSectPipe(AE204, AF204, "Ix")/10000</f>
        <v>4730.4733077169503</v>
      </c>
      <c r="AI204" s="16" cm="1">
        <f t="array" ref="AI204">_xll.DCEPropSectPipe(AE204, AF204, "Wx")/1000</f>
        <v>346.55482107816493</v>
      </c>
      <c r="AJ204" s="108">
        <f t="shared" si="65"/>
        <v>9.4301739777164251</v>
      </c>
      <c r="AK204" s="80" t="s">
        <v>214</v>
      </c>
      <c r="AL204" s="82">
        <v>-4.183790761235497</v>
      </c>
      <c r="AM204" s="82">
        <v>0.8959538966085413</v>
      </c>
      <c r="AN204" s="82">
        <v>-0.12921436959219987</v>
      </c>
      <c r="AO204" s="82">
        <v>0.35430580142181173</v>
      </c>
      <c r="AP204" s="82">
        <v>-2.4567055845006212</v>
      </c>
      <c r="AQ204" s="82">
        <v>3.0513996231176278E-2</v>
      </c>
      <c r="AR204" s="72">
        <v>1</v>
      </c>
      <c r="AS204" s="116">
        <f t="shared" si="66"/>
        <v>6</v>
      </c>
      <c r="AT204" s="7">
        <v>2</v>
      </c>
      <c r="AU204" s="6">
        <f t="shared" si="67"/>
        <v>12</v>
      </c>
      <c r="AV204" s="111">
        <f t="shared" si="68"/>
        <v>3.4409853841183744E-3</v>
      </c>
      <c r="AW204" s="117">
        <f t="shared" si="69"/>
        <v>105</v>
      </c>
      <c r="AX204" s="111">
        <f t="shared" si="70"/>
        <v>1</v>
      </c>
      <c r="AY204" s="111">
        <f t="shared" si="71"/>
        <v>1</v>
      </c>
      <c r="AZ204" s="111">
        <f t="shared" si="72"/>
        <v>1</v>
      </c>
      <c r="BA204" s="111">
        <f t="shared" si="73"/>
        <v>3.6220898780193419E-3</v>
      </c>
      <c r="BB204" s="111">
        <f t="shared" si="74"/>
        <v>4.708263612781244E-3</v>
      </c>
      <c r="BC204" s="111">
        <f t="shared" si="75"/>
        <v>3.2646424259506007E-2</v>
      </c>
      <c r="BD204" s="111">
        <v>0</v>
      </c>
      <c r="BE204" s="111">
        <f t="shared" si="76"/>
        <v>4.0976777750306594E-2</v>
      </c>
      <c r="BF204" s="6" t="str">
        <f t="shared" si="77"/>
        <v>OK</v>
      </c>
      <c r="BG204" s="16">
        <f t="shared" si="78"/>
        <v>63.625549371390676</v>
      </c>
      <c r="BH204" s="118">
        <f t="shared" si="79"/>
        <v>2.1193803644775273</v>
      </c>
      <c r="BI204" s="108">
        <f t="shared" si="80"/>
        <v>1.29987487095595</v>
      </c>
      <c r="BJ204" s="6">
        <f t="shared" si="81"/>
        <v>1.2065865310061443</v>
      </c>
      <c r="BK204" s="108">
        <f t="shared" si="82"/>
        <v>1.5684115112887993</v>
      </c>
      <c r="BL204" s="118" cm="1">
        <f t="array" ref="BL204">IF(AO204=0,FactorPhi7121(BH204,"a"),noisuy2chieu(BK204,BH204,Data!$A$63:$M$85))</f>
        <v>0</v>
      </c>
      <c r="BM204" s="111">
        <v>1.26</v>
      </c>
      <c r="BN204" s="118">
        <f t="shared" si="83"/>
        <v>0.99845438743131898</v>
      </c>
      <c r="BO204" s="108" t="e">
        <f t="shared" si="84"/>
        <v>#DIV/0!</v>
      </c>
      <c r="BP204" s="6" t="e">
        <f t="shared" si="85"/>
        <v>#DIV/0!</v>
      </c>
      <c r="BQ204" s="16">
        <f t="shared" si="86"/>
        <v>127.25109874278135</v>
      </c>
      <c r="BR204" s="118">
        <f t="shared" si="87"/>
        <v>4.2387607289550546</v>
      </c>
      <c r="BS204" s="108">
        <f t="shared" si="88"/>
        <v>9.0131458243543001</v>
      </c>
      <c r="BT204" s="118">
        <f t="shared" si="89"/>
        <v>1.1000000000000001</v>
      </c>
      <c r="BU204" s="108">
        <f t="shared" si="90"/>
        <v>9.9144604067897308</v>
      </c>
      <c r="BV204" s="6" cm="1">
        <f t="array" ref="BV204">IF(AP204=0,FactorPhi7121(BR204,"a"),noisuy2chieu(BU204,BR204,Data!$A$63:$M$85))</f>
        <v>0</v>
      </c>
      <c r="BW204" s="111">
        <v>1.26</v>
      </c>
      <c r="BX204" s="111">
        <f t="shared" si="91"/>
        <v>0.99381754972527592</v>
      </c>
      <c r="BY204" s="113" t="e">
        <f t="shared" si="92"/>
        <v>#DIV/0!</v>
      </c>
      <c r="BZ204" s="6" t="e">
        <f t="shared" si="93"/>
        <v>#DIV/0!</v>
      </c>
      <c r="CA204" s="114">
        <f t="shared" si="94"/>
        <v>127.25109874278135</v>
      </c>
      <c r="CB204" s="115" t="e">
        <f t="shared" si="95"/>
        <v>#DIV/0!</v>
      </c>
      <c r="CC204" s="6" t="e">
        <f t="shared" si="96"/>
        <v>#DIV/0!</v>
      </c>
      <c r="DG204" s="108"/>
      <c r="DH204" s="108"/>
      <c r="DI204" s="16"/>
      <c r="DJ204" s="108"/>
      <c r="DT204" s="6"/>
      <c r="DU204" s="6"/>
      <c r="DV204" s="111"/>
      <c r="DW204" s="111"/>
      <c r="DX204" s="111"/>
      <c r="DY204" s="111"/>
      <c r="DZ204" s="111"/>
      <c r="EA204" s="111"/>
      <c r="EB204" s="111"/>
      <c r="EC204" s="111"/>
      <c r="ED204" s="111"/>
      <c r="EE204" s="111"/>
      <c r="EF204" s="6"/>
      <c r="EG204" s="6"/>
      <c r="EH204" s="6"/>
      <c r="EI204" s="6"/>
      <c r="EJ204" s="6"/>
      <c r="EK204" s="6"/>
      <c r="EL204" s="112"/>
      <c r="EM204" s="112"/>
      <c r="EN204" s="118"/>
      <c r="EO204" s="118"/>
      <c r="EP204" s="112"/>
      <c r="EQ204" s="112"/>
      <c r="ER204" s="112"/>
      <c r="ES204" s="112"/>
      <c r="ET204" s="112"/>
      <c r="EU204" s="112"/>
      <c r="EV204" s="6"/>
      <c r="EW204" s="6"/>
      <c r="EX204" s="118"/>
      <c r="EY204" s="113"/>
      <c r="EZ204" s="6"/>
      <c r="FA204" s="114"/>
      <c r="FB204" s="115"/>
      <c r="FC204" s="6"/>
    </row>
    <row r="205" spans="27:159">
      <c r="AA205" s="79" t="s">
        <v>175</v>
      </c>
      <c r="AB205" s="80" t="s">
        <v>196</v>
      </c>
      <c r="AC205" s="81">
        <v>5.48</v>
      </c>
      <c r="AD205" s="81">
        <v>6</v>
      </c>
      <c r="AE205" s="80">
        <v>273</v>
      </c>
      <c r="AF205" s="80">
        <v>6.35</v>
      </c>
      <c r="AG205" s="108" cm="1">
        <f t="array" ref="AG205">_xll.DCEPropSectPipe(AE205, AF205, "Area")/100</f>
        <v>53.19431074856206</v>
      </c>
      <c r="AH205" s="16" cm="1">
        <f t="array" ref="AH205">_xll.DCEPropSectPipe(AE205, AF205, "Ix")/10000</f>
        <v>4730.4733077169503</v>
      </c>
      <c r="AI205" s="16" cm="1">
        <f t="array" ref="AI205">_xll.DCEPropSectPipe(AE205, AF205, "Wx")/1000</f>
        <v>346.55482107816493</v>
      </c>
      <c r="AJ205" s="108">
        <f t="shared" si="65"/>
        <v>9.4301739777164251</v>
      </c>
      <c r="AK205" s="80" t="s">
        <v>214</v>
      </c>
      <c r="AL205" s="82">
        <v>-2.8365304125034596</v>
      </c>
      <c r="AM205" s="82">
        <v>0.8959538966085413</v>
      </c>
      <c r="AN205" s="82">
        <v>-0.12921436959219987</v>
      </c>
      <c r="AO205" s="82">
        <v>0.70861160284362346</v>
      </c>
      <c r="AP205" s="82">
        <v>-4.9134111690012423</v>
      </c>
      <c r="AQ205" s="82">
        <v>3.0513996231176278E-2</v>
      </c>
      <c r="AR205" s="72">
        <v>1</v>
      </c>
      <c r="AS205" s="116">
        <f t="shared" si="66"/>
        <v>6</v>
      </c>
      <c r="AT205" s="7">
        <v>2</v>
      </c>
      <c r="AU205" s="6">
        <f t="shared" si="67"/>
        <v>12</v>
      </c>
      <c r="AV205" s="111">
        <f t="shared" si="68"/>
        <v>2.3329225212374983E-3</v>
      </c>
      <c r="AW205" s="117">
        <f t="shared" si="69"/>
        <v>105</v>
      </c>
      <c r="AX205" s="111">
        <f t="shared" si="70"/>
        <v>1</v>
      </c>
      <c r="AY205" s="111">
        <f t="shared" si="71"/>
        <v>1</v>
      </c>
      <c r="AZ205" s="111">
        <f t="shared" si="72"/>
        <v>1</v>
      </c>
      <c r="BA205" s="111">
        <f t="shared" si="73"/>
        <v>2.4557079170921042E-3</v>
      </c>
      <c r="BB205" s="111">
        <f t="shared" si="74"/>
        <v>9.416527225562488E-3</v>
      </c>
      <c r="BC205" s="111">
        <f t="shared" si="75"/>
        <v>6.5292848519012014E-2</v>
      </c>
      <c r="BD205" s="111">
        <v>0</v>
      </c>
      <c r="BE205" s="111">
        <f t="shared" si="76"/>
        <v>7.7165083661666606E-2</v>
      </c>
      <c r="BF205" s="6" t="str">
        <f t="shared" si="77"/>
        <v>OK</v>
      </c>
      <c r="BG205" s="16">
        <f t="shared" si="78"/>
        <v>63.625549371390676</v>
      </c>
      <c r="BH205" s="118">
        <f t="shared" si="79"/>
        <v>2.1193803644775273</v>
      </c>
      <c r="BI205" s="108">
        <f t="shared" si="80"/>
        <v>3.8345469182316076</v>
      </c>
      <c r="BJ205" s="6">
        <f t="shared" si="81"/>
        <v>1.1335722703162221</v>
      </c>
      <c r="BK205" s="108">
        <f t="shared" si="82"/>
        <v>4.3467360557338761</v>
      </c>
      <c r="BL205" s="118" cm="1">
        <f t="array" ref="BL205">IF(AO205=0,FactorPhi7121(BH205,"a"),noisuy2chieu(BK205,BH205,Data!$A$63:$M$85))</f>
        <v>0</v>
      </c>
      <c r="BM205" s="111">
        <v>1.26</v>
      </c>
      <c r="BN205" s="118">
        <f t="shared" si="83"/>
        <v>0.99895210413062896</v>
      </c>
      <c r="BO205" s="108" t="e">
        <f t="shared" si="84"/>
        <v>#DIV/0!</v>
      </c>
      <c r="BP205" s="6" t="e">
        <f t="shared" si="85"/>
        <v>#DIV/0!</v>
      </c>
      <c r="BQ205" s="16">
        <f t="shared" si="86"/>
        <v>127.25109874278135</v>
      </c>
      <c r="BR205" s="118">
        <f t="shared" si="87"/>
        <v>4.2387607289550546</v>
      </c>
      <c r="BS205" s="108">
        <f t="shared" si="88"/>
        <v>26.588198077044822</v>
      </c>
      <c r="BT205" s="118">
        <f t="shared" si="89"/>
        <v>1.1000000000000001</v>
      </c>
      <c r="BU205" s="108">
        <f t="shared" si="90"/>
        <v>29.247017884749308</v>
      </c>
      <c r="BV205" s="6" cm="1">
        <f t="array" ref="BV205">IF(AP205=0,FactorPhi7121(BR205,"a"),noisuy2chieu(BU205,BR205,Data!$A$63:$M$85))</f>
        <v>0</v>
      </c>
      <c r="BW205" s="111">
        <v>1.26</v>
      </c>
      <c r="BX205" s="111">
        <f t="shared" si="91"/>
        <v>0.99580841652251595</v>
      </c>
      <c r="BY205" s="113" t="e">
        <f t="shared" si="92"/>
        <v>#DIV/0!</v>
      </c>
      <c r="BZ205" s="6" t="e">
        <f t="shared" si="93"/>
        <v>#DIV/0!</v>
      </c>
      <c r="CA205" s="114">
        <f t="shared" si="94"/>
        <v>127.25109874278135</v>
      </c>
      <c r="CB205" s="115" t="e">
        <f t="shared" si="95"/>
        <v>#DIV/0!</v>
      </c>
      <c r="CC205" s="6" t="e">
        <f t="shared" si="96"/>
        <v>#DIV/0!</v>
      </c>
      <c r="DG205" s="108"/>
      <c r="DH205" s="108"/>
      <c r="DI205" s="16"/>
      <c r="DJ205" s="108"/>
      <c r="DT205" s="6"/>
      <c r="DU205" s="6"/>
      <c r="DV205" s="111"/>
      <c r="DW205" s="111"/>
      <c r="DX205" s="111"/>
      <c r="DY205" s="111"/>
      <c r="DZ205" s="111"/>
      <c r="EA205" s="111"/>
      <c r="EB205" s="111"/>
      <c r="EC205" s="111"/>
      <c r="ED205" s="111"/>
      <c r="EE205" s="111"/>
      <c r="EF205" s="6"/>
      <c r="EG205" s="6"/>
      <c r="EH205" s="6"/>
      <c r="EI205" s="6"/>
      <c r="EJ205" s="6"/>
      <c r="EK205" s="6"/>
      <c r="EL205" s="112"/>
      <c r="EM205" s="112"/>
      <c r="EN205" s="118"/>
      <c r="EO205" s="118"/>
      <c r="EP205" s="112"/>
      <c r="EQ205" s="112"/>
      <c r="ER205" s="112"/>
      <c r="ES205" s="112"/>
      <c r="ET205" s="112"/>
      <c r="EU205" s="112"/>
      <c r="EV205" s="6"/>
      <c r="EW205" s="6"/>
      <c r="EX205" s="118"/>
      <c r="EY205" s="113"/>
      <c r="EZ205" s="6"/>
      <c r="FA205" s="114"/>
      <c r="FB205" s="115"/>
      <c r="FC205" s="6"/>
    </row>
    <row r="206" spans="27:159">
      <c r="AA206" s="79" t="s">
        <v>175</v>
      </c>
      <c r="AB206" s="80" t="s">
        <v>196</v>
      </c>
      <c r="AC206" s="81">
        <v>0</v>
      </c>
      <c r="AD206" s="81">
        <v>6</v>
      </c>
      <c r="AE206" s="80">
        <v>273</v>
      </c>
      <c r="AF206" s="80">
        <v>6.35</v>
      </c>
      <c r="AG206" s="108" cm="1">
        <f t="array" ref="AG206">_xll.DCEPropSectPipe(AE206, AF206, "Area")/100</f>
        <v>53.19431074856206</v>
      </c>
      <c r="AH206" s="16" cm="1">
        <f t="array" ref="AH206">_xll.DCEPropSectPipe(AE206, AF206, "Ix")/10000</f>
        <v>4730.4733077169503</v>
      </c>
      <c r="AI206" s="16" cm="1">
        <f t="array" ref="AI206">_xll.DCEPropSectPipe(AE206, AF206, "Wx")/1000</f>
        <v>346.55482107816493</v>
      </c>
      <c r="AJ206" s="108">
        <f t="shared" si="65"/>
        <v>9.4301739777164251</v>
      </c>
      <c r="AK206" s="80" t="s">
        <v>215</v>
      </c>
      <c r="AL206" s="82">
        <v>-72.808371419418521</v>
      </c>
      <c r="AM206" s="82">
        <v>9.6979429850037793</v>
      </c>
      <c r="AN206" s="82">
        <v>-1.8779341162850425</v>
      </c>
      <c r="AO206" s="82">
        <v>0</v>
      </c>
      <c r="AP206" s="82">
        <v>0</v>
      </c>
      <c r="AQ206" s="82">
        <v>-7.3153100837908283E-2</v>
      </c>
      <c r="AR206" s="72">
        <v>1</v>
      </c>
      <c r="AS206" s="116">
        <f t="shared" si="66"/>
        <v>6</v>
      </c>
      <c r="AT206" s="7">
        <v>2</v>
      </c>
      <c r="AU206" s="6">
        <f t="shared" si="67"/>
        <v>12</v>
      </c>
      <c r="AV206" s="111">
        <f t="shared" si="68"/>
        <v>5.9881709242480735E-2</v>
      </c>
      <c r="AW206" s="117">
        <f t="shared" si="69"/>
        <v>105</v>
      </c>
      <c r="AX206" s="111">
        <f t="shared" si="70"/>
        <v>1</v>
      </c>
      <c r="AY206" s="111">
        <f t="shared" si="71"/>
        <v>1</v>
      </c>
      <c r="AZ206" s="111">
        <f t="shared" si="72"/>
        <v>1</v>
      </c>
      <c r="BA206" s="111">
        <f t="shared" si="73"/>
        <v>6.3033378149979724E-2</v>
      </c>
      <c r="BB206" s="111">
        <f t="shared" si="74"/>
        <v>0</v>
      </c>
      <c r="BC206" s="111">
        <f t="shared" si="75"/>
        <v>0</v>
      </c>
      <c r="BD206" s="111">
        <v>0</v>
      </c>
      <c r="BE206" s="111">
        <f t="shared" si="76"/>
        <v>6.3033378149979724E-2</v>
      </c>
      <c r="BF206" s="6" t="str">
        <f t="shared" si="77"/>
        <v>OK</v>
      </c>
      <c r="BG206" s="16">
        <f t="shared" si="78"/>
        <v>63.625549371390676</v>
      </c>
      <c r="BH206" s="118">
        <f t="shared" si="79"/>
        <v>2.1193803644775273</v>
      </c>
      <c r="BI206" s="108">
        <f t="shared" si="80"/>
        <v>0</v>
      </c>
      <c r="BJ206" s="6">
        <f t="shared" si="81"/>
        <v>1.2440309817761237</v>
      </c>
      <c r="BK206" s="108">
        <f t="shared" si="82"/>
        <v>0</v>
      </c>
      <c r="BL206" s="118" cm="1">
        <f t="array" ref="BL206">IF(AO206=0,FactorPhi7121(BH206,"a"),noisuy2chieu(BK206,BH206,Data!$A$63:$M$85))</f>
        <v>0.86214274110469236</v>
      </c>
      <c r="BM206" s="111">
        <v>1.26</v>
      </c>
      <c r="BN206" s="118">
        <f t="shared" si="83"/>
        <v>0.97310249474860999</v>
      </c>
      <c r="BO206" s="108">
        <f t="shared" si="84"/>
        <v>0.14901666500628785</v>
      </c>
      <c r="BP206" s="6" t="str">
        <f t="shared" si="85"/>
        <v>OK</v>
      </c>
      <c r="BQ206" s="16">
        <f t="shared" si="86"/>
        <v>127.25109874278135</v>
      </c>
      <c r="BR206" s="118">
        <f t="shared" si="87"/>
        <v>4.2387607289550546</v>
      </c>
      <c r="BS206" s="108">
        <f t="shared" si="88"/>
        <v>0</v>
      </c>
      <c r="BT206" s="118">
        <f t="shared" si="89"/>
        <v>1.1380619635522473</v>
      </c>
      <c r="BU206" s="108">
        <f t="shared" si="90"/>
        <v>0</v>
      </c>
      <c r="BV206" s="6" cm="1">
        <f t="array" ref="BV206">IF(AP206=0,FactorPhi7121(BR206,"a"),noisuy2chieu(BU206,BR206,Data!$A$63:$M$85))</f>
        <v>0.42299549615688942</v>
      </c>
      <c r="BW206" s="111">
        <v>1.26</v>
      </c>
      <c r="BX206" s="111">
        <f t="shared" si="91"/>
        <v>0.89240997899443986</v>
      </c>
      <c r="BY206" s="113">
        <f t="shared" si="92"/>
        <v>7.3112461712793564E-2</v>
      </c>
      <c r="BZ206" s="6" t="str">
        <f t="shared" si="93"/>
        <v>OK</v>
      </c>
      <c r="CA206" s="114">
        <f t="shared" si="94"/>
        <v>127.25109874278135</v>
      </c>
      <c r="CB206" s="115">
        <f t="shared" si="95"/>
        <v>150</v>
      </c>
      <c r="CC206" s="6" t="str">
        <f t="shared" si="96"/>
        <v>OK</v>
      </c>
      <c r="DG206" s="108"/>
      <c r="DH206" s="108"/>
      <c r="DI206" s="16"/>
      <c r="DJ206" s="108"/>
      <c r="DT206" s="6"/>
      <c r="DU206" s="6"/>
      <c r="DV206" s="111"/>
      <c r="DW206" s="111"/>
      <c r="DX206" s="111"/>
      <c r="DY206" s="111"/>
      <c r="DZ206" s="111"/>
      <c r="EA206" s="111"/>
      <c r="EB206" s="111"/>
      <c r="EC206" s="111"/>
      <c r="ED206" s="111"/>
      <c r="EE206" s="111"/>
      <c r="EF206" s="6"/>
      <c r="EG206" s="6"/>
      <c r="EH206" s="6"/>
      <c r="EI206" s="6"/>
      <c r="EJ206" s="6"/>
      <c r="EK206" s="6"/>
      <c r="EL206" s="112"/>
      <c r="EM206" s="112"/>
      <c r="EN206" s="118"/>
      <c r="EO206" s="118"/>
      <c r="EP206" s="112"/>
      <c r="EQ206" s="112"/>
      <c r="ER206" s="112"/>
      <c r="ES206" s="112"/>
      <c r="ET206" s="112"/>
      <c r="EU206" s="112"/>
      <c r="EV206" s="6"/>
      <c r="EW206" s="6"/>
      <c r="EX206" s="118"/>
      <c r="EY206" s="113"/>
      <c r="EZ206" s="6"/>
      <c r="FA206" s="114"/>
      <c r="FB206" s="115"/>
      <c r="FC206" s="6"/>
    </row>
    <row r="207" spans="27:159">
      <c r="AA207" s="79" t="s">
        <v>175</v>
      </c>
      <c r="AB207" s="80" t="s">
        <v>196</v>
      </c>
      <c r="AC207" s="81">
        <v>2.74</v>
      </c>
      <c r="AD207" s="81">
        <v>6</v>
      </c>
      <c r="AE207" s="80">
        <v>273</v>
      </c>
      <c r="AF207" s="80">
        <v>6.35</v>
      </c>
      <c r="AG207" s="108" cm="1">
        <f t="array" ref="AG207">_xll.DCEPropSectPipe(AE207, AF207, "Area")/100</f>
        <v>53.19431074856206</v>
      </c>
      <c r="AH207" s="16" cm="1">
        <f t="array" ref="AH207">_xll.DCEPropSectPipe(AE207, AF207, "Ix")/10000</f>
        <v>4730.4733077169503</v>
      </c>
      <c r="AI207" s="16" cm="1">
        <f t="array" ref="AI207">_xll.DCEPropSectPipe(AE207, AF207, "Wx")/1000</f>
        <v>346.55482107816493</v>
      </c>
      <c r="AJ207" s="108">
        <f t="shared" si="65"/>
        <v>9.4301739777164251</v>
      </c>
      <c r="AK207" s="80" t="s">
        <v>215</v>
      </c>
      <c r="AL207" s="82">
        <v>-71.461111070686485</v>
      </c>
      <c r="AM207" s="82">
        <v>9.6979429850037793</v>
      </c>
      <c r="AN207" s="82">
        <v>-1.8779341162850425</v>
      </c>
      <c r="AO207" s="82">
        <v>5.1492953468535863</v>
      </c>
      <c r="AP207" s="82">
        <v>-26.591759664880357</v>
      </c>
      <c r="AQ207" s="82">
        <v>-7.3153100837908283E-2</v>
      </c>
      <c r="AR207" s="72">
        <v>1</v>
      </c>
      <c r="AS207" s="116">
        <f t="shared" si="66"/>
        <v>6</v>
      </c>
      <c r="AT207" s="7">
        <v>2</v>
      </c>
      <c r="AU207" s="6">
        <f t="shared" si="67"/>
        <v>12</v>
      </c>
      <c r="AV207" s="111">
        <f t="shared" si="68"/>
        <v>5.8773646379599857E-2</v>
      </c>
      <c r="AW207" s="117">
        <f t="shared" si="69"/>
        <v>105</v>
      </c>
      <c r="AX207" s="111">
        <f t="shared" si="70"/>
        <v>1</v>
      </c>
      <c r="AY207" s="111">
        <f t="shared" si="71"/>
        <v>1</v>
      </c>
      <c r="AZ207" s="111">
        <f t="shared" si="72"/>
        <v>1</v>
      </c>
      <c r="BA207" s="111">
        <f t="shared" si="73"/>
        <v>6.1866996189052476E-2</v>
      </c>
      <c r="BB207" s="111">
        <f t="shared" si="74"/>
        <v>6.8427442666091201E-2</v>
      </c>
      <c r="BC207" s="111">
        <f t="shared" si="75"/>
        <v>0.35336992487155061</v>
      </c>
      <c r="BD207" s="111">
        <v>0</v>
      </c>
      <c r="BE207" s="111">
        <f t="shared" si="76"/>
        <v>0.4836643637266943</v>
      </c>
      <c r="BF207" s="6" t="str">
        <f t="shared" si="77"/>
        <v>OK</v>
      </c>
      <c r="BG207" s="16">
        <f t="shared" si="78"/>
        <v>63.625549371390676</v>
      </c>
      <c r="BH207" s="118">
        <f t="shared" si="79"/>
        <v>2.1193803644775273</v>
      </c>
      <c r="BI207" s="108">
        <f t="shared" si="80"/>
        <v>1.1060411347108461</v>
      </c>
      <c r="BJ207" s="6">
        <f t="shared" si="81"/>
        <v>1.2121701436726875</v>
      </c>
      <c r="BK207" s="108">
        <f t="shared" si="82"/>
        <v>1.3407100411703485</v>
      </c>
      <c r="BL207" s="118" cm="1">
        <f t="array" ref="BL207">IF(AO207=0,FactorPhi7121(BH207,"a"),noisuy2chieu(BK207,BH207,Data!$A$63:$M$85))</f>
        <v>0</v>
      </c>
      <c r="BM207" s="111">
        <v>1.26</v>
      </c>
      <c r="BN207" s="118">
        <f t="shared" si="83"/>
        <v>0.97360021144791997</v>
      </c>
      <c r="BO207" s="108" t="e">
        <f t="shared" si="84"/>
        <v>#DIV/0!</v>
      </c>
      <c r="BP207" s="6" t="e">
        <f t="shared" si="85"/>
        <v>#DIV/0!</v>
      </c>
      <c r="BQ207" s="16">
        <f t="shared" si="86"/>
        <v>127.25109874278135</v>
      </c>
      <c r="BR207" s="118">
        <f t="shared" si="87"/>
        <v>4.2387607289550546</v>
      </c>
      <c r="BS207" s="108">
        <f t="shared" si="88"/>
        <v>5.7117679318343946</v>
      </c>
      <c r="BT207" s="118">
        <f t="shared" si="89"/>
        <v>1.1000000000000001</v>
      </c>
      <c r="BU207" s="108">
        <f t="shared" si="90"/>
        <v>6.2829447250178347</v>
      </c>
      <c r="BV207" s="6" cm="1">
        <f t="array" ref="BV207">IF(AP207=0,FactorPhi7121(BR207,"a"),noisuy2chieu(BU207,BR207,Data!$A$63:$M$85))</f>
        <v>0</v>
      </c>
      <c r="BW207" s="111">
        <v>1.26</v>
      </c>
      <c r="BX207" s="111">
        <f t="shared" si="91"/>
        <v>0.89440084579167989</v>
      </c>
      <c r="BY207" s="113" t="e">
        <f t="shared" si="92"/>
        <v>#DIV/0!</v>
      </c>
      <c r="BZ207" s="6" t="e">
        <f t="shared" si="93"/>
        <v>#DIV/0!</v>
      </c>
      <c r="CA207" s="114">
        <f t="shared" si="94"/>
        <v>127.25109874278135</v>
      </c>
      <c r="CB207" s="115" t="e">
        <f t="shared" si="95"/>
        <v>#DIV/0!</v>
      </c>
      <c r="CC207" s="6" t="e">
        <f t="shared" si="96"/>
        <v>#DIV/0!</v>
      </c>
      <c r="DG207" s="108"/>
      <c r="DH207" s="108"/>
      <c r="DI207" s="16"/>
      <c r="DJ207" s="108"/>
      <c r="DT207" s="6"/>
      <c r="DU207" s="6"/>
      <c r="DV207" s="111"/>
      <c r="DW207" s="111"/>
      <c r="DX207" s="111"/>
      <c r="DY207" s="111"/>
      <c r="DZ207" s="111"/>
      <c r="EA207" s="111"/>
      <c r="EB207" s="111"/>
      <c r="EC207" s="111"/>
      <c r="ED207" s="111"/>
      <c r="EE207" s="111"/>
      <c r="EF207" s="6"/>
      <c r="EG207" s="6"/>
      <c r="EH207" s="6"/>
      <c r="EI207" s="6"/>
      <c r="EJ207" s="6"/>
      <c r="EK207" s="6"/>
      <c r="EL207" s="112"/>
      <c r="EM207" s="112"/>
      <c r="EN207" s="118"/>
      <c r="EO207" s="118"/>
      <c r="EP207" s="112"/>
      <c r="EQ207" s="112"/>
      <c r="ER207" s="112"/>
      <c r="ES207" s="112"/>
      <c r="ET207" s="112"/>
      <c r="EU207" s="112"/>
      <c r="EV207" s="6"/>
      <c r="EW207" s="6"/>
      <c r="EX207" s="118"/>
      <c r="EY207" s="113"/>
      <c r="EZ207" s="6"/>
      <c r="FA207" s="114"/>
      <c r="FB207" s="115"/>
      <c r="FC207" s="6"/>
    </row>
    <row r="208" spans="27:159">
      <c r="AA208" s="79" t="s">
        <v>175</v>
      </c>
      <c r="AB208" s="80" t="s">
        <v>196</v>
      </c>
      <c r="AC208" s="81">
        <v>5.48</v>
      </c>
      <c r="AD208" s="81">
        <v>6</v>
      </c>
      <c r="AE208" s="80">
        <v>273</v>
      </c>
      <c r="AF208" s="80">
        <v>6.35</v>
      </c>
      <c r="AG208" s="108" cm="1">
        <f t="array" ref="AG208">_xll.DCEPropSectPipe(AE208, AF208, "Area")/100</f>
        <v>53.19431074856206</v>
      </c>
      <c r="AH208" s="16" cm="1">
        <f t="array" ref="AH208">_xll.DCEPropSectPipe(AE208, AF208, "Ix")/10000</f>
        <v>4730.4733077169503</v>
      </c>
      <c r="AI208" s="16" cm="1">
        <f t="array" ref="AI208">_xll.DCEPropSectPipe(AE208, AF208, "Wx")/1000</f>
        <v>346.55482107816493</v>
      </c>
      <c r="AJ208" s="108">
        <f t="shared" si="65"/>
        <v>9.4301739777164251</v>
      </c>
      <c r="AK208" s="80" t="s">
        <v>215</v>
      </c>
      <c r="AL208" s="82">
        <v>-70.113850721954449</v>
      </c>
      <c r="AM208" s="82">
        <v>9.6979429850037793</v>
      </c>
      <c r="AN208" s="82">
        <v>-1.8779341162850425</v>
      </c>
      <c r="AO208" s="82">
        <v>10.298590693707173</v>
      </c>
      <c r="AP208" s="82">
        <v>-53.183519329760713</v>
      </c>
      <c r="AQ208" s="82">
        <v>-7.3153100837908283E-2</v>
      </c>
      <c r="AR208" s="72">
        <v>1</v>
      </c>
      <c r="AS208" s="116">
        <f t="shared" si="66"/>
        <v>6</v>
      </c>
      <c r="AT208" s="7">
        <v>2</v>
      </c>
      <c r="AU208" s="6">
        <f t="shared" si="67"/>
        <v>12</v>
      </c>
      <c r="AV208" s="111">
        <f t="shared" si="68"/>
        <v>5.766558351671898E-2</v>
      </c>
      <c r="AW208" s="117">
        <f t="shared" si="69"/>
        <v>105</v>
      </c>
      <c r="AX208" s="111">
        <f t="shared" si="70"/>
        <v>1</v>
      </c>
      <c r="AY208" s="111">
        <f t="shared" si="71"/>
        <v>1</v>
      </c>
      <c r="AZ208" s="111">
        <f t="shared" si="72"/>
        <v>1</v>
      </c>
      <c r="BA208" s="111">
        <f t="shared" si="73"/>
        <v>6.0700614228125241E-2</v>
      </c>
      <c r="BB208" s="111">
        <f t="shared" si="74"/>
        <v>0.1368548853321824</v>
      </c>
      <c r="BC208" s="111">
        <f t="shared" si="75"/>
        <v>0.70673984974310122</v>
      </c>
      <c r="BD208" s="111">
        <v>0</v>
      </c>
      <c r="BE208" s="111">
        <f t="shared" si="76"/>
        <v>0.90429534930340894</v>
      </c>
      <c r="BF208" s="6" t="str">
        <f t="shared" si="77"/>
        <v>OK</v>
      </c>
      <c r="BG208" s="16">
        <f t="shared" si="78"/>
        <v>63.625549371390676</v>
      </c>
      <c r="BH208" s="118">
        <f t="shared" si="79"/>
        <v>2.1193803644775273</v>
      </c>
      <c r="BI208" s="108">
        <f t="shared" si="80"/>
        <v>2.2545881466347923</v>
      </c>
      <c r="BJ208" s="6">
        <f t="shared" si="81"/>
        <v>1.1790848729239998</v>
      </c>
      <c r="BK208" s="108">
        <f t="shared" si="82"/>
        <v>2.6583507783708402</v>
      </c>
      <c r="BL208" s="118" cm="1">
        <f t="array" ref="BL208">IF(AO208=0,FactorPhi7121(BH208,"a"),noisuy2chieu(BK208,BH208,Data!$A$63:$M$85))</f>
        <v>0</v>
      </c>
      <c r="BM208" s="111">
        <v>1.26</v>
      </c>
      <c r="BN208" s="118">
        <f t="shared" si="83"/>
        <v>0.97409792814722995</v>
      </c>
      <c r="BO208" s="108" t="e">
        <f t="shared" si="84"/>
        <v>#DIV/0!</v>
      </c>
      <c r="BP208" s="6" t="e">
        <f t="shared" si="85"/>
        <v>#DIV/0!</v>
      </c>
      <c r="BQ208" s="16">
        <f t="shared" si="86"/>
        <v>127.25109874278135</v>
      </c>
      <c r="BR208" s="118">
        <f t="shared" si="87"/>
        <v>4.2387607289550546</v>
      </c>
      <c r="BS208" s="108">
        <f t="shared" si="88"/>
        <v>11.6430428049217</v>
      </c>
      <c r="BT208" s="118">
        <f t="shared" si="89"/>
        <v>1.1000000000000001</v>
      </c>
      <c r="BU208" s="108">
        <f t="shared" si="90"/>
        <v>12.807347085413872</v>
      </c>
      <c r="BV208" s="6" cm="1">
        <f t="array" ref="BV208">IF(AP208=0,FactorPhi7121(BR208,"a"),noisuy2chieu(BU208,BR208,Data!$A$63:$M$85))</f>
        <v>0</v>
      </c>
      <c r="BW208" s="111">
        <v>1.26</v>
      </c>
      <c r="BX208" s="111">
        <f t="shared" si="91"/>
        <v>0.89639171258891992</v>
      </c>
      <c r="BY208" s="113" t="e">
        <f t="shared" si="92"/>
        <v>#DIV/0!</v>
      </c>
      <c r="BZ208" s="6" t="e">
        <f t="shared" si="93"/>
        <v>#DIV/0!</v>
      </c>
      <c r="CA208" s="114">
        <f t="shared" si="94"/>
        <v>127.25109874278135</v>
      </c>
      <c r="CB208" s="115" t="e">
        <f t="shared" si="95"/>
        <v>#DIV/0!</v>
      </c>
      <c r="CC208" s="6" t="e">
        <f t="shared" si="96"/>
        <v>#DIV/0!</v>
      </c>
      <c r="DG208" s="108"/>
      <c r="DH208" s="108"/>
      <c r="DI208" s="16"/>
      <c r="DJ208" s="108"/>
      <c r="DT208" s="6"/>
      <c r="DU208" s="6"/>
      <c r="DV208" s="111"/>
      <c r="DW208" s="111"/>
      <c r="DX208" s="111"/>
      <c r="DY208" s="111"/>
      <c r="DZ208" s="111"/>
      <c r="EA208" s="111"/>
      <c r="EB208" s="111"/>
      <c r="EC208" s="111"/>
      <c r="ED208" s="111"/>
      <c r="EE208" s="111"/>
      <c r="EF208" s="6"/>
      <c r="EG208" s="6"/>
      <c r="EH208" s="6"/>
      <c r="EI208" s="6"/>
      <c r="EJ208" s="6"/>
      <c r="EK208" s="6"/>
      <c r="EL208" s="112"/>
      <c r="EM208" s="112"/>
      <c r="EN208" s="118"/>
      <c r="EO208" s="118"/>
      <c r="EP208" s="112"/>
      <c r="EQ208" s="112"/>
      <c r="ER208" s="112"/>
      <c r="ES208" s="112"/>
      <c r="ET208" s="112"/>
      <c r="EU208" s="112"/>
      <c r="EV208" s="6"/>
      <c r="EW208" s="6"/>
      <c r="EX208" s="118"/>
      <c r="EY208" s="113"/>
      <c r="EZ208" s="6"/>
      <c r="FA208" s="114"/>
      <c r="FB208" s="115"/>
      <c r="FC208" s="6"/>
    </row>
    <row r="209" spans="27:159">
      <c r="AA209" s="79" t="s">
        <v>175</v>
      </c>
      <c r="AB209" s="80" t="s">
        <v>196</v>
      </c>
      <c r="AC209" s="81">
        <v>0</v>
      </c>
      <c r="AD209" s="81">
        <v>6</v>
      </c>
      <c r="AE209" s="80">
        <v>273</v>
      </c>
      <c r="AF209" s="80">
        <v>6.35</v>
      </c>
      <c r="AG209" s="108" cm="1">
        <f t="array" ref="AG209">_xll.DCEPropSectPipe(AE209, AF209, "Area")/100</f>
        <v>53.19431074856206</v>
      </c>
      <c r="AH209" s="16" cm="1">
        <f t="array" ref="AH209">_xll.DCEPropSectPipe(AE209, AF209, "Ix")/10000</f>
        <v>4730.4733077169503</v>
      </c>
      <c r="AI209" s="16" cm="1">
        <f t="array" ref="AI209">_xll.DCEPropSectPipe(AE209, AF209, "Wx")/1000</f>
        <v>346.55482107816493</v>
      </c>
      <c r="AJ209" s="108">
        <f t="shared" si="65"/>
        <v>9.4301739777164251</v>
      </c>
      <c r="AK209" s="80" t="s">
        <v>216</v>
      </c>
      <c r="AL209" s="82">
        <v>-87.182450765764301</v>
      </c>
      <c r="AM209" s="82">
        <v>9.7571275703563831</v>
      </c>
      <c r="AN209" s="82">
        <v>-1.9910746761999334</v>
      </c>
      <c r="AO209" s="82">
        <v>0</v>
      </c>
      <c r="AP209" s="82">
        <v>0</v>
      </c>
      <c r="AQ209" s="82">
        <v>-0.15474294071681671</v>
      </c>
      <c r="AR209" s="72">
        <v>1</v>
      </c>
      <c r="AS209" s="116">
        <f t="shared" si="66"/>
        <v>6</v>
      </c>
      <c r="AT209" s="7">
        <v>2</v>
      </c>
      <c r="AU209" s="6">
        <f t="shared" si="67"/>
        <v>12</v>
      </c>
      <c r="AV209" s="111">
        <f t="shared" si="68"/>
        <v>7.1703762438641877E-2</v>
      </c>
      <c r="AW209" s="117">
        <f t="shared" si="69"/>
        <v>105</v>
      </c>
      <c r="AX209" s="111">
        <f t="shared" si="70"/>
        <v>1</v>
      </c>
      <c r="AY209" s="111">
        <f t="shared" si="71"/>
        <v>1</v>
      </c>
      <c r="AZ209" s="111">
        <f t="shared" si="72"/>
        <v>1</v>
      </c>
      <c r="BA209" s="111">
        <f t="shared" si="73"/>
        <v>7.5477644672254623E-2</v>
      </c>
      <c r="BB209" s="111">
        <f t="shared" si="74"/>
        <v>0</v>
      </c>
      <c r="BC209" s="111">
        <f t="shared" si="75"/>
        <v>0</v>
      </c>
      <c r="BD209" s="111">
        <v>0</v>
      </c>
      <c r="BE209" s="111">
        <f t="shared" si="76"/>
        <v>7.5477644672254623E-2</v>
      </c>
      <c r="BF209" s="6" t="str">
        <f t="shared" si="77"/>
        <v>OK</v>
      </c>
      <c r="BG209" s="16">
        <f t="shared" si="78"/>
        <v>63.625549371390676</v>
      </c>
      <c r="BH209" s="118">
        <f t="shared" si="79"/>
        <v>2.1193803644775273</v>
      </c>
      <c r="BI209" s="108">
        <f t="shared" si="80"/>
        <v>0</v>
      </c>
      <c r="BJ209" s="6">
        <f t="shared" si="81"/>
        <v>1.2440309817761237</v>
      </c>
      <c r="BK209" s="108">
        <f t="shared" si="82"/>
        <v>0</v>
      </c>
      <c r="BL209" s="118" cm="1">
        <f t="array" ref="BL209">IF(AO209=0,FactorPhi7121(BH209,"a"),noisuy2chieu(BK209,BH209,Data!$A$63:$M$85))</f>
        <v>0.86214274110469236</v>
      </c>
      <c r="BM209" s="111">
        <v>1.26</v>
      </c>
      <c r="BN209" s="118">
        <f t="shared" si="83"/>
        <v>0.96779229666060385</v>
      </c>
      <c r="BO209" s="108">
        <f t="shared" si="84"/>
        <v>0.17843604803834573</v>
      </c>
      <c r="BP209" s="6" t="str">
        <f t="shared" si="85"/>
        <v>OK</v>
      </c>
      <c r="BQ209" s="16">
        <f t="shared" si="86"/>
        <v>127.25109874278135</v>
      </c>
      <c r="BR209" s="118">
        <f t="shared" si="87"/>
        <v>4.2387607289550546</v>
      </c>
      <c r="BS209" s="108">
        <f t="shared" si="88"/>
        <v>0</v>
      </c>
      <c r="BT209" s="118">
        <f t="shared" si="89"/>
        <v>1.1380619635522473</v>
      </c>
      <c r="BU209" s="108">
        <f t="shared" si="90"/>
        <v>0</v>
      </c>
      <c r="BV209" s="6" cm="1">
        <f t="array" ref="BV209">IF(AP209=0,FactorPhi7121(BR209,"a"),noisuy2chieu(BU209,BR209,Data!$A$63:$M$85))</f>
        <v>0.42299549615688942</v>
      </c>
      <c r="BW209" s="111">
        <v>1.26</v>
      </c>
      <c r="BX209" s="111">
        <f t="shared" si="91"/>
        <v>0.8711691866424156</v>
      </c>
      <c r="BY209" s="113">
        <f t="shared" si="92"/>
        <v>8.7546575611763072E-2</v>
      </c>
      <c r="BZ209" s="6" t="str">
        <f t="shared" si="93"/>
        <v>OK</v>
      </c>
      <c r="CA209" s="114">
        <f t="shared" si="94"/>
        <v>127.25109874278135</v>
      </c>
      <c r="CB209" s="115">
        <f t="shared" si="95"/>
        <v>150</v>
      </c>
      <c r="CC209" s="6" t="str">
        <f t="shared" si="96"/>
        <v>OK</v>
      </c>
      <c r="DG209" s="108"/>
      <c r="DH209" s="108"/>
      <c r="DI209" s="16"/>
      <c r="DJ209" s="108"/>
      <c r="DT209" s="6"/>
      <c r="DU209" s="6"/>
      <c r="DV209" s="111"/>
      <c r="DW209" s="111"/>
      <c r="DX209" s="111"/>
      <c r="DY209" s="111"/>
      <c r="DZ209" s="111"/>
      <c r="EA209" s="111"/>
      <c r="EB209" s="111"/>
      <c r="EC209" s="111"/>
      <c r="ED209" s="111"/>
      <c r="EE209" s="111"/>
      <c r="EF209" s="6"/>
      <c r="EG209" s="6"/>
      <c r="EH209" s="6"/>
      <c r="EI209" s="6"/>
      <c r="EJ209" s="6"/>
      <c r="EK209" s="6"/>
      <c r="EL209" s="112"/>
      <c r="EM209" s="112"/>
      <c r="EN209" s="118"/>
      <c r="EO209" s="118"/>
      <c r="EP209" s="112"/>
      <c r="EQ209" s="112"/>
      <c r="ER209" s="112"/>
      <c r="ES209" s="112"/>
      <c r="ET209" s="112"/>
      <c r="EU209" s="112"/>
      <c r="EV209" s="6"/>
      <c r="EW209" s="6"/>
      <c r="EX209" s="118"/>
      <c r="EY209" s="113"/>
      <c r="EZ209" s="6"/>
      <c r="FA209" s="114"/>
      <c r="FB209" s="115"/>
      <c r="FC209" s="6"/>
    </row>
    <row r="210" spans="27:159">
      <c r="AA210" s="79" t="s">
        <v>175</v>
      </c>
      <c r="AB210" s="80" t="s">
        <v>196</v>
      </c>
      <c r="AC210" s="81">
        <v>2.74</v>
      </c>
      <c r="AD210" s="81">
        <v>6</v>
      </c>
      <c r="AE210" s="80">
        <v>273</v>
      </c>
      <c r="AF210" s="80">
        <v>6.35</v>
      </c>
      <c r="AG210" s="108" cm="1">
        <f t="array" ref="AG210">_xll.DCEPropSectPipe(AE210, AF210, "Area")/100</f>
        <v>53.19431074856206</v>
      </c>
      <c r="AH210" s="16" cm="1">
        <f t="array" ref="AH210">_xll.DCEPropSectPipe(AE210, AF210, "Ix")/10000</f>
        <v>4730.4733077169503</v>
      </c>
      <c r="AI210" s="16" cm="1">
        <f t="array" ref="AI210">_xll.DCEPropSectPipe(AE210, AF210, "Wx")/1000</f>
        <v>346.55482107816493</v>
      </c>
      <c r="AJ210" s="108">
        <f t="shared" si="65"/>
        <v>9.4301739777164251</v>
      </c>
      <c r="AK210" s="80" t="s">
        <v>216</v>
      </c>
      <c r="AL210" s="82">
        <v>-85.835190417032265</v>
      </c>
      <c r="AM210" s="82">
        <v>9.7571275703563831</v>
      </c>
      <c r="AN210" s="82">
        <v>-1.9910746761999334</v>
      </c>
      <c r="AO210" s="82">
        <v>5.459526762140217</v>
      </c>
      <c r="AP210" s="82">
        <v>-26.754043797917198</v>
      </c>
      <c r="AQ210" s="82">
        <v>-0.15474294071681671</v>
      </c>
      <c r="AR210" s="72">
        <v>1</v>
      </c>
      <c r="AS210" s="116">
        <f t="shared" si="66"/>
        <v>6</v>
      </c>
      <c r="AT210" s="7">
        <v>2</v>
      </c>
      <c r="AU210" s="6">
        <f t="shared" si="67"/>
        <v>12</v>
      </c>
      <c r="AV210" s="111">
        <f t="shared" si="68"/>
        <v>7.0595699575761006E-2</v>
      </c>
      <c r="AW210" s="117">
        <f t="shared" si="69"/>
        <v>105</v>
      </c>
      <c r="AX210" s="111">
        <f t="shared" si="70"/>
        <v>1</v>
      </c>
      <c r="AY210" s="111">
        <f t="shared" si="71"/>
        <v>1</v>
      </c>
      <c r="AZ210" s="111">
        <f t="shared" si="72"/>
        <v>1</v>
      </c>
      <c r="BA210" s="111">
        <f t="shared" si="73"/>
        <v>7.4311262711327389E-2</v>
      </c>
      <c r="BB210" s="111">
        <f t="shared" si="74"/>
        <v>7.2550014970225507E-2</v>
      </c>
      <c r="BC210" s="111">
        <f t="shared" si="75"/>
        <v>0.3555264700803587</v>
      </c>
      <c r="BD210" s="111">
        <v>0</v>
      </c>
      <c r="BE210" s="111">
        <f t="shared" si="76"/>
        <v>0.50238774776191164</v>
      </c>
      <c r="BF210" s="6" t="str">
        <f t="shared" si="77"/>
        <v>OK</v>
      </c>
      <c r="BG210" s="16">
        <f t="shared" si="78"/>
        <v>63.625549371390676</v>
      </c>
      <c r="BH210" s="118">
        <f t="shared" si="79"/>
        <v>2.1193803644775273</v>
      </c>
      <c r="BI210" s="108">
        <f t="shared" si="80"/>
        <v>0.97629904705100112</v>
      </c>
      <c r="BJ210" s="6">
        <f t="shared" si="81"/>
        <v>1.2159075197253537</v>
      </c>
      <c r="BK210" s="108">
        <f t="shared" si="82"/>
        <v>1.1870893528100093</v>
      </c>
      <c r="BL210" s="118" cm="1">
        <f t="array" ref="BL210">IF(AO210=0,FactorPhi7121(BH210,"a"),noisuy2chieu(BK210,BH210,Data!$A$63:$M$85))</f>
        <v>0</v>
      </c>
      <c r="BM210" s="111">
        <v>1.26</v>
      </c>
      <c r="BN210" s="118">
        <f t="shared" si="83"/>
        <v>0.96829001335991394</v>
      </c>
      <c r="BO210" s="108" t="e">
        <f t="shared" si="84"/>
        <v>#DIV/0!</v>
      </c>
      <c r="BP210" s="6" t="e">
        <f t="shared" si="85"/>
        <v>#DIV/0!</v>
      </c>
      <c r="BQ210" s="16">
        <f t="shared" si="86"/>
        <v>127.25109874278135</v>
      </c>
      <c r="BR210" s="118">
        <f t="shared" si="87"/>
        <v>4.2387607289550546</v>
      </c>
      <c r="BS210" s="108">
        <f t="shared" si="88"/>
        <v>4.7842878334802572</v>
      </c>
      <c r="BT210" s="118">
        <f t="shared" si="89"/>
        <v>1.1016420857239704</v>
      </c>
      <c r="BU210" s="108">
        <f t="shared" si="90"/>
        <v>5.2705728275790058</v>
      </c>
      <c r="BV210" s="6" cm="1">
        <f t="array" ref="BV210">IF(AP210=0,FactorPhi7121(BR210,"a"),noisuy2chieu(BU210,BR210,Data!$A$63:$M$85))</f>
        <v>0</v>
      </c>
      <c r="BW210" s="111">
        <v>1.26</v>
      </c>
      <c r="BX210" s="111">
        <f t="shared" si="91"/>
        <v>0.87316005343965553</v>
      </c>
      <c r="BY210" s="113" t="e">
        <f t="shared" si="92"/>
        <v>#DIV/0!</v>
      </c>
      <c r="BZ210" s="6" t="e">
        <f t="shared" si="93"/>
        <v>#DIV/0!</v>
      </c>
      <c r="CA210" s="114">
        <f t="shared" si="94"/>
        <v>127.25109874278135</v>
      </c>
      <c r="CB210" s="115" t="e">
        <f t="shared" si="95"/>
        <v>#DIV/0!</v>
      </c>
      <c r="CC210" s="6" t="e">
        <f t="shared" si="96"/>
        <v>#DIV/0!</v>
      </c>
      <c r="DG210" s="108"/>
      <c r="DH210" s="108"/>
      <c r="DI210" s="16"/>
      <c r="DJ210" s="108"/>
      <c r="DT210" s="6"/>
      <c r="DU210" s="6"/>
      <c r="DV210" s="111"/>
      <c r="DW210" s="111"/>
      <c r="DX210" s="111"/>
      <c r="DY210" s="111"/>
      <c r="DZ210" s="111"/>
      <c r="EA210" s="111"/>
      <c r="EB210" s="111"/>
      <c r="EC210" s="111"/>
      <c r="ED210" s="111"/>
      <c r="EE210" s="111"/>
      <c r="EF210" s="6"/>
      <c r="EG210" s="6"/>
      <c r="EH210" s="6"/>
      <c r="EI210" s="6"/>
      <c r="EJ210" s="6"/>
      <c r="EK210" s="6"/>
      <c r="EL210" s="112"/>
      <c r="EM210" s="112"/>
      <c r="EN210" s="118"/>
      <c r="EO210" s="118"/>
      <c r="EP210" s="112"/>
      <c r="EQ210" s="112"/>
      <c r="ER210" s="112"/>
      <c r="ES210" s="112"/>
      <c r="ET210" s="112"/>
      <c r="EU210" s="112"/>
      <c r="EV210" s="6"/>
      <c r="EW210" s="6"/>
      <c r="EX210" s="118"/>
      <c r="EY210" s="113"/>
      <c r="EZ210" s="6"/>
      <c r="FA210" s="114"/>
      <c r="FB210" s="115"/>
      <c r="FC210" s="6"/>
    </row>
    <row r="211" spans="27:159">
      <c r="AA211" s="79" t="s">
        <v>175</v>
      </c>
      <c r="AB211" s="80" t="s">
        <v>196</v>
      </c>
      <c r="AC211" s="81">
        <v>5.48</v>
      </c>
      <c r="AD211" s="81">
        <v>6</v>
      </c>
      <c r="AE211" s="80">
        <v>273</v>
      </c>
      <c r="AF211" s="80">
        <v>6.35</v>
      </c>
      <c r="AG211" s="108" cm="1">
        <f t="array" ref="AG211">_xll.DCEPropSectPipe(AE211, AF211, "Area")/100</f>
        <v>53.19431074856206</v>
      </c>
      <c r="AH211" s="16" cm="1">
        <f t="array" ref="AH211">_xll.DCEPropSectPipe(AE211, AF211, "Ix")/10000</f>
        <v>4730.4733077169503</v>
      </c>
      <c r="AI211" s="16" cm="1">
        <f t="array" ref="AI211">_xll.DCEPropSectPipe(AE211, AF211, "Wx")/1000</f>
        <v>346.55482107816493</v>
      </c>
      <c r="AJ211" s="108">
        <f t="shared" si="65"/>
        <v>9.4301739777164251</v>
      </c>
      <c r="AK211" s="80" t="s">
        <v>216</v>
      </c>
      <c r="AL211" s="82">
        <v>-84.48793006830023</v>
      </c>
      <c r="AM211" s="82">
        <v>9.7571275703563831</v>
      </c>
      <c r="AN211" s="82">
        <v>-1.9910746761999334</v>
      </c>
      <c r="AO211" s="82">
        <v>10.919053524280434</v>
      </c>
      <c r="AP211" s="82">
        <v>-53.508087595834397</v>
      </c>
      <c r="AQ211" s="82">
        <v>-0.15474294071681671</v>
      </c>
      <c r="AR211" s="72">
        <v>1</v>
      </c>
      <c r="AS211" s="116">
        <f t="shared" si="66"/>
        <v>6</v>
      </c>
      <c r="AT211" s="7">
        <v>2</v>
      </c>
      <c r="AU211" s="6">
        <f t="shared" si="67"/>
        <v>12</v>
      </c>
      <c r="AV211" s="111">
        <f t="shared" si="68"/>
        <v>6.9487636712880135E-2</v>
      </c>
      <c r="AW211" s="117">
        <f t="shared" si="69"/>
        <v>105</v>
      </c>
      <c r="AX211" s="111">
        <f t="shared" si="70"/>
        <v>1</v>
      </c>
      <c r="AY211" s="111">
        <f t="shared" si="71"/>
        <v>1</v>
      </c>
      <c r="AZ211" s="111">
        <f t="shared" si="72"/>
        <v>1</v>
      </c>
      <c r="BA211" s="111">
        <f t="shared" si="73"/>
        <v>7.3144880750400154E-2</v>
      </c>
      <c r="BB211" s="111">
        <f t="shared" si="74"/>
        <v>0.14510002994045101</v>
      </c>
      <c r="BC211" s="111">
        <f t="shared" si="75"/>
        <v>0.71105294016071741</v>
      </c>
      <c r="BD211" s="111">
        <v>0</v>
      </c>
      <c r="BE211" s="111">
        <f t="shared" si="76"/>
        <v>0.92929785085156857</v>
      </c>
      <c r="BF211" s="6" t="str">
        <f t="shared" si="77"/>
        <v>OK</v>
      </c>
      <c r="BG211" s="16">
        <f t="shared" si="78"/>
        <v>63.625549371390676</v>
      </c>
      <c r="BH211" s="118">
        <f t="shared" si="79"/>
        <v>2.1193803644775273</v>
      </c>
      <c r="BI211" s="108">
        <f t="shared" si="80"/>
        <v>1.9837345888305</v>
      </c>
      <c r="BJ211" s="6">
        <f t="shared" si="81"/>
        <v>1.1868871336936213</v>
      </c>
      <c r="BK211" s="108">
        <f t="shared" si="82"/>
        <v>2.3544690601459264</v>
      </c>
      <c r="BL211" s="118" cm="1">
        <f t="array" ref="BL211">IF(AO211=0,FactorPhi7121(BH211,"a"),noisuy2chieu(BK211,BH211,Data!$A$63:$M$85))</f>
        <v>0</v>
      </c>
      <c r="BM211" s="111">
        <v>1.26</v>
      </c>
      <c r="BN211" s="118">
        <f t="shared" si="83"/>
        <v>0.96878773005922392</v>
      </c>
      <c r="BO211" s="108" t="e">
        <f t="shared" si="84"/>
        <v>#DIV/0!</v>
      </c>
      <c r="BP211" s="6" t="e">
        <f t="shared" si="85"/>
        <v>#DIV/0!</v>
      </c>
      <c r="BQ211" s="16">
        <f t="shared" si="86"/>
        <v>127.25109874278135</v>
      </c>
      <c r="BR211" s="118">
        <f t="shared" si="87"/>
        <v>4.2387607289550546</v>
      </c>
      <c r="BS211" s="108">
        <f t="shared" si="88"/>
        <v>9.7211579657517948</v>
      </c>
      <c r="BT211" s="118">
        <f t="shared" si="89"/>
        <v>1.1000000000000001</v>
      </c>
      <c r="BU211" s="108">
        <f t="shared" si="90"/>
        <v>10.693273762326974</v>
      </c>
      <c r="BV211" s="6" cm="1">
        <f t="array" ref="BV211">IF(AP211=0,FactorPhi7121(BR211,"a"),noisuy2chieu(BU211,BR211,Data!$A$63:$M$85))</f>
        <v>0</v>
      </c>
      <c r="BW211" s="111">
        <v>1.26</v>
      </c>
      <c r="BX211" s="111">
        <f t="shared" si="91"/>
        <v>0.87515092023689556</v>
      </c>
      <c r="BY211" s="113" t="e">
        <f t="shared" si="92"/>
        <v>#DIV/0!</v>
      </c>
      <c r="BZ211" s="6" t="e">
        <f t="shared" si="93"/>
        <v>#DIV/0!</v>
      </c>
      <c r="CA211" s="114">
        <f t="shared" si="94"/>
        <v>127.25109874278135</v>
      </c>
      <c r="CB211" s="115" t="e">
        <f t="shared" si="95"/>
        <v>#DIV/0!</v>
      </c>
      <c r="CC211" s="6" t="e">
        <f t="shared" si="96"/>
        <v>#DIV/0!</v>
      </c>
      <c r="DG211" s="108"/>
      <c r="DH211" s="108"/>
      <c r="DI211" s="16"/>
      <c r="DJ211" s="108"/>
      <c r="DT211" s="6"/>
      <c r="DU211" s="6"/>
      <c r="DV211" s="111"/>
      <c r="DW211" s="111"/>
      <c r="DX211" s="111"/>
      <c r="DY211" s="111"/>
      <c r="DZ211" s="111"/>
      <c r="EA211" s="111"/>
      <c r="EB211" s="111"/>
      <c r="EC211" s="111"/>
      <c r="ED211" s="111"/>
      <c r="EE211" s="111"/>
      <c r="EF211" s="6"/>
      <c r="EG211" s="6"/>
      <c r="EH211" s="6"/>
      <c r="EI211" s="6"/>
      <c r="EJ211" s="6"/>
      <c r="EK211" s="6"/>
      <c r="EL211" s="112"/>
      <c r="EM211" s="112"/>
      <c r="EN211" s="118"/>
      <c r="EO211" s="118"/>
      <c r="EP211" s="112"/>
      <c r="EQ211" s="112"/>
      <c r="ER211" s="112"/>
      <c r="ES211" s="112"/>
      <c r="ET211" s="112"/>
      <c r="EU211" s="112"/>
      <c r="EV211" s="6"/>
      <c r="EW211" s="6"/>
      <c r="EX211" s="118"/>
      <c r="EY211" s="113"/>
      <c r="EZ211" s="6"/>
      <c r="FA211" s="114"/>
      <c r="FB211" s="115"/>
      <c r="FC211" s="6"/>
    </row>
    <row r="212" spans="27:159">
      <c r="AA212" s="79" t="s">
        <v>175</v>
      </c>
      <c r="AB212" s="80" t="s">
        <v>196</v>
      </c>
      <c r="AC212" s="81">
        <v>0</v>
      </c>
      <c r="AD212" s="81">
        <v>6</v>
      </c>
      <c r="AE212" s="80">
        <v>273</v>
      </c>
      <c r="AF212" s="80">
        <v>6.35</v>
      </c>
      <c r="AG212" s="108" cm="1">
        <f t="array" ref="AG212">_xll.DCEPropSectPipe(AE212, AF212, "Area")/100</f>
        <v>53.19431074856206</v>
      </c>
      <c r="AH212" s="16" cm="1">
        <f t="array" ref="AH212">_xll.DCEPropSectPipe(AE212, AF212, "Ix")/10000</f>
        <v>4730.4733077169503</v>
      </c>
      <c r="AI212" s="16" cm="1">
        <f t="array" ref="AI212">_xll.DCEPropSectPipe(AE212, AF212, "Wx")/1000</f>
        <v>346.55482107816493</v>
      </c>
      <c r="AJ212" s="108">
        <f t="shared" si="65"/>
        <v>9.4301739777164251</v>
      </c>
      <c r="AK212" s="80" t="s">
        <v>217</v>
      </c>
      <c r="AL212" s="82">
        <v>-15.32166204272983</v>
      </c>
      <c r="AM212" s="82">
        <v>0.27422106109198641</v>
      </c>
      <c r="AN212" s="82">
        <v>-0.11159768605047779</v>
      </c>
      <c r="AO212" s="82">
        <v>0</v>
      </c>
      <c r="AP212" s="82">
        <v>0</v>
      </c>
      <c r="AQ212" s="82">
        <v>-4.6664974236687945E-2</v>
      </c>
      <c r="AR212" s="72">
        <v>1</v>
      </c>
      <c r="AS212" s="116">
        <f t="shared" si="66"/>
        <v>6</v>
      </c>
      <c r="AT212" s="7">
        <v>2</v>
      </c>
      <c r="AU212" s="6">
        <f t="shared" si="67"/>
        <v>12</v>
      </c>
      <c r="AV212" s="111">
        <f t="shared" si="68"/>
        <v>1.2601398625839892E-2</v>
      </c>
      <c r="AW212" s="117">
        <f t="shared" si="69"/>
        <v>105</v>
      </c>
      <c r="AX212" s="111">
        <f t="shared" si="70"/>
        <v>1</v>
      </c>
      <c r="AY212" s="111">
        <f t="shared" si="71"/>
        <v>1</v>
      </c>
      <c r="AZ212" s="111">
        <f t="shared" si="72"/>
        <v>1</v>
      </c>
      <c r="BA212" s="111">
        <f t="shared" si="73"/>
        <v>1.3264630132463047E-2</v>
      </c>
      <c r="BB212" s="111">
        <f t="shared" si="74"/>
        <v>0</v>
      </c>
      <c r="BC212" s="111">
        <f t="shared" si="75"/>
        <v>0</v>
      </c>
      <c r="BD212" s="111">
        <v>0</v>
      </c>
      <c r="BE212" s="111">
        <f t="shared" si="76"/>
        <v>1.3264630132463047E-2</v>
      </c>
      <c r="BF212" s="6" t="str">
        <f t="shared" si="77"/>
        <v>OK</v>
      </c>
      <c r="BG212" s="16">
        <f t="shared" si="78"/>
        <v>63.625549371390676</v>
      </c>
      <c r="BH212" s="118">
        <f t="shared" si="79"/>
        <v>2.1193803644775273</v>
      </c>
      <c r="BI212" s="108">
        <f t="shared" si="80"/>
        <v>0</v>
      </c>
      <c r="BJ212" s="6">
        <f t="shared" si="81"/>
        <v>1.2440309817761237</v>
      </c>
      <c r="BK212" s="108">
        <f t="shared" si="82"/>
        <v>0</v>
      </c>
      <c r="BL212" s="118" cm="1">
        <f t="array" ref="BL212">IF(AO212=0,FactorPhi7121(BH212,"a"),noisuy2chieu(BK212,BH212,Data!$A$63:$M$85))</f>
        <v>0.86214274110469236</v>
      </c>
      <c r="BM212" s="111">
        <v>1.26</v>
      </c>
      <c r="BN212" s="118">
        <f t="shared" si="83"/>
        <v>0.994339737626044</v>
      </c>
      <c r="BO212" s="108">
        <f t="shared" si="84"/>
        <v>3.1358797559260965E-2</v>
      </c>
      <c r="BP212" s="6" t="str">
        <f t="shared" si="85"/>
        <v>OK</v>
      </c>
      <c r="BQ212" s="16">
        <f t="shared" si="86"/>
        <v>127.25109874278135</v>
      </c>
      <c r="BR212" s="118">
        <f t="shared" si="87"/>
        <v>4.2387607289550546</v>
      </c>
      <c r="BS212" s="108">
        <f t="shared" si="88"/>
        <v>0</v>
      </c>
      <c r="BT212" s="118">
        <f t="shared" si="89"/>
        <v>1.1380619635522473</v>
      </c>
      <c r="BU212" s="108">
        <f t="shared" si="90"/>
        <v>0</v>
      </c>
      <c r="BV212" s="6" cm="1">
        <f t="array" ref="BV212">IF(AP212=0,FactorPhi7121(BR212,"a"),noisuy2chieu(BU212,BR212,Data!$A$63:$M$85))</f>
        <v>0.42299549615688942</v>
      </c>
      <c r="BW212" s="111">
        <v>1.26</v>
      </c>
      <c r="BX212" s="111">
        <f t="shared" si="91"/>
        <v>0.97735895050417598</v>
      </c>
      <c r="BY212" s="113">
        <f t="shared" si="92"/>
        <v>1.5385654254267257E-2</v>
      </c>
      <c r="BZ212" s="6" t="str">
        <f t="shared" si="93"/>
        <v>OK</v>
      </c>
      <c r="CA212" s="114">
        <f t="shared" si="94"/>
        <v>127.25109874278135</v>
      </c>
      <c r="CB212" s="115">
        <f t="shared" si="95"/>
        <v>150</v>
      </c>
      <c r="CC212" s="6" t="str">
        <f t="shared" si="96"/>
        <v>OK</v>
      </c>
      <c r="DG212" s="108"/>
      <c r="DH212" s="108"/>
      <c r="DI212" s="16"/>
      <c r="DJ212" s="108"/>
      <c r="DT212" s="6"/>
      <c r="DU212" s="6"/>
      <c r="DV212" s="111"/>
      <c r="DW212" s="111"/>
      <c r="DX212" s="111"/>
      <c r="DY212" s="111"/>
      <c r="DZ212" s="111"/>
      <c r="EA212" s="111"/>
      <c r="EB212" s="111"/>
      <c r="EC212" s="111"/>
      <c r="ED212" s="111"/>
      <c r="EE212" s="111"/>
      <c r="EF212" s="6"/>
      <c r="EG212" s="6"/>
      <c r="EH212" s="6"/>
      <c r="EI212" s="6"/>
      <c r="EJ212" s="6"/>
      <c r="EK212" s="6"/>
      <c r="EL212" s="112"/>
      <c r="EM212" s="112"/>
      <c r="EN212" s="118"/>
      <c r="EO212" s="118"/>
      <c r="EP212" s="112"/>
      <c r="EQ212" s="112"/>
      <c r="ER212" s="112"/>
      <c r="ES212" s="112"/>
      <c r="ET212" s="112"/>
      <c r="EU212" s="112"/>
      <c r="EV212" s="6"/>
      <c r="EW212" s="6"/>
      <c r="EX212" s="118"/>
      <c r="EY212" s="113"/>
      <c r="EZ212" s="6"/>
      <c r="FA212" s="114"/>
      <c r="FB212" s="115"/>
      <c r="FC212" s="6"/>
    </row>
    <row r="213" spans="27:159">
      <c r="AA213" s="79" t="s">
        <v>175</v>
      </c>
      <c r="AB213" s="80" t="s">
        <v>196</v>
      </c>
      <c r="AC213" s="81">
        <v>2.74</v>
      </c>
      <c r="AD213" s="81">
        <v>6</v>
      </c>
      <c r="AE213" s="80">
        <v>273</v>
      </c>
      <c r="AF213" s="80">
        <v>6.35</v>
      </c>
      <c r="AG213" s="108" cm="1">
        <f t="array" ref="AG213">_xll.DCEPropSectPipe(AE213, AF213, "Area")/100</f>
        <v>53.19431074856206</v>
      </c>
      <c r="AH213" s="16" cm="1">
        <f t="array" ref="AH213">_xll.DCEPropSectPipe(AE213, AF213, "Ix")/10000</f>
        <v>4730.4733077169503</v>
      </c>
      <c r="AI213" s="16" cm="1">
        <f t="array" ref="AI213">_xll.DCEPropSectPipe(AE213, AF213, "Wx")/1000</f>
        <v>346.55482107816493</v>
      </c>
      <c r="AJ213" s="108">
        <f t="shared" si="65"/>
        <v>9.4301739777164251</v>
      </c>
      <c r="AK213" s="80" t="s">
        <v>217</v>
      </c>
      <c r="AL213" s="82">
        <v>-13.9744016939978</v>
      </c>
      <c r="AM213" s="82">
        <v>0.27422106109198641</v>
      </c>
      <c r="AN213" s="82">
        <v>-0.11159768605047779</v>
      </c>
      <c r="AO213" s="82">
        <v>0.30600085515040992</v>
      </c>
      <c r="AP213" s="82">
        <v>-0.75191414951422786</v>
      </c>
      <c r="AQ213" s="82">
        <v>-4.6664974236687945E-2</v>
      </c>
      <c r="AR213" s="72">
        <v>1</v>
      </c>
      <c r="AS213" s="116">
        <f t="shared" si="66"/>
        <v>6</v>
      </c>
      <c r="AT213" s="7">
        <v>2</v>
      </c>
      <c r="AU213" s="6">
        <f t="shared" si="67"/>
        <v>12</v>
      </c>
      <c r="AV213" s="111">
        <f t="shared" si="68"/>
        <v>1.1493335762959023E-2</v>
      </c>
      <c r="AW213" s="117">
        <f t="shared" si="69"/>
        <v>105</v>
      </c>
      <c r="AX213" s="111">
        <f t="shared" si="70"/>
        <v>1</v>
      </c>
      <c r="AY213" s="111">
        <f t="shared" si="71"/>
        <v>1</v>
      </c>
      <c r="AZ213" s="111">
        <f t="shared" si="72"/>
        <v>1</v>
      </c>
      <c r="BA213" s="111">
        <f t="shared" si="73"/>
        <v>1.2098248171535812E-2</v>
      </c>
      <c r="BB213" s="111">
        <f t="shared" si="74"/>
        <v>4.0663536583455022E-3</v>
      </c>
      <c r="BC213" s="111">
        <f t="shared" si="75"/>
        <v>9.991961790878124E-3</v>
      </c>
      <c r="BD213" s="111">
        <v>0</v>
      </c>
      <c r="BE213" s="111">
        <f t="shared" si="76"/>
        <v>2.6156563620759438E-2</v>
      </c>
      <c r="BF213" s="6" t="str">
        <f t="shared" si="77"/>
        <v>OK</v>
      </c>
      <c r="BG213" s="16">
        <f t="shared" si="78"/>
        <v>63.625549371390676</v>
      </c>
      <c r="BH213" s="118">
        <f t="shared" si="79"/>
        <v>2.1193803644775273</v>
      </c>
      <c r="BI213" s="108">
        <f t="shared" si="80"/>
        <v>0.33611094769180117</v>
      </c>
      <c r="BJ213" s="6">
        <f t="shared" si="81"/>
        <v>1.234348903819773</v>
      </c>
      <c r="BK213" s="108">
        <f t="shared" si="82"/>
        <v>0.41487817984519981</v>
      </c>
      <c r="BL213" s="118" cm="1">
        <f t="array" ref="BL213">IF(AO213=0,FactorPhi7121(BH213,"a"),noisuy2chieu(BK213,BH213,Data!$A$63:$M$85))</f>
        <v>0</v>
      </c>
      <c r="BM213" s="111">
        <v>1.26</v>
      </c>
      <c r="BN213" s="118">
        <f t="shared" si="83"/>
        <v>0.99483745432535398</v>
      </c>
      <c r="BO213" s="108" t="e">
        <f t="shared" si="84"/>
        <v>#DIV/0!</v>
      </c>
      <c r="BP213" s="6" t="e">
        <f t="shared" si="85"/>
        <v>#DIV/0!</v>
      </c>
      <c r="BQ213" s="16">
        <f t="shared" si="86"/>
        <v>127.25109874278135</v>
      </c>
      <c r="BR213" s="118">
        <f t="shared" si="87"/>
        <v>4.2387607289550546</v>
      </c>
      <c r="BS213" s="108">
        <f t="shared" si="88"/>
        <v>0.82590153956229306</v>
      </c>
      <c r="BT213" s="118">
        <f t="shared" si="89"/>
        <v>1.1317748766929343</v>
      </c>
      <c r="BU213" s="108">
        <f t="shared" si="90"/>
        <v>0.93473461309861883</v>
      </c>
      <c r="BV213" s="6" cm="1">
        <f t="array" ref="BV213">IF(AP213=0,FactorPhi7121(BR213,"a"),noisuy2chieu(BU213,BR213,Data!$A$63:$M$85))</f>
        <v>0</v>
      </c>
      <c r="BW213" s="111">
        <v>1.26</v>
      </c>
      <c r="BX213" s="111">
        <f t="shared" si="91"/>
        <v>0.9793498173014159</v>
      </c>
      <c r="BY213" s="113" t="e">
        <f t="shared" si="92"/>
        <v>#DIV/0!</v>
      </c>
      <c r="BZ213" s="6" t="e">
        <f t="shared" si="93"/>
        <v>#DIV/0!</v>
      </c>
      <c r="CA213" s="114">
        <f t="shared" si="94"/>
        <v>127.25109874278135</v>
      </c>
      <c r="CB213" s="115" t="e">
        <f t="shared" si="95"/>
        <v>#DIV/0!</v>
      </c>
      <c r="CC213" s="6" t="e">
        <f t="shared" si="96"/>
        <v>#DIV/0!</v>
      </c>
      <c r="DG213" s="108"/>
      <c r="DH213" s="108"/>
      <c r="DI213" s="16"/>
      <c r="DJ213" s="108"/>
      <c r="DT213" s="6"/>
      <c r="DU213" s="6"/>
      <c r="DV213" s="111"/>
      <c r="DW213" s="111"/>
      <c r="DX213" s="111"/>
      <c r="DY213" s="111"/>
      <c r="DZ213" s="111"/>
      <c r="EA213" s="111"/>
      <c r="EB213" s="111"/>
      <c r="EC213" s="111"/>
      <c r="ED213" s="111"/>
      <c r="EE213" s="111"/>
      <c r="EF213" s="6"/>
      <c r="EG213" s="6"/>
      <c r="EH213" s="6"/>
      <c r="EI213" s="6"/>
      <c r="EJ213" s="6"/>
      <c r="EK213" s="6"/>
      <c r="EL213" s="112"/>
      <c r="EM213" s="112"/>
      <c r="EN213" s="118"/>
      <c r="EO213" s="118"/>
      <c r="EP213" s="112"/>
      <c r="EQ213" s="112"/>
      <c r="ER213" s="112"/>
      <c r="ES213" s="112"/>
      <c r="ET213" s="112"/>
      <c r="EU213" s="112"/>
      <c r="EV213" s="6"/>
      <c r="EW213" s="6"/>
      <c r="EX213" s="118"/>
      <c r="EY213" s="113"/>
      <c r="EZ213" s="6"/>
      <c r="FA213" s="114"/>
      <c r="FB213" s="115"/>
      <c r="FC213" s="6"/>
    </row>
    <row r="214" spans="27:159">
      <c r="AA214" s="79" t="s">
        <v>175</v>
      </c>
      <c r="AB214" s="80" t="s">
        <v>196</v>
      </c>
      <c r="AC214" s="81">
        <v>5.48</v>
      </c>
      <c r="AD214" s="81">
        <v>6</v>
      </c>
      <c r="AE214" s="80">
        <v>273</v>
      </c>
      <c r="AF214" s="80">
        <v>6.35</v>
      </c>
      <c r="AG214" s="108" cm="1">
        <f t="array" ref="AG214">_xll.DCEPropSectPipe(AE214, AF214, "Area")/100</f>
        <v>53.19431074856206</v>
      </c>
      <c r="AH214" s="16" cm="1">
        <f t="array" ref="AH214">_xll.DCEPropSectPipe(AE214, AF214, "Ix")/10000</f>
        <v>4730.4733077169503</v>
      </c>
      <c r="AI214" s="16" cm="1">
        <f t="array" ref="AI214">_xll.DCEPropSectPipe(AE214, AF214, "Wx")/1000</f>
        <v>346.55482107816493</v>
      </c>
      <c r="AJ214" s="108">
        <f t="shared" si="65"/>
        <v>9.4301739777164251</v>
      </c>
      <c r="AK214" s="80" t="s">
        <v>217</v>
      </c>
      <c r="AL214" s="82">
        <v>-12.62714134526577</v>
      </c>
      <c r="AM214" s="82">
        <v>0.27422106109198641</v>
      </c>
      <c r="AN214" s="82">
        <v>-0.11159768605047779</v>
      </c>
      <c r="AO214" s="82">
        <v>0.61200171030081985</v>
      </c>
      <c r="AP214" s="82">
        <v>-1.5038282990284557</v>
      </c>
      <c r="AQ214" s="82">
        <v>-4.6664974236687945E-2</v>
      </c>
      <c r="AR214" s="72">
        <v>1</v>
      </c>
      <c r="AS214" s="116">
        <f t="shared" si="66"/>
        <v>6</v>
      </c>
      <c r="AT214" s="7">
        <v>2</v>
      </c>
      <c r="AU214" s="6">
        <f t="shared" si="67"/>
        <v>12</v>
      </c>
      <c r="AV214" s="111">
        <f t="shared" si="68"/>
        <v>1.0385272900078152E-2</v>
      </c>
      <c r="AW214" s="117">
        <f t="shared" si="69"/>
        <v>105</v>
      </c>
      <c r="AX214" s="111">
        <f t="shared" si="70"/>
        <v>1</v>
      </c>
      <c r="AY214" s="111">
        <f t="shared" si="71"/>
        <v>1</v>
      </c>
      <c r="AZ214" s="111">
        <f t="shared" si="72"/>
        <v>1</v>
      </c>
      <c r="BA214" s="111">
        <f t="shared" si="73"/>
        <v>1.0931866210608581E-2</v>
      </c>
      <c r="BB214" s="111">
        <f t="shared" si="74"/>
        <v>8.1327073166910045E-3</v>
      </c>
      <c r="BC214" s="111">
        <f t="shared" si="75"/>
        <v>1.9983923581756248E-2</v>
      </c>
      <c r="BD214" s="111">
        <v>0</v>
      </c>
      <c r="BE214" s="111">
        <f t="shared" si="76"/>
        <v>3.9048497109055835E-2</v>
      </c>
      <c r="BF214" s="6" t="str">
        <f t="shared" si="77"/>
        <v>OK</v>
      </c>
      <c r="BG214" s="16">
        <f t="shared" si="78"/>
        <v>63.625549371390676</v>
      </c>
      <c r="BH214" s="118">
        <f t="shared" si="79"/>
        <v>2.1193803644775273</v>
      </c>
      <c r="BI214" s="108">
        <f t="shared" si="80"/>
        <v>0.74394500993790091</v>
      </c>
      <c r="BJ214" s="6">
        <f t="shared" si="81"/>
        <v>1.2226007557423628</v>
      </c>
      <c r="BK214" s="108">
        <f t="shared" si="82"/>
        <v>0.90954773138083733</v>
      </c>
      <c r="BL214" s="118" cm="1">
        <f t="array" ref="BL214">IF(AO214=0,FactorPhi7121(BH214,"a"),noisuy2chieu(BK214,BH214,Data!$A$63:$M$85))</f>
        <v>0</v>
      </c>
      <c r="BM214" s="111">
        <v>1.26</v>
      </c>
      <c r="BN214" s="118">
        <f t="shared" si="83"/>
        <v>0.99533517102466396</v>
      </c>
      <c r="BO214" s="108" t="e">
        <f t="shared" si="84"/>
        <v>#DIV/0!</v>
      </c>
      <c r="BP214" s="6" t="e">
        <f t="shared" si="85"/>
        <v>#DIV/0!</v>
      </c>
      <c r="BQ214" s="16">
        <f t="shared" si="86"/>
        <v>127.25109874278135</v>
      </c>
      <c r="BR214" s="118">
        <f t="shared" si="87"/>
        <v>4.2387607289550546</v>
      </c>
      <c r="BS214" s="108">
        <f t="shared" si="88"/>
        <v>1.8280431901337491</v>
      </c>
      <c r="BT214" s="118">
        <f t="shared" si="89"/>
        <v>1.1241461808972866</v>
      </c>
      <c r="BU214" s="108">
        <f t="shared" si="90"/>
        <v>2.0549877707041464</v>
      </c>
      <c r="BV214" s="6" cm="1">
        <f t="array" ref="BV214">IF(AP214=0,FactorPhi7121(BR214,"a"),noisuy2chieu(BU214,BR214,Data!$A$63:$M$85))</f>
        <v>0</v>
      </c>
      <c r="BW214" s="111">
        <v>1.26</v>
      </c>
      <c r="BX214" s="111">
        <f t="shared" si="91"/>
        <v>0.98134068409865594</v>
      </c>
      <c r="BY214" s="113" t="e">
        <f t="shared" si="92"/>
        <v>#DIV/0!</v>
      </c>
      <c r="BZ214" s="6" t="e">
        <f t="shared" si="93"/>
        <v>#DIV/0!</v>
      </c>
      <c r="CA214" s="114">
        <f t="shared" si="94"/>
        <v>127.25109874278135</v>
      </c>
      <c r="CB214" s="115" t="e">
        <f t="shared" si="95"/>
        <v>#DIV/0!</v>
      </c>
      <c r="CC214" s="6" t="e">
        <f t="shared" si="96"/>
        <v>#DIV/0!</v>
      </c>
      <c r="DG214" s="108"/>
      <c r="DH214" s="108"/>
      <c r="DI214" s="16"/>
      <c r="DJ214" s="108"/>
      <c r="DT214" s="6"/>
      <c r="DU214" s="6"/>
      <c r="DV214" s="111"/>
      <c r="DW214" s="111"/>
      <c r="DX214" s="111"/>
      <c r="DY214" s="111"/>
      <c r="DZ214" s="111"/>
      <c r="EA214" s="111"/>
      <c r="EB214" s="111"/>
      <c r="EC214" s="111"/>
      <c r="ED214" s="111"/>
      <c r="EE214" s="111"/>
      <c r="EF214" s="6"/>
      <c r="EG214" s="6"/>
      <c r="EH214" s="6"/>
      <c r="EI214" s="6"/>
      <c r="EJ214" s="6"/>
      <c r="EK214" s="6"/>
      <c r="EL214" s="112"/>
      <c r="EM214" s="112"/>
      <c r="EN214" s="118"/>
      <c r="EO214" s="118"/>
      <c r="EP214" s="112"/>
      <c r="EQ214" s="112"/>
      <c r="ER214" s="112"/>
      <c r="ES214" s="112"/>
      <c r="ET214" s="112"/>
      <c r="EU214" s="112"/>
      <c r="EV214" s="6"/>
      <c r="EW214" s="6"/>
      <c r="EX214" s="118"/>
      <c r="EY214" s="113"/>
      <c r="EZ214" s="6"/>
      <c r="FA214" s="114"/>
      <c r="FB214" s="115"/>
      <c r="FC214" s="6"/>
    </row>
    <row r="215" spans="27:159">
      <c r="AA215" s="79" t="s">
        <v>175</v>
      </c>
      <c r="AB215" s="80" t="s">
        <v>196</v>
      </c>
      <c r="AC215" s="81">
        <v>0</v>
      </c>
      <c r="AD215" s="81">
        <v>6</v>
      </c>
      <c r="AE215" s="80">
        <v>273</v>
      </c>
      <c r="AF215" s="80">
        <v>6.35</v>
      </c>
      <c r="AG215" s="108" cm="1">
        <f t="array" ref="AG215">_xll.DCEPropSectPipe(AE215, AF215, "Area")/100</f>
        <v>53.19431074856206</v>
      </c>
      <c r="AH215" s="16" cm="1">
        <f t="array" ref="AH215">_xll.DCEPropSectPipe(AE215, AF215, "Ix")/10000</f>
        <v>4730.4733077169503</v>
      </c>
      <c r="AI215" s="16" cm="1">
        <f t="array" ref="AI215">_xll.DCEPropSectPipe(AE215, AF215, "Wx")/1000</f>
        <v>346.55482107816493</v>
      </c>
      <c r="AJ215" s="108">
        <f t="shared" si="65"/>
        <v>9.4301739777164251</v>
      </c>
      <c r="AK215" s="80" t="s">
        <v>218</v>
      </c>
      <c r="AL215" s="82">
        <v>0.48982523825056695</v>
      </c>
      <c r="AM215" s="82">
        <v>0.20911801720412126</v>
      </c>
      <c r="AN215" s="82">
        <v>1.2856929855902874E-2</v>
      </c>
      <c r="AO215" s="82">
        <v>0</v>
      </c>
      <c r="AP215" s="82">
        <v>0</v>
      </c>
      <c r="AQ215" s="82">
        <v>4.3083849630109868E-2</v>
      </c>
      <c r="AR215" s="72">
        <v>1</v>
      </c>
      <c r="AS215" s="116">
        <f t="shared" si="66"/>
        <v>6</v>
      </c>
      <c r="AT215" s="7">
        <v>2</v>
      </c>
      <c r="AU215" s="6">
        <f t="shared" si="67"/>
        <v>12</v>
      </c>
      <c r="AV215" s="111">
        <f t="shared" si="68"/>
        <v>4.028598899374139E-4</v>
      </c>
      <c r="AW215" s="117">
        <f t="shared" si="69"/>
        <v>105</v>
      </c>
      <c r="AX215" s="111">
        <f t="shared" si="70"/>
        <v>1</v>
      </c>
      <c r="AY215" s="111">
        <f t="shared" si="71"/>
        <v>1</v>
      </c>
      <c r="AZ215" s="111">
        <f t="shared" si="72"/>
        <v>1</v>
      </c>
      <c r="BA215" s="111">
        <f t="shared" si="73"/>
        <v>4.2406304203938312E-4</v>
      </c>
      <c r="BB215" s="111">
        <f t="shared" si="74"/>
        <v>0</v>
      </c>
      <c r="BC215" s="111">
        <f t="shared" si="75"/>
        <v>0</v>
      </c>
      <c r="BD215" s="111">
        <v>0</v>
      </c>
      <c r="BE215" s="111">
        <f t="shared" si="76"/>
        <v>4.2406304203938312E-4</v>
      </c>
      <c r="BF215" s="6" t="str">
        <f t="shared" si="77"/>
        <v>OK</v>
      </c>
      <c r="BG215" s="16">
        <f t="shared" si="78"/>
        <v>63.625549371390676</v>
      </c>
      <c r="BH215" s="118">
        <f t="shared" si="79"/>
        <v>2.1193803644775273</v>
      </c>
      <c r="BI215" s="108">
        <f t="shared" si="80"/>
        <v>0</v>
      </c>
      <c r="BJ215" s="6">
        <f t="shared" si="81"/>
        <v>1.2440309817761237</v>
      </c>
      <c r="BK215" s="108">
        <f t="shared" si="82"/>
        <v>0</v>
      </c>
      <c r="BL215" s="118" cm="1">
        <f t="array" ref="BL215">IF(AO215=0,FactorPhi7121(BH215,"a"),noisuy2chieu(BK215,BH215,Data!$A$63:$M$85))</f>
        <v>0.86214274110469236</v>
      </c>
      <c r="BM215" s="111">
        <v>1.26</v>
      </c>
      <c r="BN215" s="118">
        <f t="shared" si="83"/>
        <v>0.99981904447714931</v>
      </c>
      <c r="BO215" s="108">
        <f t="shared" si="84"/>
        <v>1.002523776002801E-3</v>
      </c>
      <c r="BP215" s="6" t="str">
        <f t="shared" si="85"/>
        <v>OK</v>
      </c>
      <c r="BQ215" s="16">
        <f t="shared" si="86"/>
        <v>127.25109874278135</v>
      </c>
      <c r="BR215" s="118">
        <f t="shared" si="87"/>
        <v>4.2387607289550546</v>
      </c>
      <c r="BS215" s="108">
        <f t="shared" si="88"/>
        <v>0</v>
      </c>
      <c r="BT215" s="118">
        <f t="shared" si="89"/>
        <v>1.1380619635522473</v>
      </c>
      <c r="BU215" s="108">
        <f t="shared" si="90"/>
        <v>0</v>
      </c>
      <c r="BV215" s="6" cm="1">
        <f t="array" ref="BV215">IF(AP215=0,FactorPhi7121(BR215,"a"),noisuy2chieu(BU215,BR215,Data!$A$63:$M$85))</f>
        <v>0.42299549615688942</v>
      </c>
      <c r="BW215" s="111">
        <v>1.26</v>
      </c>
      <c r="BX215" s="111">
        <f t="shared" si="91"/>
        <v>0.99927617790859724</v>
      </c>
      <c r="BY215" s="113">
        <f t="shared" si="92"/>
        <v>4.9187103459923229E-4</v>
      </c>
      <c r="BZ215" s="6" t="str">
        <f t="shared" si="93"/>
        <v>OK</v>
      </c>
      <c r="CA215" s="114">
        <f t="shared" si="94"/>
        <v>127.25109874278135</v>
      </c>
      <c r="CB215" s="115">
        <f t="shared" si="95"/>
        <v>150</v>
      </c>
      <c r="CC215" s="6" t="str">
        <f t="shared" si="96"/>
        <v>OK</v>
      </c>
      <c r="DG215" s="108"/>
      <c r="DH215" s="108"/>
      <c r="DI215" s="16"/>
      <c r="DJ215" s="108"/>
      <c r="DT215" s="6"/>
      <c r="DU215" s="6"/>
      <c r="DV215" s="111"/>
      <c r="DW215" s="111"/>
      <c r="DX215" s="111"/>
      <c r="DY215" s="111"/>
      <c r="DZ215" s="111"/>
      <c r="EA215" s="111"/>
      <c r="EB215" s="111"/>
      <c r="EC215" s="111"/>
      <c r="ED215" s="111"/>
      <c r="EE215" s="111"/>
      <c r="EF215" s="6"/>
      <c r="EG215" s="6"/>
      <c r="EH215" s="6"/>
      <c r="EI215" s="6"/>
      <c r="EJ215" s="6"/>
      <c r="EK215" s="6"/>
      <c r="EL215" s="112"/>
      <c r="EM215" s="112"/>
      <c r="EN215" s="118"/>
      <c r="EO215" s="118"/>
      <c r="EP215" s="112"/>
      <c r="EQ215" s="112"/>
      <c r="ER215" s="112"/>
      <c r="ES215" s="112"/>
      <c r="ET215" s="112"/>
      <c r="EU215" s="112"/>
      <c r="EV215" s="6"/>
      <c r="EW215" s="6"/>
      <c r="EX215" s="118"/>
      <c r="EY215" s="113"/>
      <c r="EZ215" s="6"/>
      <c r="FA215" s="114"/>
      <c r="FB215" s="115"/>
      <c r="FC215" s="6"/>
    </row>
    <row r="216" spans="27:159">
      <c r="AA216" s="79" t="s">
        <v>175</v>
      </c>
      <c r="AB216" s="80" t="s">
        <v>196</v>
      </c>
      <c r="AC216" s="81">
        <v>2.74</v>
      </c>
      <c r="AD216" s="81">
        <v>6</v>
      </c>
      <c r="AE216" s="80">
        <v>273</v>
      </c>
      <c r="AF216" s="80">
        <v>6.35</v>
      </c>
      <c r="AG216" s="108" cm="1">
        <f t="array" ref="AG216">_xll.DCEPropSectPipe(AE216, AF216, "Area")/100</f>
        <v>53.19431074856206</v>
      </c>
      <c r="AH216" s="16" cm="1">
        <f t="array" ref="AH216">_xll.DCEPropSectPipe(AE216, AF216, "Ix")/10000</f>
        <v>4730.4733077169503</v>
      </c>
      <c r="AI216" s="16" cm="1">
        <f t="array" ref="AI216">_xll.DCEPropSectPipe(AE216, AF216, "Wx")/1000</f>
        <v>346.55482107816493</v>
      </c>
      <c r="AJ216" s="108">
        <f t="shared" ref="AJ216:AJ279" si="97">SQRT(AH216/AG216)</f>
        <v>9.4301739777164251</v>
      </c>
      <c r="AK216" s="80" t="s">
        <v>218</v>
      </c>
      <c r="AL216" s="82">
        <v>1.8370855869825971</v>
      </c>
      <c r="AM216" s="82">
        <v>0.20911801720412126</v>
      </c>
      <c r="AN216" s="82">
        <v>1.2856929855902874E-2</v>
      </c>
      <c r="AO216" s="82">
        <v>-3.5253701664885964E-2</v>
      </c>
      <c r="AP216" s="82">
        <v>-0.57340160317370281</v>
      </c>
      <c r="AQ216" s="82">
        <v>4.3083849630109868E-2</v>
      </c>
      <c r="AR216" s="72">
        <v>1</v>
      </c>
      <c r="AS216" s="116">
        <f t="shared" ref="AS216:AS279" si="98">AR216*AD216</f>
        <v>6</v>
      </c>
      <c r="AT216" s="7">
        <v>2</v>
      </c>
      <c r="AU216" s="6">
        <f t="shared" ref="AU216:AU279" si="99">AT216*AD216</f>
        <v>12</v>
      </c>
      <c r="AV216" s="111">
        <f t="shared" ref="AV216:AV279" si="100">ABS(AL216)/(AG216*$F$23)*10</f>
        <v>1.5109227528182841E-3</v>
      </c>
      <c r="AW216" s="117">
        <f t="shared" ref="AW216:AW279" si="101">IF(AV216&gt;0.1,104,105)</f>
        <v>105</v>
      </c>
      <c r="AX216" s="111">
        <f t="shared" ref="AX216:AX279" si="102">IF(AW216=104,1.5,1)</f>
        <v>1</v>
      </c>
      <c r="AY216" s="111">
        <f t="shared" ref="AY216:AY279" si="103">IF(AW216=104,1.26,1)</f>
        <v>1</v>
      </c>
      <c r="AZ216" s="111">
        <f t="shared" ref="AZ216:AZ279" si="104">IF(AW216=104,1.26,1)</f>
        <v>1</v>
      </c>
      <c r="BA216" s="111">
        <f t="shared" ref="BA216:BA279" si="105">(ABS(AL216)/(AG216*$F$23*$I$23)*10)^AX216</f>
        <v>1.590445002966615E-3</v>
      </c>
      <c r="BB216" s="111">
        <f t="shared" ref="BB216:BB279" si="106">ABS(AO216)/(AY216*AI216*$F$23*$I$23)*1000</f>
        <v>4.684758762022627E-4</v>
      </c>
      <c r="BC216" s="111">
        <f t="shared" ref="BC216:BC279" si="107">ABS(AP216)/(AZ216*AI216*$F$23*$I$23)*1000</f>
        <v>7.6197620611892555E-3</v>
      </c>
      <c r="BD216" s="111">
        <v>0</v>
      </c>
      <c r="BE216" s="111">
        <f t="shared" ref="BE216:BE279" si="108">BA216+BB216+BC216+BD216</f>
        <v>9.6786829403581326E-3</v>
      </c>
      <c r="BF216" s="6" t="str">
        <f t="shared" ref="BF216:BF279" si="109">IF(BE216&lt;=1,"OK","Check")</f>
        <v>OK</v>
      </c>
      <c r="BG216" s="16">
        <f t="shared" ref="BG216:BG279" si="110">AS216*100/AJ216</f>
        <v>63.625549371390676</v>
      </c>
      <c r="BH216" s="118">
        <f t="shared" ref="BH216:BH279" si="111">BG216*SQRT($F$23/$D$23)</f>
        <v>2.1193803644775273</v>
      </c>
      <c r="BI216" s="108">
        <f t="shared" ref="BI216:BI279" si="112">ABS((AO216/AL216)*100*AG216/AI216)</f>
        <v>0.29455647653859585</v>
      </c>
      <c r="BJ216" s="6">
        <f t="shared" ref="BJ216:BJ279" si="113">IF(AND(BH216&lt;=5,BI216&lt;=5),(1.35-0.05*BI216)-0.01*(5-BI216)*BH216,1.1)</f>
        <v>1.2355459300752498</v>
      </c>
      <c r="BK216" s="108">
        <f t="shared" ref="BK216:BK279" si="114">BI216*BJ216</f>
        <v>0.36393805576456789</v>
      </c>
      <c r="BL216" s="118" cm="1">
        <f t="array" ref="BL216">IF(AO216=0,FactorPhi7121(BH216,"a"),noisuy2chieu(BK216,BH216,Data!$A$63:$M$85))</f>
        <v>0</v>
      </c>
      <c r="BM216" s="111">
        <v>1.26</v>
      </c>
      <c r="BN216" s="118">
        <f t="shared" ref="BN216:BN279" si="115">IF(BH216&lt;=1,1,1-0.1*ABS(AL216)*BH216^2/(AG216*$F$23)*10)</f>
        <v>0.99932132777783933</v>
      </c>
      <c r="BO216" s="108" t="e">
        <f t="shared" ref="BO216:BO279" si="116">ABS(AL216)/(BV216*AG216*$F$23*$I$23)*10+ABS(AO216)*1000/(BM216*BN216*AI216*$F$23*$I$23)</f>
        <v>#DIV/0!</v>
      </c>
      <c r="BP216" s="6" t="e">
        <f t="shared" ref="BP216:BP279" si="117">IF(BO216&lt;=1,"OK","Check")</f>
        <v>#DIV/0!</v>
      </c>
      <c r="BQ216" s="16">
        <f t="shared" ref="BQ216:BQ279" si="118">AU216*100/AJ216</f>
        <v>127.25109874278135</v>
      </c>
      <c r="BR216" s="118">
        <f t="shared" ref="BR216:BR279" si="119">BQ216*SQRT($F$23/$D$23)</f>
        <v>4.2387607289550546</v>
      </c>
      <c r="BS216" s="108">
        <f t="shared" ref="BS216:BS279" si="120">ABS((AP216/AL216)*100*AG216/AI216)</f>
        <v>4.7909623073896395</v>
      </c>
      <c r="BT216" s="118">
        <f t="shared" ref="BT216:BT279" si="121">IF(AND(BR216&lt;=5,BS216&lt;=5),(1.35-0.05*BS216)-0.01*(5-BS216)*BR216,1.1)</f>
        <v>1.1015912770074363</v>
      </c>
      <c r="BU216" s="108">
        <f t="shared" ref="BU216:BU279" si="122">BS216*BT216</f>
        <v>5.2776822862918467</v>
      </c>
      <c r="BV216" s="6" cm="1">
        <f t="array" ref="BV216">IF(AP216=0,FactorPhi7121(BR216,"a"),noisuy2chieu(BU216,BR216,Data!$A$63:$M$85))</f>
        <v>0</v>
      </c>
      <c r="BW216" s="111">
        <v>1.26</v>
      </c>
      <c r="BX216" s="111">
        <f t="shared" ref="BX216:BX279" si="123">IF(BR216&lt;=1,1,1-0.1*ABS(AL216)*BR216^2/(AG216*$F$23)*10)</f>
        <v>0.99728531111135721</v>
      </c>
      <c r="BY216" s="113" t="e">
        <f t="shared" ref="BY216:BY279" si="124">ABS(AL216)/(BL216*AG216*$F$23*$I$23)*10+ABS(AP216)*1000/(BW216*BX216*AI216*$F$23*$I$23)</f>
        <v>#DIV/0!</v>
      </c>
      <c r="BZ216" s="6" t="e">
        <f t="shared" ref="BZ216:BZ279" si="125">IF(BY216&lt;=1,"OK","Check")</f>
        <v>#DIV/0!</v>
      </c>
      <c r="CA216" s="114">
        <f t="shared" ref="CA216:CA279" si="126">MAX(BG216,BQ216)</f>
        <v>127.25109874278135</v>
      </c>
      <c r="CB216" s="115" t="e">
        <f t="shared" ref="CB216:CB279" si="127">180-60*MAX(ABS(AL216)/(BV216*AG216*$F$23*$I$23)*10,ABS(AL216)/(BL216*AG216*$F$23*$I$23)*10,0.5)</f>
        <v>#DIV/0!</v>
      </c>
      <c r="CC216" s="6" t="e">
        <f t="shared" ref="CC216:CC279" si="128">IF(CA216&lt;=CB216,"OK","Check")</f>
        <v>#DIV/0!</v>
      </c>
      <c r="DG216" s="108"/>
      <c r="DH216" s="108"/>
      <c r="DI216" s="16"/>
      <c r="DJ216" s="108"/>
      <c r="DT216" s="6"/>
      <c r="DU216" s="6"/>
      <c r="DV216" s="111"/>
      <c r="DW216" s="111"/>
      <c r="DX216" s="111"/>
      <c r="DY216" s="111"/>
      <c r="DZ216" s="111"/>
      <c r="EA216" s="111"/>
      <c r="EB216" s="111"/>
      <c r="EC216" s="111"/>
      <c r="ED216" s="111"/>
      <c r="EE216" s="111"/>
      <c r="EF216" s="6"/>
      <c r="EG216" s="6"/>
      <c r="EH216" s="6"/>
      <c r="EI216" s="6"/>
      <c r="EJ216" s="6"/>
      <c r="EK216" s="6"/>
      <c r="EL216" s="112"/>
      <c r="EM216" s="112"/>
      <c r="EN216" s="118"/>
      <c r="EO216" s="118"/>
      <c r="EP216" s="112"/>
      <c r="EQ216" s="112"/>
      <c r="ER216" s="112"/>
      <c r="ES216" s="112"/>
      <c r="ET216" s="112"/>
      <c r="EU216" s="112"/>
      <c r="EV216" s="6"/>
      <c r="EW216" s="6"/>
      <c r="EX216" s="118"/>
      <c r="EY216" s="113"/>
      <c r="EZ216" s="6"/>
      <c r="FA216" s="114"/>
      <c r="FB216" s="115"/>
      <c r="FC216" s="6"/>
    </row>
    <row r="217" spans="27:159">
      <c r="AA217" s="79" t="s">
        <v>175</v>
      </c>
      <c r="AB217" s="80" t="s">
        <v>196</v>
      </c>
      <c r="AC217" s="81">
        <v>5.48</v>
      </c>
      <c r="AD217" s="81">
        <v>6</v>
      </c>
      <c r="AE217" s="80">
        <v>273</v>
      </c>
      <c r="AF217" s="80">
        <v>6.35</v>
      </c>
      <c r="AG217" s="108" cm="1">
        <f t="array" ref="AG217">_xll.DCEPropSectPipe(AE217, AF217, "Area")/100</f>
        <v>53.19431074856206</v>
      </c>
      <c r="AH217" s="16" cm="1">
        <f t="array" ref="AH217">_xll.DCEPropSectPipe(AE217, AF217, "Ix")/10000</f>
        <v>4730.4733077169503</v>
      </c>
      <c r="AI217" s="16" cm="1">
        <f t="array" ref="AI217">_xll.DCEPropSectPipe(AE217, AF217, "Wx")/1000</f>
        <v>346.55482107816493</v>
      </c>
      <c r="AJ217" s="108">
        <f t="shared" si="97"/>
        <v>9.4301739777164251</v>
      </c>
      <c r="AK217" s="80" t="s">
        <v>218</v>
      </c>
      <c r="AL217" s="82">
        <v>3.1843459357146271</v>
      </c>
      <c r="AM217" s="82">
        <v>0.20911801720412126</v>
      </c>
      <c r="AN217" s="82">
        <v>1.2856929855902874E-2</v>
      </c>
      <c r="AO217" s="82">
        <v>-7.0507403329771928E-2</v>
      </c>
      <c r="AP217" s="82">
        <v>-1.1468032063474056</v>
      </c>
      <c r="AQ217" s="82">
        <v>4.3083849630109868E-2</v>
      </c>
      <c r="AR217" s="72">
        <v>1</v>
      </c>
      <c r="AS217" s="116">
        <f t="shared" si="98"/>
        <v>6</v>
      </c>
      <c r="AT217" s="7">
        <v>2</v>
      </c>
      <c r="AU217" s="6">
        <f t="shared" si="99"/>
        <v>12</v>
      </c>
      <c r="AV217" s="111">
        <f t="shared" si="100"/>
        <v>2.6189856156991547E-3</v>
      </c>
      <c r="AW217" s="117">
        <f t="shared" si="101"/>
        <v>105</v>
      </c>
      <c r="AX217" s="111">
        <f t="shared" si="102"/>
        <v>1</v>
      </c>
      <c r="AY217" s="111">
        <f t="shared" si="103"/>
        <v>1</v>
      </c>
      <c r="AZ217" s="111">
        <f t="shared" si="104"/>
        <v>1</v>
      </c>
      <c r="BA217" s="111">
        <f t="shared" si="105"/>
        <v>2.7568269638938471E-3</v>
      </c>
      <c r="BB217" s="111">
        <f t="shared" si="106"/>
        <v>9.369517524045254E-4</v>
      </c>
      <c r="BC217" s="111">
        <f t="shared" si="107"/>
        <v>1.5239524122378511E-2</v>
      </c>
      <c r="BD217" s="111">
        <v>0</v>
      </c>
      <c r="BE217" s="111">
        <f t="shared" si="108"/>
        <v>1.8933302838676884E-2</v>
      </c>
      <c r="BF217" s="6" t="str">
        <f t="shared" si="109"/>
        <v>OK</v>
      </c>
      <c r="BG217" s="16">
        <f t="shared" si="110"/>
        <v>63.625549371390676</v>
      </c>
      <c r="BH217" s="118">
        <f t="shared" si="111"/>
        <v>2.1193803644775273</v>
      </c>
      <c r="BI217" s="108">
        <f t="shared" si="112"/>
        <v>0.33986599981637561</v>
      </c>
      <c r="BJ217" s="6">
        <f t="shared" si="113"/>
        <v>1.2342407350509483</v>
      </c>
      <c r="BK217" s="108">
        <f t="shared" si="114"/>
        <v>0.41947646143218892</v>
      </c>
      <c r="BL217" s="118" cm="1">
        <f t="array" ref="BL217">IF(AO217=0,FactorPhi7121(BH217,"a"),noisuy2chieu(BK217,BH217,Data!$A$63:$M$85))</f>
        <v>0</v>
      </c>
      <c r="BM217" s="111">
        <v>1.26</v>
      </c>
      <c r="BN217" s="118">
        <f t="shared" si="115"/>
        <v>0.99882361107852935</v>
      </c>
      <c r="BO217" s="108" t="e">
        <f t="shared" si="116"/>
        <v>#DIV/0!</v>
      </c>
      <c r="BP217" s="6" t="e">
        <f t="shared" si="117"/>
        <v>#DIV/0!</v>
      </c>
      <c r="BQ217" s="16">
        <f t="shared" si="118"/>
        <v>127.25109874278135</v>
      </c>
      <c r="BR217" s="118">
        <f t="shared" si="119"/>
        <v>4.2387607289550546</v>
      </c>
      <c r="BS217" s="108">
        <f t="shared" si="120"/>
        <v>5.527921890626617</v>
      </c>
      <c r="BT217" s="118">
        <f t="shared" si="121"/>
        <v>1.1000000000000001</v>
      </c>
      <c r="BU217" s="108">
        <f t="shared" si="122"/>
        <v>6.0807140796892796</v>
      </c>
      <c r="BV217" s="6" cm="1">
        <f t="array" ref="BV217">IF(AP217=0,FactorPhi7121(BR217,"a"),noisuy2chieu(BU217,BR217,Data!$A$63:$M$85))</f>
        <v>0</v>
      </c>
      <c r="BW217" s="111">
        <v>1.26</v>
      </c>
      <c r="BX217" s="111">
        <f t="shared" si="123"/>
        <v>0.99529444431411729</v>
      </c>
      <c r="BY217" s="113" t="e">
        <f t="shared" si="124"/>
        <v>#DIV/0!</v>
      </c>
      <c r="BZ217" s="6" t="e">
        <f t="shared" si="125"/>
        <v>#DIV/0!</v>
      </c>
      <c r="CA217" s="114">
        <f t="shared" si="126"/>
        <v>127.25109874278135</v>
      </c>
      <c r="CB217" s="115" t="e">
        <f t="shared" si="127"/>
        <v>#DIV/0!</v>
      </c>
      <c r="CC217" s="6" t="e">
        <f t="shared" si="128"/>
        <v>#DIV/0!</v>
      </c>
      <c r="DG217" s="108"/>
      <c r="DH217" s="108"/>
      <c r="DI217" s="16"/>
      <c r="DJ217" s="108"/>
      <c r="DT217" s="6"/>
      <c r="DU217" s="6"/>
      <c r="DV217" s="111"/>
      <c r="DW217" s="111"/>
      <c r="DX217" s="111"/>
      <c r="DY217" s="111"/>
      <c r="DZ217" s="111"/>
      <c r="EA217" s="111"/>
      <c r="EB217" s="111"/>
      <c r="EC217" s="111"/>
      <c r="ED217" s="111"/>
      <c r="EE217" s="111"/>
      <c r="EF217" s="6"/>
      <c r="EG217" s="6"/>
      <c r="EH217" s="6"/>
      <c r="EI217" s="6"/>
      <c r="EJ217" s="6"/>
      <c r="EK217" s="6"/>
      <c r="EL217" s="112"/>
      <c r="EM217" s="112"/>
      <c r="EN217" s="118"/>
      <c r="EO217" s="118"/>
      <c r="EP217" s="112"/>
      <c r="EQ217" s="112"/>
      <c r="ER217" s="112"/>
      <c r="ES217" s="112"/>
      <c r="ET217" s="112"/>
      <c r="EU217" s="112"/>
      <c r="EV217" s="6"/>
      <c r="EW217" s="6"/>
      <c r="EX217" s="118"/>
      <c r="EY217" s="113"/>
      <c r="EZ217" s="6"/>
      <c r="FA217" s="114"/>
      <c r="FB217" s="115"/>
      <c r="FC217" s="6"/>
    </row>
    <row r="218" spans="27:159">
      <c r="AA218" s="79" t="s">
        <v>175</v>
      </c>
      <c r="AB218" s="80" t="s">
        <v>197</v>
      </c>
      <c r="AC218" s="81">
        <v>0</v>
      </c>
      <c r="AD218" s="81">
        <v>6</v>
      </c>
      <c r="AE218" s="80">
        <v>273</v>
      </c>
      <c r="AF218" s="80">
        <v>6.35</v>
      </c>
      <c r="AG218" s="108" cm="1">
        <f t="array" ref="AG218">_xll.DCEPropSectPipe(AE218, AF218, "Area")/100</f>
        <v>53.19431074856206</v>
      </c>
      <c r="AH218" s="16" cm="1">
        <f t="array" ref="AH218">_xll.DCEPropSectPipe(AE218, AF218, "Ix")/10000</f>
        <v>4730.4733077169503</v>
      </c>
      <c r="AI218" s="16" cm="1">
        <f t="array" ref="AI218">_xll.DCEPropSectPipe(AE218, AF218, "Wx")/1000</f>
        <v>346.55482107816493</v>
      </c>
      <c r="AJ218" s="108">
        <f t="shared" si="97"/>
        <v>9.4301739777164251</v>
      </c>
      <c r="AK218" s="80" t="s">
        <v>206</v>
      </c>
      <c r="AL218" s="82">
        <v>-44.715189606775567</v>
      </c>
      <c r="AM218" s="82">
        <v>4.9392979680386384</v>
      </c>
      <c r="AN218" s="82">
        <v>-2.0150274960527326</v>
      </c>
      <c r="AO218" s="82">
        <v>0</v>
      </c>
      <c r="AP218" s="82">
        <v>0</v>
      </c>
      <c r="AQ218" s="82">
        <v>-9.2430513914946597E-2</v>
      </c>
      <c r="AR218" s="72">
        <v>1</v>
      </c>
      <c r="AS218" s="116">
        <f t="shared" si="98"/>
        <v>6</v>
      </c>
      <c r="AT218" s="7">
        <v>2</v>
      </c>
      <c r="AU218" s="6">
        <f t="shared" si="99"/>
        <v>12</v>
      </c>
      <c r="AV218" s="111">
        <f t="shared" si="100"/>
        <v>3.6776292760768846E-2</v>
      </c>
      <c r="AW218" s="117">
        <f t="shared" si="101"/>
        <v>105</v>
      </c>
      <c r="AX218" s="111">
        <f t="shared" si="102"/>
        <v>1</v>
      </c>
      <c r="AY218" s="111">
        <f t="shared" si="103"/>
        <v>1</v>
      </c>
      <c r="AZ218" s="111">
        <f t="shared" si="104"/>
        <v>1</v>
      </c>
      <c r="BA218" s="111">
        <f t="shared" si="105"/>
        <v>3.8711887116598787E-2</v>
      </c>
      <c r="BB218" s="111">
        <f t="shared" si="106"/>
        <v>0</v>
      </c>
      <c r="BC218" s="111">
        <f t="shared" si="107"/>
        <v>0</v>
      </c>
      <c r="BD218" s="111">
        <v>0</v>
      </c>
      <c r="BE218" s="111">
        <f t="shared" si="108"/>
        <v>3.8711887116598787E-2</v>
      </c>
      <c r="BF218" s="6" t="str">
        <f t="shared" si="109"/>
        <v>OK</v>
      </c>
      <c r="BG218" s="16">
        <f t="shared" si="110"/>
        <v>63.625549371390676</v>
      </c>
      <c r="BH218" s="118">
        <f t="shared" si="111"/>
        <v>2.1193803644775273</v>
      </c>
      <c r="BI218" s="108">
        <f t="shared" si="112"/>
        <v>0</v>
      </c>
      <c r="BJ218" s="6">
        <f t="shared" si="113"/>
        <v>1.2440309817761237</v>
      </c>
      <c r="BK218" s="108">
        <f t="shared" si="114"/>
        <v>0</v>
      </c>
      <c r="BL218" s="118" cm="1">
        <f t="array" ref="BL218">IF(AO218=0,FactorPhi7121(BH218,"a"),noisuy2chieu(BK218,BH218,Data!$A$63:$M$85))</f>
        <v>0.86214274110469236</v>
      </c>
      <c r="BM218" s="111">
        <v>1.26</v>
      </c>
      <c r="BN218" s="118">
        <f t="shared" si="115"/>
        <v>0.98348092363806983</v>
      </c>
      <c r="BO218" s="108">
        <f t="shared" si="116"/>
        <v>9.1518438064504853E-2</v>
      </c>
      <c r="BP218" s="6" t="str">
        <f t="shared" si="117"/>
        <v>OK</v>
      </c>
      <c r="BQ218" s="16">
        <f t="shared" si="118"/>
        <v>127.25109874278135</v>
      </c>
      <c r="BR218" s="118">
        <f t="shared" si="119"/>
        <v>4.2387607289550546</v>
      </c>
      <c r="BS218" s="108">
        <f t="shared" si="120"/>
        <v>0</v>
      </c>
      <c r="BT218" s="118">
        <f t="shared" si="121"/>
        <v>1.1380619635522473</v>
      </c>
      <c r="BU218" s="108">
        <f t="shared" si="122"/>
        <v>0</v>
      </c>
      <c r="BV218" s="6" cm="1">
        <f t="array" ref="BV218">IF(AP218=0,FactorPhi7121(BR218,"a"),noisuy2chieu(BU218,BR218,Data!$A$63:$M$85))</f>
        <v>0.42299549615688942</v>
      </c>
      <c r="BW218" s="111">
        <v>1.26</v>
      </c>
      <c r="BX218" s="111">
        <f t="shared" si="123"/>
        <v>0.93392369455227942</v>
      </c>
      <c r="BY218" s="113">
        <f t="shared" si="124"/>
        <v>4.4901946360988841E-2</v>
      </c>
      <c r="BZ218" s="6" t="str">
        <f t="shared" si="125"/>
        <v>OK</v>
      </c>
      <c r="CA218" s="114">
        <f t="shared" si="126"/>
        <v>127.25109874278135</v>
      </c>
      <c r="CB218" s="115">
        <f t="shared" si="127"/>
        <v>150</v>
      </c>
      <c r="CC218" s="6" t="str">
        <f t="shared" si="128"/>
        <v>OK</v>
      </c>
      <c r="DG218" s="108"/>
      <c r="DH218" s="108"/>
      <c r="DI218" s="16"/>
      <c r="DJ218" s="108"/>
      <c r="DT218" s="6"/>
      <c r="DU218" s="6"/>
      <c r="DV218" s="111"/>
      <c r="DW218" s="111"/>
      <c r="DX218" s="111"/>
      <c r="DY218" s="111"/>
      <c r="DZ218" s="111"/>
      <c r="EA218" s="111"/>
      <c r="EB218" s="111"/>
      <c r="EC218" s="111"/>
      <c r="ED218" s="111"/>
      <c r="EE218" s="111"/>
      <c r="EF218" s="6"/>
      <c r="EG218" s="6"/>
      <c r="EH218" s="6"/>
      <c r="EI218" s="6"/>
      <c r="EJ218" s="6"/>
      <c r="EK218" s="6"/>
      <c r="EL218" s="112"/>
      <c r="EM218" s="112"/>
      <c r="EN218" s="118"/>
      <c r="EO218" s="118"/>
      <c r="EP218" s="112"/>
      <c r="EQ218" s="112"/>
      <c r="ER218" s="112"/>
      <c r="ES218" s="112"/>
      <c r="ET218" s="112"/>
      <c r="EU218" s="112"/>
      <c r="EV218" s="6"/>
      <c r="EW218" s="6"/>
      <c r="EX218" s="118"/>
      <c r="EY218" s="113"/>
      <c r="EZ218" s="6"/>
      <c r="FA218" s="114"/>
      <c r="FB218" s="115"/>
      <c r="FC218" s="6"/>
    </row>
    <row r="219" spans="27:159">
      <c r="AA219" s="79" t="s">
        <v>175</v>
      </c>
      <c r="AB219" s="80" t="s">
        <v>197</v>
      </c>
      <c r="AC219" s="81">
        <v>2.74</v>
      </c>
      <c r="AD219" s="81">
        <v>6</v>
      </c>
      <c r="AE219" s="80">
        <v>273</v>
      </c>
      <c r="AF219" s="80">
        <v>6.35</v>
      </c>
      <c r="AG219" s="108" cm="1">
        <f t="array" ref="AG219">_xll.DCEPropSectPipe(AE219, AF219, "Area")/100</f>
        <v>53.19431074856206</v>
      </c>
      <c r="AH219" s="16" cm="1">
        <f t="array" ref="AH219">_xll.DCEPropSectPipe(AE219, AF219, "Ix")/10000</f>
        <v>4730.4733077169503</v>
      </c>
      <c r="AI219" s="16" cm="1">
        <f t="array" ref="AI219">_xll.DCEPropSectPipe(AE219, AF219, "Wx")/1000</f>
        <v>346.55482107816493</v>
      </c>
      <c r="AJ219" s="108">
        <f t="shared" si="97"/>
        <v>9.4301739777164251</v>
      </c>
      <c r="AK219" s="80" t="s">
        <v>206</v>
      </c>
      <c r="AL219" s="82">
        <v>-43.367929258043524</v>
      </c>
      <c r="AM219" s="82">
        <v>4.9392979680386384</v>
      </c>
      <c r="AN219" s="82">
        <v>-2.0150274960527326</v>
      </c>
      <c r="AO219" s="82">
        <v>5.5252053941765924</v>
      </c>
      <c r="AP219" s="82">
        <v>-13.543555028361947</v>
      </c>
      <c r="AQ219" s="82">
        <v>-9.2430513914946597E-2</v>
      </c>
      <c r="AR219" s="72">
        <v>1</v>
      </c>
      <c r="AS219" s="116">
        <f t="shared" si="98"/>
        <v>6</v>
      </c>
      <c r="AT219" s="7">
        <v>2</v>
      </c>
      <c r="AU219" s="6">
        <f t="shared" si="99"/>
        <v>12</v>
      </c>
      <c r="AV219" s="111">
        <f t="shared" si="100"/>
        <v>3.5668229897887961E-2</v>
      </c>
      <c r="AW219" s="117">
        <f t="shared" si="101"/>
        <v>105</v>
      </c>
      <c r="AX219" s="111">
        <f t="shared" si="102"/>
        <v>1</v>
      </c>
      <c r="AY219" s="111">
        <f t="shared" si="103"/>
        <v>1</v>
      </c>
      <c r="AZ219" s="111">
        <f t="shared" si="104"/>
        <v>1</v>
      </c>
      <c r="BA219" s="111">
        <f t="shared" si="105"/>
        <v>3.7545505155671545E-2</v>
      </c>
      <c r="BB219" s="111">
        <f t="shared" si="106"/>
        <v>7.3422798628052108E-2</v>
      </c>
      <c r="BC219" s="111">
        <f t="shared" si="107"/>
        <v>0.17997624388831532</v>
      </c>
      <c r="BD219" s="111">
        <v>0</v>
      </c>
      <c r="BE219" s="111">
        <f t="shared" si="108"/>
        <v>0.29094454767203898</v>
      </c>
      <c r="BF219" s="6" t="str">
        <f t="shared" si="109"/>
        <v>OK</v>
      </c>
      <c r="BG219" s="16">
        <f t="shared" si="110"/>
        <v>63.625549371390676</v>
      </c>
      <c r="BH219" s="118">
        <f t="shared" si="111"/>
        <v>2.1193803644775273</v>
      </c>
      <c r="BI219" s="108">
        <f t="shared" si="112"/>
        <v>1.9555682717178997</v>
      </c>
      <c r="BJ219" s="6">
        <f t="shared" si="113"/>
        <v>1.1876984981549703</v>
      </c>
      <c r="BK219" s="108">
        <f t="shared" si="114"/>
        <v>2.3226254993588604</v>
      </c>
      <c r="BL219" s="118" cm="1">
        <f t="array" ref="BL219">IF(AO219=0,FactorPhi7121(BH219,"a"),noisuy2chieu(BK219,BH219,Data!$A$63:$M$85))</f>
        <v>0</v>
      </c>
      <c r="BM219" s="111">
        <v>1.26</v>
      </c>
      <c r="BN219" s="118">
        <f t="shared" si="115"/>
        <v>0.98397864033737981</v>
      </c>
      <c r="BO219" s="108" t="e">
        <f t="shared" si="116"/>
        <v>#DIV/0!</v>
      </c>
      <c r="BP219" s="6" t="e">
        <f t="shared" si="117"/>
        <v>#DIV/0!</v>
      </c>
      <c r="BQ219" s="16">
        <f t="shared" si="118"/>
        <v>127.25109874278135</v>
      </c>
      <c r="BR219" s="118">
        <f t="shared" si="119"/>
        <v>4.2387607289550546</v>
      </c>
      <c r="BS219" s="108">
        <f t="shared" si="120"/>
        <v>4.7935496710483996</v>
      </c>
      <c r="BT219" s="118">
        <f t="shared" si="121"/>
        <v>1.1015715809791811</v>
      </c>
      <c r="BU219" s="108">
        <f t="shared" si="122"/>
        <v>5.2804380896390191</v>
      </c>
      <c r="BV219" s="6" cm="1">
        <f t="array" ref="BV219">IF(AP219=0,FactorPhi7121(BR219,"a"),noisuy2chieu(BU219,BR219,Data!$A$63:$M$85))</f>
        <v>0</v>
      </c>
      <c r="BW219" s="111">
        <v>1.26</v>
      </c>
      <c r="BX219" s="111">
        <f t="shared" si="123"/>
        <v>0.93591456134951945</v>
      </c>
      <c r="BY219" s="113" t="e">
        <f t="shared" si="124"/>
        <v>#DIV/0!</v>
      </c>
      <c r="BZ219" s="6" t="e">
        <f t="shared" si="125"/>
        <v>#DIV/0!</v>
      </c>
      <c r="CA219" s="114">
        <f t="shared" si="126"/>
        <v>127.25109874278135</v>
      </c>
      <c r="CB219" s="115" t="e">
        <f t="shared" si="127"/>
        <v>#DIV/0!</v>
      </c>
      <c r="CC219" s="6" t="e">
        <f t="shared" si="128"/>
        <v>#DIV/0!</v>
      </c>
      <c r="DG219" s="108"/>
      <c r="DH219" s="108"/>
      <c r="DI219" s="16"/>
      <c r="DJ219" s="108"/>
      <c r="DT219" s="6"/>
      <c r="DU219" s="6"/>
      <c r="DV219" s="111"/>
      <c r="DW219" s="111"/>
      <c r="DX219" s="111"/>
      <c r="DY219" s="111"/>
      <c r="DZ219" s="111"/>
      <c r="EA219" s="111"/>
      <c r="EB219" s="111"/>
      <c r="EC219" s="111"/>
      <c r="ED219" s="111"/>
      <c r="EE219" s="111"/>
      <c r="EF219" s="6"/>
      <c r="EG219" s="6"/>
      <c r="EH219" s="6"/>
      <c r="EI219" s="6"/>
      <c r="EJ219" s="6"/>
      <c r="EK219" s="6"/>
      <c r="EL219" s="112"/>
      <c r="EM219" s="112"/>
      <c r="EN219" s="118"/>
      <c r="EO219" s="118"/>
      <c r="EP219" s="112"/>
      <c r="EQ219" s="112"/>
      <c r="ER219" s="112"/>
      <c r="ES219" s="112"/>
      <c r="ET219" s="112"/>
      <c r="EU219" s="112"/>
      <c r="EV219" s="6"/>
      <c r="EW219" s="6"/>
      <c r="EX219" s="118"/>
      <c r="EY219" s="113"/>
      <c r="EZ219" s="6"/>
      <c r="FA219" s="114"/>
      <c r="FB219" s="115"/>
      <c r="FC219" s="6"/>
    </row>
    <row r="220" spans="27:159">
      <c r="AA220" s="79" t="s">
        <v>175</v>
      </c>
      <c r="AB220" s="80" t="s">
        <v>197</v>
      </c>
      <c r="AC220" s="81">
        <v>5.48</v>
      </c>
      <c r="AD220" s="81">
        <v>6</v>
      </c>
      <c r="AE220" s="80">
        <v>273</v>
      </c>
      <c r="AF220" s="80">
        <v>6.35</v>
      </c>
      <c r="AG220" s="108" cm="1">
        <f t="array" ref="AG220">_xll.DCEPropSectPipe(AE220, AF220, "Area")/100</f>
        <v>53.19431074856206</v>
      </c>
      <c r="AH220" s="16" cm="1">
        <f t="array" ref="AH220">_xll.DCEPropSectPipe(AE220, AF220, "Ix")/10000</f>
        <v>4730.4733077169503</v>
      </c>
      <c r="AI220" s="16" cm="1">
        <f t="array" ref="AI220">_xll.DCEPropSectPipe(AE220, AF220, "Wx")/1000</f>
        <v>346.55482107816493</v>
      </c>
      <c r="AJ220" s="108">
        <f t="shared" si="97"/>
        <v>9.4301739777164251</v>
      </c>
      <c r="AK220" s="80" t="s">
        <v>206</v>
      </c>
      <c r="AL220" s="82">
        <v>-42.020668909311489</v>
      </c>
      <c r="AM220" s="82">
        <v>4.9392979680386384</v>
      </c>
      <c r="AN220" s="82">
        <v>-2.0150274960527326</v>
      </c>
      <c r="AO220" s="82">
        <v>11.050410788353185</v>
      </c>
      <c r="AP220" s="82">
        <v>-27.087110056723894</v>
      </c>
      <c r="AQ220" s="82">
        <v>-9.2430513914946597E-2</v>
      </c>
      <c r="AR220" s="72">
        <v>1</v>
      </c>
      <c r="AS220" s="116">
        <f t="shared" si="98"/>
        <v>6</v>
      </c>
      <c r="AT220" s="7">
        <v>2</v>
      </c>
      <c r="AU220" s="6">
        <f t="shared" si="99"/>
        <v>12</v>
      </c>
      <c r="AV220" s="111">
        <f t="shared" si="100"/>
        <v>3.456016703500709E-2</v>
      </c>
      <c r="AW220" s="117">
        <f t="shared" si="101"/>
        <v>105</v>
      </c>
      <c r="AX220" s="111">
        <f t="shared" si="102"/>
        <v>1</v>
      </c>
      <c r="AY220" s="111">
        <f t="shared" si="103"/>
        <v>1</v>
      </c>
      <c r="AZ220" s="111">
        <f t="shared" si="104"/>
        <v>1</v>
      </c>
      <c r="BA220" s="111">
        <f t="shared" si="105"/>
        <v>3.637912319474431E-2</v>
      </c>
      <c r="BB220" s="111">
        <f t="shared" si="106"/>
        <v>0.14684559725610422</v>
      </c>
      <c r="BC220" s="111">
        <f t="shared" si="107"/>
        <v>0.35995248777663064</v>
      </c>
      <c r="BD220" s="111">
        <v>0</v>
      </c>
      <c r="BE220" s="111">
        <f t="shared" si="108"/>
        <v>0.54317720822747917</v>
      </c>
      <c r="BF220" s="6" t="str">
        <f t="shared" si="109"/>
        <v>OK</v>
      </c>
      <c r="BG220" s="16">
        <f t="shared" si="110"/>
        <v>63.625549371390676</v>
      </c>
      <c r="BH220" s="118">
        <f t="shared" si="111"/>
        <v>2.1193803644775273</v>
      </c>
      <c r="BI220" s="108">
        <f t="shared" si="112"/>
        <v>4.0365348133876688</v>
      </c>
      <c r="BJ220" s="6">
        <f t="shared" si="113"/>
        <v>1.1277537673469782</v>
      </c>
      <c r="BK220" s="108">
        <f t="shared" si="114"/>
        <v>4.5522173428251751</v>
      </c>
      <c r="BL220" s="118" cm="1">
        <f t="array" ref="BL220">IF(AO220=0,FactorPhi7121(BH220,"a"),noisuy2chieu(BK220,BH220,Data!$A$63:$M$85))</f>
        <v>0</v>
      </c>
      <c r="BM220" s="111">
        <v>1.26</v>
      </c>
      <c r="BN220" s="118">
        <f t="shared" si="115"/>
        <v>0.9844763570366899</v>
      </c>
      <c r="BO220" s="108" t="e">
        <f t="shared" si="116"/>
        <v>#DIV/0!</v>
      </c>
      <c r="BP220" s="6" t="e">
        <f t="shared" si="117"/>
        <v>#DIV/0!</v>
      </c>
      <c r="BQ220" s="16">
        <f t="shared" si="118"/>
        <v>127.25109874278135</v>
      </c>
      <c r="BR220" s="118">
        <f t="shared" si="119"/>
        <v>4.2387607289550546</v>
      </c>
      <c r="BS220" s="108">
        <f t="shared" si="120"/>
        <v>9.8944794752126679</v>
      </c>
      <c r="BT220" s="118">
        <f t="shared" si="121"/>
        <v>1.1000000000000001</v>
      </c>
      <c r="BU220" s="108">
        <f t="shared" si="122"/>
        <v>10.883927422733935</v>
      </c>
      <c r="BV220" s="6" cm="1">
        <f t="array" ref="BV220">IF(AP220=0,FactorPhi7121(BR220,"a"),noisuy2chieu(BU220,BR220,Data!$A$63:$M$85))</f>
        <v>0</v>
      </c>
      <c r="BW220" s="111">
        <v>1.26</v>
      </c>
      <c r="BX220" s="111">
        <f t="shared" si="123"/>
        <v>0.93790542814675948</v>
      </c>
      <c r="BY220" s="113" t="e">
        <f t="shared" si="124"/>
        <v>#DIV/0!</v>
      </c>
      <c r="BZ220" s="6" t="e">
        <f t="shared" si="125"/>
        <v>#DIV/0!</v>
      </c>
      <c r="CA220" s="114">
        <f t="shared" si="126"/>
        <v>127.25109874278135</v>
      </c>
      <c r="CB220" s="115" t="e">
        <f t="shared" si="127"/>
        <v>#DIV/0!</v>
      </c>
      <c r="CC220" s="6" t="e">
        <f t="shared" si="128"/>
        <v>#DIV/0!</v>
      </c>
      <c r="DG220" s="108"/>
      <c r="DH220" s="108"/>
      <c r="DI220" s="16"/>
      <c r="DJ220" s="108"/>
      <c r="DT220" s="6"/>
      <c r="DU220" s="6"/>
      <c r="DV220" s="111"/>
      <c r="DW220" s="111"/>
      <c r="DX220" s="111"/>
      <c r="DY220" s="111"/>
      <c r="DZ220" s="111"/>
      <c r="EA220" s="111"/>
      <c r="EB220" s="111"/>
      <c r="EC220" s="111"/>
      <c r="ED220" s="111"/>
      <c r="EE220" s="111"/>
      <c r="EF220" s="6"/>
      <c r="EG220" s="6"/>
      <c r="EH220" s="6"/>
      <c r="EI220" s="6"/>
      <c r="EJ220" s="6"/>
      <c r="EK220" s="6"/>
      <c r="EL220" s="112"/>
      <c r="EM220" s="112"/>
      <c r="EN220" s="118"/>
      <c r="EO220" s="118"/>
      <c r="EP220" s="112"/>
      <c r="EQ220" s="112"/>
      <c r="ER220" s="112"/>
      <c r="ES220" s="112"/>
      <c r="ET220" s="112"/>
      <c r="EU220" s="112"/>
      <c r="EV220" s="6"/>
      <c r="EW220" s="6"/>
      <c r="EX220" s="118"/>
      <c r="EY220" s="113"/>
      <c r="EZ220" s="6"/>
      <c r="FA220" s="114"/>
      <c r="FB220" s="115"/>
      <c r="FC220" s="6"/>
    </row>
    <row r="221" spans="27:159">
      <c r="AA221" s="79" t="s">
        <v>175</v>
      </c>
      <c r="AB221" s="80" t="s">
        <v>197</v>
      </c>
      <c r="AC221" s="81">
        <v>0</v>
      </c>
      <c r="AD221" s="81">
        <v>6</v>
      </c>
      <c r="AE221" s="80">
        <v>273</v>
      </c>
      <c r="AF221" s="80">
        <v>6.35</v>
      </c>
      <c r="AG221" s="108" cm="1">
        <f t="array" ref="AG221">_xll.DCEPropSectPipe(AE221, AF221, "Area")/100</f>
        <v>53.19431074856206</v>
      </c>
      <c r="AH221" s="16" cm="1">
        <f t="array" ref="AH221">_xll.DCEPropSectPipe(AE221, AF221, "Ix")/10000</f>
        <v>4730.4733077169503</v>
      </c>
      <c r="AI221" s="16" cm="1">
        <f t="array" ref="AI221">_xll.DCEPropSectPipe(AE221, AF221, "Wx")/1000</f>
        <v>346.55482107816493</v>
      </c>
      <c r="AJ221" s="108">
        <f t="shared" si="97"/>
        <v>9.4301739777164251</v>
      </c>
      <c r="AK221" s="80" t="s">
        <v>207</v>
      </c>
      <c r="AL221" s="82">
        <v>-58.334883055068325</v>
      </c>
      <c r="AM221" s="82">
        <v>7.6973975730498321</v>
      </c>
      <c r="AN221" s="82">
        <v>-2.9834402635747028</v>
      </c>
      <c r="AO221" s="82">
        <v>0</v>
      </c>
      <c r="AP221" s="82">
        <v>0</v>
      </c>
      <c r="AQ221" s="82">
        <v>-0.13440813650950328</v>
      </c>
      <c r="AR221" s="72">
        <v>1</v>
      </c>
      <c r="AS221" s="116">
        <f t="shared" si="98"/>
        <v>6</v>
      </c>
      <c r="AT221" s="7">
        <v>2</v>
      </c>
      <c r="AU221" s="6">
        <f t="shared" si="99"/>
        <v>12</v>
      </c>
      <c r="AV221" s="111">
        <f t="shared" si="100"/>
        <v>4.7977896465708575E-2</v>
      </c>
      <c r="AW221" s="117">
        <f t="shared" si="101"/>
        <v>105</v>
      </c>
      <c r="AX221" s="111">
        <f t="shared" si="102"/>
        <v>1</v>
      </c>
      <c r="AY221" s="111">
        <f t="shared" si="103"/>
        <v>1</v>
      </c>
      <c r="AZ221" s="111">
        <f t="shared" si="104"/>
        <v>1</v>
      </c>
      <c r="BA221" s="111">
        <f t="shared" si="105"/>
        <v>5.0503048911272191E-2</v>
      </c>
      <c r="BB221" s="111">
        <f t="shared" si="106"/>
        <v>0</v>
      </c>
      <c r="BC221" s="111">
        <f t="shared" si="107"/>
        <v>0</v>
      </c>
      <c r="BD221" s="111">
        <v>0</v>
      </c>
      <c r="BE221" s="111">
        <f t="shared" si="108"/>
        <v>5.0503048911272191E-2</v>
      </c>
      <c r="BF221" s="6" t="str">
        <f t="shared" si="109"/>
        <v>OK</v>
      </c>
      <c r="BG221" s="16">
        <f t="shared" si="110"/>
        <v>63.625549371390676</v>
      </c>
      <c r="BH221" s="118">
        <f t="shared" si="111"/>
        <v>2.1193803644775273</v>
      </c>
      <c r="BI221" s="108">
        <f t="shared" si="112"/>
        <v>0</v>
      </c>
      <c r="BJ221" s="6">
        <f t="shared" si="113"/>
        <v>1.2440309817761237</v>
      </c>
      <c r="BK221" s="108">
        <f t="shared" si="114"/>
        <v>0</v>
      </c>
      <c r="BL221" s="118" cm="1">
        <f t="array" ref="BL221">IF(AO221=0,FactorPhi7121(BH221,"a"),noisuy2chieu(BK221,BH221,Data!$A$63:$M$85))</f>
        <v>0.86214274110469236</v>
      </c>
      <c r="BM221" s="111">
        <v>1.26</v>
      </c>
      <c r="BN221" s="118">
        <f t="shared" si="115"/>
        <v>0.97844941738534141</v>
      </c>
      <c r="BO221" s="108">
        <f t="shared" si="116"/>
        <v>0.1193938218494425</v>
      </c>
      <c r="BP221" s="6" t="str">
        <f t="shared" si="117"/>
        <v>OK</v>
      </c>
      <c r="BQ221" s="16">
        <f t="shared" si="118"/>
        <v>127.25109874278135</v>
      </c>
      <c r="BR221" s="118">
        <f t="shared" si="119"/>
        <v>4.2387607289550546</v>
      </c>
      <c r="BS221" s="108">
        <f t="shared" si="120"/>
        <v>0</v>
      </c>
      <c r="BT221" s="118">
        <f t="shared" si="121"/>
        <v>1.1380619635522473</v>
      </c>
      <c r="BU221" s="108">
        <f t="shared" si="122"/>
        <v>0</v>
      </c>
      <c r="BV221" s="6" cm="1">
        <f t="array" ref="BV221">IF(AP221=0,FactorPhi7121(BR221,"a"),noisuy2chieu(BU221,BR221,Data!$A$63:$M$85))</f>
        <v>0.42299549615688942</v>
      </c>
      <c r="BW221" s="111">
        <v>1.26</v>
      </c>
      <c r="BX221" s="111">
        <f t="shared" si="123"/>
        <v>0.91379766954136576</v>
      </c>
      <c r="BY221" s="113">
        <f t="shared" si="124"/>
        <v>5.8578523605686161E-2</v>
      </c>
      <c r="BZ221" s="6" t="str">
        <f t="shared" si="125"/>
        <v>OK</v>
      </c>
      <c r="CA221" s="114">
        <f t="shared" si="126"/>
        <v>127.25109874278135</v>
      </c>
      <c r="CB221" s="115">
        <f t="shared" si="127"/>
        <v>150</v>
      </c>
      <c r="CC221" s="6" t="str">
        <f t="shared" si="128"/>
        <v>OK</v>
      </c>
      <c r="DG221" s="108"/>
      <c r="DH221" s="108"/>
      <c r="DI221" s="16"/>
      <c r="DJ221" s="108"/>
      <c r="DT221" s="6"/>
      <c r="DU221" s="6"/>
      <c r="DV221" s="111"/>
      <c r="DW221" s="111"/>
      <c r="DX221" s="111"/>
      <c r="DY221" s="111"/>
      <c r="DZ221" s="111"/>
      <c r="EA221" s="111"/>
      <c r="EB221" s="111"/>
      <c r="EC221" s="111"/>
      <c r="ED221" s="111"/>
      <c r="EE221" s="111"/>
      <c r="EF221" s="6"/>
      <c r="EG221" s="6"/>
      <c r="EH221" s="6"/>
      <c r="EI221" s="6"/>
      <c r="EJ221" s="6"/>
      <c r="EK221" s="6"/>
      <c r="EL221" s="112"/>
      <c r="EM221" s="112"/>
      <c r="EN221" s="118"/>
      <c r="EO221" s="118"/>
      <c r="EP221" s="112"/>
      <c r="EQ221" s="112"/>
      <c r="ER221" s="112"/>
      <c r="ES221" s="112"/>
      <c r="ET221" s="112"/>
      <c r="EU221" s="112"/>
      <c r="EV221" s="6"/>
      <c r="EW221" s="6"/>
      <c r="EX221" s="118"/>
      <c r="EY221" s="113"/>
      <c r="EZ221" s="6"/>
      <c r="FA221" s="114"/>
      <c r="FB221" s="115"/>
      <c r="FC221" s="6"/>
    </row>
    <row r="222" spans="27:159">
      <c r="AA222" s="79" t="s">
        <v>175</v>
      </c>
      <c r="AB222" s="80" t="s">
        <v>197</v>
      </c>
      <c r="AC222" s="81">
        <v>2.74</v>
      </c>
      <c r="AD222" s="81">
        <v>6</v>
      </c>
      <c r="AE222" s="80">
        <v>273</v>
      </c>
      <c r="AF222" s="80">
        <v>6.35</v>
      </c>
      <c r="AG222" s="108" cm="1">
        <f t="array" ref="AG222">_xll.DCEPropSectPipe(AE222, AF222, "Area")/100</f>
        <v>53.19431074856206</v>
      </c>
      <c r="AH222" s="16" cm="1">
        <f t="array" ref="AH222">_xll.DCEPropSectPipe(AE222, AF222, "Ix")/10000</f>
        <v>4730.4733077169503</v>
      </c>
      <c r="AI222" s="16" cm="1">
        <f t="array" ref="AI222">_xll.DCEPropSectPipe(AE222, AF222, "Wx")/1000</f>
        <v>346.55482107816493</v>
      </c>
      <c r="AJ222" s="108">
        <f t="shared" si="97"/>
        <v>9.4301739777164251</v>
      </c>
      <c r="AK222" s="80" t="s">
        <v>207</v>
      </c>
      <c r="AL222" s="82">
        <v>-56.987622706336296</v>
      </c>
      <c r="AM222" s="82">
        <v>7.6973975730498321</v>
      </c>
      <c r="AN222" s="82">
        <v>-2.9834402635747028</v>
      </c>
      <c r="AO222" s="82">
        <v>8.180593202721834</v>
      </c>
      <c r="AP222" s="82">
        <v>-21.106264145302639</v>
      </c>
      <c r="AQ222" s="82">
        <v>-0.13440813650950328</v>
      </c>
      <c r="AR222" s="72">
        <v>1</v>
      </c>
      <c r="AS222" s="116">
        <f t="shared" si="98"/>
        <v>6</v>
      </c>
      <c r="AT222" s="7">
        <v>2</v>
      </c>
      <c r="AU222" s="6">
        <f t="shared" si="99"/>
        <v>12</v>
      </c>
      <c r="AV222" s="111">
        <f t="shared" si="100"/>
        <v>4.6869833602827711E-2</v>
      </c>
      <c r="AW222" s="117">
        <f t="shared" si="101"/>
        <v>105</v>
      </c>
      <c r="AX222" s="111">
        <f t="shared" si="102"/>
        <v>1</v>
      </c>
      <c r="AY222" s="111">
        <f t="shared" si="103"/>
        <v>1</v>
      </c>
      <c r="AZ222" s="111">
        <f t="shared" si="104"/>
        <v>1</v>
      </c>
      <c r="BA222" s="111">
        <f t="shared" si="105"/>
        <v>4.9336666950344957E-2</v>
      </c>
      <c r="BB222" s="111">
        <f t="shared" si="106"/>
        <v>0.1087094514195828</v>
      </c>
      <c r="BC222" s="111">
        <f t="shared" si="107"/>
        <v>0.28047481886634495</v>
      </c>
      <c r="BD222" s="111">
        <v>0</v>
      </c>
      <c r="BE222" s="111">
        <f t="shared" si="108"/>
        <v>0.43852093723627272</v>
      </c>
      <c r="BF222" s="6" t="str">
        <f t="shared" si="109"/>
        <v>OK</v>
      </c>
      <c r="BG222" s="16">
        <f t="shared" si="110"/>
        <v>63.625549371390676</v>
      </c>
      <c r="BH222" s="118">
        <f t="shared" si="111"/>
        <v>2.1193803644775273</v>
      </c>
      <c r="BI222" s="108">
        <f t="shared" si="112"/>
        <v>2.203421068735627</v>
      </c>
      <c r="BJ222" s="6">
        <f t="shared" si="113"/>
        <v>1.180558801816886</v>
      </c>
      <c r="BK222" s="108">
        <f t="shared" si="114"/>
        <v>2.6012681368046144</v>
      </c>
      <c r="BL222" s="118" cm="1">
        <f t="array" ref="BL222">IF(AO222=0,FactorPhi7121(BH222,"a"),noisuy2chieu(BK222,BH222,Data!$A$63:$M$85))</f>
        <v>0</v>
      </c>
      <c r="BM222" s="111">
        <v>1.26</v>
      </c>
      <c r="BN222" s="118">
        <f t="shared" si="115"/>
        <v>0.97894713408465139</v>
      </c>
      <c r="BO222" s="108" t="e">
        <f t="shared" si="116"/>
        <v>#DIV/0!</v>
      </c>
      <c r="BP222" s="6" t="e">
        <f t="shared" si="117"/>
        <v>#DIV/0!</v>
      </c>
      <c r="BQ222" s="16">
        <f t="shared" si="118"/>
        <v>127.25109874278135</v>
      </c>
      <c r="BR222" s="118">
        <f t="shared" si="119"/>
        <v>4.2387607289550546</v>
      </c>
      <c r="BS222" s="108">
        <f t="shared" si="120"/>
        <v>5.6849162337745636</v>
      </c>
      <c r="BT222" s="118">
        <f t="shared" si="121"/>
        <v>1.1000000000000001</v>
      </c>
      <c r="BU222" s="108">
        <f t="shared" si="122"/>
        <v>6.2534078571520206</v>
      </c>
      <c r="BV222" s="6" cm="1">
        <f t="array" ref="BV222">IF(AP222=0,FactorPhi7121(BR222,"a"),noisuy2chieu(BU222,BR222,Data!$A$63:$M$85))</f>
        <v>0</v>
      </c>
      <c r="BW222" s="111">
        <v>1.26</v>
      </c>
      <c r="BX222" s="111">
        <f t="shared" si="123"/>
        <v>0.9157885363386058</v>
      </c>
      <c r="BY222" s="113" t="e">
        <f t="shared" si="124"/>
        <v>#DIV/0!</v>
      </c>
      <c r="BZ222" s="6" t="e">
        <f t="shared" si="125"/>
        <v>#DIV/0!</v>
      </c>
      <c r="CA222" s="114">
        <f t="shared" si="126"/>
        <v>127.25109874278135</v>
      </c>
      <c r="CB222" s="115" t="e">
        <f t="shared" si="127"/>
        <v>#DIV/0!</v>
      </c>
      <c r="CC222" s="6" t="e">
        <f t="shared" si="128"/>
        <v>#DIV/0!</v>
      </c>
      <c r="DG222" s="108"/>
      <c r="DH222" s="108"/>
      <c r="DI222" s="16"/>
      <c r="DJ222" s="108"/>
      <c r="DT222" s="6"/>
      <c r="DU222" s="6"/>
      <c r="DV222" s="111"/>
      <c r="DW222" s="111"/>
      <c r="DX222" s="111"/>
      <c r="DY222" s="111"/>
      <c r="DZ222" s="111"/>
      <c r="EA222" s="111"/>
      <c r="EB222" s="111"/>
      <c r="EC222" s="111"/>
      <c r="ED222" s="111"/>
      <c r="EE222" s="111"/>
      <c r="EF222" s="6"/>
      <c r="EG222" s="6"/>
      <c r="EH222" s="6"/>
      <c r="EI222" s="6"/>
      <c r="EJ222" s="6"/>
      <c r="EK222" s="6"/>
      <c r="EL222" s="112"/>
      <c r="EM222" s="112"/>
      <c r="EN222" s="118"/>
      <c r="EO222" s="118"/>
      <c r="EP222" s="112"/>
      <c r="EQ222" s="112"/>
      <c r="ER222" s="112"/>
      <c r="ES222" s="112"/>
      <c r="ET222" s="112"/>
      <c r="EU222" s="112"/>
      <c r="EV222" s="6"/>
      <c r="EW222" s="6"/>
      <c r="EX222" s="118"/>
      <c r="EY222" s="113"/>
      <c r="EZ222" s="6"/>
      <c r="FA222" s="114"/>
      <c r="FB222" s="115"/>
      <c r="FC222" s="6"/>
    </row>
    <row r="223" spans="27:159">
      <c r="AA223" s="79" t="s">
        <v>175</v>
      </c>
      <c r="AB223" s="80" t="s">
        <v>197</v>
      </c>
      <c r="AC223" s="81">
        <v>5.48</v>
      </c>
      <c r="AD223" s="81">
        <v>6</v>
      </c>
      <c r="AE223" s="80">
        <v>273</v>
      </c>
      <c r="AF223" s="80">
        <v>6.35</v>
      </c>
      <c r="AG223" s="108" cm="1">
        <f t="array" ref="AG223">_xll.DCEPropSectPipe(AE223, AF223, "Area")/100</f>
        <v>53.19431074856206</v>
      </c>
      <c r="AH223" s="16" cm="1">
        <f t="array" ref="AH223">_xll.DCEPropSectPipe(AE223, AF223, "Ix")/10000</f>
        <v>4730.4733077169503</v>
      </c>
      <c r="AI223" s="16" cm="1">
        <f t="array" ref="AI223">_xll.DCEPropSectPipe(AE223, AF223, "Wx")/1000</f>
        <v>346.55482107816493</v>
      </c>
      <c r="AJ223" s="108">
        <f t="shared" si="97"/>
        <v>9.4301739777164251</v>
      </c>
      <c r="AK223" s="80" t="s">
        <v>207</v>
      </c>
      <c r="AL223" s="82">
        <v>-55.640362357604261</v>
      </c>
      <c r="AM223" s="82">
        <v>7.6973975730498321</v>
      </c>
      <c r="AN223" s="82">
        <v>-2.9834402635747028</v>
      </c>
      <c r="AO223" s="82">
        <v>16.361186405443668</v>
      </c>
      <c r="AP223" s="82">
        <v>-42.212528290605277</v>
      </c>
      <c r="AQ223" s="82">
        <v>-0.13440813650950328</v>
      </c>
      <c r="AR223" s="72">
        <v>1</v>
      </c>
      <c r="AS223" s="116">
        <f t="shared" si="98"/>
        <v>6</v>
      </c>
      <c r="AT223" s="7">
        <v>2</v>
      </c>
      <c r="AU223" s="6">
        <f t="shared" si="99"/>
        <v>12</v>
      </c>
      <c r="AV223" s="111">
        <f t="shared" si="100"/>
        <v>4.5761770739946833E-2</v>
      </c>
      <c r="AW223" s="117">
        <f t="shared" si="101"/>
        <v>105</v>
      </c>
      <c r="AX223" s="111">
        <f t="shared" si="102"/>
        <v>1</v>
      </c>
      <c r="AY223" s="111">
        <f t="shared" si="103"/>
        <v>1</v>
      </c>
      <c r="AZ223" s="111">
        <f t="shared" si="104"/>
        <v>1</v>
      </c>
      <c r="BA223" s="111">
        <f t="shared" si="105"/>
        <v>4.8170284989417722E-2</v>
      </c>
      <c r="BB223" s="111">
        <f t="shared" si="106"/>
        <v>0.2174189028391656</v>
      </c>
      <c r="BC223" s="111">
        <f t="shared" si="107"/>
        <v>0.56094963773268991</v>
      </c>
      <c r="BD223" s="111">
        <v>0</v>
      </c>
      <c r="BE223" s="111">
        <f t="shared" si="108"/>
        <v>0.82653882556127323</v>
      </c>
      <c r="BF223" s="6" t="str">
        <f t="shared" si="109"/>
        <v>OK</v>
      </c>
      <c r="BG223" s="16">
        <f t="shared" si="110"/>
        <v>63.625549371390676</v>
      </c>
      <c r="BH223" s="118">
        <f t="shared" si="111"/>
        <v>2.1193803644775273</v>
      </c>
      <c r="BI223" s="108">
        <f t="shared" si="112"/>
        <v>4.5135481944300144</v>
      </c>
      <c r="BJ223" s="6">
        <f t="shared" si="113"/>
        <v>1.1140128262286026</v>
      </c>
      <c r="BK223" s="108">
        <f t="shared" si="114"/>
        <v>5.0281505803959865</v>
      </c>
      <c r="BL223" s="118" cm="1">
        <f t="array" ref="BL223">IF(AO223=0,FactorPhi7121(BH223,"a"),noisuy2chieu(BK223,BH223,Data!$A$63:$M$85))</f>
        <v>0</v>
      </c>
      <c r="BM223" s="111">
        <v>1.26</v>
      </c>
      <c r="BN223" s="118">
        <f t="shared" si="115"/>
        <v>0.97944485078396148</v>
      </c>
      <c r="BO223" s="108" t="e">
        <f t="shared" si="116"/>
        <v>#DIV/0!</v>
      </c>
      <c r="BP223" s="6" t="e">
        <f t="shared" si="117"/>
        <v>#DIV/0!</v>
      </c>
      <c r="BQ223" s="16">
        <f t="shared" si="118"/>
        <v>127.25109874278135</v>
      </c>
      <c r="BR223" s="118">
        <f t="shared" si="119"/>
        <v>4.2387607289550546</v>
      </c>
      <c r="BS223" s="108">
        <f t="shared" si="120"/>
        <v>11.645138446989096</v>
      </c>
      <c r="BT223" s="118">
        <f t="shared" si="121"/>
        <v>1.1000000000000001</v>
      </c>
      <c r="BU223" s="108">
        <f t="shared" si="122"/>
        <v>12.809652291688007</v>
      </c>
      <c r="BV223" s="6" cm="1">
        <f t="array" ref="BV223">IF(AP223=0,FactorPhi7121(BR223,"a"),noisuy2chieu(BU223,BR223,Data!$A$63:$M$85))</f>
        <v>0</v>
      </c>
      <c r="BW223" s="111">
        <v>1.26</v>
      </c>
      <c r="BX223" s="111">
        <f t="shared" si="123"/>
        <v>0.91777940313584572</v>
      </c>
      <c r="BY223" s="113" t="e">
        <f t="shared" si="124"/>
        <v>#DIV/0!</v>
      </c>
      <c r="BZ223" s="6" t="e">
        <f t="shared" si="125"/>
        <v>#DIV/0!</v>
      </c>
      <c r="CA223" s="114">
        <f t="shared" si="126"/>
        <v>127.25109874278135</v>
      </c>
      <c r="CB223" s="115" t="e">
        <f t="shared" si="127"/>
        <v>#DIV/0!</v>
      </c>
      <c r="CC223" s="6" t="e">
        <f t="shared" si="128"/>
        <v>#DIV/0!</v>
      </c>
      <c r="DG223" s="108"/>
      <c r="DH223" s="108"/>
      <c r="DI223" s="16"/>
      <c r="DJ223" s="108"/>
      <c r="DT223" s="6"/>
      <c r="DU223" s="6"/>
      <c r="DV223" s="111"/>
      <c r="DW223" s="111"/>
      <c r="DX223" s="111"/>
      <c r="DY223" s="111"/>
      <c r="DZ223" s="111"/>
      <c r="EA223" s="111"/>
      <c r="EB223" s="111"/>
      <c r="EC223" s="111"/>
      <c r="ED223" s="111"/>
      <c r="EE223" s="111"/>
      <c r="EF223" s="6"/>
      <c r="EG223" s="6"/>
      <c r="EH223" s="6"/>
      <c r="EI223" s="6"/>
      <c r="EJ223" s="6"/>
      <c r="EK223" s="6"/>
      <c r="EL223" s="112"/>
      <c r="EM223" s="112"/>
      <c r="EN223" s="118"/>
      <c r="EO223" s="118"/>
      <c r="EP223" s="112"/>
      <c r="EQ223" s="112"/>
      <c r="ER223" s="112"/>
      <c r="ES223" s="112"/>
      <c r="ET223" s="112"/>
      <c r="EU223" s="112"/>
      <c r="EV223" s="6"/>
      <c r="EW223" s="6"/>
      <c r="EX223" s="118"/>
      <c r="EY223" s="113"/>
      <c r="EZ223" s="6"/>
      <c r="FA223" s="114"/>
      <c r="FB223" s="115"/>
      <c r="FC223" s="6"/>
    </row>
    <row r="224" spans="27:159">
      <c r="AA224" s="79" t="s">
        <v>175</v>
      </c>
      <c r="AB224" s="80" t="s">
        <v>197</v>
      </c>
      <c r="AC224" s="81">
        <v>0</v>
      </c>
      <c r="AD224" s="81">
        <v>6</v>
      </c>
      <c r="AE224" s="80">
        <v>273</v>
      </c>
      <c r="AF224" s="80">
        <v>6.35</v>
      </c>
      <c r="AG224" s="108" cm="1">
        <f t="array" ref="AG224">_xll.DCEPropSectPipe(AE224, AF224, "Area")/100</f>
        <v>53.19431074856206</v>
      </c>
      <c r="AH224" s="16" cm="1">
        <f t="array" ref="AH224">_xll.DCEPropSectPipe(AE224, AF224, "Ix")/10000</f>
        <v>4730.4733077169503</v>
      </c>
      <c r="AI224" s="16" cm="1">
        <f t="array" ref="AI224">_xll.DCEPropSectPipe(AE224, AF224, "Wx")/1000</f>
        <v>346.55482107816493</v>
      </c>
      <c r="AJ224" s="108">
        <f t="shared" si="97"/>
        <v>9.4301739777164251</v>
      </c>
      <c r="AK224" s="80" t="s">
        <v>208</v>
      </c>
      <c r="AL224" s="82">
        <v>-73.527865693251016</v>
      </c>
      <c r="AM224" s="82">
        <v>7.6715116267631549</v>
      </c>
      <c r="AN224" s="82">
        <v>-3.1976160913706297</v>
      </c>
      <c r="AO224" s="82">
        <v>0</v>
      </c>
      <c r="AP224" s="82">
        <v>0</v>
      </c>
      <c r="AQ224" s="82">
        <v>-0.17742733653094209</v>
      </c>
      <c r="AR224" s="72">
        <v>1</v>
      </c>
      <c r="AS224" s="116">
        <f t="shared" si="98"/>
        <v>6</v>
      </c>
      <c r="AT224" s="7">
        <v>2</v>
      </c>
      <c r="AU224" s="6">
        <f t="shared" si="99"/>
        <v>12</v>
      </c>
      <c r="AV224" s="111">
        <f t="shared" si="100"/>
        <v>6.0473461894920588E-2</v>
      </c>
      <c r="AW224" s="117">
        <f t="shared" si="101"/>
        <v>105</v>
      </c>
      <c r="AX224" s="111">
        <f t="shared" si="102"/>
        <v>1</v>
      </c>
      <c r="AY224" s="111">
        <f t="shared" si="103"/>
        <v>1</v>
      </c>
      <c r="AZ224" s="111">
        <f t="shared" si="104"/>
        <v>1</v>
      </c>
      <c r="BA224" s="111">
        <f t="shared" si="105"/>
        <v>6.3656275678863783E-2</v>
      </c>
      <c r="BB224" s="111">
        <f t="shared" si="106"/>
        <v>0</v>
      </c>
      <c r="BC224" s="111">
        <f t="shared" si="107"/>
        <v>0</v>
      </c>
      <c r="BD224" s="111">
        <v>0</v>
      </c>
      <c r="BE224" s="111">
        <f t="shared" si="108"/>
        <v>6.3656275678863783E-2</v>
      </c>
      <c r="BF224" s="6" t="str">
        <f t="shared" si="109"/>
        <v>OK</v>
      </c>
      <c r="BG224" s="16">
        <f t="shared" si="110"/>
        <v>63.625549371390676</v>
      </c>
      <c r="BH224" s="118">
        <f t="shared" si="111"/>
        <v>2.1193803644775273</v>
      </c>
      <c r="BI224" s="108">
        <f t="shared" si="112"/>
        <v>0</v>
      </c>
      <c r="BJ224" s="6">
        <f t="shared" si="113"/>
        <v>1.2440309817761237</v>
      </c>
      <c r="BK224" s="108">
        <f t="shared" si="114"/>
        <v>0</v>
      </c>
      <c r="BL224" s="118" cm="1">
        <f t="array" ref="BL224">IF(AO224=0,FactorPhi7121(BH224,"a"),noisuy2chieu(BK224,BH224,Data!$A$63:$M$85))</f>
        <v>0.86214274110469236</v>
      </c>
      <c r="BM224" s="111">
        <v>1.26</v>
      </c>
      <c r="BN224" s="118">
        <f t="shared" si="115"/>
        <v>0.97283669288226593</v>
      </c>
      <c r="BO224" s="108">
        <f t="shared" si="116"/>
        <v>0.15048925167575214</v>
      </c>
      <c r="BP224" s="6" t="str">
        <f t="shared" si="117"/>
        <v>OK</v>
      </c>
      <c r="BQ224" s="16">
        <f t="shared" si="118"/>
        <v>127.25109874278135</v>
      </c>
      <c r="BR224" s="118">
        <f t="shared" si="119"/>
        <v>4.2387607289550546</v>
      </c>
      <c r="BS224" s="108">
        <f t="shared" si="120"/>
        <v>0</v>
      </c>
      <c r="BT224" s="118">
        <f t="shared" si="121"/>
        <v>1.1380619635522473</v>
      </c>
      <c r="BU224" s="108">
        <f t="shared" si="122"/>
        <v>0</v>
      </c>
      <c r="BV224" s="6" cm="1">
        <f t="array" ref="BV224">IF(AP224=0,FactorPhi7121(BR224,"a"),noisuy2chieu(BU224,BR224,Data!$A$63:$M$85))</f>
        <v>0.42299549615688942</v>
      </c>
      <c r="BW224" s="111">
        <v>1.26</v>
      </c>
      <c r="BX224" s="111">
        <f t="shared" si="123"/>
        <v>0.8913467715290635</v>
      </c>
      <c r="BY224" s="113">
        <f t="shared" si="124"/>
        <v>7.3834961015038947E-2</v>
      </c>
      <c r="BZ224" s="6" t="str">
        <f t="shared" si="125"/>
        <v>OK</v>
      </c>
      <c r="CA224" s="114">
        <f t="shared" si="126"/>
        <v>127.25109874278135</v>
      </c>
      <c r="CB224" s="115">
        <f t="shared" si="127"/>
        <v>150</v>
      </c>
      <c r="CC224" s="6" t="str">
        <f t="shared" si="128"/>
        <v>OK</v>
      </c>
      <c r="DG224" s="108"/>
      <c r="DH224" s="108"/>
      <c r="DI224" s="16"/>
      <c r="DJ224" s="108"/>
      <c r="DT224" s="6"/>
      <c r="DU224" s="6"/>
      <c r="DV224" s="111"/>
      <c r="DW224" s="111"/>
      <c r="DX224" s="111"/>
      <c r="DY224" s="111"/>
      <c r="DZ224" s="111"/>
      <c r="EA224" s="111"/>
      <c r="EB224" s="111"/>
      <c r="EC224" s="111"/>
      <c r="ED224" s="111"/>
      <c r="EE224" s="111"/>
      <c r="EF224" s="6"/>
      <c r="EG224" s="6"/>
      <c r="EH224" s="6"/>
      <c r="EI224" s="6"/>
      <c r="EJ224" s="6"/>
      <c r="EK224" s="6"/>
      <c r="EL224" s="112"/>
      <c r="EM224" s="112"/>
      <c r="EN224" s="118"/>
      <c r="EO224" s="118"/>
      <c r="EP224" s="112"/>
      <c r="EQ224" s="112"/>
      <c r="ER224" s="112"/>
      <c r="ES224" s="112"/>
      <c r="ET224" s="112"/>
      <c r="EU224" s="112"/>
      <c r="EV224" s="6"/>
      <c r="EW224" s="6"/>
      <c r="EX224" s="118"/>
      <c r="EY224" s="113"/>
      <c r="EZ224" s="6"/>
      <c r="FA224" s="114"/>
      <c r="FB224" s="115"/>
      <c r="FC224" s="6"/>
    </row>
    <row r="225" spans="27:159">
      <c r="AA225" s="79" t="s">
        <v>175</v>
      </c>
      <c r="AB225" s="80" t="s">
        <v>197</v>
      </c>
      <c r="AC225" s="81">
        <v>2.74</v>
      </c>
      <c r="AD225" s="81">
        <v>6</v>
      </c>
      <c r="AE225" s="80">
        <v>273</v>
      </c>
      <c r="AF225" s="80">
        <v>6.35</v>
      </c>
      <c r="AG225" s="108" cm="1">
        <f t="array" ref="AG225">_xll.DCEPropSectPipe(AE225, AF225, "Area")/100</f>
        <v>53.19431074856206</v>
      </c>
      <c r="AH225" s="16" cm="1">
        <f t="array" ref="AH225">_xll.DCEPropSectPipe(AE225, AF225, "Ix")/10000</f>
        <v>4730.4733077169503</v>
      </c>
      <c r="AI225" s="16" cm="1">
        <f t="array" ref="AI225">_xll.DCEPropSectPipe(AE225, AF225, "Wx")/1000</f>
        <v>346.55482107816493</v>
      </c>
      <c r="AJ225" s="108">
        <f t="shared" si="97"/>
        <v>9.4301739777164251</v>
      </c>
      <c r="AK225" s="80" t="s">
        <v>208</v>
      </c>
      <c r="AL225" s="82">
        <v>-72.180605344518995</v>
      </c>
      <c r="AM225" s="82">
        <v>7.6715116267631549</v>
      </c>
      <c r="AN225" s="82">
        <v>-3.1976160913706297</v>
      </c>
      <c r="AO225" s="82">
        <v>8.7678633225382647</v>
      </c>
      <c r="AP225" s="82">
        <v>-21.03528488058457</v>
      </c>
      <c r="AQ225" s="82">
        <v>-0.17742733653094209</v>
      </c>
      <c r="AR225" s="72">
        <v>1</v>
      </c>
      <c r="AS225" s="116">
        <f t="shared" si="98"/>
        <v>6</v>
      </c>
      <c r="AT225" s="7">
        <v>2</v>
      </c>
      <c r="AU225" s="6">
        <f t="shared" si="99"/>
        <v>12</v>
      </c>
      <c r="AV225" s="111">
        <f t="shared" si="100"/>
        <v>5.9365399032039717E-2</v>
      </c>
      <c r="AW225" s="117">
        <f t="shared" si="101"/>
        <v>105</v>
      </c>
      <c r="AX225" s="111">
        <f t="shared" si="102"/>
        <v>1</v>
      </c>
      <c r="AY225" s="111">
        <f t="shared" si="103"/>
        <v>1</v>
      </c>
      <c r="AZ225" s="111">
        <f t="shared" si="104"/>
        <v>1</v>
      </c>
      <c r="BA225" s="111">
        <f t="shared" si="105"/>
        <v>6.2489893717936555E-2</v>
      </c>
      <c r="BB225" s="111">
        <f t="shared" si="106"/>
        <v>0.11651350804216555</v>
      </c>
      <c r="BC225" s="111">
        <f t="shared" si="107"/>
        <v>0.27953159668936406</v>
      </c>
      <c r="BD225" s="111">
        <v>0</v>
      </c>
      <c r="BE225" s="111">
        <f t="shared" si="108"/>
        <v>0.45853499844946616</v>
      </c>
      <c r="BF225" s="6" t="str">
        <f t="shared" si="109"/>
        <v>OK</v>
      </c>
      <c r="BG225" s="16">
        <f t="shared" si="110"/>
        <v>63.625549371390676</v>
      </c>
      <c r="BH225" s="118">
        <f t="shared" si="111"/>
        <v>2.1193803644775273</v>
      </c>
      <c r="BI225" s="108">
        <f t="shared" si="112"/>
        <v>1.864517622130673</v>
      </c>
      <c r="BJ225" s="6">
        <f t="shared" si="113"/>
        <v>1.1903213210452508</v>
      </c>
      <c r="BK225" s="108">
        <f t="shared" si="114"/>
        <v>2.2193750790867321</v>
      </c>
      <c r="BL225" s="118" cm="1">
        <f t="array" ref="BL225">IF(AO225=0,FactorPhi7121(BH225,"a"),noisuy2chieu(BK225,BH225,Data!$A$63:$M$85))</f>
        <v>0</v>
      </c>
      <c r="BM225" s="111">
        <v>1.26</v>
      </c>
      <c r="BN225" s="118">
        <f t="shared" si="115"/>
        <v>0.97333440958157591</v>
      </c>
      <c r="BO225" s="108" t="e">
        <f t="shared" si="116"/>
        <v>#DIV/0!</v>
      </c>
      <c r="BP225" s="6" t="e">
        <f t="shared" si="117"/>
        <v>#DIV/0!</v>
      </c>
      <c r="BQ225" s="16">
        <f t="shared" si="118"/>
        <v>127.25109874278135</v>
      </c>
      <c r="BR225" s="118">
        <f t="shared" si="119"/>
        <v>4.2387607289550546</v>
      </c>
      <c r="BS225" s="108">
        <f t="shared" si="120"/>
        <v>4.4732288704330081</v>
      </c>
      <c r="BT225" s="118">
        <f t="shared" si="121"/>
        <v>1.1040099887067911</v>
      </c>
      <c r="BU225" s="108">
        <f t="shared" si="122"/>
        <v>4.9384893547296373</v>
      </c>
      <c r="BV225" s="6" cm="1">
        <f t="array" ref="BV225">IF(AP225=0,FactorPhi7121(BR225,"a"),noisuy2chieu(BU225,BR225,Data!$A$63:$M$85))</f>
        <v>0</v>
      </c>
      <c r="BW225" s="111">
        <v>1.26</v>
      </c>
      <c r="BX225" s="111">
        <f t="shared" si="123"/>
        <v>0.89333763832630353</v>
      </c>
      <c r="BY225" s="113" t="e">
        <f t="shared" si="124"/>
        <v>#DIV/0!</v>
      </c>
      <c r="BZ225" s="6" t="e">
        <f t="shared" si="125"/>
        <v>#DIV/0!</v>
      </c>
      <c r="CA225" s="114">
        <f t="shared" si="126"/>
        <v>127.25109874278135</v>
      </c>
      <c r="CB225" s="115" t="e">
        <f t="shared" si="127"/>
        <v>#DIV/0!</v>
      </c>
      <c r="CC225" s="6" t="e">
        <f t="shared" si="128"/>
        <v>#DIV/0!</v>
      </c>
      <c r="DG225" s="108"/>
      <c r="DH225" s="108"/>
      <c r="DI225" s="16"/>
      <c r="DJ225" s="108"/>
      <c r="DT225" s="6"/>
      <c r="DU225" s="6"/>
      <c r="DV225" s="111"/>
      <c r="DW225" s="111"/>
      <c r="DX225" s="111"/>
      <c r="DY225" s="111"/>
      <c r="DZ225" s="111"/>
      <c r="EA225" s="111"/>
      <c r="EB225" s="111"/>
      <c r="EC225" s="111"/>
      <c r="ED225" s="111"/>
      <c r="EE225" s="111"/>
      <c r="EF225" s="6"/>
      <c r="EG225" s="6"/>
      <c r="EH225" s="6"/>
      <c r="EI225" s="6"/>
      <c r="EJ225" s="6"/>
      <c r="EK225" s="6"/>
      <c r="EL225" s="112"/>
      <c r="EM225" s="112"/>
      <c r="EN225" s="118"/>
      <c r="EO225" s="118"/>
      <c r="EP225" s="112"/>
      <c r="EQ225" s="112"/>
      <c r="ER225" s="112"/>
      <c r="ES225" s="112"/>
      <c r="ET225" s="112"/>
      <c r="EU225" s="112"/>
      <c r="EV225" s="6"/>
      <c r="EW225" s="6"/>
      <c r="EX225" s="118"/>
      <c r="EY225" s="113"/>
      <c r="EZ225" s="6"/>
      <c r="FA225" s="114"/>
      <c r="FB225" s="115"/>
      <c r="FC225" s="6"/>
    </row>
    <row r="226" spans="27:159">
      <c r="AA226" s="79" t="s">
        <v>175</v>
      </c>
      <c r="AB226" s="80" t="s">
        <v>197</v>
      </c>
      <c r="AC226" s="81">
        <v>5.48</v>
      </c>
      <c r="AD226" s="81">
        <v>6</v>
      </c>
      <c r="AE226" s="80">
        <v>273</v>
      </c>
      <c r="AF226" s="80">
        <v>6.35</v>
      </c>
      <c r="AG226" s="108" cm="1">
        <f t="array" ref="AG226">_xll.DCEPropSectPipe(AE226, AF226, "Area")/100</f>
        <v>53.19431074856206</v>
      </c>
      <c r="AH226" s="16" cm="1">
        <f t="array" ref="AH226">_xll.DCEPropSectPipe(AE226, AF226, "Ix")/10000</f>
        <v>4730.4733077169503</v>
      </c>
      <c r="AI226" s="16" cm="1">
        <f t="array" ref="AI226">_xll.DCEPropSectPipe(AE226, AF226, "Wx")/1000</f>
        <v>346.55482107816493</v>
      </c>
      <c r="AJ226" s="108">
        <f t="shared" si="97"/>
        <v>9.4301739777164251</v>
      </c>
      <c r="AK226" s="80" t="s">
        <v>208</v>
      </c>
      <c r="AL226" s="82">
        <v>-70.833344995786959</v>
      </c>
      <c r="AM226" s="82">
        <v>7.6715116267631549</v>
      </c>
      <c r="AN226" s="82">
        <v>-3.1976160913706297</v>
      </c>
      <c r="AO226" s="82">
        <v>17.535726645076529</v>
      </c>
      <c r="AP226" s="82">
        <v>-42.070569761169139</v>
      </c>
      <c r="AQ226" s="82">
        <v>-0.17742733653094209</v>
      </c>
      <c r="AR226" s="72">
        <v>1</v>
      </c>
      <c r="AS226" s="116">
        <f t="shared" si="98"/>
        <v>6</v>
      </c>
      <c r="AT226" s="7">
        <v>2</v>
      </c>
      <c r="AU226" s="6">
        <f t="shared" si="99"/>
        <v>12</v>
      </c>
      <c r="AV226" s="111">
        <f t="shared" si="100"/>
        <v>5.8257336169158853E-2</v>
      </c>
      <c r="AW226" s="117">
        <f t="shared" si="101"/>
        <v>105</v>
      </c>
      <c r="AX226" s="111">
        <f t="shared" si="102"/>
        <v>1</v>
      </c>
      <c r="AY226" s="111">
        <f t="shared" si="103"/>
        <v>1</v>
      </c>
      <c r="AZ226" s="111">
        <f t="shared" si="104"/>
        <v>1</v>
      </c>
      <c r="BA226" s="111">
        <f t="shared" si="105"/>
        <v>6.1323511757009314E-2</v>
      </c>
      <c r="BB226" s="111">
        <f t="shared" si="106"/>
        <v>0.2330270160843311</v>
      </c>
      <c r="BC226" s="111">
        <f t="shared" si="107"/>
        <v>0.55906319337872812</v>
      </c>
      <c r="BD226" s="111">
        <v>0</v>
      </c>
      <c r="BE226" s="111">
        <f t="shared" si="108"/>
        <v>0.85341372122006853</v>
      </c>
      <c r="BF226" s="6" t="str">
        <f t="shared" si="109"/>
        <v>OK</v>
      </c>
      <c r="BG226" s="16">
        <f t="shared" si="110"/>
        <v>63.625549371390676</v>
      </c>
      <c r="BH226" s="118">
        <f t="shared" si="111"/>
        <v>2.1193803644775273</v>
      </c>
      <c r="BI226" s="108">
        <f t="shared" si="112"/>
        <v>3.7999620277404604</v>
      </c>
      <c r="BJ226" s="6">
        <f t="shared" si="113"/>
        <v>1.134568529462634</v>
      </c>
      <c r="BK226" s="108">
        <f t="shared" si="114"/>
        <v>4.3113173298273431</v>
      </c>
      <c r="BL226" s="118" cm="1">
        <f t="array" ref="BL226">IF(AO226=0,FactorPhi7121(BH226,"a"),noisuy2chieu(BK226,BH226,Data!$A$63:$M$85))</f>
        <v>0</v>
      </c>
      <c r="BM226" s="111">
        <v>1.26</v>
      </c>
      <c r="BN226" s="118">
        <f t="shared" si="115"/>
        <v>0.97383212628088589</v>
      </c>
      <c r="BO226" s="108" t="e">
        <f t="shared" si="116"/>
        <v>#DIV/0!</v>
      </c>
      <c r="BP226" s="6" t="e">
        <f t="shared" si="117"/>
        <v>#DIV/0!</v>
      </c>
      <c r="BQ226" s="16">
        <f t="shared" si="118"/>
        <v>127.25109874278135</v>
      </c>
      <c r="BR226" s="118">
        <f t="shared" si="119"/>
        <v>4.2387607289550546</v>
      </c>
      <c r="BS226" s="108">
        <f t="shared" si="120"/>
        <v>9.1166206461557842</v>
      </c>
      <c r="BT226" s="118">
        <f t="shared" si="121"/>
        <v>1.1000000000000001</v>
      </c>
      <c r="BU226" s="108">
        <f t="shared" si="122"/>
        <v>10.028282710771363</v>
      </c>
      <c r="BV226" s="6" cm="1">
        <f t="array" ref="BV226">IF(AP226=0,FactorPhi7121(BR226,"a"),noisuy2chieu(BU226,BR226,Data!$A$63:$M$85))</f>
        <v>0</v>
      </c>
      <c r="BW226" s="111">
        <v>1.26</v>
      </c>
      <c r="BX226" s="111">
        <f t="shared" si="123"/>
        <v>0.89532850512354356</v>
      </c>
      <c r="BY226" s="113" t="e">
        <f t="shared" si="124"/>
        <v>#DIV/0!</v>
      </c>
      <c r="BZ226" s="6" t="e">
        <f t="shared" si="125"/>
        <v>#DIV/0!</v>
      </c>
      <c r="CA226" s="114">
        <f t="shared" si="126"/>
        <v>127.25109874278135</v>
      </c>
      <c r="CB226" s="115" t="e">
        <f t="shared" si="127"/>
        <v>#DIV/0!</v>
      </c>
      <c r="CC226" s="6" t="e">
        <f t="shared" si="128"/>
        <v>#DIV/0!</v>
      </c>
      <c r="DG226" s="108"/>
      <c r="DH226" s="108"/>
      <c r="DI226" s="16"/>
      <c r="DJ226" s="108"/>
      <c r="DT226" s="6"/>
      <c r="DU226" s="6"/>
      <c r="DV226" s="111"/>
      <c r="DW226" s="111"/>
      <c r="DX226" s="111"/>
      <c r="DY226" s="111"/>
      <c r="DZ226" s="111"/>
      <c r="EA226" s="111"/>
      <c r="EB226" s="111"/>
      <c r="EC226" s="111"/>
      <c r="ED226" s="111"/>
      <c r="EE226" s="111"/>
      <c r="EF226" s="6"/>
      <c r="EG226" s="6"/>
      <c r="EH226" s="6"/>
      <c r="EI226" s="6"/>
      <c r="EJ226" s="6"/>
      <c r="EK226" s="6"/>
      <c r="EL226" s="112"/>
      <c r="EM226" s="112"/>
      <c r="EN226" s="118"/>
      <c r="EO226" s="118"/>
      <c r="EP226" s="112"/>
      <c r="EQ226" s="112"/>
      <c r="ER226" s="112"/>
      <c r="ES226" s="112"/>
      <c r="ET226" s="112"/>
      <c r="EU226" s="112"/>
      <c r="EV226" s="6"/>
      <c r="EW226" s="6"/>
      <c r="EX226" s="118"/>
      <c r="EY226" s="113"/>
      <c r="EZ226" s="6"/>
      <c r="FA226" s="114"/>
      <c r="FB226" s="115"/>
      <c r="FC226" s="6"/>
    </row>
    <row r="227" spans="27:159">
      <c r="AA227" s="79" t="s">
        <v>175</v>
      </c>
      <c r="AB227" s="80" t="s">
        <v>197</v>
      </c>
      <c r="AC227" s="81">
        <v>0</v>
      </c>
      <c r="AD227" s="81">
        <v>6</v>
      </c>
      <c r="AE227" s="80">
        <v>273</v>
      </c>
      <c r="AF227" s="80">
        <v>6.35</v>
      </c>
      <c r="AG227" s="108" cm="1">
        <f t="array" ref="AG227">_xll.DCEPropSectPipe(AE227, AF227, "Area")/100</f>
        <v>53.19431074856206</v>
      </c>
      <c r="AH227" s="16" cm="1">
        <f t="array" ref="AH227">_xll.DCEPropSectPipe(AE227, AF227, "Ix")/10000</f>
        <v>4730.4733077169503</v>
      </c>
      <c r="AI227" s="16" cm="1">
        <f t="array" ref="AI227">_xll.DCEPropSectPipe(AE227, AF227, "Wx")/1000</f>
        <v>346.55482107816493</v>
      </c>
      <c r="AJ227" s="108">
        <f t="shared" si="97"/>
        <v>9.4301739777164251</v>
      </c>
      <c r="AK227" s="80" t="s">
        <v>209</v>
      </c>
      <c r="AL227" s="82">
        <v>1.6556701032376764</v>
      </c>
      <c r="AM227" s="82">
        <v>-2.1560516268741186</v>
      </c>
      <c r="AN227" s="82">
        <v>0.6414222812657272</v>
      </c>
      <c r="AO227" s="82">
        <v>0</v>
      </c>
      <c r="AP227" s="82">
        <v>0</v>
      </c>
      <c r="AQ227" s="82">
        <v>4.7673772573023278E-2</v>
      </c>
      <c r="AR227" s="72">
        <v>1</v>
      </c>
      <c r="AS227" s="116">
        <f t="shared" si="98"/>
        <v>6</v>
      </c>
      <c r="AT227" s="7">
        <v>2</v>
      </c>
      <c r="AU227" s="6">
        <f t="shared" si="99"/>
        <v>12</v>
      </c>
      <c r="AV227" s="111">
        <f t="shared" si="100"/>
        <v>1.3617164316506614E-3</v>
      </c>
      <c r="AW227" s="117">
        <f t="shared" si="101"/>
        <v>105</v>
      </c>
      <c r="AX227" s="111">
        <f t="shared" si="102"/>
        <v>1</v>
      </c>
      <c r="AY227" s="111">
        <f t="shared" si="103"/>
        <v>1</v>
      </c>
      <c r="AZ227" s="111">
        <f t="shared" si="104"/>
        <v>1</v>
      </c>
      <c r="BA227" s="111">
        <f t="shared" si="105"/>
        <v>1.4333857175270121E-3</v>
      </c>
      <c r="BB227" s="111">
        <f t="shared" si="106"/>
        <v>0</v>
      </c>
      <c r="BC227" s="111">
        <f t="shared" si="107"/>
        <v>0</v>
      </c>
      <c r="BD227" s="111">
        <v>0</v>
      </c>
      <c r="BE227" s="111">
        <f t="shared" si="108"/>
        <v>1.4333857175270121E-3</v>
      </c>
      <c r="BF227" s="6" t="str">
        <f t="shared" si="109"/>
        <v>OK</v>
      </c>
      <c r="BG227" s="16">
        <f t="shared" si="110"/>
        <v>63.625549371390676</v>
      </c>
      <c r="BH227" s="118">
        <f t="shared" si="111"/>
        <v>2.1193803644775273</v>
      </c>
      <c r="BI227" s="108">
        <f t="shared" si="112"/>
        <v>0</v>
      </c>
      <c r="BJ227" s="6">
        <f t="shared" si="113"/>
        <v>1.2440309817761237</v>
      </c>
      <c r="BK227" s="108">
        <f t="shared" si="114"/>
        <v>0</v>
      </c>
      <c r="BL227" s="118" cm="1">
        <f t="array" ref="BL227">IF(AO227=0,FactorPhi7121(BH227,"a"),noisuy2chieu(BK227,BH227,Data!$A$63:$M$85))</f>
        <v>0.86214274110469236</v>
      </c>
      <c r="BM227" s="111">
        <v>1.26</v>
      </c>
      <c r="BN227" s="118">
        <f t="shared" si="115"/>
        <v>0.99938834787225406</v>
      </c>
      <c r="BO227" s="108">
        <f t="shared" si="116"/>
        <v>3.3886547978642491E-3</v>
      </c>
      <c r="BP227" s="6" t="str">
        <f t="shared" si="117"/>
        <v>OK</v>
      </c>
      <c r="BQ227" s="16">
        <f t="shared" si="118"/>
        <v>127.25109874278135</v>
      </c>
      <c r="BR227" s="118">
        <f t="shared" si="119"/>
        <v>4.2387607289550546</v>
      </c>
      <c r="BS227" s="108">
        <f t="shared" si="120"/>
        <v>0</v>
      </c>
      <c r="BT227" s="118">
        <f t="shared" si="121"/>
        <v>1.1380619635522473</v>
      </c>
      <c r="BU227" s="108">
        <f t="shared" si="122"/>
        <v>0</v>
      </c>
      <c r="BV227" s="6" cm="1">
        <f t="array" ref="BV227">IF(AP227=0,FactorPhi7121(BR227,"a"),noisuy2chieu(BU227,BR227,Data!$A$63:$M$85))</f>
        <v>0.42299549615688942</v>
      </c>
      <c r="BW227" s="111">
        <v>1.26</v>
      </c>
      <c r="BX227" s="111">
        <f t="shared" si="123"/>
        <v>0.99755339148901623</v>
      </c>
      <c r="BY227" s="113">
        <f t="shared" si="124"/>
        <v>1.6625851488239255E-3</v>
      </c>
      <c r="BZ227" s="6" t="str">
        <f t="shared" si="125"/>
        <v>OK</v>
      </c>
      <c r="CA227" s="114">
        <f t="shared" si="126"/>
        <v>127.25109874278135</v>
      </c>
      <c r="CB227" s="115">
        <f t="shared" si="127"/>
        <v>150</v>
      </c>
      <c r="CC227" s="6" t="str">
        <f t="shared" si="128"/>
        <v>OK</v>
      </c>
      <c r="DG227" s="108"/>
      <c r="DH227" s="108"/>
      <c r="DI227" s="16"/>
      <c r="DJ227" s="108"/>
      <c r="DT227" s="6"/>
      <c r="DU227" s="6"/>
      <c r="DV227" s="111"/>
      <c r="DW227" s="111"/>
      <c r="DX227" s="111"/>
      <c r="DY227" s="111"/>
      <c r="DZ227" s="111"/>
      <c r="EA227" s="111"/>
      <c r="EB227" s="111"/>
      <c r="EC227" s="111"/>
      <c r="ED227" s="111"/>
      <c r="EE227" s="111"/>
      <c r="EF227" s="6"/>
      <c r="EG227" s="6"/>
      <c r="EH227" s="6"/>
      <c r="EI227" s="6"/>
      <c r="EJ227" s="6"/>
      <c r="EK227" s="6"/>
      <c r="EL227" s="112"/>
      <c r="EM227" s="112"/>
      <c r="EN227" s="118"/>
      <c r="EO227" s="118"/>
      <c r="EP227" s="112"/>
      <c r="EQ227" s="112"/>
      <c r="ER227" s="112"/>
      <c r="ES227" s="112"/>
      <c r="ET227" s="112"/>
      <c r="EU227" s="112"/>
      <c r="EV227" s="6"/>
      <c r="EW227" s="6"/>
      <c r="EX227" s="118"/>
      <c r="EY227" s="113"/>
      <c r="EZ227" s="6"/>
      <c r="FA227" s="114"/>
      <c r="FB227" s="115"/>
      <c r="FC227" s="6"/>
    </row>
    <row r="228" spans="27:159">
      <c r="AA228" s="79" t="s">
        <v>175</v>
      </c>
      <c r="AB228" s="80" t="s">
        <v>197</v>
      </c>
      <c r="AC228" s="81">
        <v>2.74</v>
      </c>
      <c r="AD228" s="81">
        <v>6</v>
      </c>
      <c r="AE228" s="80">
        <v>273</v>
      </c>
      <c r="AF228" s="80">
        <v>6.35</v>
      </c>
      <c r="AG228" s="108" cm="1">
        <f t="array" ref="AG228">_xll.DCEPropSectPipe(AE228, AF228, "Area")/100</f>
        <v>53.19431074856206</v>
      </c>
      <c r="AH228" s="16" cm="1">
        <f t="array" ref="AH228">_xll.DCEPropSectPipe(AE228, AF228, "Ix")/10000</f>
        <v>4730.4733077169503</v>
      </c>
      <c r="AI228" s="16" cm="1">
        <f t="array" ref="AI228">_xll.DCEPropSectPipe(AE228, AF228, "Wx")/1000</f>
        <v>346.55482107816493</v>
      </c>
      <c r="AJ228" s="108">
        <f t="shared" si="97"/>
        <v>9.4301739777164251</v>
      </c>
      <c r="AK228" s="80" t="s">
        <v>209</v>
      </c>
      <c r="AL228" s="82">
        <v>3.0029304519697102</v>
      </c>
      <c r="AM228" s="82">
        <v>-2.1560516268741186</v>
      </c>
      <c r="AN228" s="82">
        <v>0.6414222812657272</v>
      </c>
      <c r="AO228" s="82">
        <v>-1.7587798952306235</v>
      </c>
      <c r="AP228" s="82">
        <v>5.9118935608888332</v>
      </c>
      <c r="AQ228" s="82">
        <v>4.7673772573023278E-2</v>
      </c>
      <c r="AR228" s="72">
        <v>1</v>
      </c>
      <c r="AS228" s="116">
        <f t="shared" si="98"/>
        <v>6</v>
      </c>
      <c r="AT228" s="7">
        <v>2</v>
      </c>
      <c r="AU228" s="6">
        <f t="shared" si="99"/>
        <v>12</v>
      </c>
      <c r="AV228" s="111">
        <f t="shared" si="100"/>
        <v>2.4697792945315346E-3</v>
      </c>
      <c r="AW228" s="117">
        <f t="shared" si="101"/>
        <v>105</v>
      </c>
      <c r="AX228" s="111">
        <f t="shared" si="102"/>
        <v>1</v>
      </c>
      <c r="AY228" s="111">
        <f t="shared" si="103"/>
        <v>1</v>
      </c>
      <c r="AZ228" s="111">
        <f t="shared" si="104"/>
        <v>1</v>
      </c>
      <c r="BA228" s="111">
        <f t="shared" si="105"/>
        <v>2.599767678454247E-3</v>
      </c>
      <c r="BB228" s="111">
        <f t="shared" si="106"/>
        <v>2.33718989369497E-2</v>
      </c>
      <c r="BC228" s="111">
        <f t="shared" si="107"/>
        <v>7.8561381788469553E-2</v>
      </c>
      <c r="BD228" s="111">
        <v>0</v>
      </c>
      <c r="BE228" s="111">
        <f t="shared" si="108"/>
        <v>0.10453304840387351</v>
      </c>
      <c r="BF228" s="6" t="str">
        <f t="shared" si="109"/>
        <v>OK</v>
      </c>
      <c r="BG228" s="16">
        <f t="shared" si="110"/>
        <v>63.625549371390676</v>
      </c>
      <c r="BH228" s="118">
        <f t="shared" si="111"/>
        <v>2.1193803644775273</v>
      </c>
      <c r="BI228" s="108">
        <f t="shared" si="112"/>
        <v>8.9899951948191053</v>
      </c>
      <c r="BJ228" s="6">
        <f t="shared" si="113"/>
        <v>1.1000000000000001</v>
      </c>
      <c r="BK228" s="108">
        <f t="shared" si="114"/>
        <v>9.8889947143010168</v>
      </c>
      <c r="BL228" s="118" cm="1">
        <f t="array" ref="BL228">IF(AO228=0,FactorPhi7121(BH228,"a"),noisuy2chieu(BK228,BH228,Data!$A$63:$M$85))</f>
        <v>0</v>
      </c>
      <c r="BM228" s="111">
        <v>1.26</v>
      </c>
      <c r="BN228" s="118">
        <f t="shared" si="115"/>
        <v>0.99889063117294408</v>
      </c>
      <c r="BO228" s="108" t="e">
        <f t="shared" si="116"/>
        <v>#DIV/0!</v>
      </c>
      <c r="BP228" s="6" t="e">
        <f t="shared" si="117"/>
        <v>#DIV/0!</v>
      </c>
      <c r="BQ228" s="16">
        <f t="shared" si="118"/>
        <v>127.25109874278135</v>
      </c>
      <c r="BR228" s="118">
        <f t="shared" si="119"/>
        <v>4.2387607289550546</v>
      </c>
      <c r="BS228" s="108">
        <f t="shared" si="120"/>
        <v>30.218616240040369</v>
      </c>
      <c r="BT228" s="118">
        <f t="shared" si="121"/>
        <v>1.1000000000000001</v>
      </c>
      <c r="BU228" s="108">
        <f t="shared" si="122"/>
        <v>33.240477864044408</v>
      </c>
      <c r="BV228" s="6" cm="1">
        <f t="array" ref="BV228">IF(AP228=0,FactorPhi7121(BR228,"a"),noisuy2chieu(BU228,BR228,Data!$A$63:$M$85))</f>
        <v>0</v>
      </c>
      <c r="BW228" s="111">
        <v>1.26</v>
      </c>
      <c r="BX228" s="111">
        <f t="shared" si="123"/>
        <v>0.9955625246917762</v>
      </c>
      <c r="BY228" s="113" t="e">
        <f t="shared" si="124"/>
        <v>#DIV/0!</v>
      </c>
      <c r="BZ228" s="6" t="e">
        <f t="shared" si="125"/>
        <v>#DIV/0!</v>
      </c>
      <c r="CA228" s="114">
        <f t="shared" si="126"/>
        <v>127.25109874278135</v>
      </c>
      <c r="CB228" s="115" t="e">
        <f t="shared" si="127"/>
        <v>#DIV/0!</v>
      </c>
      <c r="CC228" s="6" t="e">
        <f t="shared" si="128"/>
        <v>#DIV/0!</v>
      </c>
      <c r="DG228" s="108"/>
      <c r="DH228" s="108"/>
      <c r="DI228" s="16"/>
      <c r="DJ228" s="108"/>
      <c r="DT228" s="6"/>
      <c r="DU228" s="6"/>
      <c r="DV228" s="111"/>
      <c r="DW228" s="111"/>
      <c r="DX228" s="111"/>
      <c r="DY228" s="111"/>
      <c r="DZ228" s="111"/>
      <c r="EA228" s="111"/>
      <c r="EB228" s="111"/>
      <c r="EC228" s="111"/>
      <c r="ED228" s="111"/>
      <c r="EE228" s="111"/>
      <c r="EF228" s="6"/>
      <c r="EG228" s="6"/>
      <c r="EH228" s="6"/>
      <c r="EI228" s="6"/>
      <c r="EJ228" s="6"/>
      <c r="EK228" s="6"/>
      <c r="EL228" s="112"/>
      <c r="EM228" s="112"/>
      <c r="EN228" s="118"/>
      <c r="EO228" s="118"/>
      <c r="EP228" s="112"/>
      <c r="EQ228" s="112"/>
      <c r="ER228" s="112"/>
      <c r="ES228" s="112"/>
      <c r="ET228" s="112"/>
      <c r="EU228" s="112"/>
      <c r="EV228" s="6"/>
      <c r="EW228" s="6"/>
      <c r="EX228" s="118"/>
      <c r="EY228" s="113"/>
      <c r="EZ228" s="6"/>
      <c r="FA228" s="114"/>
      <c r="FB228" s="115"/>
      <c r="FC228" s="6"/>
    </row>
    <row r="229" spans="27:159">
      <c r="AA229" s="79" t="s">
        <v>175</v>
      </c>
      <c r="AB229" s="80" t="s">
        <v>197</v>
      </c>
      <c r="AC229" s="81">
        <v>5.48</v>
      </c>
      <c r="AD229" s="81">
        <v>6</v>
      </c>
      <c r="AE229" s="80">
        <v>273</v>
      </c>
      <c r="AF229" s="80">
        <v>6.35</v>
      </c>
      <c r="AG229" s="108" cm="1">
        <f t="array" ref="AG229">_xll.DCEPropSectPipe(AE229, AF229, "Area")/100</f>
        <v>53.19431074856206</v>
      </c>
      <c r="AH229" s="16" cm="1">
        <f t="array" ref="AH229">_xll.DCEPropSectPipe(AE229, AF229, "Ix")/10000</f>
        <v>4730.4733077169503</v>
      </c>
      <c r="AI229" s="16" cm="1">
        <f t="array" ref="AI229">_xll.DCEPropSectPipe(AE229, AF229, "Wx")/1000</f>
        <v>346.55482107816493</v>
      </c>
      <c r="AJ229" s="108">
        <f t="shared" si="97"/>
        <v>9.4301739777164251</v>
      </c>
      <c r="AK229" s="80" t="s">
        <v>209</v>
      </c>
      <c r="AL229" s="82">
        <v>4.3501908007017436</v>
      </c>
      <c r="AM229" s="82">
        <v>-2.1560516268741186</v>
      </c>
      <c r="AN229" s="82">
        <v>0.6414222812657272</v>
      </c>
      <c r="AO229" s="82">
        <v>-3.517559790461247</v>
      </c>
      <c r="AP229" s="82">
        <v>11.823787121777666</v>
      </c>
      <c r="AQ229" s="82">
        <v>4.7673772573023278E-2</v>
      </c>
      <c r="AR229" s="72">
        <v>1</v>
      </c>
      <c r="AS229" s="116">
        <f t="shared" si="98"/>
        <v>6</v>
      </c>
      <c r="AT229" s="7">
        <v>2</v>
      </c>
      <c r="AU229" s="6">
        <f t="shared" si="99"/>
        <v>12</v>
      </c>
      <c r="AV229" s="111">
        <f t="shared" si="100"/>
        <v>3.5778421574124077E-3</v>
      </c>
      <c r="AW229" s="117">
        <f t="shared" si="101"/>
        <v>105</v>
      </c>
      <c r="AX229" s="111">
        <f t="shared" si="102"/>
        <v>1</v>
      </c>
      <c r="AY229" s="111">
        <f t="shared" si="103"/>
        <v>1</v>
      </c>
      <c r="AZ229" s="111">
        <f t="shared" si="104"/>
        <v>1</v>
      </c>
      <c r="BA229" s="111">
        <f t="shared" si="105"/>
        <v>3.7661496393814821E-3</v>
      </c>
      <c r="BB229" s="111">
        <f t="shared" si="106"/>
        <v>4.6743797873899401E-2</v>
      </c>
      <c r="BC229" s="111">
        <f t="shared" si="107"/>
        <v>0.15712276357693911</v>
      </c>
      <c r="BD229" s="111">
        <v>0</v>
      </c>
      <c r="BE229" s="111">
        <f t="shared" si="108"/>
        <v>0.20763271109022</v>
      </c>
      <c r="BF229" s="6" t="str">
        <f t="shared" si="109"/>
        <v>OK</v>
      </c>
      <c r="BG229" s="16">
        <f t="shared" si="110"/>
        <v>63.625549371390676</v>
      </c>
      <c r="BH229" s="118">
        <f t="shared" si="111"/>
        <v>2.1193803644775273</v>
      </c>
      <c r="BI229" s="108">
        <f t="shared" si="112"/>
        <v>12.411561501729437</v>
      </c>
      <c r="BJ229" s="6">
        <f t="shared" si="113"/>
        <v>1.1000000000000001</v>
      </c>
      <c r="BK229" s="108">
        <f t="shared" si="114"/>
        <v>13.652717651902382</v>
      </c>
      <c r="BL229" s="118" cm="1">
        <f t="array" ref="BL229">IF(AO229=0,FactorPhi7121(BH229,"a"),noisuy2chieu(BK229,BH229,Data!$A$63:$M$85))</f>
        <v>0</v>
      </c>
      <c r="BM229" s="111">
        <v>1.26</v>
      </c>
      <c r="BN229" s="118">
        <f t="shared" si="115"/>
        <v>0.9983929144736341</v>
      </c>
      <c r="BO229" s="108" t="e">
        <f t="shared" si="116"/>
        <v>#DIV/0!</v>
      </c>
      <c r="BP229" s="6" t="e">
        <f t="shared" si="117"/>
        <v>#DIV/0!</v>
      </c>
      <c r="BQ229" s="16">
        <f t="shared" si="118"/>
        <v>127.25109874278135</v>
      </c>
      <c r="BR229" s="118">
        <f t="shared" si="119"/>
        <v>4.2387607289550546</v>
      </c>
      <c r="BS229" s="108">
        <f t="shared" si="120"/>
        <v>41.71973464196806</v>
      </c>
      <c r="BT229" s="118">
        <f t="shared" si="121"/>
        <v>1.1000000000000001</v>
      </c>
      <c r="BU229" s="108">
        <f t="shared" si="122"/>
        <v>45.89170810616487</v>
      </c>
      <c r="BV229" s="6" cm="1">
        <f t="array" ref="BV229">IF(AP229=0,FactorPhi7121(BR229,"a"),noisuy2chieu(BU229,BR229,Data!$A$63:$M$85))</f>
        <v>0</v>
      </c>
      <c r="BW229" s="111">
        <v>1.26</v>
      </c>
      <c r="BX229" s="111">
        <f t="shared" si="123"/>
        <v>0.99357165789453616</v>
      </c>
      <c r="BY229" s="113" t="e">
        <f t="shared" si="124"/>
        <v>#DIV/0!</v>
      </c>
      <c r="BZ229" s="6" t="e">
        <f t="shared" si="125"/>
        <v>#DIV/0!</v>
      </c>
      <c r="CA229" s="114">
        <f t="shared" si="126"/>
        <v>127.25109874278135</v>
      </c>
      <c r="CB229" s="115" t="e">
        <f t="shared" si="127"/>
        <v>#DIV/0!</v>
      </c>
      <c r="CC229" s="6" t="e">
        <f t="shared" si="128"/>
        <v>#DIV/0!</v>
      </c>
      <c r="DG229" s="108"/>
      <c r="DH229" s="108"/>
      <c r="DI229" s="16"/>
      <c r="DJ229" s="108"/>
      <c r="DT229" s="6"/>
      <c r="DU229" s="6"/>
      <c r="DV229" s="111"/>
      <c r="DW229" s="111"/>
      <c r="DX229" s="111"/>
      <c r="DY229" s="111"/>
      <c r="DZ229" s="111"/>
      <c r="EA229" s="111"/>
      <c r="EB229" s="111"/>
      <c r="EC229" s="111"/>
      <c r="ED229" s="111"/>
      <c r="EE229" s="111"/>
      <c r="EF229" s="6"/>
      <c r="EG229" s="6"/>
      <c r="EH229" s="6"/>
      <c r="EI229" s="6"/>
      <c r="EJ229" s="6"/>
      <c r="EK229" s="6"/>
      <c r="EL229" s="112"/>
      <c r="EM229" s="112"/>
      <c r="EN229" s="118"/>
      <c r="EO229" s="118"/>
      <c r="EP229" s="112"/>
      <c r="EQ229" s="112"/>
      <c r="ER229" s="112"/>
      <c r="ES229" s="112"/>
      <c r="ET229" s="112"/>
      <c r="EU229" s="112"/>
      <c r="EV229" s="6"/>
      <c r="EW229" s="6"/>
      <c r="EX229" s="118"/>
      <c r="EY229" s="113"/>
      <c r="EZ229" s="6"/>
      <c r="FA229" s="114"/>
      <c r="FB229" s="115"/>
      <c r="FC229" s="6"/>
    </row>
    <row r="230" spans="27:159">
      <c r="AA230" s="79" t="s">
        <v>175</v>
      </c>
      <c r="AB230" s="80" t="s">
        <v>197</v>
      </c>
      <c r="AC230" s="81">
        <v>0</v>
      </c>
      <c r="AD230" s="81">
        <v>6</v>
      </c>
      <c r="AE230" s="80">
        <v>273</v>
      </c>
      <c r="AF230" s="80">
        <v>6.35</v>
      </c>
      <c r="AG230" s="108" cm="1">
        <f t="array" ref="AG230">_xll.DCEPropSectPipe(AE230, AF230, "Area")/100</f>
        <v>53.19431074856206</v>
      </c>
      <c r="AH230" s="16" cm="1">
        <f t="array" ref="AH230">_xll.DCEPropSectPipe(AE230, AF230, "Ix")/10000</f>
        <v>4730.4733077169503</v>
      </c>
      <c r="AI230" s="16" cm="1">
        <f t="array" ref="AI230">_xll.DCEPropSectPipe(AE230, AF230, "Wx")/1000</f>
        <v>346.55482107816493</v>
      </c>
      <c r="AJ230" s="108">
        <f t="shared" si="97"/>
        <v>9.4301739777164251</v>
      </c>
      <c r="AK230" s="80" t="s">
        <v>210</v>
      </c>
      <c r="AL230" s="82">
        <v>18.367951005238648</v>
      </c>
      <c r="AM230" s="82">
        <v>-2.1275770859587682</v>
      </c>
      <c r="AN230" s="82">
        <v>0.87701569184124417</v>
      </c>
      <c r="AO230" s="82">
        <v>0</v>
      </c>
      <c r="AP230" s="82">
        <v>0</v>
      </c>
      <c r="AQ230" s="82">
        <v>9.499489259660647E-2</v>
      </c>
      <c r="AR230" s="72">
        <v>1</v>
      </c>
      <c r="AS230" s="116">
        <f t="shared" si="98"/>
        <v>6</v>
      </c>
      <c r="AT230" s="7">
        <v>2</v>
      </c>
      <c r="AU230" s="6">
        <f t="shared" si="99"/>
        <v>12</v>
      </c>
      <c r="AV230" s="111">
        <f t="shared" si="100"/>
        <v>1.5106838403783881E-2</v>
      </c>
      <c r="AW230" s="117">
        <f t="shared" si="101"/>
        <v>105</v>
      </c>
      <c r="AX230" s="111">
        <f t="shared" si="102"/>
        <v>1</v>
      </c>
      <c r="AY230" s="111">
        <f t="shared" si="103"/>
        <v>1</v>
      </c>
      <c r="AZ230" s="111">
        <f t="shared" si="104"/>
        <v>1</v>
      </c>
      <c r="BA230" s="111">
        <f t="shared" si="105"/>
        <v>1.5901935161877771E-2</v>
      </c>
      <c r="BB230" s="111">
        <f t="shared" si="106"/>
        <v>0</v>
      </c>
      <c r="BC230" s="111">
        <f t="shared" si="107"/>
        <v>0</v>
      </c>
      <c r="BD230" s="111">
        <v>0</v>
      </c>
      <c r="BE230" s="111">
        <f t="shared" si="108"/>
        <v>1.5901935161877771E-2</v>
      </c>
      <c r="BF230" s="6" t="str">
        <f t="shared" si="109"/>
        <v>OK</v>
      </c>
      <c r="BG230" s="16">
        <f t="shared" si="110"/>
        <v>63.625549371390676</v>
      </c>
      <c r="BH230" s="118">
        <f t="shared" si="111"/>
        <v>2.1193803644775273</v>
      </c>
      <c r="BI230" s="108">
        <f t="shared" si="112"/>
        <v>0</v>
      </c>
      <c r="BJ230" s="6">
        <f t="shared" si="113"/>
        <v>1.2440309817761237</v>
      </c>
      <c r="BK230" s="108">
        <f t="shared" si="114"/>
        <v>0</v>
      </c>
      <c r="BL230" s="118" cm="1">
        <f t="array" ref="BL230">IF(AO230=0,FactorPhi7121(BH230,"a"),noisuy2chieu(BK230,BH230,Data!$A$63:$M$85))</f>
        <v>0.86214274110469236</v>
      </c>
      <c r="BM230" s="111">
        <v>1.26</v>
      </c>
      <c r="BN230" s="118">
        <f t="shared" si="115"/>
        <v>0.99321435091887089</v>
      </c>
      <c r="BO230" s="108">
        <f t="shared" si="116"/>
        <v>3.7593627606804889E-2</v>
      </c>
      <c r="BP230" s="6" t="str">
        <f t="shared" si="117"/>
        <v>OK</v>
      </c>
      <c r="BQ230" s="16">
        <f t="shared" si="118"/>
        <v>127.25109874278135</v>
      </c>
      <c r="BR230" s="118">
        <f t="shared" si="119"/>
        <v>4.2387607289550546</v>
      </c>
      <c r="BS230" s="108">
        <f t="shared" si="120"/>
        <v>0</v>
      </c>
      <c r="BT230" s="118">
        <f t="shared" si="121"/>
        <v>1.1380619635522473</v>
      </c>
      <c r="BU230" s="108">
        <f t="shared" si="122"/>
        <v>0</v>
      </c>
      <c r="BV230" s="6" cm="1">
        <f t="array" ref="BV230">IF(AP230=0,FactorPhi7121(BR230,"a"),noisuy2chieu(BU230,BR230,Data!$A$63:$M$85))</f>
        <v>0.42299549615688942</v>
      </c>
      <c r="BW230" s="111">
        <v>1.26</v>
      </c>
      <c r="BX230" s="111">
        <f t="shared" si="123"/>
        <v>0.97285740367548368</v>
      </c>
      <c r="BY230" s="113">
        <f t="shared" si="124"/>
        <v>1.8444666299112011E-2</v>
      </c>
      <c r="BZ230" s="6" t="str">
        <f t="shared" si="125"/>
        <v>OK</v>
      </c>
      <c r="CA230" s="114">
        <f t="shared" si="126"/>
        <v>127.25109874278135</v>
      </c>
      <c r="CB230" s="115">
        <f t="shared" si="127"/>
        <v>150</v>
      </c>
      <c r="CC230" s="6" t="str">
        <f t="shared" si="128"/>
        <v>OK</v>
      </c>
      <c r="DG230" s="108"/>
      <c r="DH230" s="108"/>
      <c r="DI230" s="16"/>
      <c r="DJ230" s="108"/>
      <c r="DT230" s="6"/>
      <c r="DU230" s="6"/>
      <c r="DV230" s="111"/>
      <c r="DW230" s="111"/>
      <c r="DX230" s="111"/>
      <c r="DY230" s="111"/>
      <c r="DZ230" s="111"/>
      <c r="EA230" s="111"/>
      <c r="EB230" s="111"/>
      <c r="EC230" s="111"/>
      <c r="ED230" s="111"/>
      <c r="EE230" s="111"/>
      <c r="EF230" s="6"/>
      <c r="EG230" s="6"/>
      <c r="EH230" s="6"/>
      <c r="EI230" s="6"/>
      <c r="EJ230" s="6"/>
      <c r="EK230" s="6"/>
      <c r="EL230" s="112"/>
      <c r="EM230" s="112"/>
      <c r="EN230" s="118"/>
      <c r="EO230" s="118"/>
      <c r="EP230" s="112"/>
      <c r="EQ230" s="112"/>
      <c r="ER230" s="112"/>
      <c r="ES230" s="112"/>
      <c r="ET230" s="112"/>
      <c r="EU230" s="112"/>
      <c r="EV230" s="6"/>
      <c r="EW230" s="6"/>
      <c r="EX230" s="118"/>
      <c r="EY230" s="113"/>
      <c r="EZ230" s="6"/>
      <c r="FA230" s="114"/>
      <c r="FB230" s="115"/>
      <c r="FC230" s="6"/>
    </row>
    <row r="231" spans="27:159">
      <c r="AA231" s="79" t="s">
        <v>175</v>
      </c>
      <c r="AB231" s="80" t="s">
        <v>197</v>
      </c>
      <c r="AC231" s="81">
        <v>2.74</v>
      </c>
      <c r="AD231" s="81">
        <v>6</v>
      </c>
      <c r="AE231" s="80">
        <v>273</v>
      </c>
      <c r="AF231" s="80">
        <v>6.35</v>
      </c>
      <c r="AG231" s="108" cm="1">
        <f t="array" ref="AG231">_xll.DCEPropSectPipe(AE231, AF231, "Area")/100</f>
        <v>53.19431074856206</v>
      </c>
      <c r="AH231" s="16" cm="1">
        <f t="array" ref="AH231">_xll.DCEPropSectPipe(AE231, AF231, "Ix")/10000</f>
        <v>4730.4733077169503</v>
      </c>
      <c r="AI231" s="16" cm="1">
        <f t="array" ref="AI231">_xll.DCEPropSectPipe(AE231, AF231, "Wx")/1000</f>
        <v>346.55482107816493</v>
      </c>
      <c r="AJ231" s="108">
        <f t="shared" si="97"/>
        <v>9.4301739777164251</v>
      </c>
      <c r="AK231" s="80" t="s">
        <v>210</v>
      </c>
      <c r="AL231" s="82">
        <v>19.71521135397068</v>
      </c>
      <c r="AM231" s="82">
        <v>-2.1275770859587682</v>
      </c>
      <c r="AN231" s="82">
        <v>0.87701569184124417</v>
      </c>
      <c r="AO231" s="82">
        <v>-2.4047770270286914</v>
      </c>
      <c r="AP231" s="82">
        <v>5.8338163696989422</v>
      </c>
      <c r="AQ231" s="82">
        <v>9.499489259660647E-2</v>
      </c>
      <c r="AR231" s="72">
        <v>1</v>
      </c>
      <c r="AS231" s="116">
        <f t="shared" si="98"/>
        <v>6</v>
      </c>
      <c r="AT231" s="7">
        <v>2</v>
      </c>
      <c r="AU231" s="6">
        <f t="shared" si="99"/>
        <v>12</v>
      </c>
      <c r="AV231" s="111">
        <f t="shared" si="100"/>
        <v>1.6214901266664753E-2</v>
      </c>
      <c r="AW231" s="117">
        <f t="shared" si="101"/>
        <v>105</v>
      </c>
      <c r="AX231" s="111">
        <f t="shared" si="102"/>
        <v>1</v>
      </c>
      <c r="AY231" s="111">
        <f t="shared" si="103"/>
        <v>1</v>
      </c>
      <c r="AZ231" s="111">
        <f t="shared" si="104"/>
        <v>1</v>
      </c>
      <c r="BA231" s="111">
        <f t="shared" si="105"/>
        <v>1.7068317122805002E-2</v>
      </c>
      <c r="BB231" s="111">
        <f t="shared" si="106"/>
        <v>3.1956361221790658E-2</v>
      </c>
      <c r="BC231" s="111">
        <f t="shared" si="107"/>
        <v>7.7523837393790346E-2</v>
      </c>
      <c r="BD231" s="111">
        <v>0</v>
      </c>
      <c r="BE231" s="111">
        <f t="shared" si="108"/>
        <v>0.12654851573838599</v>
      </c>
      <c r="BF231" s="6" t="str">
        <f t="shared" si="109"/>
        <v>OK</v>
      </c>
      <c r="BG231" s="16">
        <f t="shared" si="110"/>
        <v>63.625549371390676</v>
      </c>
      <c r="BH231" s="118">
        <f t="shared" si="111"/>
        <v>2.1193803644775273</v>
      </c>
      <c r="BI231" s="108">
        <f t="shared" si="112"/>
        <v>1.8722619805964189</v>
      </c>
      <c r="BJ231" s="6">
        <f t="shared" si="113"/>
        <v>1.1900982355346412</v>
      </c>
      <c r="BK231" s="108">
        <f t="shared" si="114"/>
        <v>2.228175679566391</v>
      </c>
      <c r="BL231" s="118" cm="1">
        <f t="array" ref="BL231">IF(AO231=0,FactorPhi7121(BH231,"a"),noisuy2chieu(BK231,BH231,Data!$A$63:$M$85))</f>
        <v>0</v>
      </c>
      <c r="BM231" s="111">
        <v>1.26</v>
      </c>
      <c r="BN231" s="118">
        <f t="shared" si="115"/>
        <v>0.99271663421956091</v>
      </c>
      <c r="BO231" s="108" t="e">
        <f t="shared" si="116"/>
        <v>#DIV/0!</v>
      </c>
      <c r="BP231" s="6" t="e">
        <f t="shared" si="117"/>
        <v>#DIV/0!</v>
      </c>
      <c r="BQ231" s="16">
        <f t="shared" si="118"/>
        <v>127.25109874278135</v>
      </c>
      <c r="BR231" s="118">
        <f t="shared" si="119"/>
        <v>4.2387607289550546</v>
      </c>
      <c r="BS231" s="108">
        <f t="shared" si="120"/>
        <v>4.5419731093588966</v>
      </c>
      <c r="BT231" s="118">
        <f t="shared" si="121"/>
        <v>1.1034866805635062</v>
      </c>
      <c r="BU231" s="108">
        <f t="shared" si="122"/>
        <v>5.0120068296551556</v>
      </c>
      <c r="BV231" s="6" cm="1">
        <f t="array" ref="BV231">IF(AP231=0,FactorPhi7121(BR231,"a"),noisuy2chieu(BU231,BR231,Data!$A$63:$M$85))</f>
        <v>0</v>
      </c>
      <c r="BW231" s="111">
        <v>1.26</v>
      </c>
      <c r="BX231" s="111">
        <f t="shared" si="123"/>
        <v>0.97086653687824376</v>
      </c>
      <c r="BY231" s="113" t="e">
        <f t="shared" si="124"/>
        <v>#DIV/0!</v>
      </c>
      <c r="BZ231" s="6" t="e">
        <f t="shared" si="125"/>
        <v>#DIV/0!</v>
      </c>
      <c r="CA231" s="114">
        <f t="shared" si="126"/>
        <v>127.25109874278135</v>
      </c>
      <c r="CB231" s="115" t="e">
        <f t="shared" si="127"/>
        <v>#DIV/0!</v>
      </c>
      <c r="CC231" s="6" t="e">
        <f t="shared" si="128"/>
        <v>#DIV/0!</v>
      </c>
      <c r="DG231" s="108"/>
      <c r="DH231" s="108"/>
      <c r="DI231" s="16"/>
      <c r="DJ231" s="108"/>
      <c r="DT231" s="6"/>
      <c r="DU231" s="6"/>
      <c r="DV231" s="111"/>
      <c r="DW231" s="111"/>
      <c r="DX231" s="111"/>
      <c r="DY231" s="111"/>
      <c r="DZ231" s="111"/>
      <c r="EA231" s="111"/>
      <c r="EB231" s="111"/>
      <c r="EC231" s="111"/>
      <c r="ED231" s="111"/>
      <c r="EE231" s="111"/>
      <c r="EF231" s="6"/>
      <c r="EG231" s="6"/>
      <c r="EH231" s="6"/>
      <c r="EI231" s="6"/>
      <c r="EJ231" s="6"/>
      <c r="EK231" s="6"/>
      <c r="EL231" s="112"/>
      <c r="EM231" s="112"/>
      <c r="EN231" s="118"/>
      <c r="EO231" s="118"/>
      <c r="EP231" s="112"/>
      <c r="EQ231" s="112"/>
      <c r="ER231" s="112"/>
      <c r="ES231" s="112"/>
      <c r="ET231" s="112"/>
      <c r="EU231" s="112"/>
      <c r="EV231" s="6"/>
      <c r="EW231" s="6"/>
      <c r="EX231" s="118"/>
      <c r="EY231" s="113"/>
      <c r="EZ231" s="6"/>
      <c r="FA231" s="114"/>
      <c r="FB231" s="115"/>
      <c r="FC231" s="6"/>
    </row>
    <row r="232" spans="27:159">
      <c r="AA232" s="79" t="s">
        <v>175</v>
      </c>
      <c r="AB232" s="80" t="s">
        <v>197</v>
      </c>
      <c r="AC232" s="81">
        <v>5.48</v>
      </c>
      <c r="AD232" s="81">
        <v>6</v>
      </c>
      <c r="AE232" s="80">
        <v>273</v>
      </c>
      <c r="AF232" s="80">
        <v>6.35</v>
      </c>
      <c r="AG232" s="108" cm="1">
        <f t="array" ref="AG232">_xll.DCEPropSectPipe(AE232, AF232, "Area")/100</f>
        <v>53.19431074856206</v>
      </c>
      <c r="AH232" s="16" cm="1">
        <f t="array" ref="AH232">_xll.DCEPropSectPipe(AE232, AF232, "Ix")/10000</f>
        <v>4730.4733077169503</v>
      </c>
      <c r="AI232" s="16" cm="1">
        <f t="array" ref="AI232">_xll.DCEPropSectPipe(AE232, AF232, "Wx")/1000</f>
        <v>346.55482107816493</v>
      </c>
      <c r="AJ232" s="108">
        <f t="shared" si="97"/>
        <v>9.4301739777164251</v>
      </c>
      <c r="AK232" s="80" t="s">
        <v>210</v>
      </c>
      <c r="AL232" s="82">
        <v>21.062471702702712</v>
      </c>
      <c r="AM232" s="82">
        <v>-2.1275770859587682</v>
      </c>
      <c r="AN232" s="82">
        <v>0.87701569184124417</v>
      </c>
      <c r="AO232" s="82">
        <v>-4.8095540540573829</v>
      </c>
      <c r="AP232" s="82">
        <v>11.667632739397884</v>
      </c>
      <c r="AQ232" s="82">
        <v>9.499489259660647E-2</v>
      </c>
      <c r="AR232" s="72">
        <v>1</v>
      </c>
      <c r="AS232" s="116">
        <f t="shared" si="98"/>
        <v>6</v>
      </c>
      <c r="AT232" s="7">
        <v>2</v>
      </c>
      <c r="AU232" s="6">
        <f t="shared" si="99"/>
        <v>12</v>
      </c>
      <c r="AV232" s="111">
        <f t="shared" si="100"/>
        <v>1.7322964129545624E-2</v>
      </c>
      <c r="AW232" s="117">
        <f t="shared" si="101"/>
        <v>105</v>
      </c>
      <c r="AX232" s="111">
        <f t="shared" si="102"/>
        <v>1</v>
      </c>
      <c r="AY232" s="111">
        <f t="shared" si="103"/>
        <v>1</v>
      </c>
      <c r="AZ232" s="111">
        <f t="shared" si="104"/>
        <v>1</v>
      </c>
      <c r="BA232" s="111">
        <f t="shared" si="105"/>
        <v>1.8234699083732236E-2</v>
      </c>
      <c r="BB232" s="111">
        <f t="shared" si="106"/>
        <v>6.3912722443581316E-2</v>
      </c>
      <c r="BC232" s="111">
        <f t="shared" si="107"/>
        <v>0.15504767478758069</v>
      </c>
      <c r="BD232" s="111">
        <v>0</v>
      </c>
      <c r="BE232" s="111">
        <f t="shared" si="108"/>
        <v>0.23719509631489424</v>
      </c>
      <c r="BF232" s="6" t="str">
        <f t="shared" si="109"/>
        <v>OK</v>
      </c>
      <c r="BG232" s="16">
        <f t="shared" si="110"/>
        <v>63.625549371390676</v>
      </c>
      <c r="BH232" s="118">
        <f t="shared" si="111"/>
        <v>2.1193803644775273</v>
      </c>
      <c r="BI232" s="108">
        <f t="shared" si="112"/>
        <v>3.5050056022366678</v>
      </c>
      <c r="BJ232" s="6">
        <f t="shared" si="113"/>
        <v>1.1430651021719316</v>
      </c>
      <c r="BK232" s="108">
        <f t="shared" si="114"/>
        <v>4.006449586833849</v>
      </c>
      <c r="BL232" s="118" cm="1">
        <f t="array" ref="BL232">IF(AO232=0,FactorPhi7121(BH232,"a"),noisuy2chieu(BK232,BH232,Data!$A$63:$M$85))</f>
        <v>0</v>
      </c>
      <c r="BM232" s="111">
        <v>1.26</v>
      </c>
      <c r="BN232" s="118">
        <f t="shared" si="115"/>
        <v>0.99221891752025093</v>
      </c>
      <c r="BO232" s="108" t="e">
        <f t="shared" si="116"/>
        <v>#DIV/0!</v>
      </c>
      <c r="BP232" s="6" t="e">
        <f t="shared" si="117"/>
        <v>#DIV/0!</v>
      </c>
      <c r="BQ232" s="16">
        <f t="shared" si="118"/>
        <v>127.25109874278135</v>
      </c>
      <c r="BR232" s="118">
        <f t="shared" si="119"/>
        <v>4.2387607289550546</v>
      </c>
      <c r="BS232" s="108">
        <f t="shared" si="120"/>
        <v>8.5028918807825971</v>
      </c>
      <c r="BT232" s="118">
        <f t="shared" si="121"/>
        <v>1.1000000000000001</v>
      </c>
      <c r="BU232" s="108">
        <f t="shared" si="122"/>
        <v>9.3531810688608576</v>
      </c>
      <c r="BV232" s="6" cm="1">
        <f t="array" ref="BV232">IF(AP232=0,FactorPhi7121(BR232,"a"),noisuy2chieu(BU232,BR232,Data!$A$63:$M$85))</f>
        <v>0</v>
      </c>
      <c r="BW232" s="111">
        <v>1.26</v>
      </c>
      <c r="BX232" s="111">
        <f t="shared" si="123"/>
        <v>0.96887567008100373</v>
      </c>
      <c r="BY232" s="113" t="e">
        <f t="shared" si="124"/>
        <v>#DIV/0!</v>
      </c>
      <c r="BZ232" s="6" t="e">
        <f t="shared" si="125"/>
        <v>#DIV/0!</v>
      </c>
      <c r="CA232" s="114">
        <f t="shared" si="126"/>
        <v>127.25109874278135</v>
      </c>
      <c r="CB232" s="115" t="e">
        <f t="shared" si="127"/>
        <v>#DIV/0!</v>
      </c>
      <c r="CC232" s="6" t="e">
        <f t="shared" si="128"/>
        <v>#DIV/0!</v>
      </c>
      <c r="DG232" s="108"/>
      <c r="DH232" s="108"/>
      <c r="DI232" s="16"/>
      <c r="DJ232" s="108"/>
      <c r="DT232" s="6"/>
      <c r="DU232" s="6"/>
      <c r="DV232" s="111"/>
      <c r="DW232" s="111"/>
      <c r="DX232" s="111"/>
      <c r="DY232" s="111"/>
      <c r="DZ232" s="111"/>
      <c r="EA232" s="111"/>
      <c r="EB232" s="111"/>
      <c r="EC232" s="111"/>
      <c r="ED232" s="111"/>
      <c r="EE232" s="111"/>
      <c r="EF232" s="6"/>
      <c r="EG232" s="6"/>
      <c r="EH232" s="6"/>
      <c r="EI232" s="6"/>
      <c r="EJ232" s="6"/>
      <c r="EK232" s="6"/>
      <c r="EL232" s="112"/>
      <c r="EM232" s="112"/>
      <c r="EN232" s="118"/>
      <c r="EO232" s="118"/>
      <c r="EP232" s="112"/>
      <c r="EQ232" s="112"/>
      <c r="ER232" s="112"/>
      <c r="ES232" s="112"/>
      <c r="ET232" s="112"/>
      <c r="EU232" s="112"/>
      <c r="EV232" s="6"/>
      <c r="EW232" s="6"/>
      <c r="EX232" s="118"/>
      <c r="EY232" s="113"/>
      <c r="EZ232" s="6"/>
      <c r="FA232" s="114"/>
      <c r="FB232" s="115"/>
      <c r="FC232" s="6"/>
    </row>
    <row r="233" spans="27:159">
      <c r="AA233" s="79" t="s">
        <v>175</v>
      </c>
      <c r="AB233" s="80" t="s">
        <v>197</v>
      </c>
      <c r="AC233" s="81">
        <v>0</v>
      </c>
      <c r="AD233" s="81">
        <v>6</v>
      </c>
      <c r="AE233" s="80">
        <v>273</v>
      </c>
      <c r="AF233" s="80">
        <v>6.35</v>
      </c>
      <c r="AG233" s="108" cm="1">
        <f t="array" ref="AG233">_xll.DCEPropSectPipe(AE233, AF233, "Area")/100</f>
        <v>53.19431074856206</v>
      </c>
      <c r="AH233" s="16" cm="1">
        <f t="array" ref="AH233">_xll.DCEPropSectPipe(AE233, AF233, "Ix")/10000</f>
        <v>4730.4733077169503</v>
      </c>
      <c r="AI233" s="16" cm="1">
        <f t="array" ref="AI233">_xll.DCEPropSectPipe(AE233, AF233, "Wx")/1000</f>
        <v>346.55482107816493</v>
      </c>
      <c r="AJ233" s="108">
        <f t="shared" si="97"/>
        <v>9.4301739777164251</v>
      </c>
      <c r="AK233" s="80" t="s">
        <v>211</v>
      </c>
      <c r="AL233" s="82">
        <v>-75.159547293534089</v>
      </c>
      <c r="AM233" s="82">
        <v>9.7747514042443591</v>
      </c>
      <c r="AN233" s="82">
        <v>-3.8085242540664952</v>
      </c>
      <c r="AO233" s="82">
        <v>0</v>
      </c>
      <c r="AP233" s="82">
        <v>0</v>
      </c>
      <c r="AQ233" s="82">
        <v>-0.18463198055686336</v>
      </c>
      <c r="AR233" s="72">
        <v>1</v>
      </c>
      <c r="AS233" s="116">
        <f t="shared" si="98"/>
        <v>6</v>
      </c>
      <c r="AT233" s="7">
        <v>2</v>
      </c>
      <c r="AU233" s="6">
        <f t="shared" si="99"/>
        <v>12</v>
      </c>
      <c r="AV233" s="111">
        <f t="shared" si="100"/>
        <v>6.1815448829384514E-2</v>
      </c>
      <c r="AW233" s="117">
        <f t="shared" si="101"/>
        <v>105</v>
      </c>
      <c r="AX233" s="111">
        <f t="shared" si="102"/>
        <v>1</v>
      </c>
      <c r="AY233" s="111">
        <f t="shared" si="103"/>
        <v>1</v>
      </c>
      <c r="AZ233" s="111">
        <f t="shared" si="104"/>
        <v>1</v>
      </c>
      <c r="BA233" s="111">
        <f t="shared" si="105"/>
        <v>6.5068893504615283E-2</v>
      </c>
      <c r="BB233" s="111">
        <f t="shared" si="106"/>
        <v>0</v>
      </c>
      <c r="BC233" s="111">
        <f t="shared" si="107"/>
        <v>0</v>
      </c>
      <c r="BD233" s="111">
        <v>0</v>
      </c>
      <c r="BE233" s="111">
        <f t="shared" si="108"/>
        <v>6.5068893504615283E-2</v>
      </c>
      <c r="BF233" s="6" t="str">
        <f t="shared" si="109"/>
        <v>OK</v>
      </c>
      <c r="BG233" s="16">
        <f t="shared" si="110"/>
        <v>63.625549371390676</v>
      </c>
      <c r="BH233" s="118">
        <f t="shared" si="111"/>
        <v>2.1193803644775273</v>
      </c>
      <c r="BI233" s="108">
        <f t="shared" si="112"/>
        <v>0</v>
      </c>
      <c r="BJ233" s="6">
        <f t="shared" si="113"/>
        <v>1.2440309817761237</v>
      </c>
      <c r="BK233" s="108">
        <f t="shared" si="114"/>
        <v>0</v>
      </c>
      <c r="BL233" s="118" cm="1">
        <f t="array" ref="BL233">IF(AO233=0,FactorPhi7121(BH233,"a"),noisuy2chieu(BK233,BH233,Data!$A$63:$M$85))</f>
        <v>0.86214274110469236</v>
      </c>
      <c r="BM233" s="111">
        <v>1.26</v>
      </c>
      <c r="BN233" s="118">
        <f t="shared" si="115"/>
        <v>0.9722339027970518</v>
      </c>
      <c r="BO233" s="108">
        <f t="shared" si="116"/>
        <v>0.15382880927999565</v>
      </c>
      <c r="BP233" s="6" t="str">
        <f t="shared" si="117"/>
        <v>OK</v>
      </c>
      <c r="BQ233" s="16">
        <f t="shared" si="118"/>
        <v>127.25109874278135</v>
      </c>
      <c r="BR233" s="118">
        <f t="shared" si="119"/>
        <v>4.2387607289550546</v>
      </c>
      <c r="BS233" s="108">
        <f t="shared" si="120"/>
        <v>0</v>
      </c>
      <c r="BT233" s="118">
        <f t="shared" si="121"/>
        <v>1.1380619635522473</v>
      </c>
      <c r="BU233" s="108">
        <f t="shared" si="122"/>
        <v>0</v>
      </c>
      <c r="BV233" s="6" cm="1">
        <f t="array" ref="BV233">IF(AP233=0,FactorPhi7121(BR233,"a"),noisuy2chieu(BU233,BR233,Data!$A$63:$M$85))</f>
        <v>0.42299549615688942</v>
      </c>
      <c r="BW233" s="111">
        <v>1.26</v>
      </c>
      <c r="BX233" s="111">
        <f t="shared" si="123"/>
        <v>0.88893561118820719</v>
      </c>
      <c r="BY233" s="113">
        <f t="shared" si="124"/>
        <v>7.5473457470905961E-2</v>
      </c>
      <c r="BZ233" s="6" t="str">
        <f t="shared" si="125"/>
        <v>OK</v>
      </c>
      <c r="CA233" s="114">
        <f t="shared" si="126"/>
        <v>127.25109874278135</v>
      </c>
      <c r="CB233" s="115">
        <f t="shared" si="127"/>
        <v>150</v>
      </c>
      <c r="CC233" s="6" t="str">
        <f t="shared" si="128"/>
        <v>OK</v>
      </c>
      <c r="DG233" s="108"/>
      <c r="DH233" s="108"/>
      <c r="DI233" s="16"/>
      <c r="DJ233" s="108"/>
      <c r="DT233" s="6"/>
      <c r="DU233" s="6"/>
      <c r="DV233" s="111"/>
      <c r="DW233" s="111"/>
      <c r="DX233" s="111"/>
      <c r="DY233" s="111"/>
      <c r="DZ233" s="111"/>
      <c r="EA233" s="111"/>
      <c r="EB233" s="111"/>
      <c r="EC233" s="111"/>
      <c r="ED233" s="111"/>
      <c r="EE233" s="111"/>
      <c r="EF233" s="6"/>
      <c r="EG233" s="6"/>
      <c r="EH233" s="6"/>
      <c r="EI233" s="6"/>
      <c r="EJ233" s="6"/>
      <c r="EK233" s="6"/>
      <c r="EL233" s="112"/>
      <c r="EM233" s="112"/>
      <c r="EN233" s="118"/>
      <c r="EO233" s="118"/>
      <c r="EP233" s="112"/>
      <c r="EQ233" s="112"/>
      <c r="ER233" s="112"/>
      <c r="ES233" s="112"/>
      <c r="ET233" s="112"/>
      <c r="EU233" s="112"/>
      <c r="EV233" s="6"/>
      <c r="EW233" s="6"/>
      <c r="EX233" s="118"/>
      <c r="EY233" s="113"/>
      <c r="EZ233" s="6"/>
      <c r="FA233" s="114"/>
      <c r="FB233" s="115"/>
      <c r="FC233" s="6"/>
    </row>
    <row r="234" spans="27:159">
      <c r="AA234" s="79" t="s">
        <v>175</v>
      </c>
      <c r="AB234" s="80" t="s">
        <v>197</v>
      </c>
      <c r="AC234" s="81">
        <v>2.74</v>
      </c>
      <c r="AD234" s="81">
        <v>6</v>
      </c>
      <c r="AE234" s="80">
        <v>273</v>
      </c>
      <c r="AF234" s="80">
        <v>6.35</v>
      </c>
      <c r="AG234" s="108" cm="1">
        <f t="array" ref="AG234">_xll.DCEPropSectPipe(AE234, AF234, "Area")/100</f>
        <v>53.19431074856206</v>
      </c>
      <c r="AH234" s="16" cm="1">
        <f t="array" ref="AH234">_xll.DCEPropSectPipe(AE234, AF234, "Ix")/10000</f>
        <v>4730.4733077169503</v>
      </c>
      <c r="AI234" s="16" cm="1">
        <f t="array" ref="AI234">_xll.DCEPropSectPipe(AE234, AF234, "Wx")/1000</f>
        <v>346.55482107816493</v>
      </c>
      <c r="AJ234" s="108">
        <f t="shared" si="97"/>
        <v>9.4301739777164251</v>
      </c>
      <c r="AK234" s="80" t="s">
        <v>211</v>
      </c>
      <c r="AL234" s="82">
        <v>-73.812286944802068</v>
      </c>
      <c r="AM234" s="82">
        <v>9.7747514042443591</v>
      </c>
      <c r="AN234" s="82">
        <v>-3.8085242540664952</v>
      </c>
      <c r="AO234" s="82">
        <v>10.442973504650327</v>
      </c>
      <c r="AP234" s="82">
        <v>-26.80236835043803</v>
      </c>
      <c r="AQ234" s="82">
        <v>-0.18463198055686336</v>
      </c>
      <c r="AR234" s="72">
        <v>1</v>
      </c>
      <c r="AS234" s="116">
        <f t="shared" si="98"/>
        <v>6</v>
      </c>
      <c r="AT234" s="7">
        <v>2</v>
      </c>
      <c r="AU234" s="6">
        <f t="shared" si="99"/>
        <v>12</v>
      </c>
      <c r="AV234" s="111">
        <f t="shared" si="100"/>
        <v>6.0707385966503657E-2</v>
      </c>
      <c r="AW234" s="117">
        <f t="shared" si="101"/>
        <v>105</v>
      </c>
      <c r="AX234" s="111">
        <f t="shared" si="102"/>
        <v>1</v>
      </c>
      <c r="AY234" s="111">
        <f t="shared" si="103"/>
        <v>1</v>
      </c>
      <c r="AZ234" s="111">
        <f t="shared" si="104"/>
        <v>1</v>
      </c>
      <c r="BA234" s="111">
        <f t="shared" si="105"/>
        <v>6.3902511543688062E-2</v>
      </c>
      <c r="BB234" s="111">
        <f t="shared" si="106"/>
        <v>0.13877354523655527</v>
      </c>
      <c r="BC234" s="111">
        <f t="shared" si="107"/>
        <v>0.35616864057636732</v>
      </c>
      <c r="BD234" s="111">
        <v>0</v>
      </c>
      <c r="BE234" s="111">
        <f t="shared" si="108"/>
        <v>0.55884469735661069</v>
      </c>
      <c r="BF234" s="6" t="str">
        <f t="shared" si="109"/>
        <v>OK</v>
      </c>
      <c r="BG234" s="16">
        <f t="shared" si="110"/>
        <v>63.625549371390676</v>
      </c>
      <c r="BH234" s="118">
        <f t="shared" si="111"/>
        <v>2.1193803644775273</v>
      </c>
      <c r="BI234" s="108">
        <f t="shared" si="112"/>
        <v>2.1716446174682877</v>
      </c>
      <c r="BJ234" s="6">
        <f t="shared" si="113"/>
        <v>1.1814741605115653</v>
      </c>
      <c r="BK234" s="108">
        <f t="shared" si="114"/>
        <v>2.5657420013528047</v>
      </c>
      <c r="BL234" s="118" cm="1">
        <f t="array" ref="BL234">IF(AO234=0,FactorPhi7121(BH234,"a"),noisuy2chieu(BK234,BH234,Data!$A$63:$M$85))</f>
        <v>0</v>
      </c>
      <c r="BM234" s="111">
        <v>1.26</v>
      </c>
      <c r="BN234" s="118">
        <f t="shared" si="115"/>
        <v>0.97273161949636178</v>
      </c>
      <c r="BO234" s="108" t="e">
        <f t="shared" si="116"/>
        <v>#DIV/0!</v>
      </c>
      <c r="BP234" s="6" t="e">
        <f t="shared" si="117"/>
        <v>#DIV/0!</v>
      </c>
      <c r="BQ234" s="16">
        <f t="shared" si="118"/>
        <v>127.25109874278135</v>
      </c>
      <c r="BR234" s="118">
        <f t="shared" si="119"/>
        <v>4.2387607289550546</v>
      </c>
      <c r="BS234" s="108">
        <f t="shared" si="120"/>
        <v>5.5736250731376407</v>
      </c>
      <c r="BT234" s="118">
        <f t="shared" si="121"/>
        <v>1.1000000000000001</v>
      </c>
      <c r="BU234" s="108">
        <f t="shared" si="122"/>
        <v>6.1309875804514053</v>
      </c>
      <c r="BV234" s="6" cm="1">
        <f t="array" ref="BV234">IF(AP234=0,FactorPhi7121(BR234,"a"),noisuy2chieu(BU234,BR234,Data!$A$63:$M$85))</f>
        <v>0</v>
      </c>
      <c r="BW234" s="111">
        <v>1.26</v>
      </c>
      <c r="BX234" s="111">
        <f t="shared" si="123"/>
        <v>0.89092647798544711</v>
      </c>
      <c r="BY234" s="113" t="e">
        <f t="shared" si="124"/>
        <v>#DIV/0!</v>
      </c>
      <c r="BZ234" s="6" t="e">
        <f t="shared" si="125"/>
        <v>#DIV/0!</v>
      </c>
      <c r="CA234" s="114">
        <f t="shared" si="126"/>
        <v>127.25109874278135</v>
      </c>
      <c r="CB234" s="115" t="e">
        <f t="shared" si="127"/>
        <v>#DIV/0!</v>
      </c>
      <c r="CC234" s="6" t="e">
        <f t="shared" si="128"/>
        <v>#DIV/0!</v>
      </c>
      <c r="DG234" s="108"/>
      <c r="DH234" s="108"/>
      <c r="DI234" s="16"/>
      <c r="DJ234" s="108"/>
      <c r="DT234" s="6"/>
      <c r="DU234" s="6"/>
      <c r="DV234" s="111"/>
      <c r="DW234" s="111"/>
      <c r="DX234" s="111"/>
      <c r="DY234" s="111"/>
      <c r="DZ234" s="111"/>
      <c r="EA234" s="111"/>
      <c r="EB234" s="111"/>
      <c r="EC234" s="111"/>
      <c r="ED234" s="111"/>
      <c r="EE234" s="111"/>
      <c r="EF234" s="6"/>
      <c r="EG234" s="6"/>
      <c r="EH234" s="6"/>
      <c r="EI234" s="6"/>
      <c r="EJ234" s="6"/>
      <c r="EK234" s="6"/>
      <c r="EL234" s="112"/>
      <c r="EM234" s="112"/>
      <c r="EN234" s="118"/>
      <c r="EO234" s="118"/>
      <c r="EP234" s="112"/>
      <c r="EQ234" s="112"/>
      <c r="ER234" s="112"/>
      <c r="ES234" s="112"/>
      <c r="ET234" s="112"/>
      <c r="EU234" s="112"/>
      <c r="EV234" s="6"/>
      <c r="EW234" s="6"/>
      <c r="EX234" s="118"/>
      <c r="EY234" s="113"/>
      <c r="EZ234" s="6"/>
      <c r="FA234" s="114"/>
      <c r="FB234" s="115"/>
      <c r="FC234" s="6"/>
    </row>
    <row r="235" spans="27:159">
      <c r="AA235" s="79" t="s">
        <v>175</v>
      </c>
      <c r="AB235" s="80" t="s">
        <v>197</v>
      </c>
      <c r="AC235" s="81">
        <v>5.48</v>
      </c>
      <c r="AD235" s="81">
        <v>6</v>
      </c>
      <c r="AE235" s="80">
        <v>273</v>
      </c>
      <c r="AF235" s="80">
        <v>6.35</v>
      </c>
      <c r="AG235" s="108" cm="1">
        <f t="array" ref="AG235">_xll.DCEPropSectPipe(AE235, AF235, "Area")/100</f>
        <v>53.19431074856206</v>
      </c>
      <c r="AH235" s="16" cm="1">
        <f t="array" ref="AH235">_xll.DCEPropSectPipe(AE235, AF235, "Ix")/10000</f>
        <v>4730.4733077169503</v>
      </c>
      <c r="AI235" s="16" cm="1">
        <f t="array" ref="AI235">_xll.DCEPropSectPipe(AE235, AF235, "Wx")/1000</f>
        <v>346.55482107816493</v>
      </c>
      <c r="AJ235" s="108">
        <f t="shared" si="97"/>
        <v>9.4301739777164251</v>
      </c>
      <c r="AK235" s="80" t="s">
        <v>211</v>
      </c>
      <c r="AL235" s="82">
        <v>-72.465026596070018</v>
      </c>
      <c r="AM235" s="82">
        <v>9.7747514042443591</v>
      </c>
      <c r="AN235" s="82">
        <v>-3.8085242540664952</v>
      </c>
      <c r="AO235" s="82">
        <v>20.885947009300654</v>
      </c>
      <c r="AP235" s="82">
        <v>-53.60473670087606</v>
      </c>
      <c r="AQ235" s="82">
        <v>-0.18463198055686336</v>
      </c>
      <c r="AR235" s="72">
        <v>1</v>
      </c>
      <c r="AS235" s="116">
        <f t="shared" si="98"/>
        <v>6</v>
      </c>
      <c r="AT235" s="7">
        <v>2</v>
      </c>
      <c r="AU235" s="6">
        <f t="shared" si="99"/>
        <v>12</v>
      </c>
      <c r="AV235" s="111">
        <f t="shared" si="100"/>
        <v>5.9599323103622773E-2</v>
      </c>
      <c r="AW235" s="117">
        <f t="shared" si="101"/>
        <v>105</v>
      </c>
      <c r="AX235" s="111">
        <f t="shared" si="102"/>
        <v>1</v>
      </c>
      <c r="AY235" s="111">
        <f t="shared" si="103"/>
        <v>1</v>
      </c>
      <c r="AZ235" s="111">
        <f t="shared" si="104"/>
        <v>1</v>
      </c>
      <c r="BA235" s="111">
        <f t="shared" si="105"/>
        <v>6.2736129582760813E-2</v>
      </c>
      <c r="BB235" s="111">
        <f t="shared" si="106"/>
        <v>0.27754709047311055</v>
      </c>
      <c r="BC235" s="111">
        <f t="shared" si="107"/>
        <v>0.71233728115273465</v>
      </c>
      <c r="BD235" s="111">
        <v>0</v>
      </c>
      <c r="BE235" s="111">
        <f t="shared" si="108"/>
        <v>1.0526205012086061</v>
      </c>
      <c r="BF235" s="6" t="str">
        <f t="shared" si="109"/>
        <v>Check</v>
      </c>
      <c r="BG235" s="16">
        <f t="shared" si="110"/>
        <v>63.625549371390676</v>
      </c>
      <c r="BH235" s="118">
        <f t="shared" si="111"/>
        <v>2.1193803644775273</v>
      </c>
      <c r="BI235" s="108">
        <f t="shared" si="112"/>
        <v>4.4240391034479343</v>
      </c>
      <c r="BJ235" s="6">
        <f t="shared" si="113"/>
        <v>1.1165912426790101</v>
      </c>
      <c r="BK235" s="108">
        <f t="shared" si="114"/>
        <v>4.9398433201794623</v>
      </c>
      <c r="BL235" s="118" cm="1">
        <f t="array" ref="BL235">IF(AO235=0,FactorPhi7121(BH235,"a"),noisuy2chieu(BK235,BH235,Data!$A$63:$M$85))</f>
        <v>0</v>
      </c>
      <c r="BM235" s="111">
        <v>1.26</v>
      </c>
      <c r="BN235" s="118">
        <f t="shared" si="115"/>
        <v>0.97322933619567176</v>
      </c>
      <c r="BO235" s="108" t="e">
        <f t="shared" si="116"/>
        <v>#DIV/0!</v>
      </c>
      <c r="BP235" s="6" t="e">
        <f t="shared" si="117"/>
        <v>#DIV/0!</v>
      </c>
      <c r="BQ235" s="16">
        <f t="shared" si="118"/>
        <v>127.25109874278135</v>
      </c>
      <c r="BR235" s="118">
        <f t="shared" si="119"/>
        <v>4.2387607289550546</v>
      </c>
      <c r="BS235" s="108">
        <f t="shared" si="120"/>
        <v>11.354498371038767</v>
      </c>
      <c r="BT235" s="118">
        <f t="shared" si="121"/>
        <v>1.1000000000000001</v>
      </c>
      <c r="BU235" s="108">
        <f t="shared" si="122"/>
        <v>12.489948208142645</v>
      </c>
      <c r="BV235" s="6" cm="1">
        <f t="array" ref="BV235">IF(AP235=0,FactorPhi7121(BR235,"a"),noisuy2chieu(BU235,BR235,Data!$A$63:$M$85))</f>
        <v>0</v>
      </c>
      <c r="BW235" s="111">
        <v>1.26</v>
      </c>
      <c r="BX235" s="111">
        <f t="shared" si="123"/>
        <v>0.89291734478268714</v>
      </c>
      <c r="BY235" s="113" t="e">
        <f t="shared" si="124"/>
        <v>#DIV/0!</v>
      </c>
      <c r="BZ235" s="6" t="e">
        <f t="shared" si="125"/>
        <v>#DIV/0!</v>
      </c>
      <c r="CA235" s="114">
        <f t="shared" si="126"/>
        <v>127.25109874278135</v>
      </c>
      <c r="CB235" s="115" t="e">
        <f t="shared" si="127"/>
        <v>#DIV/0!</v>
      </c>
      <c r="CC235" s="6" t="e">
        <f t="shared" si="128"/>
        <v>#DIV/0!</v>
      </c>
      <c r="DG235" s="108"/>
      <c r="DH235" s="108"/>
      <c r="DI235" s="16"/>
      <c r="DJ235" s="108"/>
      <c r="DT235" s="6"/>
      <c r="DU235" s="6"/>
      <c r="DV235" s="111"/>
      <c r="DW235" s="111"/>
      <c r="DX235" s="111"/>
      <c r="DY235" s="111"/>
      <c r="DZ235" s="111"/>
      <c r="EA235" s="111"/>
      <c r="EB235" s="111"/>
      <c r="EC235" s="111"/>
      <c r="ED235" s="111"/>
      <c r="EE235" s="111"/>
      <c r="EF235" s="6"/>
      <c r="EG235" s="6"/>
      <c r="EH235" s="6"/>
      <c r="EI235" s="6"/>
      <c r="EJ235" s="6"/>
      <c r="EK235" s="6"/>
      <c r="EL235" s="112"/>
      <c r="EM235" s="112"/>
      <c r="EN235" s="118"/>
      <c r="EO235" s="118"/>
      <c r="EP235" s="112"/>
      <c r="EQ235" s="112"/>
      <c r="ER235" s="112"/>
      <c r="ES235" s="112"/>
      <c r="ET235" s="112"/>
      <c r="EU235" s="112"/>
      <c r="EV235" s="6"/>
      <c r="EW235" s="6"/>
      <c r="EX235" s="118"/>
      <c r="EY235" s="113"/>
      <c r="EZ235" s="6"/>
      <c r="FA235" s="114"/>
      <c r="FB235" s="115"/>
      <c r="FC235" s="6"/>
    </row>
    <row r="236" spans="27:159">
      <c r="AA236" s="79" t="s">
        <v>175</v>
      </c>
      <c r="AB236" s="80" t="s">
        <v>197</v>
      </c>
      <c r="AC236" s="81">
        <v>0</v>
      </c>
      <c r="AD236" s="81">
        <v>6</v>
      </c>
      <c r="AE236" s="80">
        <v>273</v>
      </c>
      <c r="AF236" s="80">
        <v>6.35</v>
      </c>
      <c r="AG236" s="108" cm="1">
        <f t="array" ref="AG236">_xll.DCEPropSectPipe(AE236, AF236, "Area")/100</f>
        <v>53.19431074856206</v>
      </c>
      <c r="AH236" s="16" cm="1">
        <f t="array" ref="AH236">_xll.DCEPropSectPipe(AE236, AF236, "Ix")/10000</f>
        <v>4730.4733077169503</v>
      </c>
      <c r="AI236" s="16" cm="1">
        <f t="array" ref="AI236">_xll.DCEPropSectPipe(AE236, AF236, "Wx")/1000</f>
        <v>346.55482107816493</v>
      </c>
      <c r="AJ236" s="108">
        <f t="shared" si="97"/>
        <v>9.4301739777164251</v>
      </c>
      <c r="AK236" s="80" t="s">
        <v>212</v>
      </c>
      <c r="AL236" s="82">
        <v>-88.833231667898517</v>
      </c>
      <c r="AM236" s="82">
        <v>9.7514540525863485</v>
      </c>
      <c r="AN236" s="82">
        <v>-4.0012824990828291</v>
      </c>
      <c r="AO236" s="82">
        <v>0</v>
      </c>
      <c r="AP236" s="82">
        <v>0</v>
      </c>
      <c r="AQ236" s="82">
        <v>-0.22334926057615828</v>
      </c>
      <c r="AR236" s="72">
        <v>1</v>
      </c>
      <c r="AS236" s="116">
        <f t="shared" si="98"/>
        <v>6</v>
      </c>
      <c r="AT236" s="7">
        <v>2</v>
      </c>
      <c r="AU236" s="6">
        <f t="shared" si="99"/>
        <v>12</v>
      </c>
      <c r="AV236" s="111">
        <f t="shared" si="100"/>
        <v>7.3061457715675335E-2</v>
      </c>
      <c r="AW236" s="117">
        <f t="shared" si="101"/>
        <v>105</v>
      </c>
      <c r="AX236" s="111">
        <f t="shared" si="102"/>
        <v>1</v>
      </c>
      <c r="AY236" s="111">
        <f t="shared" si="103"/>
        <v>1</v>
      </c>
      <c r="AZ236" s="111">
        <f t="shared" si="104"/>
        <v>1</v>
      </c>
      <c r="BA236" s="111">
        <f t="shared" si="105"/>
        <v>7.6906797595447718E-2</v>
      </c>
      <c r="BB236" s="111">
        <f t="shared" si="106"/>
        <v>0</v>
      </c>
      <c r="BC236" s="111">
        <f t="shared" si="107"/>
        <v>0</v>
      </c>
      <c r="BD236" s="111">
        <v>0</v>
      </c>
      <c r="BE236" s="111">
        <f t="shared" si="108"/>
        <v>7.6906797595447718E-2</v>
      </c>
      <c r="BF236" s="6" t="str">
        <f t="shared" si="109"/>
        <v>OK</v>
      </c>
      <c r="BG236" s="16">
        <f t="shared" si="110"/>
        <v>63.625549371390676</v>
      </c>
      <c r="BH236" s="118">
        <f t="shared" si="111"/>
        <v>2.1193803644775273</v>
      </c>
      <c r="BI236" s="108">
        <f t="shared" si="112"/>
        <v>0</v>
      </c>
      <c r="BJ236" s="6">
        <f t="shared" si="113"/>
        <v>1.2440309817761237</v>
      </c>
      <c r="BK236" s="108">
        <f t="shared" si="114"/>
        <v>0</v>
      </c>
      <c r="BL236" s="118" cm="1">
        <f t="array" ref="BL236">IF(AO236=0,FactorPhi7121(BH236,"a"),noisuy2chieu(BK236,BH236,Data!$A$63:$M$85))</f>
        <v>0.86214274110469236</v>
      </c>
      <c r="BM236" s="111">
        <v>1.26</v>
      </c>
      <c r="BN236" s="118">
        <f t="shared" si="115"/>
        <v>0.96718245074428377</v>
      </c>
      <c r="BO236" s="108">
        <f t="shared" si="116"/>
        <v>0.18181469612367437</v>
      </c>
      <c r="BP236" s="6" t="str">
        <f t="shared" si="117"/>
        <v>OK</v>
      </c>
      <c r="BQ236" s="16">
        <f t="shared" si="118"/>
        <v>127.25109874278135</v>
      </c>
      <c r="BR236" s="118">
        <f t="shared" si="119"/>
        <v>4.2387607289550546</v>
      </c>
      <c r="BS236" s="108">
        <f t="shared" si="120"/>
        <v>0</v>
      </c>
      <c r="BT236" s="118">
        <f t="shared" si="121"/>
        <v>1.1380619635522473</v>
      </c>
      <c r="BU236" s="108">
        <f t="shared" si="122"/>
        <v>0</v>
      </c>
      <c r="BV236" s="6" cm="1">
        <f t="array" ref="BV236">IF(AP236=0,FactorPhi7121(BR236,"a"),noisuy2chieu(BU236,BR236,Data!$A$63:$M$85))</f>
        <v>0.42299549615688942</v>
      </c>
      <c r="BW236" s="111">
        <v>1.26</v>
      </c>
      <c r="BX236" s="111">
        <f t="shared" si="123"/>
        <v>0.8687298029771352</v>
      </c>
      <c r="BY236" s="113">
        <f t="shared" si="124"/>
        <v>8.9204251139323468E-2</v>
      </c>
      <c r="BZ236" s="6" t="str">
        <f t="shared" si="125"/>
        <v>OK</v>
      </c>
      <c r="CA236" s="114">
        <f t="shared" si="126"/>
        <v>127.25109874278135</v>
      </c>
      <c r="CB236" s="115">
        <f t="shared" si="127"/>
        <v>150</v>
      </c>
      <c r="CC236" s="6" t="str">
        <f t="shared" si="128"/>
        <v>OK</v>
      </c>
      <c r="DG236" s="108"/>
      <c r="DH236" s="108"/>
      <c r="DI236" s="16"/>
      <c r="DJ236" s="108"/>
      <c r="DT236" s="6"/>
      <c r="DU236" s="6"/>
      <c r="DV236" s="111"/>
      <c r="DW236" s="111"/>
      <c r="DX236" s="111"/>
      <c r="DY236" s="111"/>
      <c r="DZ236" s="111"/>
      <c r="EA236" s="111"/>
      <c r="EB236" s="111"/>
      <c r="EC236" s="111"/>
      <c r="ED236" s="111"/>
      <c r="EE236" s="111"/>
      <c r="EF236" s="6"/>
      <c r="EG236" s="6"/>
      <c r="EH236" s="6"/>
      <c r="EI236" s="6"/>
      <c r="EJ236" s="6"/>
      <c r="EK236" s="6"/>
      <c r="EL236" s="112"/>
      <c r="EM236" s="112"/>
      <c r="EN236" s="118"/>
      <c r="EO236" s="118"/>
      <c r="EP236" s="112"/>
      <c r="EQ236" s="112"/>
      <c r="ER236" s="112"/>
      <c r="ES236" s="112"/>
      <c r="ET236" s="112"/>
      <c r="EU236" s="112"/>
      <c r="EV236" s="6"/>
      <c r="EW236" s="6"/>
      <c r="EX236" s="118"/>
      <c r="EY236" s="113"/>
      <c r="EZ236" s="6"/>
      <c r="FA236" s="114"/>
      <c r="FB236" s="115"/>
      <c r="FC236" s="6"/>
    </row>
    <row r="237" spans="27:159">
      <c r="AA237" s="79" t="s">
        <v>175</v>
      </c>
      <c r="AB237" s="80" t="s">
        <v>197</v>
      </c>
      <c r="AC237" s="81">
        <v>2.74</v>
      </c>
      <c r="AD237" s="81">
        <v>6</v>
      </c>
      <c r="AE237" s="80">
        <v>273</v>
      </c>
      <c r="AF237" s="80">
        <v>6.35</v>
      </c>
      <c r="AG237" s="108" cm="1">
        <f t="array" ref="AG237">_xll.DCEPropSectPipe(AE237, AF237, "Area")/100</f>
        <v>53.19431074856206</v>
      </c>
      <c r="AH237" s="16" cm="1">
        <f t="array" ref="AH237">_xll.DCEPropSectPipe(AE237, AF237, "Ix")/10000</f>
        <v>4730.4733077169503</v>
      </c>
      <c r="AI237" s="16" cm="1">
        <f t="array" ref="AI237">_xll.DCEPropSectPipe(AE237, AF237, "Wx")/1000</f>
        <v>346.55482107816493</v>
      </c>
      <c r="AJ237" s="108">
        <f t="shared" si="97"/>
        <v>9.4301739777164251</v>
      </c>
      <c r="AK237" s="80" t="s">
        <v>212</v>
      </c>
      <c r="AL237" s="82">
        <v>-87.485971319166495</v>
      </c>
      <c r="AM237" s="82">
        <v>9.7514540525863485</v>
      </c>
      <c r="AN237" s="82">
        <v>-4.0012824990828291</v>
      </c>
      <c r="AO237" s="82">
        <v>10.971516612485116</v>
      </c>
      <c r="AP237" s="82">
        <v>-26.738487012191765</v>
      </c>
      <c r="AQ237" s="82">
        <v>-0.22334926057615828</v>
      </c>
      <c r="AR237" s="72">
        <v>1</v>
      </c>
      <c r="AS237" s="116">
        <f t="shared" si="98"/>
        <v>6</v>
      </c>
      <c r="AT237" s="7">
        <v>2</v>
      </c>
      <c r="AU237" s="6">
        <f t="shared" si="99"/>
        <v>12</v>
      </c>
      <c r="AV237" s="111">
        <f t="shared" si="100"/>
        <v>7.1953394852794464E-2</v>
      </c>
      <c r="AW237" s="117">
        <f t="shared" si="101"/>
        <v>105</v>
      </c>
      <c r="AX237" s="111">
        <f t="shared" si="102"/>
        <v>1</v>
      </c>
      <c r="AY237" s="111">
        <f t="shared" si="103"/>
        <v>1</v>
      </c>
      <c r="AZ237" s="111">
        <f t="shared" si="104"/>
        <v>1</v>
      </c>
      <c r="BA237" s="111">
        <f t="shared" si="105"/>
        <v>7.5740415634520497E-2</v>
      </c>
      <c r="BB237" s="111">
        <f t="shared" si="106"/>
        <v>0.14579719619687975</v>
      </c>
      <c r="BC237" s="111">
        <f t="shared" si="107"/>
        <v>0.35531974061708443</v>
      </c>
      <c r="BD237" s="111">
        <v>0</v>
      </c>
      <c r="BE237" s="111">
        <f t="shared" si="108"/>
        <v>0.57685735244848468</v>
      </c>
      <c r="BF237" s="6" t="str">
        <f t="shared" si="109"/>
        <v>OK</v>
      </c>
      <c r="BG237" s="16">
        <f t="shared" si="110"/>
        <v>63.625549371390676</v>
      </c>
      <c r="BH237" s="118">
        <f t="shared" si="111"/>
        <v>2.1193803644775273</v>
      </c>
      <c r="BI237" s="108">
        <f t="shared" si="112"/>
        <v>1.9249590192429475</v>
      </c>
      <c r="BJ237" s="6">
        <f t="shared" si="113"/>
        <v>1.1885802342920504</v>
      </c>
      <c r="BK237" s="108">
        <f t="shared" si="114"/>
        <v>2.2879682420943781</v>
      </c>
      <c r="BL237" s="118" cm="1">
        <f t="array" ref="BL237">IF(AO237=0,FactorPhi7121(BH237,"a"),noisuy2chieu(BK237,BH237,Data!$A$63:$M$85))</f>
        <v>0</v>
      </c>
      <c r="BM237" s="111">
        <v>1.26</v>
      </c>
      <c r="BN237" s="118">
        <f t="shared" si="115"/>
        <v>0.96768016744359375</v>
      </c>
      <c r="BO237" s="108" t="e">
        <f t="shared" si="116"/>
        <v>#DIV/0!</v>
      </c>
      <c r="BP237" s="6" t="e">
        <f t="shared" si="117"/>
        <v>#DIV/0!</v>
      </c>
      <c r="BQ237" s="16">
        <f t="shared" si="118"/>
        <v>127.25109874278135</v>
      </c>
      <c r="BR237" s="118">
        <f t="shared" si="119"/>
        <v>4.2387607289550546</v>
      </c>
      <c r="BS237" s="108">
        <f t="shared" si="120"/>
        <v>4.6912832157094613</v>
      </c>
      <c r="BT237" s="118">
        <f t="shared" si="121"/>
        <v>1.1023500733983267</v>
      </c>
      <c r="BU237" s="108">
        <f t="shared" si="122"/>
        <v>5.1714363971696624</v>
      </c>
      <c r="BV237" s="6" cm="1">
        <f t="array" ref="BV237">IF(AP237=0,FactorPhi7121(BR237,"a"),noisuy2chieu(BU237,BR237,Data!$A$63:$M$85))</f>
        <v>0</v>
      </c>
      <c r="BW237" s="111">
        <v>1.26</v>
      </c>
      <c r="BX237" s="111">
        <f t="shared" si="123"/>
        <v>0.87072066977437512</v>
      </c>
      <c r="BY237" s="113" t="e">
        <f t="shared" si="124"/>
        <v>#DIV/0!</v>
      </c>
      <c r="BZ237" s="6" t="e">
        <f t="shared" si="125"/>
        <v>#DIV/0!</v>
      </c>
      <c r="CA237" s="114">
        <f t="shared" si="126"/>
        <v>127.25109874278135</v>
      </c>
      <c r="CB237" s="115" t="e">
        <f t="shared" si="127"/>
        <v>#DIV/0!</v>
      </c>
      <c r="CC237" s="6" t="e">
        <f t="shared" si="128"/>
        <v>#DIV/0!</v>
      </c>
      <c r="DG237" s="108"/>
      <c r="DH237" s="108"/>
      <c r="DI237" s="16"/>
      <c r="DJ237" s="108"/>
      <c r="DT237" s="6"/>
      <c r="DU237" s="6"/>
      <c r="DV237" s="111"/>
      <c r="DW237" s="111"/>
      <c r="DX237" s="111"/>
      <c r="DY237" s="111"/>
      <c r="DZ237" s="111"/>
      <c r="EA237" s="111"/>
      <c r="EB237" s="111"/>
      <c r="EC237" s="111"/>
      <c r="ED237" s="111"/>
      <c r="EE237" s="111"/>
      <c r="EF237" s="6"/>
      <c r="EG237" s="6"/>
      <c r="EH237" s="6"/>
      <c r="EI237" s="6"/>
      <c r="EJ237" s="6"/>
      <c r="EK237" s="6"/>
      <c r="EL237" s="112"/>
      <c r="EM237" s="112"/>
      <c r="EN237" s="118"/>
      <c r="EO237" s="118"/>
      <c r="EP237" s="112"/>
      <c r="EQ237" s="112"/>
      <c r="ER237" s="112"/>
      <c r="ES237" s="112"/>
      <c r="ET237" s="112"/>
      <c r="EU237" s="112"/>
      <c r="EV237" s="6"/>
      <c r="EW237" s="6"/>
      <c r="EX237" s="118"/>
      <c r="EY237" s="113"/>
      <c r="EZ237" s="6"/>
      <c r="FA237" s="114"/>
      <c r="FB237" s="115"/>
      <c r="FC237" s="6"/>
    </row>
    <row r="238" spans="27:159">
      <c r="AA238" s="79" t="s">
        <v>175</v>
      </c>
      <c r="AB238" s="80" t="s">
        <v>197</v>
      </c>
      <c r="AC238" s="81">
        <v>5.48</v>
      </c>
      <c r="AD238" s="81">
        <v>6</v>
      </c>
      <c r="AE238" s="80">
        <v>273</v>
      </c>
      <c r="AF238" s="80">
        <v>6.35</v>
      </c>
      <c r="AG238" s="108" cm="1">
        <f t="array" ref="AG238">_xll.DCEPropSectPipe(AE238, AF238, "Area")/100</f>
        <v>53.19431074856206</v>
      </c>
      <c r="AH238" s="16" cm="1">
        <f t="array" ref="AH238">_xll.DCEPropSectPipe(AE238, AF238, "Ix")/10000</f>
        <v>4730.4733077169503</v>
      </c>
      <c r="AI238" s="16" cm="1">
        <f t="array" ref="AI238">_xll.DCEPropSectPipe(AE238, AF238, "Wx")/1000</f>
        <v>346.55482107816493</v>
      </c>
      <c r="AJ238" s="108">
        <f t="shared" si="97"/>
        <v>9.4301739777164251</v>
      </c>
      <c r="AK238" s="80" t="s">
        <v>212</v>
      </c>
      <c r="AL238" s="82">
        <v>-86.13871097043446</v>
      </c>
      <c r="AM238" s="82">
        <v>9.7514540525863485</v>
      </c>
      <c r="AN238" s="82">
        <v>-4.0012824990828291</v>
      </c>
      <c r="AO238" s="82">
        <v>21.943033224970232</v>
      </c>
      <c r="AP238" s="82">
        <v>-53.47697402438353</v>
      </c>
      <c r="AQ238" s="82">
        <v>-0.22334926057615828</v>
      </c>
      <c r="AR238" s="72">
        <v>1</v>
      </c>
      <c r="AS238" s="116">
        <f t="shared" si="98"/>
        <v>6</v>
      </c>
      <c r="AT238" s="7">
        <v>2</v>
      </c>
      <c r="AU238" s="6">
        <f t="shared" si="99"/>
        <v>12</v>
      </c>
      <c r="AV238" s="111">
        <f t="shared" si="100"/>
        <v>7.0845331989913579E-2</v>
      </c>
      <c r="AW238" s="117">
        <f t="shared" si="101"/>
        <v>105</v>
      </c>
      <c r="AX238" s="111">
        <f t="shared" si="102"/>
        <v>1</v>
      </c>
      <c r="AY238" s="111">
        <f t="shared" si="103"/>
        <v>1</v>
      </c>
      <c r="AZ238" s="111">
        <f t="shared" si="104"/>
        <v>1</v>
      </c>
      <c r="BA238" s="111">
        <f t="shared" si="105"/>
        <v>7.4574033673593262E-2</v>
      </c>
      <c r="BB238" s="111">
        <f t="shared" si="106"/>
        <v>0.29159439239375951</v>
      </c>
      <c r="BC238" s="111">
        <f t="shared" si="107"/>
        <v>0.71063948123416887</v>
      </c>
      <c r="BD238" s="111">
        <v>0</v>
      </c>
      <c r="BE238" s="111">
        <f t="shared" si="108"/>
        <v>1.0768079073015215</v>
      </c>
      <c r="BF238" s="6" t="str">
        <f t="shared" si="109"/>
        <v>Check</v>
      </c>
      <c r="BG238" s="16">
        <f t="shared" si="110"/>
        <v>63.625549371390676</v>
      </c>
      <c r="BH238" s="118">
        <f t="shared" si="111"/>
        <v>2.1193803644775273</v>
      </c>
      <c r="BI238" s="108">
        <f t="shared" si="112"/>
        <v>3.9101330319619469</v>
      </c>
      <c r="BJ238" s="6">
        <f t="shared" si="113"/>
        <v>1.1313949218823776</v>
      </c>
      <c r="BK238" s="108">
        <f t="shared" si="114"/>
        <v>4.4239046562462914</v>
      </c>
      <c r="BL238" s="118" cm="1">
        <f t="array" ref="BL238">IF(AO238=0,FactorPhi7121(BH238,"a"),noisuy2chieu(BK238,BH238,Data!$A$63:$M$85))</f>
        <v>0</v>
      </c>
      <c r="BM238" s="111">
        <v>1.26</v>
      </c>
      <c r="BN238" s="118">
        <f t="shared" si="115"/>
        <v>0.96817788414290373</v>
      </c>
      <c r="BO238" s="108" t="e">
        <f t="shared" si="116"/>
        <v>#DIV/0!</v>
      </c>
      <c r="BP238" s="6" t="e">
        <f t="shared" si="117"/>
        <v>#DIV/0!</v>
      </c>
      <c r="BQ238" s="16">
        <f t="shared" si="118"/>
        <v>127.25109874278135</v>
      </c>
      <c r="BR238" s="118">
        <f t="shared" si="119"/>
        <v>4.2387607289550546</v>
      </c>
      <c r="BS238" s="108">
        <f t="shared" si="120"/>
        <v>9.529315315631198</v>
      </c>
      <c r="BT238" s="118">
        <f t="shared" si="121"/>
        <v>1.1000000000000001</v>
      </c>
      <c r="BU238" s="108">
        <f t="shared" si="122"/>
        <v>10.482246847194318</v>
      </c>
      <c r="BV238" s="6" cm="1">
        <f t="array" ref="BV238">IF(AP238=0,FactorPhi7121(BR238,"a"),noisuy2chieu(BU238,BR238,Data!$A$63:$M$85))</f>
        <v>0</v>
      </c>
      <c r="BW238" s="111">
        <v>1.26</v>
      </c>
      <c r="BX238" s="111">
        <f t="shared" si="123"/>
        <v>0.87271153657161515</v>
      </c>
      <c r="BY238" s="113" t="e">
        <f t="shared" si="124"/>
        <v>#DIV/0!</v>
      </c>
      <c r="BZ238" s="6" t="e">
        <f t="shared" si="125"/>
        <v>#DIV/0!</v>
      </c>
      <c r="CA238" s="114">
        <f t="shared" si="126"/>
        <v>127.25109874278135</v>
      </c>
      <c r="CB238" s="115" t="e">
        <f t="shared" si="127"/>
        <v>#DIV/0!</v>
      </c>
      <c r="CC238" s="6" t="e">
        <f t="shared" si="128"/>
        <v>#DIV/0!</v>
      </c>
      <c r="DG238" s="108"/>
      <c r="DH238" s="108"/>
      <c r="DI238" s="16"/>
      <c r="DJ238" s="108"/>
      <c r="DT238" s="6"/>
      <c r="DU238" s="6"/>
      <c r="DV238" s="111"/>
      <c r="DW238" s="111"/>
      <c r="DX238" s="111"/>
      <c r="DY238" s="111"/>
      <c r="DZ238" s="111"/>
      <c r="EA238" s="111"/>
      <c r="EB238" s="111"/>
      <c r="EC238" s="111"/>
      <c r="ED238" s="111"/>
      <c r="EE238" s="111"/>
      <c r="EF238" s="6"/>
      <c r="EG238" s="6"/>
      <c r="EH238" s="6"/>
      <c r="EI238" s="6"/>
      <c r="EJ238" s="6"/>
      <c r="EK238" s="6"/>
      <c r="EL238" s="112"/>
      <c r="EM238" s="112"/>
      <c r="EN238" s="118"/>
      <c r="EO238" s="118"/>
      <c r="EP238" s="112"/>
      <c r="EQ238" s="112"/>
      <c r="ER238" s="112"/>
      <c r="ES238" s="112"/>
      <c r="ET238" s="112"/>
      <c r="EU238" s="112"/>
      <c r="EV238" s="6"/>
      <c r="EW238" s="6"/>
      <c r="EX238" s="118"/>
      <c r="EY238" s="113"/>
      <c r="EZ238" s="6"/>
      <c r="FA238" s="114"/>
      <c r="FB238" s="115"/>
      <c r="FC238" s="6"/>
    </row>
    <row r="239" spans="27:159">
      <c r="AA239" s="79" t="s">
        <v>175</v>
      </c>
      <c r="AB239" s="80" t="s">
        <v>197</v>
      </c>
      <c r="AC239" s="81">
        <v>0</v>
      </c>
      <c r="AD239" s="81">
        <v>6</v>
      </c>
      <c r="AE239" s="80">
        <v>273</v>
      </c>
      <c r="AF239" s="80">
        <v>6.35</v>
      </c>
      <c r="AG239" s="108" cm="1">
        <f t="array" ref="AG239">_xll.DCEPropSectPipe(AE239, AF239, "Area")/100</f>
        <v>53.19431074856206</v>
      </c>
      <c r="AH239" s="16" cm="1">
        <f t="array" ref="AH239">_xll.DCEPropSectPipe(AE239, AF239, "Ix")/10000</f>
        <v>4730.4733077169503</v>
      </c>
      <c r="AI239" s="16" cm="1">
        <f t="array" ref="AI239">_xll.DCEPropSectPipe(AE239, AF239, "Wx")/1000</f>
        <v>346.55482107816493</v>
      </c>
      <c r="AJ239" s="108">
        <f t="shared" si="97"/>
        <v>9.4301739777164251</v>
      </c>
      <c r="AK239" s="80" t="s">
        <v>213</v>
      </c>
      <c r="AL239" s="82">
        <v>-21.168049451058703</v>
      </c>
      <c r="AM239" s="82">
        <v>0.90664712431280381</v>
      </c>
      <c r="AN239" s="82">
        <v>-0.54614796371010821</v>
      </c>
      <c r="AO239" s="82">
        <v>0</v>
      </c>
      <c r="AP239" s="82">
        <v>0</v>
      </c>
      <c r="AQ239" s="82">
        <v>-2.0758262382589463E-2</v>
      </c>
      <c r="AR239" s="72">
        <v>1</v>
      </c>
      <c r="AS239" s="116">
        <f t="shared" si="98"/>
        <v>6</v>
      </c>
      <c r="AT239" s="7">
        <v>2</v>
      </c>
      <c r="AU239" s="6">
        <f t="shared" si="99"/>
        <v>12</v>
      </c>
      <c r="AV239" s="111">
        <f t="shared" si="100"/>
        <v>1.7409797221761215E-2</v>
      </c>
      <c r="AW239" s="117">
        <f t="shared" si="101"/>
        <v>105</v>
      </c>
      <c r="AX239" s="111">
        <f t="shared" si="102"/>
        <v>1</v>
      </c>
      <c r="AY239" s="111">
        <f t="shared" si="103"/>
        <v>1</v>
      </c>
      <c r="AZ239" s="111">
        <f t="shared" si="104"/>
        <v>1</v>
      </c>
      <c r="BA239" s="111">
        <f t="shared" si="105"/>
        <v>1.8326102338696016E-2</v>
      </c>
      <c r="BB239" s="111">
        <f t="shared" si="106"/>
        <v>0</v>
      </c>
      <c r="BC239" s="111">
        <f t="shared" si="107"/>
        <v>0</v>
      </c>
      <c r="BD239" s="111">
        <v>0</v>
      </c>
      <c r="BE239" s="111">
        <f t="shared" si="108"/>
        <v>1.8326102338696016E-2</v>
      </c>
      <c r="BF239" s="6" t="str">
        <f t="shared" si="109"/>
        <v>OK</v>
      </c>
      <c r="BG239" s="16">
        <f t="shared" si="110"/>
        <v>63.625549371390676</v>
      </c>
      <c r="BH239" s="118">
        <f t="shared" si="111"/>
        <v>2.1193803644775273</v>
      </c>
      <c r="BI239" s="108">
        <f t="shared" si="112"/>
        <v>0</v>
      </c>
      <c r="BJ239" s="6">
        <f t="shared" si="113"/>
        <v>1.2440309817761237</v>
      </c>
      <c r="BK239" s="108">
        <f t="shared" si="114"/>
        <v>0</v>
      </c>
      <c r="BL239" s="118" cm="1">
        <f t="array" ref="BL239">IF(AO239=0,FactorPhi7121(BH239,"a"),noisuy2chieu(BK239,BH239,Data!$A$63:$M$85))</f>
        <v>0.86214274110469236</v>
      </c>
      <c r="BM239" s="111">
        <v>1.26</v>
      </c>
      <c r="BN239" s="118">
        <f t="shared" si="115"/>
        <v>0.99217991406521588</v>
      </c>
      <c r="BO239" s="108">
        <f t="shared" si="116"/>
        <v>4.3324580297419632E-2</v>
      </c>
      <c r="BP239" s="6" t="str">
        <f t="shared" si="117"/>
        <v>OK</v>
      </c>
      <c r="BQ239" s="16">
        <f t="shared" si="118"/>
        <v>127.25109874278135</v>
      </c>
      <c r="BR239" s="118">
        <f t="shared" si="119"/>
        <v>4.2387607289550546</v>
      </c>
      <c r="BS239" s="108">
        <f t="shared" si="120"/>
        <v>0</v>
      </c>
      <c r="BT239" s="118">
        <f t="shared" si="121"/>
        <v>1.1380619635522473</v>
      </c>
      <c r="BU239" s="108">
        <f t="shared" si="122"/>
        <v>0</v>
      </c>
      <c r="BV239" s="6" cm="1">
        <f t="array" ref="BV239">IF(AP239=0,FactorPhi7121(BR239,"a"),noisuy2chieu(BU239,BR239,Data!$A$63:$M$85))</f>
        <v>0.42299549615688942</v>
      </c>
      <c r="BW239" s="111">
        <v>1.26</v>
      </c>
      <c r="BX239" s="111">
        <f t="shared" si="123"/>
        <v>0.96871965626086343</v>
      </c>
      <c r="BY239" s="113">
        <f t="shared" si="124"/>
        <v>2.1256459591846896E-2</v>
      </c>
      <c r="BZ239" s="6" t="str">
        <f t="shared" si="125"/>
        <v>OK</v>
      </c>
      <c r="CA239" s="114">
        <f t="shared" si="126"/>
        <v>127.25109874278135</v>
      </c>
      <c r="CB239" s="115">
        <f t="shared" si="127"/>
        <v>150</v>
      </c>
      <c r="CC239" s="6" t="str">
        <f t="shared" si="128"/>
        <v>OK</v>
      </c>
      <c r="DG239" s="108"/>
      <c r="DH239" s="108"/>
      <c r="DI239" s="16"/>
      <c r="DJ239" s="108"/>
      <c r="DT239" s="6"/>
      <c r="DU239" s="6"/>
      <c r="DV239" s="111"/>
      <c r="DW239" s="111"/>
      <c r="DX239" s="111"/>
      <c r="DY239" s="111"/>
      <c r="DZ239" s="111"/>
      <c r="EA239" s="111"/>
      <c r="EB239" s="111"/>
      <c r="EC239" s="111"/>
      <c r="ED239" s="111"/>
      <c r="EE239" s="111"/>
      <c r="EF239" s="6"/>
      <c r="EG239" s="6"/>
      <c r="EH239" s="6"/>
      <c r="EI239" s="6"/>
      <c r="EJ239" s="6"/>
      <c r="EK239" s="6"/>
      <c r="EL239" s="112"/>
      <c r="EM239" s="112"/>
      <c r="EN239" s="118"/>
      <c r="EO239" s="118"/>
      <c r="EP239" s="112"/>
      <c r="EQ239" s="112"/>
      <c r="ER239" s="112"/>
      <c r="ES239" s="112"/>
      <c r="ET239" s="112"/>
      <c r="EU239" s="112"/>
      <c r="EV239" s="6"/>
      <c r="EW239" s="6"/>
      <c r="EX239" s="118"/>
      <c r="EY239" s="113"/>
      <c r="EZ239" s="6"/>
      <c r="FA239" s="114"/>
      <c r="FB239" s="115"/>
      <c r="FC239" s="6"/>
    </row>
    <row r="240" spans="27:159">
      <c r="AA240" s="79" t="s">
        <v>175</v>
      </c>
      <c r="AB240" s="80" t="s">
        <v>197</v>
      </c>
      <c r="AC240" s="81">
        <v>2.74</v>
      </c>
      <c r="AD240" s="81">
        <v>6</v>
      </c>
      <c r="AE240" s="80">
        <v>273</v>
      </c>
      <c r="AF240" s="80">
        <v>6.35</v>
      </c>
      <c r="AG240" s="108" cm="1">
        <f t="array" ref="AG240">_xll.DCEPropSectPipe(AE240, AF240, "Area")/100</f>
        <v>53.19431074856206</v>
      </c>
      <c r="AH240" s="16" cm="1">
        <f t="array" ref="AH240">_xll.DCEPropSectPipe(AE240, AF240, "Ix")/10000</f>
        <v>4730.4733077169503</v>
      </c>
      <c r="AI240" s="16" cm="1">
        <f t="array" ref="AI240">_xll.DCEPropSectPipe(AE240, AF240, "Wx")/1000</f>
        <v>346.55482107816493</v>
      </c>
      <c r="AJ240" s="108">
        <f t="shared" si="97"/>
        <v>9.4301739777164251</v>
      </c>
      <c r="AK240" s="80" t="s">
        <v>213</v>
      </c>
      <c r="AL240" s="82">
        <v>-19.820789102326668</v>
      </c>
      <c r="AM240" s="82">
        <v>0.90664712431280381</v>
      </c>
      <c r="AN240" s="82">
        <v>-0.54614796371010821</v>
      </c>
      <c r="AO240" s="82">
        <v>1.4975377164931163</v>
      </c>
      <c r="AP240" s="82">
        <v>-2.4860264148657074</v>
      </c>
      <c r="AQ240" s="82">
        <v>-2.0758262382589463E-2</v>
      </c>
      <c r="AR240" s="72">
        <v>1</v>
      </c>
      <c r="AS240" s="116">
        <f t="shared" si="98"/>
        <v>6</v>
      </c>
      <c r="AT240" s="7">
        <v>2</v>
      </c>
      <c r="AU240" s="6">
        <f t="shared" si="99"/>
        <v>12</v>
      </c>
      <c r="AV240" s="111">
        <f t="shared" si="100"/>
        <v>1.6301734358880337E-2</v>
      </c>
      <c r="AW240" s="117">
        <f t="shared" si="101"/>
        <v>105</v>
      </c>
      <c r="AX240" s="111">
        <f t="shared" si="102"/>
        <v>1</v>
      </c>
      <c r="AY240" s="111">
        <f t="shared" si="103"/>
        <v>1</v>
      </c>
      <c r="AZ240" s="111">
        <f t="shared" si="104"/>
        <v>1</v>
      </c>
      <c r="BA240" s="111">
        <f t="shared" si="105"/>
        <v>1.7159720377768778E-2</v>
      </c>
      <c r="BB240" s="111">
        <f t="shared" si="106"/>
        <v>1.990032991567604E-2</v>
      </c>
      <c r="BC240" s="111">
        <f t="shared" si="107"/>
        <v>3.3036059987034253E-2</v>
      </c>
      <c r="BD240" s="111">
        <v>0</v>
      </c>
      <c r="BE240" s="111">
        <f t="shared" si="108"/>
        <v>7.0096110280479074E-2</v>
      </c>
      <c r="BF240" s="6" t="str">
        <f t="shared" si="109"/>
        <v>OK</v>
      </c>
      <c r="BG240" s="16">
        <f t="shared" si="110"/>
        <v>63.625549371390676</v>
      </c>
      <c r="BH240" s="118">
        <f t="shared" si="111"/>
        <v>2.1193803644775273</v>
      </c>
      <c r="BI240" s="108">
        <f t="shared" si="112"/>
        <v>1.1597117830345214</v>
      </c>
      <c r="BJ240" s="6">
        <f t="shared" si="113"/>
        <v>1.2106240964385635</v>
      </c>
      <c r="BK240" s="108">
        <f t="shared" si="114"/>
        <v>1.4039750294653228</v>
      </c>
      <c r="BL240" s="118" cm="1">
        <f t="array" ref="BL240">IF(AO240=0,FactorPhi7121(BH240,"a"),noisuy2chieu(BK240,BH240,Data!$A$63:$M$85))</f>
        <v>0</v>
      </c>
      <c r="BM240" s="111">
        <v>1.26</v>
      </c>
      <c r="BN240" s="118">
        <f t="shared" si="115"/>
        <v>0.99267763076452586</v>
      </c>
      <c r="BO240" s="108" t="e">
        <f t="shared" si="116"/>
        <v>#DIV/0!</v>
      </c>
      <c r="BP240" s="6" t="e">
        <f t="shared" si="117"/>
        <v>#DIV/0!</v>
      </c>
      <c r="BQ240" s="16">
        <f t="shared" si="118"/>
        <v>127.25109874278135</v>
      </c>
      <c r="BR240" s="118">
        <f t="shared" si="119"/>
        <v>4.2387607289550546</v>
      </c>
      <c r="BS240" s="108">
        <f t="shared" si="120"/>
        <v>1.9252096922181798</v>
      </c>
      <c r="BT240" s="118">
        <f t="shared" si="121"/>
        <v>1.123406511325119</v>
      </c>
      <c r="BU240" s="108">
        <f t="shared" si="122"/>
        <v>2.1627931039041317</v>
      </c>
      <c r="BV240" s="6" cm="1">
        <f t="array" ref="BV240">IF(AP240=0,FactorPhi7121(BR240,"a"),noisuy2chieu(BU240,BR240,Data!$A$63:$M$85))</f>
        <v>0</v>
      </c>
      <c r="BW240" s="111">
        <v>1.26</v>
      </c>
      <c r="BX240" s="111">
        <f t="shared" si="123"/>
        <v>0.97071052305810335</v>
      </c>
      <c r="BY240" s="113" t="e">
        <f t="shared" si="124"/>
        <v>#DIV/0!</v>
      </c>
      <c r="BZ240" s="6" t="e">
        <f t="shared" si="125"/>
        <v>#DIV/0!</v>
      </c>
      <c r="CA240" s="114">
        <f t="shared" si="126"/>
        <v>127.25109874278135</v>
      </c>
      <c r="CB240" s="115" t="e">
        <f t="shared" si="127"/>
        <v>#DIV/0!</v>
      </c>
      <c r="CC240" s="6" t="e">
        <f t="shared" si="128"/>
        <v>#DIV/0!</v>
      </c>
      <c r="DG240" s="108"/>
      <c r="DH240" s="108"/>
      <c r="DI240" s="16"/>
      <c r="DJ240" s="108"/>
      <c r="DT240" s="6"/>
      <c r="DU240" s="6"/>
      <c r="DV240" s="111"/>
      <c r="DW240" s="111"/>
      <c r="DX240" s="111"/>
      <c r="DY240" s="111"/>
      <c r="DZ240" s="111"/>
      <c r="EA240" s="111"/>
      <c r="EB240" s="111"/>
      <c r="EC240" s="111"/>
      <c r="ED240" s="111"/>
      <c r="EE240" s="111"/>
      <c r="EF240" s="6"/>
      <c r="EG240" s="6"/>
      <c r="EH240" s="6"/>
      <c r="EI240" s="6"/>
      <c r="EJ240" s="6"/>
      <c r="EK240" s="6"/>
      <c r="EL240" s="112"/>
      <c r="EM240" s="112"/>
      <c r="EN240" s="118"/>
      <c r="EO240" s="118"/>
      <c r="EP240" s="112"/>
      <c r="EQ240" s="112"/>
      <c r="ER240" s="112"/>
      <c r="ES240" s="112"/>
      <c r="ET240" s="112"/>
      <c r="EU240" s="112"/>
      <c r="EV240" s="6"/>
      <c r="EW240" s="6"/>
      <c r="EX240" s="118"/>
      <c r="EY240" s="113"/>
      <c r="EZ240" s="6"/>
      <c r="FA240" s="114"/>
      <c r="FB240" s="115"/>
      <c r="FC240" s="6"/>
    </row>
    <row r="241" spans="27:159">
      <c r="AA241" s="79" t="s">
        <v>175</v>
      </c>
      <c r="AB241" s="80" t="s">
        <v>197</v>
      </c>
      <c r="AC241" s="81">
        <v>5.48</v>
      </c>
      <c r="AD241" s="81">
        <v>6</v>
      </c>
      <c r="AE241" s="80">
        <v>273</v>
      </c>
      <c r="AF241" s="80">
        <v>6.35</v>
      </c>
      <c r="AG241" s="108" cm="1">
        <f t="array" ref="AG241">_xll.DCEPropSectPipe(AE241, AF241, "Area")/100</f>
        <v>53.19431074856206</v>
      </c>
      <c r="AH241" s="16" cm="1">
        <f t="array" ref="AH241">_xll.DCEPropSectPipe(AE241, AF241, "Ix")/10000</f>
        <v>4730.4733077169503</v>
      </c>
      <c r="AI241" s="16" cm="1">
        <f t="array" ref="AI241">_xll.DCEPropSectPipe(AE241, AF241, "Wx")/1000</f>
        <v>346.55482107816493</v>
      </c>
      <c r="AJ241" s="108">
        <f t="shared" si="97"/>
        <v>9.4301739777164251</v>
      </c>
      <c r="AK241" s="80" t="s">
        <v>213</v>
      </c>
      <c r="AL241" s="82">
        <v>-18.473528753594628</v>
      </c>
      <c r="AM241" s="82">
        <v>0.90664712431280381</v>
      </c>
      <c r="AN241" s="82">
        <v>-0.54614796371010821</v>
      </c>
      <c r="AO241" s="82">
        <v>2.9950754329862326</v>
      </c>
      <c r="AP241" s="82">
        <v>-4.9720528297314148</v>
      </c>
      <c r="AQ241" s="82">
        <v>-2.0758262382589463E-2</v>
      </c>
      <c r="AR241" s="72">
        <v>1</v>
      </c>
      <c r="AS241" s="116">
        <f t="shared" si="98"/>
        <v>6</v>
      </c>
      <c r="AT241" s="7">
        <v>2</v>
      </c>
      <c r="AU241" s="6">
        <f t="shared" si="99"/>
        <v>12</v>
      </c>
      <c r="AV241" s="111">
        <f t="shared" si="100"/>
        <v>1.5193671495999459E-2</v>
      </c>
      <c r="AW241" s="117">
        <f t="shared" si="101"/>
        <v>105</v>
      </c>
      <c r="AX241" s="111">
        <f t="shared" si="102"/>
        <v>1</v>
      </c>
      <c r="AY241" s="111">
        <f t="shared" si="103"/>
        <v>1</v>
      </c>
      <c r="AZ241" s="111">
        <f t="shared" si="104"/>
        <v>1</v>
      </c>
      <c r="BA241" s="111">
        <f t="shared" si="105"/>
        <v>1.599333841684154E-2</v>
      </c>
      <c r="BB241" s="111">
        <f t="shared" si="106"/>
        <v>3.980065983135208E-2</v>
      </c>
      <c r="BC241" s="111">
        <f t="shared" si="107"/>
        <v>6.6072119974068505E-2</v>
      </c>
      <c r="BD241" s="111">
        <v>0</v>
      </c>
      <c r="BE241" s="111">
        <f t="shared" si="108"/>
        <v>0.12186611822226212</v>
      </c>
      <c r="BF241" s="6" t="str">
        <f t="shared" si="109"/>
        <v>OK</v>
      </c>
      <c r="BG241" s="16">
        <f t="shared" si="110"/>
        <v>63.625549371390676</v>
      </c>
      <c r="BH241" s="118">
        <f t="shared" si="111"/>
        <v>2.1193803644775273</v>
      </c>
      <c r="BI241" s="108">
        <f t="shared" si="112"/>
        <v>2.4885773560222182</v>
      </c>
      <c r="BJ241" s="6">
        <f t="shared" si="113"/>
        <v>1.1723445338133818</v>
      </c>
      <c r="BK241" s="108">
        <f t="shared" si="114"/>
        <v>2.9174700603044057</v>
      </c>
      <c r="BL241" s="118" cm="1">
        <f t="array" ref="BL241">IF(AO241=0,FactorPhi7121(BH241,"a"),noisuy2chieu(BK241,BH241,Data!$A$63:$M$85))</f>
        <v>0</v>
      </c>
      <c r="BM241" s="111">
        <v>1.26</v>
      </c>
      <c r="BN241" s="118">
        <f t="shared" si="115"/>
        <v>0.99317534746383584</v>
      </c>
      <c r="BO241" s="108" t="e">
        <f t="shared" si="116"/>
        <v>#DIV/0!</v>
      </c>
      <c r="BP241" s="6" t="e">
        <f t="shared" si="117"/>
        <v>#DIV/0!</v>
      </c>
      <c r="BQ241" s="16">
        <f t="shared" si="118"/>
        <v>127.25109874278135</v>
      </c>
      <c r="BR241" s="118">
        <f t="shared" si="119"/>
        <v>4.2387607289550546</v>
      </c>
      <c r="BS241" s="108">
        <f t="shared" si="120"/>
        <v>4.1312275306131383</v>
      </c>
      <c r="BT241" s="118">
        <f t="shared" si="121"/>
        <v>1.1066134372129999</v>
      </c>
      <c r="BU241" s="108">
        <f t="shared" si="122"/>
        <v>4.5716718975607789</v>
      </c>
      <c r="BV241" s="6" cm="1">
        <f t="array" ref="BV241">IF(AP241=0,FactorPhi7121(BR241,"a"),noisuy2chieu(BU241,BR241,Data!$A$63:$M$85))</f>
        <v>0</v>
      </c>
      <c r="BW241" s="111">
        <v>1.26</v>
      </c>
      <c r="BX241" s="111">
        <f t="shared" si="123"/>
        <v>0.97270138985534338</v>
      </c>
      <c r="BY241" s="113" t="e">
        <f t="shared" si="124"/>
        <v>#DIV/0!</v>
      </c>
      <c r="BZ241" s="6" t="e">
        <f t="shared" si="125"/>
        <v>#DIV/0!</v>
      </c>
      <c r="CA241" s="114">
        <f t="shared" si="126"/>
        <v>127.25109874278135</v>
      </c>
      <c r="CB241" s="115" t="e">
        <f t="shared" si="127"/>
        <v>#DIV/0!</v>
      </c>
      <c r="CC241" s="6" t="e">
        <f t="shared" si="128"/>
        <v>#DIV/0!</v>
      </c>
      <c r="DG241" s="108"/>
      <c r="DH241" s="108"/>
      <c r="DI241" s="16"/>
      <c r="DJ241" s="108"/>
      <c r="DT241" s="6"/>
      <c r="DU241" s="6"/>
      <c r="DV241" s="111"/>
      <c r="DW241" s="111"/>
      <c r="DX241" s="111"/>
      <c r="DY241" s="111"/>
      <c r="DZ241" s="111"/>
      <c r="EA241" s="111"/>
      <c r="EB241" s="111"/>
      <c r="EC241" s="111"/>
      <c r="ED241" s="111"/>
      <c r="EE241" s="111"/>
      <c r="EF241" s="6"/>
      <c r="EG241" s="6"/>
      <c r="EH241" s="6"/>
      <c r="EI241" s="6"/>
      <c r="EJ241" s="6"/>
      <c r="EK241" s="6"/>
      <c r="EL241" s="112"/>
      <c r="EM241" s="112"/>
      <c r="EN241" s="118"/>
      <c r="EO241" s="118"/>
      <c r="EP241" s="112"/>
      <c r="EQ241" s="112"/>
      <c r="ER241" s="112"/>
      <c r="ES241" s="112"/>
      <c r="ET241" s="112"/>
      <c r="EU241" s="112"/>
      <c r="EV241" s="6"/>
      <c r="EW241" s="6"/>
      <c r="EX241" s="118"/>
      <c r="EY241" s="113"/>
      <c r="EZ241" s="6"/>
      <c r="FA241" s="114"/>
      <c r="FB241" s="115"/>
      <c r="FC241" s="6"/>
    </row>
    <row r="242" spans="27:159">
      <c r="AA242" s="79" t="s">
        <v>175</v>
      </c>
      <c r="AB242" s="80" t="s">
        <v>197</v>
      </c>
      <c r="AC242" s="81">
        <v>0</v>
      </c>
      <c r="AD242" s="81">
        <v>6</v>
      </c>
      <c r="AE242" s="80">
        <v>273</v>
      </c>
      <c r="AF242" s="80">
        <v>6.35</v>
      </c>
      <c r="AG242" s="108" cm="1">
        <f t="array" ref="AG242">_xll.DCEPropSectPipe(AE242, AF242, "Area")/100</f>
        <v>53.19431074856206</v>
      </c>
      <c r="AH242" s="16" cm="1">
        <f t="array" ref="AH242">_xll.DCEPropSectPipe(AE242, AF242, "Ix")/10000</f>
        <v>4730.4733077169503</v>
      </c>
      <c r="AI242" s="16" cm="1">
        <f t="array" ref="AI242">_xll.DCEPropSectPipe(AE242, AF242, "Wx")/1000</f>
        <v>346.55482107816493</v>
      </c>
      <c r="AJ242" s="108">
        <f t="shared" si="97"/>
        <v>9.4301739777164251</v>
      </c>
      <c r="AK242" s="80" t="s">
        <v>214</v>
      </c>
      <c r="AL242" s="82">
        <v>-6.1269966392578343</v>
      </c>
      <c r="AM242" s="82">
        <v>0.93227421113661901</v>
      </c>
      <c r="AN242" s="82">
        <v>-0.33411389419214282</v>
      </c>
      <c r="AO242" s="82">
        <v>0</v>
      </c>
      <c r="AP242" s="82">
        <v>0</v>
      </c>
      <c r="AQ242" s="82">
        <v>2.1830745638635411E-2</v>
      </c>
      <c r="AR242" s="72">
        <v>1</v>
      </c>
      <c r="AS242" s="116">
        <f t="shared" si="98"/>
        <v>6</v>
      </c>
      <c r="AT242" s="7">
        <v>2</v>
      </c>
      <c r="AU242" s="6">
        <f t="shared" si="99"/>
        <v>12</v>
      </c>
      <c r="AV242" s="111">
        <f t="shared" si="100"/>
        <v>5.0391874468413205E-3</v>
      </c>
      <c r="AW242" s="117">
        <f t="shared" si="101"/>
        <v>105</v>
      </c>
      <c r="AX242" s="111">
        <f t="shared" si="102"/>
        <v>1</v>
      </c>
      <c r="AY242" s="111">
        <f t="shared" si="103"/>
        <v>1</v>
      </c>
      <c r="AZ242" s="111">
        <f t="shared" si="104"/>
        <v>1</v>
      </c>
      <c r="BA242" s="111">
        <f t="shared" si="105"/>
        <v>5.3044078387803383E-3</v>
      </c>
      <c r="BB242" s="111">
        <f t="shared" si="106"/>
        <v>0</v>
      </c>
      <c r="BC242" s="111">
        <f t="shared" si="107"/>
        <v>0</v>
      </c>
      <c r="BD242" s="111">
        <v>0</v>
      </c>
      <c r="BE242" s="111">
        <f t="shared" si="108"/>
        <v>5.3044078387803383E-3</v>
      </c>
      <c r="BF242" s="6" t="str">
        <f t="shared" si="109"/>
        <v>OK</v>
      </c>
      <c r="BG242" s="16">
        <f t="shared" si="110"/>
        <v>63.625549371390676</v>
      </c>
      <c r="BH242" s="118">
        <f t="shared" si="111"/>
        <v>2.1193803644775273</v>
      </c>
      <c r="BI242" s="108">
        <f t="shared" si="112"/>
        <v>0</v>
      </c>
      <c r="BJ242" s="6">
        <f t="shared" si="113"/>
        <v>1.2440309817761237</v>
      </c>
      <c r="BK242" s="108">
        <f t="shared" si="114"/>
        <v>0</v>
      </c>
      <c r="BL242" s="118" cm="1">
        <f t="array" ref="BL242">IF(AO242=0,FactorPhi7121(BH242,"a"),noisuy2chieu(BK242,BH242,Data!$A$63:$M$85))</f>
        <v>0.86214274110469236</v>
      </c>
      <c r="BM242" s="111">
        <v>1.26</v>
      </c>
      <c r="BN242" s="118">
        <f t="shared" si="115"/>
        <v>0.99773651132326069</v>
      </c>
      <c r="BO242" s="108">
        <f t="shared" si="116"/>
        <v>1.2540104769373072E-2</v>
      </c>
      <c r="BP242" s="6" t="str">
        <f t="shared" si="117"/>
        <v>OK</v>
      </c>
      <c r="BQ242" s="16">
        <f t="shared" si="118"/>
        <v>127.25109874278135</v>
      </c>
      <c r="BR242" s="118">
        <f t="shared" si="119"/>
        <v>4.2387607289550546</v>
      </c>
      <c r="BS242" s="108">
        <f t="shared" si="120"/>
        <v>0</v>
      </c>
      <c r="BT242" s="118">
        <f t="shared" si="121"/>
        <v>1.1380619635522473</v>
      </c>
      <c r="BU242" s="108">
        <f t="shared" si="122"/>
        <v>0</v>
      </c>
      <c r="BV242" s="6" cm="1">
        <f t="array" ref="BV242">IF(AP242=0,FactorPhi7121(BR242,"a"),noisuy2chieu(BU242,BR242,Data!$A$63:$M$85))</f>
        <v>0.42299549615688942</v>
      </c>
      <c r="BW242" s="111">
        <v>1.26</v>
      </c>
      <c r="BX242" s="111">
        <f t="shared" si="123"/>
        <v>0.99094604529304264</v>
      </c>
      <c r="BY242" s="113">
        <f t="shared" si="124"/>
        <v>6.1525865565876282E-3</v>
      </c>
      <c r="BZ242" s="6" t="str">
        <f t="shared" si="125"/>
        <v>OK</v>
      </c>
      <c r="CA242" s="114">
        <f t="shared" si="126"/>
        <v>127.25109874278135</v>
      </c>
      <c r="CB242" s="115">
        <f t="shared" si="127"/>
        <v>150</v>
      </c>
      <c r="CC242" s="6" t="str">
        <f t="shared" si="128"/>
        <v>OK</v>
      </c>
      <c r="DG242" s="108"/>
      <c r="DH242" s="108"/>
      <c r="DI242" s="16"/>
      <c r="DJ242" s="108"/>
      <c r="DT242" s="6"/>
      <c r="DU242" s="6"/>
      <c r="DV242" s="111"/>
      <c r="DW242" s="111"/>
      <c r="DX242" s="111"/>
      <c r="DY242" s="111"/>
      <c r="DZ242" s="111"/>
      <c r="EA242" s="111"/>
      <c r="EB242" s="111"/>
      <c r="EC242" s="111"/>
      <c r="ED242" s="111"/>
      <c r="EE242" s="111"/>
      <c r="EF242" s="6"/>
      <c r="EG242" s="6"/>
      <c r="EH242" s="6"/>
      <c r="EI242" s="6"/>
      <c r="EJ242" s="6"/>
      <c r="EK242" s="6"/>
      <c r="EL242" s="112"/>
      <c r="EM242" s="112"/>
      <c r="EN242" s="118"/>
      <c r="EO242" s="118"/>
      <c r="EP242" s="112"/>
      <c r="EQ242" s="112"/>
      <c r="ER242" s="112"/>
      <c r="ES242" s="112"/>
      <c r="ET242" s="112"/>
      <c r="EU242" s="112"/>
      <c r="EV242" s="6"/>
      <c r="EW242" s="6"/>
      <c r="EX242" s="118"/>
      <c r="EY242" s="113"/>
      <c r="EZ242" s="6"/>
      <c r="FA242" s="114"/>
      <c r="FB242" s="115"/>
      <c r="FC242" s="6"/>
    </row>
    <row r="243" spans="27:159">
      <c r="AA243" s="79" t="s">
        <v>175</v>
      </c>
      <c r="AB243" s="80" t="s">
        <v>197</v>
      </c>
      <c r="AC243" s="81">
        <v>2.74</v>
      </c>
      <c r="AD243" s="81">
        <v>6</v>
      </c>
      <c r="AE243" s="80">
        <v>273</v>
      </c>
      <c r="AF243" s="80">
        <v>6.35</v>
      </c>
      <c r="AG243" s="108" cm="1">
        <f t="array" ref="AG243">_xll.DCEPropSectPipe(AE243, AF243, "Area")/100</f>
        <v>53.19431074856206</v>
      </c>
      <c r="AH243" s="16" cm="1">
        <f t="array" ref="AH243">_xll.DCEPropSectPipe(AE243, AF243, "Ix")/10000</f>
        <v>4730.4733077169503</v>
      </c>
      <c r="AI243" s="16" cm="1">
        <f t="array" ref="AI243">_xll.DCEPropSectPipe(AE243, AF243, "Wx")/1000</f>
        <v>346.55482107816493</v>
      </c>
      <c r="AJ243" s="108">
        <f t="shared" si="97"/>
        <v>9.4301739777164251</v>
      </c>
      <c r="AK243" s="80" t="s">
        <v>214</v>
      </c>
      <c r="AL243" s="82">
        <v>-4.779736290525797</v>
      </c>
      <c r="AM243" s="82">
        <v>0.93227421113661901</v>
      </c>
      <c r="AN243" s="82">
        <v>-0.33411389419214282</v>
      </c>
      <c r="AO243" s="82">
        <v>0.91614029787485562</v>
      </c>
      <c r="AP243" s="82">
        <v>-2.5562958869366099</v>
      </c>
      <c r="AQ243" s="82">
        <v>2.1830745638635411E-2</v>
      </c>
      <c r="AR243" s="72">
        <v>1</v>
      </c>
      <c r="AS243" s="116">
        <f t="shared" si="98"/>
        <v>6</v>
      </c>
      <c r="AT243" s="7">
        <v>2</v>
      </c>
      <c r="AU243" s="6">
        <f t="shared" si="99"/>
        <v>12</v>
      </c>
      <c r="AV243" s="111">
        <f t="shared" si="100"/>
        <v>3.9311245839604445E-3</v>
      </c>
      <c r="AW243" s="117">
        <f t="shared" si="101"/>
        <v>105</v>
      </c>
      <c r="AX243" s="111">
        <f t="shared" si="102"/>
        <v>1</v>
      </c>
      <c r="AY243" s="111">
        <f t="shared" si="103"/>
        <v>1</v>
      </c>
      <c r="AZ243" s="111">
        <f t="shared" si="104"/>
        <v>1</v>
      </c>
      <c r="BA243" s="111">
        <f t="shared" si="105"/>
        <v>4.1380258778531001E-3</v>
      </c>
      <c r="BB243" s="111">
        <f t="shared" si="106"/>
        <v>1.2174313859319183E-2</v>
      </c>
      <c r="BC243" s="111">
        <f t="shared" si="107"/>
        <v>3.3969849942245556E-2</v>
      </c>
      <c r="BD243" s="111">
        <v>0</v>
      </c>
      <c r="BE243" s="111">
        <f t="shared" si="108"/>
        <v>5.0282189679417839E-2</v>
      </c>
      <c r="BF243" s="6" t="str">
        <f t="shared" si="109"/>
        <v>OK</v>
      </c>
      <c r="BG243" s="16">
        <f t="shared" si="110"/>
        <v>63.625549371390676</v>
      </c>
      <c r="BH243" s="118">
        <f t="shared" si="111"/>
        <v>2.1193803644775273</v>
      </c>
      <c r="BI243" s="108">
        <f t="shared" si="112"/>
        <v>2.942058415940958</v>
      </c>
      <c r="BJ243" s="6">
        <f t="shared" si="113"/>
        <v>1.1592814693579871</v>
      </c>
      <c r="BK243" s="108">
        <f t="shared" si="114"/>
        <v>3.410673803369066</v>
      </c>
      <c r="BL243" s="118" cm="1">
        <f t="array" ref="BL243">IF(AO243=0,FactorPhi7121(BH243,"a"),noisuy2chieu(BK243,BH243,Data!$A$63:$M$85))</f>
        <v>0</v>
      </c>
      <c r="BM243" s="111">
        <v>1.26</v>
      </c>
      <c r="BN243" s="118">
        <f t="shared" si="115"/>
        <v>0.99823422802257067</v>
      </c>
      <c r="BO243" s="108" t="e">
        <f t="shared" si="116"/>
        <v>#DIV/0!</v>
      </c>
      <c r="BP243" s="6" t="e">
        <f t="shared" si="117"/>
        <v>#DIV/0!</v>
      </c>
      <c r="BQ243" s="16">
        <f t="shared" si="118"/>
        <v>127.25109874278135</v>
      </c>
      <c r="BR243" s="118">
        <f t="shared" si="119"/>
        <v>4.2387607289550546</v>
      </c>
      <c r="BS243" s="108">
        <f t="shared" si="120"/>
        <v>8.2091922440731278</v>
      </c>
      <c r="BT243" s="118">
        <f t="shared" si="121"/>
        <v>1.1000000000000001</v>
      </c>
      <c r="BU243" s="108">
        <f t="shared" si="122"/>
        <v>9.0301114684804418</v>
      </c>
      <c r="BV243" s="6" cm="1">
        <f t="array" ref="BV243">IF(AP243=0,FactorPhi7121(BR243,"a"),noisuy2chieu(BU243,BR243,Data!$A$63:$M$85))</f>
        <v>0</v>
      </c>
      <c r="BW243" s="111">
        <v>1.26</v>
      </c>
      <c r="BX243" s="111">
        <f t="shared" si="123"/>
        <v>0.99293691209028256</v>
      </c>
      <c r="BY243" s="113" t="e">
        <f t="shared" si="124"/>
        <v>#DIV/0!</v>
      </c>
      <c r="BZ243" s="6" t="e">
        <f t="shared" si="125"/>
        <v>#DIV/0!</v>
      </c>
      <c r="CA243" s="114">
        <f t="shared" si="126"/>
        <v>127.25109874278135</v>
      </c>
      <c r="CB243" s="115" t="e">
        <f t="shared" si="127"/>
        <v>#DIV/0!</v>
      </c>
      <c r="CC243" s="6" t="e">
        <f t="shared" si="128"/>
        <v>#DIV/0!</v>
      </c>
      <c r="DG243" s="108"/>
      <c r="DH243" s="108"/>
      <c r="DI243" s="16"/>
      <c r="DJ243" s="108"/>
      <c r="DT243" s="6"/>
      <c r="DU243" s="6"/>
      <c r="DV243" s="111"/>
      <c r="DW243" s="111"/>
      <c r="DX243" s="111"/>
      <c r="DY243" s="111"/>
      <c r="DZ243" s="111"/>
      <c r="EA243" s="111"/>
      <c r="EB243" s="111"/>
      <c r="EC243" s="111"/>
      <c r="ED243" s="111"/>
      <c r="EE243" s="111"/>
      <c r="EF243" s="6"/>
      <c r="EG243" s="6"/>
      <c r="EH243" s="6"/>
      <c r="EI243" s="6"/>
      <c r="EJ243" s="6"/>
      <c r="EK243" s="6"/>
      <c r="EL243" s="112"/>
      <c r="EM243" s="112"/>
      <c r="EN243" s="118"/>
      <c r="EO243" s="118"/>
      <c r="EP243" s="112"/>
      <c r="EQ243" s="112"/>
      <c r="ER243" s="112"/>
      <c r="ES243" s="112"/>
      <c r="ET243" s="112"/>
      <c r="EU243" s="112"/>
      <c r="EV243" s="6"/>
      <c r="EW243" s="6"/>
      <c r="EX243" s="118"/>
      <c r="EY243" s="113"/>
      <c r="EZ243" s="6"/>
      <c r="FA243" s="114"/>
      <c r="FB243" s="115"/>
      <c r="FC243" s="6"/>
    </row>
    <row r="244" spans="27:159">
      <c r="AA244" s="79" t="s">
        <v>175</v>
      </c>
      <c r="AB244" s="80" t="s">
        <v>197</v>
      </c>
      <c r="AC244" s="81">
        <v>5.48</v>
      </c>
      <c r="AD244" s="81">
        <v>6</v>
      </c>
      <c r="AE244" s="80">
        <v>273</v>
      </c>
      <c r="AF244" s="80">
        <v>6.35</v>
      </c>
      <c r="AG244" s="108" cm="1">
        <f t="array" ref="AG244">_xll.DCEPropSectPipe(AE244, AF244, "Area")/100</f>
        <v>53.19431074856206</v>
      </c>
      <c r="AH244" s="16" cm="1">
        <f t="array" ref="AH244">_xll.DCEPropSectPipe(AE244, AF244, "Ix")/10000</f>
        <v>4730.4733077169503</v>
      </c>
      <c r="AI244" s="16" cm="1">
        <f t="array" ref="AI244">_xll.DCEPropSectPipe(AE244, AF244, "Wx")/1000</f>
        <v>346.55482107816493</v>
      </c>
      <c r="AJ244" s="108">
        <f t="shared" si="97"/>
        <v>9.4301739777164251</v>
      </c>
      <c r="AK244" s="80" t="s">
        <v>214</v>
      </c>
      <c r="AL244" s="82">
        <v>-3.4324759417937596</v>
      </c>
      <c r="AM244" s="82">
        <v>0.93227421113661901</v>
      </c>
      <c r="AN244" s="82">
        <v>-0.33411389419214282</v>
      </c>
      <c r="AO244" s="82">
        <v>1.8322805957497112</v>
      </c>
      <c r="AP244" s="82">
        <v>-5.1125917738732198</v>
      </c>
      <c r="AQ244" s="82">
        <v>2.1830745638635411E-2</v>
      </c>
      <c r="AR244" s="72">
        <v>1</v>
      </c>
      <c r="AS244" s="116">
        <f t="shared" si="98"/>
        <v>6</v>
      </c>
      <c r="AT244" s="7">
        <v>2</v>
      </c>
      <c r="AU244" s="6">
        <f t="shared" si="99"/>
        <v>12</v>
      </c>
      <c r="AV244" s="111">
        <f t="shared" si="100"/>
        <v>2.8230617210795684E-3</v>
      </c>
      <c r="AW244" s="117">
        <f t="shared" si="101"/>
        <v>105</v>
      </c>
      <c r="AX244" s="111">
        <f t="shared" si="102"/>
        <v>1</v>
      </c>
      <c r="AY244" s="111">
        <f t="shared" si="103"/>
        <v>1</v>
      </c>
      <c r="AZ244" s="111">
        <f t="shared" si="104"/>
        <v>1</v>
      </c>
      <c r="BA244" s="111">
        <f t="shared" si="105"/>
        <v>2.971643916925862E-3</v>
      </c>
      <c r="BB244" s="111">
        <f t="shared" si="106"/>
        <v>2.4348627718638365E-2</v>
      </c>
      <c r="BC244" s="111">
        <f t="shared" si="107"/>
        <v>6.7939699884491112E-2</v>
      </c>
      <c r="BD244" s="111">
        <v>0</v>
      </c>
      <c r="BE244" s="111">
        <f t="shared" si="108"/>
        <v>9.5259971520055331E-2</v>
      </c>
      <c r="BF244" s="6" t="str">
        <f t="shared" si="109"/>
        <v>OK</v>
      </c>
      <c r="BG244" s="16">
        <f t="shared" si="110"/>
        <v>63.625549371390676</v>
      </c>
      <c r="BH244" s="118">
        <f t="shared" si="111"/>
        <v>2.1193803644775273</v>
      </c>
      <c r="BI244" s="108">
        <f t="shared" si="112"/>
        <v>8.1936559020257036</v>
      </c>
      <c r="BJ244" s="6">
        <f t="shared" si="113"/>
        <v>1.1000000000000001</v>
      </c>
      <c r="BK244" s="108">
        <f t="shared" si="114"/>
        <v>9.0130214922282743</v>
      </c>
      <c r="BL244" s="118" cm="1">
        <f t="array" ref="BL244">IF(AO244=0,FactorPhi7121(BH244,"a"),noisuy2chieu(BK244,BH244,Data!$A$63:$M$85))</f>
        <v>0</v>
      </c>
      <c r="BM244" s="111">
        <v>1.26</v>
      </c>
      <c r="BN244" s="118">
        <f t="shared" si="115"/>
        <v>0.99873194472188065</v>
      </c>
      <c r="BO244" s="108" t="e">
        <f t="shared" si="116"/>
        <v>#DIV/0!</v>
      </c>
      <c r="BP244" s="6" t="e">
        <f t="shared" si="117"/>
        <v>#DIV/0!</v>
      </c>
      <c r="BQ244" s="16">
        <f t="shared" si="118"/>
        <v>127.25109874278135</v>
      </c>
      <c r="BR244" s="118">
        <f t="shared" si="119"/>
        <v>4.2387607289550546</v>
      </c>
      <c r="BS244" s="108">
        <f t="shared" si="120"/>
        <v>22.862665172472656</v>
      </c>
      <c r="BT244" s="118">
        <f t="shared" si="121"/>
        <v>1.1000000000000001</v>
      </c>
      <c r="BU244" s="108">
        <f t="shared" si="122"/>
        <v>25.148931689719923</v>
      </c>
      <c r="BV244" s="6" cm="1">
        <f t="array" ref="BV244">IF(AP244=0,FactorPhi7121(BR244,"a"),noisuy2chieu(BU244,BR244,Data!$A$63:$M$85))</f>
        <v>0</v>
      </c>
      <c r="BW244" s="111">
        <v>1.26</v>
      </c>
      <c r="BX244" s="111">
        <f t="shared" si="123"/>
        <v>0.9949277788875226</v>
      </c>
      <c r="BY244" s="113" t="e">
        <f t="shared" si="124"/>
        <v>#DIV/0!</v>
      </c>
      <c r="BZ244" s="6" t="e">
        <f t="shared" si="125"/>
        <v>#DIV/0!</v>
      </c>
      <c r="CA244" s="114">
        <f t="shared" si="126"/>
        <v>127.25109874278135</v>
      </c>
      <c r="CB244" s="115" t="e">
        <f t="shared" si="127"/>
        <v>#DIV/0!</v>
      </c>
      <c r="CC244" s="6" t="e">
        <f t="shared" si="128"/>
        <v>#DIV/0!</v>
      </c>
      <c r="DG244" s="108"/>
      <c r="DH244" s="108"/>
      <c r="DI244" s="16"/>
      <c r="DJ244" s="108"/>
      <c r="DT244" s="6"/>
      <c r="DU244" s="6"/>
      <c r="DV244" s="111"/>
      <c r="DW244" s="111"/>
      <c r="DX244" s="111"/>
      <c r="DY244" s="111"/>
      <c r="DZ244" s="111"/>
      <c r="EA244" s="111"/>
      <c r="EB244" s="111"/>
      <c r="EC244" s="111"/>
      <c r="ED244" s="111"/>
      <c r="EE244" s="111"/>
      <c r="EF244" s="6"/>
      <c r="EG244" s="6"/>
      <c r="EH244" s="6"/>
      <c r="EI244" s="6"/>
      <c r="EJ244" s="6"/>
      <c r="EK244" s="6"/>
      <c r="EL244" s="112"/>
      <c r="EM244" s="112"/>
      <c r="EN244" s="118"/>
      <c r="EO244" s="118"/>
      <c r="EP244" s="112"/>
      <c r="EQ244" s="112"/>
      <c r="ER244" s="112"/>
      <c r="ES244" s="112"/>
      <c r="ET244" s="112"/>
      <c r="EU244" s="112"/>
      <c r="EV244" s="6"/>
      <c r="EW244" s="6"/>
      <c r="EX244" s="118"/>
      <c r="EY244" s="113"/>
      <c r="EZ244" s="6"/>
      <c r="FA244" s="114"/>
      <c r="FB244" s="115"/>
      <c r="FC244" s="6"/>
    </row>
    <row r="245" spans="27:159">
      <c r="AA245" s="79" t="s">
        <v>175</v>
      </c>
      <c r="AB245" s="80" t="s">
        <v>197</v>
      </c>
      <c r="AC245" s="81">
        <v>0</v>
      </c>
      <c r="AD245" s="81">
        <v>6</v>
      </c>
      <c r="AE245" s="80">
        <v>273</v>
      </c>
      <c r="AF245" s="80">
        <v>6.35</v>
      </c>
      <c r="AG245" s="108" cm="1">
        <f t="array" ref="AG245">_xll.DCEPropSectPipe(AE245, AF245, "Area")/100</f>
        <v>53.19431074856206</v>
      </c>
      <c r="AH245" s="16" cm="1">
        <f t="array" ref="AH245">_xll.DCEPropSectPipe(AE245, AF245, "Ix")/10000</f>
        <v>4730.4733077169503</v>
      </c>
      <c r="AI245" s="16" cm="1">
        <f t="array" ref="AI245">_xll.DCEPropSectPipe(AE245, AF245, "Wx")/1000</f>
        <v>346.55482107816493</v>
      </c>
      <c r="AJ245" s="108">
        <f t="shared" si="97"/>
        <v>9.4301739777164251</v>
      </c>
      <c r="AK245" s="80" t="s">
        <v>215</v>
      </c>
      <c r="AL245" s="82">
        <v>-76.52151663836338</v>
      </c>
      <c r="AM245" s="82">
        <v>10.050561364745477</v>
      </c>
      <c r="AN245" s="82">
        <v>-3.9053655308186919</v>
      </c>
      <c r="AO245" s="82">
        <v>0</v>
      </c>
      <c r="AP245" s="82">
        <v>0</v>
      </c>
      <c r="AQ245" s="82">
        <v>-0.18882974281631904</v>
      </c>
      <c r="AR245" s="72">
        <v>1</v>
      </c>
      <c r="AS245" s="116">
        <f t="shared" si="98"/>
        <v>6</v>
      </c>
      <c r="AT245" s="7">
        <v>2</v>
      </c>
      <c r="AU245" s="6">
        <f t="shared" si="99"/>
        <v>12</v>
      </c>
      <c r="AV245" s="111">
        <f t="shared" si="100"/>
        <v>6.2935609199878506E-2</v>
      </c>
      <c r="AW245" s="117">
        <f t="shared" si="101"/>
        <v>105</v>
      </c>
      <c r="AX245" s="111">
        <f t="shared" si="102"/>
        <v>1</v>
      </c>
      <c r="AY245" s="111">
        <f t="shared" si="103"/>
        <v>1</v>
      </c>
      <c r="AZ245" s="111">
        <f t="shared" si="104"/>
        <v>1</v>
      </c>
      <c r="BA245" s="111">
        <f t="shared" si="105"/>
        <v>6.6248009684082634E-2</v>
      </c>
      <c r="BB245" s="111">
        <f t="shared" si="106"/>
        <v>0</v>
      </c>
      <c r="BC245" s="111">
        <f t="shared" si="107"/>
        <v>0</v>
      </c>
      <c r="BD245" s="111">
        <v>0</v>
      </c>
      <c r="BE245" s="111">
        <f t="shared" si="108"/>
        <v>6.6248009684082634E-2</v>
      </c>
      <c r="BF245" s="6" t="str">
        <f t="shared" si="109"/>
        <v>OK</v>
      </c>
      <c r="BG245" s="16">
        <f t="shared" si="110"/>
        <v>63.625549371390676</v>
      </c>
      <c r="BH245" s="118">
        <f t="shared" si="111"/>
        <v>2.1193803644775273</v>
      </c>
      <c r="BI245" s="108">
        <f t="shared" si="112"/>
        <v>0</v>
      </c>
      <c r="BJ245" s="6">
        <f t="shared" si="113"/>
        <v>1.2440309817761237</v>
      </c>
      <c r="BK245" s="108">
        <f t="shared" si="114"/>
        <v>0</v>
      </c>
      <c r="BL245" s="118" cm="1">
        <f t="array" ref="BL245">IF(AO245=0,FactorPhi7121(BH245,"a"),noisuy2chieu(BK245,BH245,Data!$A$63:$M$85))</f>
        <v>0.86214274110469236</v>
      </c>
      <c r="BM245" s="111">
        <v>1.26</v>
      </c>
      <c r="BN245" s="118">
        <f t="shared" si="115"/>
        <v>0.97173075217177896</v>
      </c>
      <c r="BO245" s="108">
        <f t="shared" si="116"/>
        <v>0.15661634765848947</v>
      </c>
      <c r="BP245" s="6" t="str">
        <f t="shared" si="117"/>
        <v>OK</v>
      </c>
      <c r="BQ245" s="16">
        <f t="shared" si="118"/>
        <v>127.25109874278135</v>
      </c>
      <c r="BR245" s="118">
        <f t="shared" si="119"/>
        <v>4.2387607289550546</v>
      </c>
      <c r="BS245" s="108">
        <f t="shared" si="120"/>
        <v>0</v>
      </c>
      <c r="BT245" s="118">
        <f t="shared" si="121"/>
        <v>1.1380619635522473</v>
      </c>
      <c r="BU245" s="108">
        <f t="shared" si="122"/>
        <v>0</v>
      </c>
      <c r="BV245" s="6" cm="1">
        <f t="array" ref="BV245">IF(AP245=0,FactorPhi7121(BR245,"a"),noisuy2chieu(BU245,BR245,Data!$A$63:$M$85))</f>
        <v>0.42299549615688942</v>
      </c>
      <c r="BW245" s="111">
        <v>1.26</v>
      </c>
      <c r="BX245" s="111">
        <f t="shared" si="123"/>
        <v>0.88692300868711582</v>
      </c>
      <c r="BY245" s="113">
        <f t="shared" si="124"/>
        <v>7.6841115195375703E-2</v>
      </c>
      <c r="BZ245" s="6" t="str">
        <f t="shared" si="125"/>
        <v>OK</v>
      </c>
      <c r="CA245" s="114">
        <f t="shared" si="126"/>
        <v>127.25109874278135</v>
      </c>
      <c r="CB245" s="115">
        <f t="shared" si="127"/>
        <v>150</v>
      </c>
      <c r="CC245" s="6" t="str">
        <f t="shared" si="128"/>
        <v>OK</v>
      </c>
      <c r="DG245" s="108"/>
      <c r="DH245" s="108"/>
      <c r="DI245" s="16"/>
      <c r="DJ245" s="108"/>
      <c r="DT245" s="6"/>
      <c r="DU245" s="6"/>
      <c r="DV245" s="111"/>
      <c r="DW245" s="111"/>
      <c r="DX245" s="111"/>
      <c r="DY245" s="111"/>
      <c r="DZ245" s="111"/>
      <c r="EA245" s="111"/>
      <c r="EB245" s="111"/>
      <c r="EC245" s="111"/>
      <c r="ED245" s="111"/>
      <c r="EE245" s="111"/>
      <c r="EF245" s="6"/>
      <c r="EG245" s="6"/>
      <c r="EH245" s="6"/>
      <c r="EI245" s="6"/>
      <c r="EJ245" s="6"/>
      <c r="EK245" s="6"/>
      <c r="EL245" s="112"/>
      <c r="EM245" s="112"/>
      <c r="EN245" s="118"/>
      <c r="EO245" s="118"/>
      <c r="EP245" s="112"/>
      <c r="EQ245" s="112"/>
      <c r="ER245" s="112"/>
      <c r="ES245" s="112"/>
      <c r="ET245" s="112"/>
      <c r="EU245" s="112"/>
      <c r="EV245" s="6"/>
      <c r="EW245" s="6"/>
      <c r="EX245" s="118"/>
      <c r="EY245" s="113"/>
      <c r="EZ245" s="6"/>
      <c r="FA245" s="114"/>
      <c r="FB245" s="115"/>
      <c r="FC245" s="6"/>
    </row>
    <row r="246" spans="27:159">
      <c r="AA246" s="79" t="s">
        <v>175</v>
      </c>
      <c r="AB246" s="80" t="s">
        <v>197</v>
      </c>
      <c r="AC246" s="81">
        <v>2.74</v>
      </c>
      <c r="AD246" s="81">
        <v>6</v>
      </c>
      <c r="AE246" s="80">
        <v>273</v>
      </c>
      <c r="AF246" s="80">
        <v>6.35</v>
      </c>
      <c r="AG246" s="108" cm="1">
        <f t="array" ref="AG246">_xll.DCEPropSectPipe(AE246, AF246, "Area")/100</f>
        <v>53.19431074856206</v>
      </c>
      <c r="AH246" s="16" cm="1">
        <f t="array" ref="AH246">_xll.DCEPropSectPipe(AE246, AF246, "Ix")/10000</f>
        <v>4730.4733077169503</v>
      </c>
      <c r="AI246" s="16" cm="1">
        <f t="array" ref="AI246">_xll.DCEPropSectPipe(AE246, AF246, "Wx")/1000</f>
        <v>346.55482107816493</v>
      </c>
      <c r="AJ246" s="108">
        <f t="shared" si="97"/>
        <v>9.4301739777164251</v>
      </c>
      <c r="AK246" s="80" t="s">
        <v>215</v>
      </c>
      <c r="AL246" s="82">
        <v>-75.174256289631344</v>
      </c>
      <c r="AM246" s="82">
        <v>10.050561364745477</v>
      </c>
      <c r="AN246" s="82">
        <v>-3.9053655308186919</v>
      </c>
      <c r="AO246" s="82">
        <v>10.708512285504852</v>
      </c>
      <c r="AP246" s="82">
        <v>-27.558639262132097</v>
      </c>
      <c r="AQ246" s="82">
        <v>-0.18882974281631904</v>
      </c>
      <c r="AR246" s="72">
        <v>1</v>
      </c>
      <c r="AS246" s="116">
        <f t="shared" si="98"/>
        <v>6</v>
      </c>
      <c r="AT246" s="7">
        <v>2</v>
      </c>
      <c r="AU246" s="6">
        <f t="shared" si="99"/>
        <v>12</v>
      </c>
      <c r="AV246" s="111">
        <f t="shared" si="100"/>
        <v>6.1827546336997621E-2</v>
      </c>
      <c r="AW246" s="117">
        <f t="shared" si="101"/>
        <v>105</v>
      </c>
      <c r="AX246" s="111">
        <f t="shared" si="102"/>
        <v>1</v>
      </c>
      <c r="AY246" s="111">
        <f t="shared" si="103"/>
        <v>1</v>
      </c>
      <c r="AZ246" s="111">
        <f t="shared" si="104"/>
        <v>1</v>
      </c>
      <c r="BA246" s="111">
        <f t="shared" si="105"/>
        <v>6.50816277231554E-2</v>
      </c>
      <c r="BB246" s="111">
        <f t="shared" si="106"/>
        <v>0.14230221051570835</v>
      </c>
      <c r="BC246" s="111">
        <f t="shared" si="107"/>
        <v>0.36621849807417023</v>
      </c>
      <c r="BD246" s="111">
        <v>0</v>
      </c>
      <c r="BE246" s="111">
        <f t="shared" si="108"/>
        <v>0.57360233631303403</v>
      </c>
      <c r="BF246" s="6" t="str">
        <f t="shared" si="109"/>
        <v>OK</v>
      </c>
      <c r="BG246" s="16">
        <f t="shared" si="110"/>
        <v>63.625549371390676</v>
      </c>
      <c r="BH246" s="118">
        <f t="shared" si="111"/>
        <v>2.1193803644775273</v>
      </c>
      <c r="BI246" s="108">
        <f t="shared" si="112"/>
        <v>2.1865189223759787</v>
      </c>
      <c r="BJ246" s="6">
        <f t="shared" si="113"/>
        <v>1.1810456883637468</v>
      </c>
      <c r="BK246" s="108">
        <f t="shared" si="114"/>
        <v>2.5823787457978957</v>
      </c>
      <c r="BL246" s="118" cm="1">
        <f t="array" ref="BL246">IF(AO246=0,FactorPhi7121(BH246,"a"),noisuy2chieu(BK246,BH246,Data!$A$63:$M$85))</f>
        <v>0</v>
      </c>
      <c r="BM246" s="111">
        <v>1.26</v>
      </c>
      <c r="BN246" s="118">
        <f t="shared" si="115"/>
        <v>0.97222846887108894</v>
      </c>
      <c r="BO246" s="108" t="e">
        <f t="shared" si="116"/>
        <v>#DIV/0!</v>
      </c>
      <c r="BP246" s="6" t="e">
        <f t="shared" si="117"/>
        <v>#DIV/0!</v>
      </c>
      <c r="BQ246" s="16">
        <f t="shared" si="118"/>
        <v>127.25109874278135</v>
      </c>
      <c r="BR246" s="118">
        <f t="shared" si="119"/>
        <v>4.2387607289550546</v>
      </c>
      <c r="BS246" s="108">
        <f t="shared" si="120"/>
        <v>5.627064209764276</v>
      </c>
      <c r="BT246" s="118">
        <f t="shared" si="121"/>
        <v>1.1000000000000001</v>
      </c>
      <c r="BU246" s="108">
        <f t="shared" si="122"/>
        <v>6.1897706307407043</v>
      </c>
      <c r="BV246" s="6" cm="1">
        <f t="array" ref="BV246">IF(AP246=0,FactorPhi7121(BR246,"a"),noisuy2chieu(BU246,BR246,Data!$A$63:$M$85))</f>
        <v>0</v>
      </c>
      <c r="BW246" s="111">
        <v>1.26</v>
      </c>
      <c r="BX246" s="111">
        <f t="shared" si="123"/>
        <v>0.88891387548435574</v>
      </c>
      <c r="BY246" s="113" t="e">
        <f t="shared" si="124"/>
        <v>#DIV/0!</v>
      </c>
      <c r="BZ246" s="6" t="e">
        <f t="shared" si="125"/>
        <v>#DIV/0!</v>
      </c>
      <c r="CA246" s="114">
        <f t="shared" si="126"/>
        <v>127.25109874278135</v>
      </c>
      <c r="CB246" s="115" t="e">
        <f t="shared" si="127"/>
        <v>#DIV/0!</v>
      </c>
      <c r="CC246" s="6" t="e">
        <f t="shared" si="128"/>
        <v>#DIV/0!</v>
      </c>
      <c r="DG246" s="108"/>
      <c r="DH246" s="108"/>
      <c r="DI246" s="16"/>
      <c r="DJ246" s="108"/>
      <c r="DT246" s="6"/>
      <c r="DU246" s="6"/>
      <c r="DV246" s="111"/>
      <c r="DW246" s="111"/>
      <c r="DX246" s="111"/>
      <c r="DY246" s="111"/>
      <c r="DZ246" s="111"/>
      <c r="EA246" s="111"/>
      <c r="EB246" s="111"/>
      <c r="EC246" s="111"/>
      <c r="ED246" s="111"/>
      <c r="EE246" s="111"/>
      <c r="EF246" s="6"/>
      <c r="EG246" s="6"/>
      <c r="EH246" s="6"/>
      <c r="EI246" s="6"/>
      <c r="EJ246" s="6"/>
      <c r="EK246" s="6"/>
      <c r="EL246" s="112"/>
      <c r="EM246" s="112"/>
      <c r="EN246" s="118"/>
      <c r="EO246" s="118"/>
      <c r="EP246" s="112"/>
      <c r="EQ246" s="112"/>
      <c r="ER246" s="112"/>
      <c r="ES246" s="112"/>
      <c r="ET246" s="112"/>
      <c r="EU246" s="112"/>
      <c r="EV246" s="6"/>
      <c r="EW246" s="6"/>
      <c r="EX246" s="118"/>
      <c r="EY246" s="113"/>
      <c r="EZ246" s="6"/>
      <c r="FA246" s="114"/>
      <c r="FB246" s="115"/>
      <c r="FC246" s="6"/>
    </row>
    <row r="247" spans="27:159">
      <c r="AA247" s="79" t="s">
        <v>175</v>
      </c>
      <c r="AB247" s="80" t="s">
        <v>197</v>
      </c>
      <c r="AC247" s="81">
        <v>5.48</v>
      </c>
      <c r="AD247" s="81">
        <v>6</v>
      </c>
      <c r="AE247" s="80">
        <v>273</v>
      </c>
      <c r="AF247" s="80">
        <v>6.35</v>
      </c>
      <c r="AG247" s="108" cm="1">
        <f t="array" ref="AG247">_xll.DCEPropSectPipe(AE247, AF247, "Area")/100</f>
        <v>53.19431074856206</v>
      </c>
      <c r="AH247" s="16" cm="1">
        <f t="array" ref="AH247">_xll.DCEPropSectPipe(AE247, AF247, "Ix")/10000</f>
        <v>4730.4733077169503</v>
      </c>
      <c r="AI247" s="16" cm="1">
        <f t="array" ref="AI247">_xll.DCEPropSectPipe(AE247, AF247, "Wx")/1000</f>
        <v>346.55482107816493</v>
      </c>
      <c r="AJ247" s="108">
        <f t="shared" si="97"/>
        <v>9.4301739777164251</v>
      </c>
      <c r="AK247" s="80" t="s">
        <v>215</v>
      </c>
      <c r="AL247" s="82">
        <v>-73.826995940899323</v>
      </c>
      <c r="AM247" s="82">
        <v>10.050561364745477</v>
      </c>
      <c r="AN247" s="82">
        <v>-3.9053655308186919</v>
      </c>
      <c r="AO247" s="82">
        <v>21.417024571009705</v>
      </c>
      <c r="AP247" s="82">
        <v>-55.117278524264194</v>
      </c>
      <c r="AQ247" s="82">
        <v>-0.18882974281631904</v>
      </c>
      <c r="AR247" s="72">
        <v>1</v>
      </c>
      <c r="AS247" s="116">
        <f t="shared" si="98"/>
        <v>6</v>
      </c>
      <c r="AT247" s="7">
        <v>2</v>
      </c>
      <c r="AU247" s="6">
        <f t="shared" si="99"/>
        <v>12</v>
      </c>
      <c r="AV247" s="111">
        <f t="shared" si="100"/>
        <v>6.0719483474116764E-2</v>
      </c>
      <c r="AW247" s="117">
        <f t="shared" si="101"/>
        <v>105</v>
      </c>
      <c r="AX247" s="111">
        <f t="shared" si="102"/>
        <v>1</v>
      </c>
      <c r="AY247" s="111">
        <f t="shared" si="103"/>
        <v>1</v>
      </c>
      <c r="AZ247" s="111">
        <f t="shared" si="104"/>
        <v>1</v>
      </c>
      <c r="BA247" s="111">
        <f t="shared" si="105"/>
        <v>6.3915245762228179E-2</v>
      </c>
      <c r="BB247" s="111">
        <f t="shared" si="106"/>
        <v>0.2846044210314167</v>
      </c>
      <c r="BC247" s="111">
        <f t="shared" si="107"/>
        <v>0.73243699614834046</v>
      </c>
      <c r="BD247" s="111">
        <v>0</v>
      </c>
      <c r="BE247" s="111">
        <f t="shared" si="108"/>
        <v>1.0809566629419853</v>
      </c>
      <c r="BF247" s="6" t="str">
        <f t="shared" si="109"/>
        <v>Check</v>
      </c>
      <c r="BG247" s="16">
        <f t="shared" si="110"/>
        <v>63.625549371390676</v>
      </c>
      <c r="BH247" s="118">
        <f t="shared" si="111"/>
        <v>2.1193803644775273</v>
      </c>
      <c r="BI247" s="108">
        <f t="shared" si="112"/>
        <v>4.4528409088838812</v>
      </c>
      <c r="BJ247" s="6">
        <f t="shared" si="113"/>
        <v>1.1157615722162371</v>
      </c>
      <c r="BK247" s="108">
        <f t="shared" si="114"/>
        <v>4.9683087733250568</v>
      </c>
      <c r="BL247" s="118" cm="1">
        <f t="array" ref="BL247">IF(AO247=0,FactorPhi7121(BH247,"a"),noisuy2chieu(BK247,BH247,Data!$A$63:$M$85))</f>
        <v>0</v>
      </c>
      <c r="BM247" s="111">
        <v>1.26</v>
      </c>
      <c r="BN247" s="118">
        <f t="shared" si="115"/>
        <v>0.97272618557039892</v>
      </c>
      <c r="BO247" s="108" t="e">
        <f t="shared" si="116"/>
        <v>#DIV/0!</v>
      </c>
      <c r="BP247" s="6" t="e">
        <f t="shared" si="117"/>
        <v>#DIV/0!</v>
      </c>
      <c r="BQ247" s="16">
        <f t="shared" si="118"/>
        <v>127.25109874278135</v>
      </c>
      <c r="BR247" s="118">
        <f t="shared" si="119"/>
        <v>4.2387607289550546</v>
      </c>
      <c r="BS247" s="108">
        <f t="shared" si="120"/>
        <v>11.459503713293815</v>
      </c>
      <c r="BT247" s="118">
        <f t="shared" si="121"/>
        <v>1.1000000000000001</v>
      </c>
      <c r="BU247" s="108">
        <f t="shared" si="122"/>
        <v>12.605454084623197</v>
      </c>
      <c r="BV247" s="6" cm="1">
        <f t="array" ref="BV247">IF(AP247=0,FactorPhi7121(BR247,"a"),noisuy2chieu(BU247,BR247,Data!$A$63:$M$85))</f>
        <v>0</v>
      </c>
      <c r="BW247" s="111">
        <v>1.26</v>
      </c>
      <c r="BX247" s="111">
        <f t="shared" si="123"/>
        <v>0.89090474228159577</v>
      </c>
      <c r="BY247" s="113" t="e">
        <f t="shared" si="124"/>
        <v>#DIV/0!</v>
      </c>
      <c r="BZ247" s="6" t="e">
        <f t="shared" si="125"/>
        <v>#DIV/0!</v>
      </c>
      <c r="CA247" s="114">
        <f t="shared" si="126"/>
        <v>127.25109874278135</v>
      </c>
      <c r="CB247" s="115" t="e">
        <f t="shared" si="127"/>
        <v>#DIV/0!</v>
      </c>
      <c r="CC247" s="6" t="e">
        <f t="shared" si="128"/>
        <v>#DIV/0!</v>
      </c>
      <c r="DG247" s="108"/>
      <c r="DH247" s="108"/>
      <c r="DI247" s="16"/>
      <c r="DJ247" s="108"/>
      <c r="DT247" s="6"/>
      <c r="DU247" s="6"/>
      <c r="DV247" s="111"/>
      <c r="DW247" s="111"/>
      <c r="DX247" s="111"/>
      <c r="DY247" s="111"/>
      <c r="DZ247" s="111"/>
      <c r="EA247" s="111"/>
      <c r="EB247" s="111"/>
      <c r="EC247" s="111"/>
      <c r="ED247" s="111"/>
      <c r="EE247" s="111"/>
      <c r="EF247" s="6"/>
      <c r="EG247" s="6"/>
      <c r="EH247" s="6"/>
      <c r="EI247" s="6"/>
      <c r="EJ247" s="6"/>
      <c r="EK247" s="6"/>
      <c r="EL247" s="112"/>
      <c r="EM247" s="112"/>
      <c r="EN247" s="118"/>
      <c r="EO247" s="118"/>
      <c r="EP247" s="112"/>
      <c r="EQ247" s="112"/>
      <c r="ER247" s="112"/>
      <c r="ES247" s="112"/>
      <c r="ET247" s="112"/>
      <c r="EU247" s="112"/>
      <c r="EV247" s="6"/>
      <c r="EW247" s="6"/>
      <c r="EX247" s="118"/>
      <c r="EY247" s="113"/>
      <c r="EZ247" s="6"/>
      <c r="FA247" s="114"/>
      <c r="FB247" s="115"/>
      <c r="FC247" s="6"/>
    </row>
    <row r="248" spans="27:159">
      <c r="AA248" s="79" t="s">
        <v>175</v>
      </c>
      <c r="AB248" s="80" t="s">
        <v>197</v>
      </c>
      <c r="AC248" s="81">
        <v>0</v>
      </c>
      <c r="AD248" s="81">
        <v>6</v>
      </c>
      <c r="AE248" s="80">
        <v>273</v>
      </c>
      <c r="AF248" s="80">
        <v>6.35</v>
      </c>
      <c r="AG248" s="108" cm="1">
        <f t="array" ref="AG248">_xll.DCEPropSectPipe(AE248, AF248, "Area")/100</f>
        <v>53.19431074856206</v>
      </c>
      <c r="AH248" s="16" cm="1">
        <f t="array" ref="AH248">_xll.DCEPropSectPipe(AE248, AF248, "Ix")/10000</f>
        <v>4730.4733077169503</v>
      </c>
      <c r="AI248" s="16" cm="1">
        <f t="array" ref="AI248">_xll.DCEPropSectPipe(AE248, AF248, "Wx")/1000</f>
        <v>346.55482107816493</v>
      </c>
      <c r="AJ248" s="108">
        <f t="shared" si="97"/>
        <v>9.4301739777164251</v>
      </c>
      <c r="AK248" s="80" t="s">
        <v>216</v>
      </c>
      <c r="AL248" s="82">
        <v>-91.714499276546078</v>
      </c>
      <c r="AM248" s="82">
        <v>10.0246754184588</v>
      </c>
      <c r="AN248" s="82">
        <v>-4.1195413586146188</v>
      </c>
      <c r="AO248" s="82">
        <v>0</v>
      </c>
      <c r="AP248" s="82">
        <v>0</v>
      </c>
      <c r="AQ248" s="82">
        <v>-0.23184894283775781</v>
      </c>
      <c r="AR248" s="72">
        <v>1</v>
      </c>
      <c r="AS248" s="116">
        <f t="shared" si="98"/>
        <v>6</v>
      </c>
      <c r="AT248" s="7">
        <v>2</v>
      </c>
      <c r="AU248" s="6">
        <f t="shared" si="99"/>
        <v>12</v>
      </c>
      <c r="AV248" s="111">
        <f t="shared" si="100"/>
        <v>7.5431174629090519E-2</v>
      </c>
      <c r="AW248" s="117">
        <f t="shared" si="101"/>
        <v>105</v>
      </c>
      <c r="AX248" s="111">
        <f t="shared" si="102"/>
        <v>1</v>
      </c>
      <c r="AY248" s="111">
        <f t="shared" si="103"/>
        <v>1</v>
      </c>
      <c r="AZ248" s="111">
        <f t="shared" si="104"/>
        <v>1</v>
      </c>
      <c r="BA248" s="111">
        <f t="shared" si="105"/>
        <v>7.940123645167424E-2</v>
      </c>
      <c r="BB248" s="111">
        <f t="shared" si="106"/>
        <v>0</v>
      </c>
      <c r="BC248" s="111">
        <f t="shared" si="107"/>
        <v>0</v>
      </c>
      <c r="BD248" s="111">
        <v>0</v>
      </c>
      <c r="BE248" s="111">
        <f t="shared" si="108"/>
        <v>7.940123645167424E-2</v>
      </c>
      <c r="BF248" s="6" t="str">
        <f t="shared" si="109"/>
        <v>OK</v>
      </c>
      <c r="BG248" s="16">
        <f t="shared" si="110"/>
        <v>63.625549371390676</v>
      </c>
      <c r="BH248" s="118">
        <f t="shared" si="111"/>
        <v>2.1193803644775273</v>
      </c>
      <c r="BI248" s="108">
        <f t="shared" si="112"/>
        <v>0</v>
      </c>
      <c r="BJ248" s="6">
        <f t="shared" si="113"/>
        <v>1.2440309817761237</v>
      </c>
      <c r="BK248" s="108">
        <f t="shared" si="114"/>
        <v>0</v>
      </c>
      <c r="BL248" s="118" cm="1">
        <f t="array" ref="BL248">IF(AO248=0,FactorPhi7121(BH248,"a"),noisuy2chieu(BK248,BH248,Data!$A$63:$M$85))</f>
        <v>0.86214274110469236</v>
      </c>
      <c r="BM248" s="111">
        <v>1.26</v>
      </c>
      <c r="BN248" s="118">
        <f t="shared" si="115"/>
        <v>0.96611802766870336</v>
      </c>
      <c r="BO248" s="108">
        <f t="shared" si="116"/>
        <v>0.18771177748479914</v>
      </c>
      <c r="BP248" s="6" t="str">
        <f t="shared" si="117"/>
        <v>OK</v>
      </c>
      <c r="BQ248" s="16">
        <f t="shared" si="118"/>
        <v>127.25109874278135</v>
      </c>
      <c r="BR248" s="118">
        <f t="shared" si="119"/>
        <v>4.2387607289550546</v>
      </c>
      <c r="BS248" s="108">
        <f t="shared" si="120"/>
        <v>0</v>
      </c>
      <c r="BT248" s="118">
        <f t="shared" si="121"/>
        <v>1.1380619635522473</v>
      </c>
      <c r="BU248" s="108">
        <f t="shared" si="122"/>
        <v>0</v>
      </c>
      <c r="BV248" s="6" cm="1">
        <f t="array" ref="BV248">IF(AP248=0,FactorPhi7121(BR248,"a"),noisuy2chieu(BU248,BR248,Data!$A$63:$M$85))</f>
        <v>0.42299549615688942</v>
      </c>
      <c r="BW248" s="111">
        <v>1.26</v>
      </c>
      <c r="BX248" s="111">
        <f t="shared" si="123"/>
        <v>0.86447211067481355</v>
      </c>
      <c r="BY248" s="113">
        <f t="shared" si="124"/>
        <v>9.2097552604728503E-2</v>
      </c>
      <c r="BZ248" s="6" t="str">
        <f t="shared" si="125"/>
        <v>OK</v>
      </c>
      <c r="CA248" s="114">
        <f t="shared" si="126"/>
        <v>127.25109874278135</v>
      </c>
      <c r="CB248" s="115">
        <f t="shared" si="127"/>
        <v>150</v>
      </c>
      <c r="CC248" s="6" t="str">
        <f t="shared" si="128"/>
        <v>OK</v>
      </c>
      <c r="DG248" s="108"/>
      <c r="DH248" s="108"/>
      <c r="DI248" s="16"/>
      <c r="DJ248" s="108"/>
      <c r="DT248" s="6"/>
      <c r="DU248" s="6"/>
      <c r="DV248" s="111"/>
      <c r="DW248" s="111"/>
      <c r="DX248" s="111"/>
      <c r="DY248" s="111"/>
      <c r="DZ248" s="111"/>
      <c r="EA248" s="111"/>
      <c r="EB248" s="111"/>
      <c r="EC248" s="111"/>
      <c r="ED248" s="111"/>
      <c r="EE248" s="111"/>
      <c r="EF248" s="6"/>
      <c r="EG248" s="6"/>
      <c r="EH248" s="6"/>
      <c r="EI248" s="6"/>
      <c r="EJ248" s="6"/>
      <c r="EK248" s="6"/>
      <c r="EL248" s="112"/>
      <c r="EM248" s="112"/>
      <c r="EN248" s="118"/>
      <c r="EO248" s="118"/>
      <c r="EP248" s="112"/>
      <c r="EQ248" s="112"/>
      <c r="ER248" s="112"/>
      <c r="ES248" s="112"/>
      <c r="ET248" s="112"/>
      <c r="EU248" s="112"/>
      <c r="EV248" s="6"/>
      <c r="EW248" s="6"/>
      <c r="EX248" s="118"/>
      <c r="EY248" s="113"/>
      <c r="EZ248" s="6"/>
      <c r="FA248" s="114"/>
      <c r="FB248" s="115"/>
      <c r="FC248" s="6"/>
    </row>
    <row r="249" spans="27:159">
      <c r="AA249" s="79" t="s">
        <v>175</v>
      </c>
      <c r="AB249" s="80" t="s">
        <v>197</v>
      </c>
      <c r="AC249" s="81">
        <v>2.74</v>
      </c>
      <c r="AD249" s="81">
        <v>6</v>
      </c>
      <c r="AE249" s="80">
        <v>273</v>
      </c>
      <c r="AF249" s="80">
        <v>6.35</v>
      </c>
      <c r="AG249" s="108" cm="1">
        <f t="array" ref="AG249">_xll.DCEPropSectPipe(AE249, AF249, "Area")/100</f>
        <v>53.19431074856206</v>
      </c>
      <c r="AH249" s="16" cm="1">
        <f t="array" ref="AH249">_xll.DCEPropSectPipe(AE249, AF249, "Ix")/10000</f>
        <v>4730.4733077169503</v>
      </c>
      <c r="AI249" s="16" cm="1">
        <f t="array" ref="AI249">_xll.DCEPropSectPipe(AE249, AF249, "Wx")/1000</f>
        <v>346.55482107816493</v>
      </c>
      <c r="AJ249" s="108">
        <f t="shared" si="97"/>
        <v>9.4301739777164251</v>
      </c>
      <c r="AK249" s="80" t="s">
        <v>216</v>
      </c>
      <c r="AL249" s="82">
        <v>-90.367238927814043</v>
      </c>
      <c r="AM249" s="82">
        <v>10.0246754184588</v>
      </c>
      <c r="AN249" s="82">
        <v>-4.1195413586146188</v>
      </c>
      <c r="AO249" s="82">
        <v>11.295782405321281</v>
      </c>
      <c r="AP249" s="82">
        <v>-27.487659997414028</v>
      </c>
      <c r="AQ249" s="82">
        <v>-0.23184894283775781</v>
      </c>
      <c r="AR249" s="72">
        <v>1</v>
      </c>
      <c r="AS249" s="116">
        <f t="shared" si="98"/>
        <v>6</v>
      </c>
      <c r="AT249" s="7">
        <v>2</v>
      </c>
      <c r="AU249" s="6">
        <f t="shared" si="99"/>
        <v>12</v>
      </c>
      <c r="AV249" s="111">
        <f t="shared" si="100"/>
        <v>7.4323111766209635E-2</v>
      </c>
      <c r="AW249" s="117">
        <f t="shared" si="101"/>
        <v>105</v>
      </c>
      <c r="AX249" s="111">
        <f t="shared" si="102"/>
        <v>1</v>
      </c>
      <c r="AY249" s="111">
        <f t="shared" si="103"/>
        <v>1</v>
      </c>
      <c r="AZ249" s="111">
        <f t="shared" si="104"/>
        <v>1</v>
      </c>
      <c r="BA249" s="111">
        <f t="shared" si="105"/>
        <v>7.8234854490746991E-2</v>
      </c>
      <c r="BB249" s="111">
        <f t="shared" si="106"/>
        <v>0.15010626713829109</v>
      </c>
      <c r="BC249" s="111">
        <f t="shared" si="107"/>
        <v>0.36527527589718928</v>
      </c>
      <c r="BD249" s="111">
        <v>0</v>
      </c>
      <c r="BE249" s="111">
        <f t="shared" si="108"/>
        <v>0.59361639752622741</v>
      </c>
      <c r="BF249" s="6" t="str">
        <f t="shared" si="109"/>
        <v>OK</v>
      </c>
      <c r="BG249" s="16">
        <f t="shared" si="110"/>
        <v>63.625549371390676</v>
      </c>
      <c r="BH249" s="118">
        <f t="shared" si="111"/>
        <v>2.1193803644775273</v>
      </c>
      <c r="BI249" s="108">
        <f t="shared" si="112"/>
        <v>1.9186623163726146</v>
      </c>
      <c r="BJ249" s="6">
        <f t="shared" si="113"/>
        <v>1.1887616183513239</v>
      </c>
      <c r="BK249" s="108">
        <f t="shared" si="114"/>
        <v>2.2808321202808091</v>
      </c>
      <c r="BL249" s="118" cm="1">
        <f t="array" ref="BL249">IF(AO249=0,FactorPhi7121(BH249,"a"),noisuy2chieu(BK249,BH249,Data!$A$63:$M$85))</f>
        <v>0</v>
      </c>
      <c r="BM249" s="111">
        <v>1.26</v>
      </c>
      <c r="BN249" s="118">
        <f t="shared" si="115"/>
        <v>0.96661574436801334</v>
      </c>
      <c r="BO249" s="108" t="e">
        <f t="shared" si="116"/>
        <v>#DIV/0!</v>
      </c>
      <c r="BP249" s="6" t="e">
        <f t="shared" si="117"/>
        <v>#DIV/0!</v>
      </c>
      <c r="BQ249" s="16">
        <f t="shared" si="118"/>
        <v>127.25109874278135</v>
      </c>
      <c r="BR249" s="118">
        <f t="shared" si="119"/>
        <v>4.2387607289550546</v>
      </c>
      <c r="BS249" s="108">
        <f t="shared" si="120"/>
        <v>4.6689583341704965</v>
      </c>
      <c r="BT249" s="118">
        <f t="shared" si="121"/>
        <v>1.1025200191638156</v>
      </c>
      <c r="BU249" s="108">
        <f t="shared" si="122"/>
        <v>5.1476200320647125</v>
      </c>
      <c r="BV249" s="6" cm="1">
        <f t="array" ref="BV249">IF(AP249=0,FactorPhi7121(BR249,"a"),noisuy2chieu(BU249,BR249,Data!$A$63:$M$85))</f>
        <v>0</v>
      </c>
      <c r="BW249" s="111">
        <v>1.26</v>
      </c>
      <c r="BX249" s="111">
        <f t="shared" si="123"/>
        <v>0.86646297747205359</v>
      </c>
      <c r="BY249" s="113" t="e">
        <f t="shared" si="124"/>
        <v>#DIV/0!</v>
      </c>
      <c r="BZ249" s="6" t="e">
        <f t="shared" si="125"/>
        <v>#DIV/0!</v>
      </c>
      <c r="CA249" s="114">
        <f t="shared" si="126"/>
        <v>127.25109874278135</v>
      </c>
      <c r="CB249" s="115" t="e">
        <f t="shared" si="127"/>
        <v>#DIV/0!</v>
      </c>
      <c r="CC249" s="6" t="e">
        <f t="shared" si="128"/>
        <v>#DIV/0!</v>
      </c>
      <c r="DG249" s="108"/>
      <c r="DH249" s="108"/>
      <c r="DI249" s="16"/>
      <c r="DJ249" s="108"/>
      <c r="DT249" s="6"/>
      <c r="DU249" s="6"/>
      <c r="DV249" s="111"/>
      <c r="DW249" s="111"/>
      <c r="DX249" s="111"/>
      <c r="DY249" s="111"/>
      <c r="DZ249" s="111"/>
      <c r="EA249" s="111"/>
      <c r="EB249" s="111"/>
      <c r="EC249" s="111"/>
      <c r="ED249" s="111"/>
      <c r="EE249" s="111"/>
      <c r="EF249" s="6"/>
      <c r="EG249" s="6"/>
      <c r="EH249" s="6"/>
      <c r="EI249" s="6"/>
      <c r="EJ249" s="6"/>
      <c r="EK249" s="6"/>
      <c r="EL249" s="112"/>
      <c r="EM249" s="112"/>
      <c r="EN249" s="118"/>
      <c r="EO249" s="118"/>
      <c r="EP249" s="112"/>
      <c r="EQ249" s="112"/>
      <c r="ER249" s="112"/>
      <c r="ES249" s="112"/>
      <c r="ET249" s="112"/>
      <c r="EU249" s="112"/>
      <c r="EV249" s="6"/>
      <c r="EW249" s="6"/>
      <c r="EX249" s="118"/>
      <c r="EY249" s="113"/>
      <c r="EZ249" s="6"/>
      <c r="FA249" s="114"/>
      <c r="FB249" s="115"/>
      <c r="FC249" s="6"/>
    </row>
    <row r="250" spans="27:159">
      <c r="AA250" s="79" t="s">
        <v>175</v>
      </c>
      <c r="AB250" s="80" t="s">
        <v>197</v>
      </c>
      <c r="AC250" s="81">
        <v>5.48</v>
      </c>
      <c r="AD250" s="81">
        <v>6</v>
      </c>
      <c r="AE250" s="80">
        <v>273</v>
      </c>
      <c r="AF250" s="80">
        <v>6.35</v>
      </c>
      <c r="AG250" s="108" cm="1">
        <f t="array" ref="AG250">_xll.DCEPropSectPipe(AE250, AF250, "Area")/100</f>
        <v>53.19431074856206</v>
      </c>
      <c r="AH250" s="16" cm="1">
        <f t="array" ref="AH250">_xll.DCEPropSectPipe(AE250, AF250, "Ix")/10000</f>
        <v>4730.4733077169503</v>
      </c>
      <c r="AI250" s="16" cm="1">
        <f t="array" ref="AI250">_xll.DCEPropSectPipe(AE250, AF250, "Wx")/1000</f>
        <v>346.55482107816493</v>
      </c>
      <c r="AJ250" s="108">
        <f t="shared" si="97"/>
        <v>9.4301739777164251</v>
      </c>
      <c r="AK250" s="80" t="s">
        <v>216</v>
      </c>
      <c r="AL250" s="82">
        <v>-89.019978579082007</v>
      </c>
      <c r="AM250" s="82">
        <v>10.0246754184588</v>
      </c>
      <c r="AN250" s="82">
        <v>-4.1195413586146188</v>
      </c>
      <c r="AO250" s="82">
        <v>22.591564810642563</v>
      </c>
      <c r="AP250" s="82">
        <v>-54.975319994828055</v>
      </c>
      <c r="AQ250" s="82">
        <v>-0.23184894283775781</v>
      </c>
      <c r="AR250" s="72">
        <v>1</v>
      </c>
      <c r="AS250" s="116">
        <f t="shared" si="98"/>
        <v>6</v>
      </c>
      <c r="AT250" s="7">
        <v>2</v>
      </c>
      <c r="AU250" s="6">
        <f t="shared" si="99"/>
        <v>12</v>
      </c>
      <c r="AV250" s="111">
        <f t="shared" si="100"/>
        <v>7.3215048903328764E-2</v>
      </c>
      <c r="AW250" s="117">
        <f t="shared" si="101"/>
        <v>105</v>
      </c>
      <c r="AX250" s="111">
        <f t="shared" si="102"/>
        <v>1</v>
      </c>
      <c r="AY250" s="111">
        <f t="shared" si="103"/>
        <v>1</v>
      </c>
      <c r="AZ250" s="111">
        <f t="shared" si="104"/>
        <v>1</v>
      </c>
      <c r="BA250" s="111">
        <f t="shared" si="105"/>
        <v>7.7068472529819756E-2</v>
      </c>
      <c r="BB250" s="111">
        <f t="shared" si="106"/>
        <v>0.30021253427658218</v>
      </c>
      <c r="BC250" s="111">
        <f t="shared" si="107"/>
        <v>0.73055055179437856</v>
      </c>
      <c r="BD250" s="111">
        <v>0</v>
      </c>
      <c r="BE250" s="111">
        <f t="shared" si="108"/>
        <v>1.1078315586007805</v>
      </c>
      <c r="BF250" s="6" t="str">
        <f t="shared" si="109"/>
        <v>Check</v>
      </c>
      <c r="BG250" s="16">
        <f t="shared" si="110"/>
        <v>63.625549371390676</v>
      </c>
      <c r="BH250" s="118">
        <f t="shared" si="111"/>
        <v>2.1193803644775273</v>
      </c>
      <c r="BI250" s="108">
        <f t="shared" si="112"/>
        <v>3.8954000828344206</v>
      </c>
      <c r="BJ250" s="6">
        <f t="shared" si="113"/>
        <v>1.1318193221078368</v>
      </c>
      <c r="BK250" s="108">
        <f t="shared" si="114"/>
        <v>4.4088890810924655</v>
      </c>
      <c r="BL250" s="118" cm="1">
        <f t="array" ref="BL250">IF(AO250=0,FactorPhi7121(BH250,"a"),noisuy2chieu(BK250,BH250,Data!$A$63:$M$85))</f>
        <v>0</v>
      </c>
      <c r="BM250" s="111">
        <v>1.26</v>
      </c>
      <c r="BN250" s="118">
        <f t="shared" si="115"/>
        <v>0.96711346106732343</v>
      </c>
      <c r="BO250" s="108" t="e">
        <f t="shared" si="116"/>
        <v>#DIV/0!</v>
      </c>
      <c r="BP250" s="6" t="e">
        <f t="shared" si="117"/>
        <v>#DIV/0!</v>
      </c>
      <c r="BQ250" s="16">
        <f t="shared" si="118"/>
        <v>127.25109874278135</v>
      </c>
      <c r="BR250" s="118">
        <f t="shared" si="119"/>
        <v>4.2387607289550546</v>
      </c>
      <c r="BS250" s="108">
        <f t="shared" si="120"/>
        <v>9.4792400551562768</v>
      </c>
      <c r="BT250" s="118">
        <f t="shared" si="121"/>
        <v>1.1000000000000001</v>
      </c>
      <c r="BU250" s="108">
        <f t="shared" si="122"/>
        <v>10.427164060671906</v>
      </c>
      <c r="BV250" s="6" cm="1">
        <f t="array" ref="BV250">IF(AP250=0,FactorPhi7121(BR250,"a"),noisuy2chieu(BU250,BR250,Data!$A$63:$M$85))</f>
        <v>0</v>
      </c>
      <c r="BW250" s="111">
        <v>1.26</v>
      </c>
      <c r="BX250" s="111">
        <f t="shared" si="123"/>
        <v>0.86845384426929351</v>
      </c>
      <c r="BY250" s="113" t="e">
        <f t="shared" si="124"/>
        <v>#DIV/0!</v>
      </c>
      <c r="BZ250" s="6" t="e">
        <f t="shared" si="125"/>
        <v>#DIV/0!</v>
      </c>
      <c r="CA250" s="114">
        <f t="shared" si="126"/>
        <v>127.25109874278135</v>
      </c>
      <c r="CB250" s="115" t="e">
        <f t="shared" si="127"/>
        <v>#DIV/0!</v>
      </c>
      <c r="CC250" s="6" t="e">
        <f t="shared" si="128"/>
        <v>#DIV/0!</v>
      </c>
      <c r="DG250" s="108"/>
      <c r="DH250" s="108"/>
      <c r="DI250" s="16"/>
      <c r="DJ250" s="108"/>
      <c r="DT250" s="6"/>
      <c r="DU250" s="6"/>
      <c r="DV250" s="111"/>
      <c r="DW250" s="111"/>
      <c r="DX250" s="111"/>
      <c r="DY250" s="111"/>
      <c r="DZ250" s="111"/>
      <c r="EA250" s="111"/>
      <c r="EB250" s="111"/>
      <c r="EC250" s="111"/>
      <c r="ED250" s="111"/>
      <c r="EE250" s="111"/>
      <c r="EF250" s="6"/>
      <c r="EG250" s="6"/>
      <c r="EH250" s="6"/>
      <c r="EI250" s="6"/>
      <c r="EJ250" s="6"/>
      <c r="EK250" s="6"/>
      <c r="EL250" s="112"/>
      <c r="EM250" s="112"/>
      <c r="EN250" s="118"/>
      <c r="EO250" s="118"/>
      <c r="EP250" s="112"/>
      <c r="EQ250" s="112"/>
      <c r="ER250" s="112"/>
      <c r="ES250" s="112"/>
      <c r="ET250" s="112"/>
      <c r="EU250" s="112"/>
      <c r="EV250" s="6"/>
      <c r="EW250" s="6"/>
      <c r="EX250" s="118"/>
      <c r="EY250" s="113"/>
      <c r="EZ250" s="6"/>
      <c r="FA250" s="114"/>
      <c r="FB250" s="115"/>
      <c r="FC250" s="6"/>
    </row>
    <row r="251" spans="27:159">
      <c r="AA251" s="79" t="s">
        <v>175</v>
      </c>
      <c r="AB251" s="80" t="s">
        <v>197</v>
      </c>
      <c r="AC251" s="81">
        <v>0</v>
      </c>
      <c r="AD251" s="81">
        <v>6</v>
      </c>
      <c r="AE251" s="80">
        <v>273</v>
      </c>
      <c r="AF251" s="80">
        <v>6.35</v>
      </c>
      <c r="AG251" s="108" cm="1">
        <f t="array" ref="AG251">_xll.DCEPropSectPipe(AE251, AF251, "Area")/100</f>
        <v>53.19431074856206</v>
      </c>
      <c r="AH251" s="16" cm="1">
        <f t="array" ref="AH251">_xll.DCEPropSectPipe(AE251, AF251, "Ix")/10000</f>
        <v>4730.4733077169503</v>
      </c>
      <c r="AI251" s="16" cm="1">
        <f t="array" ref="AI251">_xll.DCEPropSectPipe(AE251, AF251, "Wx")/1000</f>
        <v>346.55482107816493</v>
      </c>
      <c r="AJ251" s="108">
        <f t="shared" si="97"/>
        <v>9.4301739777164251</v>
      </c>
      <c r="AK251" s="80" t="s">
        <v>217</v>
      </c>
      <c r="AL251" s="82">
        <v>-16.530963480057373</v>
      </c>
      <c r="AM251" s="82">
        <v>0.19711216482152663</v>
      </c>
      <c r="AN251" s="82">
        <v>-0.28050298597826184</v>
      </c>
      <c r="AO251" s="82">
        <v>0</v>
      </c>
      <c r="AP251" s="82">
        <v>0</v>
      </c>
      <c r="AQ251" s="82">
        <v>-6.747833733792459E-3</v>
      </c>
      <c r="AR251" s="72">
        <v>1</v>
      </c>
      <c r="AS251" s="116">
        <f t="shared" si="98"/>
        <v>6</v>
      </c>
      <c r="AT251" s="7">
        <v>2</v>
      </c>
      <c r="AU251" s="6">
        <f t="shared" si="99"/>
        <v>12</v>
      </c>
      <c r="AV251" s="111">
        <f t="shared" si="100"/>
        <v>1.3595996302519257E-2</v>
      </c>
      <c r="AW251" s="117">
        <f t="shared" si="101"/>
        <v>105</v>
      </c>
      <c r="AX251" s="111">
        <f t="shared" si="102"/>
        <v>1</v>
      </c>
      <c r="AY251" s="111">
        <f t="shared" si="103"/>
        <v>1</v>
      </c>
      <c r="AZ251" s="111">
        <f t="shared" si="104"/>
        <v>1</v>
      </c>
      <c r="BA251" s="111">
        <f t="shared" si="105"/>
        <v>1.4311575055283429E-2</v>
      </c>
      <c r="BB251" s="111">
        <f t="shared" si="106"/>
        <v>0</v>
      </c>
      <c r="BC251" s="111">
        <f t="shared" si="107"/>
        <v>0</v>
      </c>
      <c r="BD251" s="111">
        <v>0</v>
      </c>
      <c r="BE251" s="111">
        <f t="shared" si="108"/>
        <v>1.4311575055283429E-2</v>
      </c>
      <c r="BF251" s="6" t="str">
        <f t="shared" si="109"/>
        <v>OK</v>
      </c>
      <c r="BG251" s="16">
        <f t="shared" si="110"/>
        <v>63.625549371390676</v>
      </c>
      <c r="BH251" s="118">
        <f t="shared" si="111"/>
        <v>2.1193803644775273</v>
      </c>
      <c r="BI251" s="108">
        <f t="shared" si="112"/>
        <v>0</v>
      </c>
      <c r="BJ251" s="6">
        <f t="shared" si="113"/>
        <v>1.2440309817761237</v>
      </c>
      <c r="BK251" s="108">
        <f t="shared" si="114"/>
        <v>0</v>
      </c>
      <c r="BL251" s="118" cm="1">
        <f t="array" ref="BL251">IF(AO251=0,FactorPhi7121(BH251,"a"),noisuy2chieu(BK251,BH251,Data!$A$63:$M$85))</f>
        <v>0.86214274110469236</v>
      </c>
      <c r="BM251" s="111">
        <v>1.26</v>
      </c>
      <c r="BN251" s="118">
        <f t="shared" si="115"/>
        <v>0.99389298691418348</v>
      </c>
      <c r="BO251" s="108">
        <f t="shared" si="116"/>
        <v>3.3833871011182709E-2</v>
      </c>
      <c r="BP251" s="6" t="str">
        <f t="shared" si="117"/>
        <v>OK</v>
      </c>
      <c r="BQ251" s="16">
        <f t="shared" si="118"/>
        <v>127.25109874278135</v>
      </c>
      <c r="BR251" s="118">
        <f t="shared" si="119"/>
        <v>4.2387607289550546</v>
      </c>
      <c r="BS251" s="108">
        <f t="shared" si="120"/>
        <v>0</v>
      </c>
      <c r="BT251" s="118">
        <f t="shared" si="121"/>
        <v>1.1380619635522473</v>
      </c>
      <c r="BU251" s="108">
        <f t="shared" si="122"/>
        <v>0</v>
      </c>
      <c r="BV251" s="6" cm="1">
        <f t="array" ref="BV251">IF(AP251=0,FactorPhi7121(BR251,"a"),noisuy2chieu(BU251,BR251,Data!$A$63:$M$85))</f>
        <v>0.42299549615688942</v>
      </c>
      <c r="BW251" s="111">
        <v>1.26</v>
      </c>
      <c r="BX251" s="111">
        <f t="shared" si="123"/>
        <v>0.97557194765673383</v>
      </c>
      <c r="BY251" s="113">
        <f t="shared" si="124"/>
        <v>1.6600006440865615E-2</v>
      </c>
      <c r="BZ251" s="6" t="str">
        <f t="shared" si="125"/>
        <v>OK</v>
      </c>
      <c r="CA251" s="114">
        <f t="shared" si="126"/>
        <v>127.25109874278135</v>
      </c>
      <c r="CB251" s="115">
        <f t="shared" si="127"/>
        <v>150</v>
      </c>
      <c r="CC251" s="6" t="str">
        <f t="shared" si="128"/>
        <v>OK</v>
      </c>
      <c r="DG251" s="108"/>
      <c r="DH251" s="108"/>
      <c r="DI251" s="16"/>
      <c r="DJ251" s="108"/>
      <c r="DT251" s="6"/>
      <c r="DU251" s="6"/>
      <c r="DV251" s="111"/>
      <c r="DW251" s="111"/>
      <c r="DX251" s="111"/>
      <c r="DY251" s="111"/>
      <c r="DZ251" s="111"/>
      <c r="EA251" s="111"/>
      <c r="EB251" s="111"/>
      <c r="EC251" s="111"/>
      <c r="ED251" s="111"/>
      <c r="EE251" s="111"/>
      <c r="EF251" s="6"/>
      <c r="EG251" s="6"/>
      <c r="EH251" s="6"/>
      <c r="EI251" s="6"/>
      <c r="EJ251" s="6"/>
      <c r="EK251" s="6"/>
      <c r="EL251" s="112"/>
      <c r="EM251" s="112"/>
      <c r="EN251" s="118"/>
      <c r="EO251" s="118"/>
      <c r="EP251" s="112"/>
      <c r="EQ251" s="112"/>
      <c r="ER251" s="112"/>
      <c r="ES251" s="112"/>
      <c r="ET251" s="112"/>
      <c r="EU251" s="112"/>
      <c r="EV251" s="6"/>
      <c r="EW251" s="6"/>
      <c r="EX251" s="118"/>
      <c r="EY251" s="113"/>
      <c r="EZ251" s="6"/>
      <c r="FA251" s="114"/>
      <c r="FB251" s="115"/>
      <c r="FC251" s="6"/>
    </row>
    <row r="252" spans="27:159">
      <c r="AA252" s="79" t="s">
        <v>175</v>
      </c>
      <c r="AB252" s="80" t="s">
        <v>197</v>
      </c>
      <c r="AC252" s="81">
        <v>2.74</v>
      </c>
      <c r="AD252" s="81">
        <v>6</v>
      </c>
      <c r="AE252" s="80">
        <v>273</v>
      </c>
      <c r="AF252" s="80">
        <v>6.35</v>
      </c>
      <c r="AG252" s="108" cm="1">
        <f t="array" ref="AG252">_xll.DCEPropSectPipe(AE252, AF252, "Area")/100</f>
        <v>53.19431074856206</v>
      </c>
      <c r="AH252" s="16" cm="1">
        <f t="array" ref="AH252">_xll.DCEPropSectPipe(AE252, AF252, "Ix")/10000</f>
        <v>4730.4733077169503</v>
      </c>
      <c r="AI252" s="16" cm="1">
        <f t="array" ref="AI252">_xll.DCEPropSectPipe(AE252, AF252, "Wx")/1000</f>
        <v>346.55482107816493</v>
      </c>
      <c r="AJ252" s="108">
        <f t="shared" si="97"/>
        <v>9.4301739777164251</v>
      </c>
      <c r="AK252" s="80" t="s">
        <v>217</v>
      </c>
      <c r="AL252" s="82">
        <v>-15.183703131325336</v>
      </c>
      <c r="AM252" s="82">
        <v>0.19711216482152663</v>
      </c>
      <c r="AN252" s="82">
        <v>-0.28050298597826184</v>
      </c>
      <c r="AO252" s="82">
        <v>0.76913918755239419</v>
      </c>
      <c r="AP252" s="82">
        <v>-0.54048155594062608</v>
      </c>
      <c r="AQ252" s="82">
        <v>-6.747833733792459E-3</v>
      </c>
      <c r="AR252" s="72">
        <v>1</v>
      </c>
      <c r="AS252" s="116">
        <f t="shared" si="98"/>
        <v>6</v>
      </c>
      <c r="AT252" s="7">
        <v>2</v>
      </c>
      <c r="AU252" s="6">
        <f t="shared" si="99"/>
        <v>12</v>
      </c>
      <c r="AV252" s="111">
        <f t="shared" si="100"/>
        <v>1.2487933439638381E-2</v>
      </c>
      <c r="AW252" s="117">
        <f t="shared" si="101"/>
        <v>105</v>
      </c>
      <c r="AX252" s="111">
        <f t="shared" si="102"/>
        <v>1</v>
      </c>
      <c r="AY252" s="111">
        <f t="shared" si="103"/>
        <v>1</v>
      </c>
      <c r="AZ252" s="111">
        <f t="shared" si="104"/>
        <v>1</v>
      </c>
      <c r="BA252" s="111">
        <f t="shared" si="105"/>
        <v>1.3145193094356192E-2</v>
      </c>
      <c r="BB252" s="111">
        <f t="shared" si="106"/>
        <v>1.0220860159175851E-2</v>
      </c>
      <c r="BC252" s="111">
        <f t="shared" si="107"/>
        <v>7.1822974193557244E-3</v>
      </c>
      <c r="BD252" s="111">
        <v>0</v>
      </c>
      <c r="BE252" s="111">
        <f t="shared" si="108"/>
        <v>3.0548350672887768E-2</v>
      </c>
      <c r="BF252" s="6" t="str">
        <f t="shared" si="109"/>
        <v>OK</v>
      </c>
      <c r="BG252" s="16">
        <f t="shared" si="110"/>
        <v>63.625549371390676</v>
      </c>
      <c r="BH252" s="118">
        <f t="shared" si="111"/>
        <v>2.1193803644775273</v>
      </c>
      <c r="BI252" s="108">
        <f t="shared" si="112"/>
        <v>0.77753594685224636</v>
      </c>
      <c r="BJ252" s="6">
        <f t="shared" si="113"/>
        <v>1.2216331286178523</v>
      </c>
      <c r="BK252" s="108">
        <f t="shared" si="114"/>
        <v>0.94986367136595384</v>
      </c>
      <c r="BL252" s="118" cm="1">
        <f t="array" ref="BL252">IF(AO252=0,FactorPhi7121(BH252,"a"),noisuy2chieu(BK252,BH252,Data!$A$63:$M$85))</f>
        <v>0</v>
      </c>
      <c r="BM252" s="111">
        <v>1.26</v>
      </c>
      <c r="BN252" s="118">
        <f t="shared" si="115"/>
        <v>0.99439070361349347</v>
      </c>
      <c r="BO252" s="108" t="e">
        <f t="shared" si="116"/>
        <v>#DIV/0!</v>
      </c>
      <c r="BP252" s="6" t="e">
        <f t="shared" si="117"/>
        <v>#DIV/0!</v>
      </c>
      <c r="BQ252" s="16">
        <f t="shared" si="118"/>
        <v>127.25109874278135</v>
      </c>
      <c r="BR252" s="118">
        <f t="shared" si="119"/>
        <v>4.2387607289550546</v>
      </c>
      <c r="BS252" s="108">
        <f t="shared" si="120"/>
        <v>0.54638204002034785</v>
      </c>
      <c r="BT252" s="118">
        <f t="shared" si="121"/>
        <v>1.1339026888936761</v>
      </c>
      <c r="BU252" s="108">
        <f t="shared" si="122"/>
        <v>0.61954406434228459</v>
      </c>
      <c r="BV252" s="6" cm="1">
        <f t="array" ref="BV252">IF(AP252=0,FactorPhi7121(BR252,"a"),noisuy2chieu(BU252,BR252,Data!$A$63:$M$85))</f>
        <v>0</v>
      </c>
      <c r="BW252" s="111">
        <v>1.26</v>
      </c>
      <c r="BX252" s="111">
        <f t="shared" si="123"/>
        <v>0.97756281445397386</v>
      </c>
      <c r="BY252" s="113" t="e">
        <f t="shared" si="124"/>
        <v>#DIV/0!</v>
      </c>
      <c r="BZ252" s="6" t="e">
        <f t="shared" si="125"/>
        <v>#DIV/0!</v>
      </c>
      <c r="CA252" s="114">
        <f t="shared" si="126"/>
        <v>127.25109874278135</v>
      </c>
      <c r="CB252" s="115" t="e">
        <f t="shared" si="127"/>
        <v>#DIV/0!</v>
      </c>
      <c r="CC252" s="6" t="e">
        <f t="shared" si="128"/>
        <v>#DIV/0!</v>
      </c>
      <c r="DG252" s="108"/>
      <c r="DH252" s="108"/>
      <c r="DI252" s="16"/>
      <c r="DJ252" s="108"/>
      <c r="DT252" s="6"/>
      <c r="DU252" s="6"/>
      <c r="DV252" s="111"/>
      <c r="DW252" s="111"/>
      <c r="DX252" s="111"/>
      <c r="DY252" s="111"/>
      <c r="DZ252" s="111"/>
      <c r="EA252" s="111"/>
      <c r="EB252" s="111"/>
      <c r="EC252" s="111"/>
      <c r="ED252" s="111"/>
      <c r="EE252" s="111"/>
      <c r="EF252" s="6"/>
      <c r="EG252" s="6"/>
      <c r="EH252" s="6"/>
      <c r="EI252" s="6"/>
      <c r="EJ252" s="6"/>
      <c r="EK252" s="6"/>
      <c r="EL252" s="112"/>
      <c r="EM252" s="112"/>
      <c r="EN252" s="118"/>
      <c r="EO252" s="118"/>
      <c r="EP252" s="112"/>
      <c r="EQ252" s="112"/>
      <c r="ER252" s="112"/>
      <c r="ES252" s="112"/>
      <c r="ET252" s="112"/>
      <c r="EU252" s="112"/>
      <c r="EV252" s="6"/>
      <c r="EW252" s="6"/>
      <c r="EX252" s="118"/>
      <c r="EY252" s="113"/>
      <c r="EZ252" s="6"/>
      <c r="FA252" s="114"/>
      <c r="FB252" s="115"/>
      <c r="FC252" s="6"/>
    </row>
    <row r="253" spans="27:159">
      <c r="AA253" s="79" t="s">
        <v>175</v>
      </c>
      <c r="AB253" s="80" t="s">
        <v>197</v>
      </c>
      <c r="AC253" s="81">
        <v>5.48</v>
      </c>
      <c r="AD253" s="81">
        <v>6</v>
      </c>
      <c r="AE253" s="80">
        <v>273</v>
      </c>
      <c r="AF253" s="80">
        <v>6.35</v>
      </c>
      <c r="AG253" s="108" cm="1">
        <f t="array" ref="AG253">_xll.DCEPropSectPipe(AE253, AF253, "Area")/100</f>
        <v>53.19431074856206</v>
      </c>
      <c r="AH253" s="16" cm="1">
        <f t="array" ref="AH253">_xll.DCEPropSectPipe(AE253, AF253, "Ix")/10000</f>
        <v>4730.4733077169503</v>
      </c>
      <c r="AI253" s="16" cm="1">
        <f t="array" ref="AI253">_xll.DCEPropSectPipe(AE253, AF253, "Wx")/1000</f>
        <v>346.55482107816493</v>
      </c>
      <c r="AJ253" s="108">
        <f t="shared" si="97"/>
        <v>9.4301739777164251</v>
      </c>
      <c r="AK253" s="80" t="s">
        <v>217</v>
      </c>
      <c r="AL253" s="82">
        <v>-13.836442782593306</v>
      </c>
      <c r="AM253" s="82">
        <v>0.19711216482152663</v>
      </c>
      <c r="AN253" s="82">
        <v>-0.28050298597826184</v>
      </c>
      <c r="AO253" s="82">
        <v>1.5382783751047884</v>
      </c>
      <c r="AP253" s="82">
        <v>-1.0809631118812522</v>
      </c>
      <c r="AQ253" s="82">
        <v>-6.747833733792459E-3</v>
      </c>
      <c r="AR253" s="72">
        <v>1</v>
      </c>
      <c r="AS253" s="116">
        <f t="shared" si="98"/>
        <v>6</v>
      </c>
      <c r="AT253" s="7">
        <v>2</v>
      </c>
      <c r="AU253" s="6">
        <f t="shared" si="99"/>
        <v>12</v>
      </c>
      <c r="AV253" s="111">
        <f t="shared" si="100"/>
        <v>1.1379870576757512E-2</v>
      </c>
      <c r="AW253" s="117">
        <f t="shared" si="101"/>
        <v>105</v>
      </c>
      <c r="AX253" s="111">
        <f t="shared" si="102"/>
        <v>1</v>
      </c>
      <c r="AY253" s="111">
        <f t="shared" si="103"/>
        <v>1</v>
      </c>
      <c r="AZ253" s="111">
        <f t="shared" si="104"/>
        <v>1</v>
      </c>
      <c r="BA253" s="111">
        <f t="shared" si="105"/>
        <v>1.1978811133428958E-2</v>
      </c>
      <c r="BB253" s="111">
        <f t="shared" si="106"/>
        <v>2.0441720318351703E-2</v>
      </c>
      <c r="BC253" s="111">
        <f t="shared" si="107"/>
        <v>1.4364594838711449E-2</v>
      </c>
      <c r="BD253" s="111">
        <v>0</v>
      </c>
      <c r="BE253" s="111">
        <f t="shared" si="108"/>
        <v>4.6785126290492106E-2</v>
      </c>
      <c r="BF253" s="6" t="str">
        <f t="shared" si="109"/>
        <v>OK</v>
      </c>
      <c r="BG253" s="16">
        <f t="shared" si="110"/>
        <v>63.625549371390676</v>
      </c>
      <c r="BH253" s="118">
        <f t="shared" si="111"/>
        <v>2.1193803644775273</v>
      </c>
      <c r="BI253" s="108">
        <f t="shared" si="112"/>
        <v>1.706489908777802</v>
      </c>
      <c r="BJ253" s="6">
        <f t="shared" si="113"/>
        <v>1.1948734983856608</v>
      </c>
      <c r="BK253" s="108">
        <f t="shared" si="114"/>
        <v>2.0390395672611596</v>
      </c>
      <c r="BL253" s="118" cm="1">
        <f t="array" ref="BL253">IF(AO253=0,FactorPhi7121(BH253,"a"),noisuy2chieu(BK253,BH253,Data!$A$63:$M$85))</f>
        <v>0</v>
      </c>
      <c r="BM253" s="111">
        <v>1.26</v>
      </c>
      <c r="BN253" s="118">
        <f t="shared" si="115"/>
        <v>0.99488842031280345</v>
      </c>
      <c r="BO253" s="108" t="e">
        <f t="shared" si="116"/>
        <v>#DIV/0!</v>
      </c>
      <c r="BP253" s="6" t="e">
        <f t="shared" si="117"/>
        <v>#DIV/0!</v>
      </c>
      <c r="BQ253" s="16">
        <f t="shared" si="118"/>
        <v>127.25109874278135</v>
      </c>
      <c r="BR253" s="118">
        <f t="shared" si="119"/>
        <v>4.2387607289550546</v>
      </c>
      <c r="BS253" s="108">
        <f t="shared" si="120"/>
        <v>1.1991669856639233</v>
      </c>
      <c r="BT253" s="118">
        <f t="shared" si="121"/>
        <v>1.1289334335319676</v>
      </c>
      <c r="BU253" s="108">
        <f t="shared" si="122"/>
        <v>1.3537797025037528</v>
      </c>
      <c r="BV253" s="6" cm="1">
        <f t="array" ref="BV253">IF(AP253=0,FactorPhi7121(BR253,"a"),noisuy2chieu(BU253,BR253,Data!$A$63:$M$85))</f>
        <v>0</v>
      </c>
      <c r="BW253" s="111">
        <v>1.26</v>
      </c>
      <c r="BX253" s="111">
        <f t="shared" si="123"/>
        <v>0.97955368125121378</v>
      </c>
      <c r="BY253" s="113" t="e">
        <f t="shared" si="124"/>
        <v>#DIV/0!</v>
      </c>
      <c r="BZ253" s="6" t="e">
        <f t="shared" si="125"/>
        <v>#DIV/0!</v>
      </c>
      <c r="CA253" s="114">
        <f t="shared" si="126"/>
        <v>127.25109874278135</v>
      </c>
      <c r="CB253" s="115" t="e">
        <f t="shared" si="127"/>
        <v>#DIV/0!</v>
      </c>
      <c r="CC253" s="6" t="e">
        <f t="shared" si="128"/>
        <v>#DIV/0!</v>
      </c>
      <c r="DG253" s="108"/>
      <c r="DH253" s="108"/>
      <c r="DI253" s="16"/>
      <c r="DJ253" s="108"/>
      <c r="DT253" s="6"/>
      <c r="DU253" s="6"/>
      <c r="DV253" s="111"/>
      <c r="DW253" s="111"/>
      <c r="DX253" s="111"/>
      <c r="DY253" s="111"/>
      <c r="DZ253" s="111"/>
      <c r="EA253" s="111"/>
      <c r="EB253" s="111"/>
      <c r="EC253" s="111"/>
      <c r="ED253" s="111"/>
      <c r="EE253" s="111"/>
      <c r="EF253" s="6"/>
      <c r="EG253" s="6"/>
      <c r="EH253" s="6"/>
      <c r="EI253" s="6"/>
      <c r="EJ253" s="6"/>
      <c r="EK253" s="6"/>
      <c r="EL253" s="112"/>
      <c r="EM253" s="112"/>
      <c r="EN253" s="118"/>
      <c r="EO253" s="118"/>
      <c r="EP253" s="112"/>
      <c r="EQ253" s="112"/>
      <c r="ER253" s="112"/>
      <c r="ES253" s="112"/>
      <c r="ET253" s="112"/>
      <c r="EU253" s="112"/>
      <c r="EV253" s="6"/>
      <c r="EW253" s="6"/>
      <c r="EX253" s="118"/>
      <c r="EY253" s="113"/>
      <c r="EZ253" s="6"/>
      <c r="FA253" s="114"/>
      <c r="FB253" s="115"/>
      <c r="FC253" s="6"/>
    </row>
    <row r="254" spans="27:159">
      <c r="AA254" s="79" t="s">
        <v>175</v>
      </c>
      <c r="AB254" s="80" t="s">
        <v>197</v>
      </c>
      <c r="AC254" s="81">
        <v>0</v>
      </c>
      <c r="AD254" s="81">
        <v>6</v>
      </c>
      <c r="AE254" s="80">
        <v>273</v>
      </c>
      <c r="AF254" s="80">
        <v>6.35</v>
      </c>
      <c r="AG254" s="108" cm="1">
        <f t="array" ref="AG254">_xll.DCEPropSectPipe(AE254, AF254, "Area")/100</f>
        <v>53.19431074856206</v>
      </c>
      <c r="AH254" s="16" cm="1">
        <f t="array" ref="AH254">_xll.DCEPropSectPipe(AE254, AF254, "Ix")/10000</f>
        <v>4730.4733077169503</v>
      </c>
      <c r="AI254" s="16" cm="1">
        <f t="array" ref="AI254">_xll.DCEPropSectPipe(AE254, AF254, "Wx")/1000</f>
        <v>346.55482107816493</v>
      </c>
      <c r="AJ254" s="108">
        <f t="shared" si="97"/>
        <v>9.4301739777164251</v>
      </c>
      <c r="AK254" s="80" t="s">
        <v>218</v>
      </c>
      <c r="AL254" s="82">
        <v>0.18131742194359682</v>
      </c>
      <c r="AM254" s="82">
        <v>0.22558670573687681</v>
      </c>
      <c r="AN254" s="82">
        <v>-4.4909575402744838E-2</v>
      </c>
      <c r="AO254" s="82">
        <v>0</v>
      </c>
      <c r="AP254" s="82">
        <v>0</v>
      </c>
      <c r="AQ254" s="82">
        <v>4.057328628979074E-2</v>
      </c>
      <c r="AR254" s="72">
        <v>1</v>
      </c>
      <c r="AS254" s="116">
        <f t="shared" si="98"/>
        <v>6</v>
      </c>
      <c r="AT254" s="7">
        <v>2</v>
      </c>
      <c r="AU254" s="6">
        <f t="shared" si="99"/>
        <v>12</v>
      </c>
      <c r="AV254" s="111">
        <f t="shared" si="100"/>
        <v>1.491256696139595E-4</v>
      </c>
      <c r="AW254" s="117">
        <f t="shared" si="101"/>
        <v>105</v>
      </c>
      <c r="AX254" s="111">
        <f t="shared" si="102"/>
        <v>1</v>
      </c>
      <c r="AY254" s="111">
        <f t="shared" si="103"/>
        <v>1</v>
      </c>
      <c r="AZ254" s="111">
        <f t="shared" si="104"/>
        <v>1</v>
      </c>
      <c r="BA254" s="111">
        <f t="shared" si="105"/>
        <v>1.5697438906732582E-4</v>
      </c>
      <c r="BB254" s="111">
        <f t="shared" si="106"/>
        <v>0</v>
      </c>
      <c r="BC254" s="111">
        <f t="shared" si="107"/>
        <v>0</v>
      </c>
      <c r="BD254" s="111">
        <v>0</v>
      </c>
      <c r="BE254" s="111">
        <f t="shared" si="108"/>
        <v>1.5697438906732582E-4</v>
      </c>
      <c r="BF254" s="6" t="str">
        <f t="shared" si="109"/>
        <v>OK</v>
      </c>
      <c r="BG254" s="16">
        <f t="shared" si="110"/>
        <v>63.625549371390676</v>
      </c>
      <c r="BH254" s="118">
        <f t="shared" si="111"/>
        <v>2.1193803644775273</v>
      </c>
      <c r="BI254" s="108">
        <f t="shared" si="112"/>
        <v>0</v>
      </c>
      <c r="BJ254" s="6">
        <f t="shared" si="113"/>
        <v>1.2440309817761237</v>
      </c>
      <c r="BK254" s="108">
        <f t="shared" si="114"/>
        <v>0</v>
      </c>
      <c r="BL254" s="118" cm="1">
        <f t="array" ref="BL254">IF(AO254=0,FactorPhi7121(BH254,"a"),noisuy2chieu(BK254,BH254,Data!$A$63:$M$85))</f>
        <v>0.86214274110469236</v>
      </c>
      <c r="BM254" s="111">
        <v>1.26</v>
      </c>
      <c r="BN254" s="118">
        <f t="shared" si="115"/>
        <v>0.99993301613243346</v>
      </c>
      <c r="BO254" s="108">
        <f t="shared" si="116"/>
        <v>3.7110179775792188E-4</v>
      </c>
      <c r="BP254" s="6" t="str">
        <f t="shared" si="117"/>
        <v>OK</v>
      </c>
      <c r="BQ254" s="16">
        <f t="shared" si="118"/>
        <v>127.25109874278135</v>
      </c>
      <c r="BR254" s="118">
        <f t="shared" si="119"/>
        <v>4.2387607289550546</v>
      </c>
      <c r="BS254" s="108">
        <f t="shared" si="120"/>
        <v>0</v>
      </c>
      <c r="BT254" s="118">
        <f t="shared" si="121"/>
        <v>1.1380619635522473</v>
      </c>
      <c r="BU254" s="108">
        <f t="shared" si="122"/>
        <v>0</v>
      </c>
      <c r="BV254" s="6" cm="1">
        <f t="array" ref="BV254">IF(AP254=0,FactorPhi7121(BR254,"a"),noisuy2chieu(BU254,BR254,Data!$A$63:$M$85))</f>
        <v>0.42299549615688942</v>
      </c>
      <c r="BW254" s="111">
        <v>1.26</v>
      </c>
      <c r="BX254" s="111">
        <f t="shared" si="123"/>
        <v>0.99973206452973373</v>
      </c>
      <c r="BY254" s="113">
        <f t="shared" si="124"/>
        <v>1.8207470942246674E-4</v>
      </c>
      <c r="BZ254" s="6" t="str">
        <f t="shared" si="125"/>
        <v>OK</v>
      </c>
      <c r="CA254" s="114">
        <f t="shared" si="126"/>
        <v>127.25109874278135</v>
      </c>
      <c r="CB254" s="115">
        <f t="shared" si="127"/>
        <v>150</v>
      </c>
      <c r="CC254" s="6" t="str">
        <f t="shared" si="128"/>
        <v>OK</v>
      </c>
      <c r="DG254" s="108"/>
      <c r="DH254" s="108"/>
      <c r="DI254" s="16"/>
      <c r="DJ254" s="108"/>
      <c r="DT254" s="6"/>
      <c r="DU254" s="6"/>
      <c r="DV254" s="111"/>
      <c r="DW254" s="111"/>
      <c r="DX254" s="111"/>
      <c r="DY254" s="111"/>
      <c r="DZ254" s="111"/>
      <c r="EA254" s="111"/>
      <c r="EB254" s="111"/>
      <c r="EC254" s="111"/>
      <c r="ED254" s="111"/>
      <c r="EE254" s="111"/>
      <c r="EF254" s="6"/>
      <c r="EG254" s="6"/>
      <c r="EH254" s="6"/>
      <c r="EI254" s="6"/>
      <c r="EJ254" s="6"/>
      <c r="EK254" s="6"/>
      <c r="EL254" s="112"/>
      <c r="EM254" s="112"/>
      <c r="EN254" s="118"/>
      <c r="EO254" s="118"/>
      <c r="EP254" s="112"/>
      <c r="EQ254" s="112"/>
      <c r="ER254" s="112"/>
      <c r="ES254" s="112"/>
      <c r="ET254" s="112"/>
      <c r="EU254" s="112"/>
      <c r="EV254" s="6"/>
      <c r="EW254" s="6"/>
      <c r="EX254" s="118"/>
      <c r="EY254" s="113"/>
      <c r="EZ254" s="6"/>
      <c r="FA254" s="114"/>
      <c r="FB254" s="115"/>
      <c r="FC254" s="6"/>
    </row>
    <row r="255" spans="27:159">
      <c r="AA255" s="79" t="s">
        <v>175</v>
      </c>
      <c r="AB255" s="80" t="s">
        <v>197</v>
      </c>
      <c r="AC255" s="81">
        <v>2.74</v>
      </c>
      <c r="AD255" s="81">
        <v>6</v>
      </c>
      <c r="AE255" s="80">
        <v>273</v>
      </c>
      <c r="AF255" s="80">
        <v>6.35</v>
      </c>
      <c r="AG255" s="108" cm="1">
        <f t="array" ref="AG255">_xll.DCEPropSectPipe(AE255, AF255, "Area")/100</f>
        <v>53.19431074856206</v>
      </c>
      <c r="AH255" s="16" cm="1">
        <f t="array" ref="AH255">_xll.DCEPropSectPipe(AE255, AF255, "Ix")/10000</f>
        <v>4730.4733077169503</v>
      </c>
      <c r="AI255" s="16" cm="1">
        <f t="array" ref="AI255">_xll.DCEPropSectPipe(AE255, AF255, "Wx")/1000</f>
        <v>346.55482107816493</v>
      </c>
      <c r="AJ255" s="108">
        <f t="shared" si="97"/>
        <v>9.4301739777164251</v>
      </c>
      <c r="AK255" s="80" t="s">
        <v>218</v>
      </c>
      <c r="AL255" s="82">
        <v>1.5285777706756341</v>
      </c>
      <c r="AM255" s="82">
        <v>0.22558670573687681</v>
      </c>
      <c r="AN255" s="82">
        <v>-4.4909575402744838E-2</v>
      </c>
      <c r="AO255" s="82">
        <v>0.12314205575432625</v>
      </c>
      <c r="AP255" s="82">
        <v>-0.61855874713051673</v>
      </c>
      <c r="AQ255" s="82">
        <v>4.057328628979074E-2</v>
      </c>
      <c r="AR255" s="72">
        <v>1</v>
      </c>
      <c r="AS255" s="116">
        <f t="shared" si="98"/>
        <v>6</v>
      </c>
      <c r="AT255" s="7">
        <v>2</v>
      </c>
      <c r="AU255" s="6">
        <f t="shared" si="99"/>
        <v>12</v>
      </c>
      <c r="AV255" s="111">
        <f t="shared" si="100"/>
        <v>1.2571885324948356E-3</v>
      </c>
      <c r="AW255" s="117">
        <f t="shared" si="101"/>
        <v>105</v>
      </c>
      <c r="AX255" s="111">
        <f t="shared" si="102"/>
        <v>1</v>
      </c>
      <c r="AY255" s="111">
        <f t="shared" si="103"/>
        <v>1</v>
      </c>
      <c r="AZ255" s="111">
        <f t="shared" si="104"/>
        <v>1</v>
      </c>
      <c r="BA255" s="111">
        <f t="shared" si="105"/>
        <v>1.3233563499945639E-3</v>
      </c>
      <c r="BB255" s="111">
        <f t="shared" si="106"/>
        <v>1.6363978743348931E-3</v>
      </c>
      <c r="BC255" s="111">
        <f t="shared" si="107"/>
        <v>8.2198418140349352E-3</v>
      </c>
      <c r="BD255" s="111">
        <v>0</v>
      </c>
      <c r="BE255" s="111">
        <f t="shared" si="108"/>
        <v>1.1179596038364392E-2</v>
      </c>
      <c r="BF255" s="6" t="str">
        <f t="shared" si="109"/>
        <v>OK</v>
      </c>
      <c r="BG255" s="16">
        <f t="shared" si="110"/>
        <v>63.625549371390676</v>
      </c>
      <c r="BH255" s="118">
        <f t="shared" si="111"/>
        <v>2.1193803644775273</v>
      </c>
      <c r="BI255" s="108">
        <f t="shared" si="112"/>
        <v>1.2365511937443119</v>
      </c>
      <c r="BJ255" s="6">
        <f t="shared" si="113"/>
        <v>1.2084106452858376</v>
      </c>
      <c r="BK255" s="108">
        <f t="shared" si="114"/>
        <v>1.4942616259615367</v>
      </c>
      <c r="BL255" s="118" cm="1">
        <f t="array" ref="BL255">IF(AO255=0,FactorPhi7121(BH255,"a"),noisuy2chieu(BK255,BH255,Data!$A$63:$M$85))</f>
        <v>0</v>
      </c>
      <c r="BM255" s="111">
        <v>1.26</v>
      </c>
      <c r="BN255" s="118">
        <f t="shared" si="115"/>
        <v>0.99943529943312337</v>
      </c>
      <c r="BO255" s="108" t="e">
        <f t="shared" si="116"/>
        <v>#DIV/0!</v>
      </c>
      <c r="BP255" s="6" t="e">
        <f t="shared" si="117"/>
        <v>#DIV/0!</v>
      </c>
      <c r="BQ255" s="16">
        <f t="shared" si="118"/>
        <v>127.25109874278135</v>
      </c>
      <c r="BR255" s="118">
        <f t="shared" si="119"/>
        <v>4.2387607289550546</v>
      </c>
      <c r="BS255" s="108">
        <f t="shared" si="120"/>
        <v>6.2113593319506881</v>
      </c>
      <c r="BT255" s="118">
        <f t="shared" si="121"/>
        <v>1.1000000000000001</v>
      </c>
      <c r="BU255" s="108">
        <f t="shared" si="122"/>
        <v>6.8324952651457576</v>
      </c>
      <c r="BV255" s="6" cm="1">
        <f t="array" ref="BV255">IF(AP255=0,FactorPhi7121(BR255,"a"),noisuy2chieu(BU255,BR255,Data!$A$63:$M$85))</f>
        <v>0</v>
      </c>
      <c r="BW255" s="111">
        <v>1.26</v>
      </c>
      <c r="BX255" s="111">
        <f t="shared" si="123"/>
        <v>0.9977411977324937</v>
      </c>
      <c r="BY255" s="113" t="e">
        <f t="shared" si="124"/>
        <v>#DIV/0!</v>
      </c>
      <c r="BZ255" s="6" t="e">
        <f t="shared" si="125"/>
        <v>#DIV/0!</v>
      </c>
      <c r="CA255" s="114">
        <f t="shared" si="126"/>
        <v>127.25109874278135</v>
      </c>
      <c r="CB255" s="115" t="e">
        <f t="shared" si="127"/>
        <v>#DIV/0!</v>
      </c>
      <c r="CC255" s="6" t="e">
        <f t="shared" si="128"/>
        <v>#DIV/0!</v>
      </c>
      <c r="DG255" s="108"/>
      <c r="DH255" s="108"/>
      <c r="DI255" s="16"/>
      <c r="DJ255" s="108"/>
      <c r="DT255" s="6"/>
      <c r="DU255" s="6"/>
      <c r="DV255" s="111"/>
      <c r="DW255" s="111"/>
      <c r="DX255" s="111"/>
      <c r="DY255" s="111"/>
      <c r="DZ255" s="111"/>
      <c r="EA255" s="111"/>
      <c r="EB255" s="111"/>
      <c r="EC255" s="111"/>
      <c r="ED255" s="111"/>
      <c r="EE255" s="111"/>
      <c r="EF255" s="6"/>
      <c r="EG255" s="6"/>
      <c r="EH255" s="6"/>
      <c r="EI255" s="6"/>
      <c r="EJ255" s="6"/>
      <c r="EK255" s="6"/>
      <c r="EL255" s="112"/>
      <c r="EM255" s="112"/>
      <c r="EN255" s="118"/>
      <c r="EO255" s="118"/>
      <c r="EP255" s="112"/>
      <c r="EQ255" s="112"/>
      <c r="ER255" s="112"/>
      <c r="ES255" s="112"/>
      <c r="ET255" s="112"/>
      <c r="EU255" s="112"/>
      <c r="EV255" s="6"/>
      <c r="EW255" s="6"/>
      <c r="EX255" s="118"/>
      <c r="EY255" s="113"/>
      <c r="EZ255" s="6"/>
      <c r="FA255" s="114"/>
      <c r="FB255" s="115"/>
      <c r="FC255" s="6"/>
    </row>
    <row r="256" spans="27:159">
      <c r="AA256" s="79" t="s">
        <v>175</v>
      </c>
      <c r="AB256" s="80" t="s">
        <v>197</v>
      </c>
      <c r="AC256" s="81">
        <v>5.48</v>
      </c>
      <c r="AD256" s="81">
        <v>6</v>
      </c>
      <c r="AE256" s="80">
        <v>273</v>
      </c>
      <c r="AF256" s="80">
        <v>6.35</v>
      </c>
      <c r="AG256" s="108" cm="1">
        <f t="array" ref="AG256">_xll.DCEPropSectPipe(AE256, AF256, "Area")/100</f>
        <v>53.19431074856206</v>
      </c>
      <c r="AH256" s="16" cm="1">
        <f t="array" ref="AH256">_xll.DCEPropSectPipe(AE256, AF256, "Ix")/10000</f>
        <v>4730.4733077169503</v>
      </c>
      <c r="AI256" s="16" cm="1">
        <f t="array" ref="AI256">_xll.DCEPropSectPipe(AE256, AF256, "Wx")/1000</f>
        <v>346.55482107816493</v>
      </c>
      <c r="AJ256" s="108">
        <f t="shared" si="97"/>
        <v>9.4301739777164251</v>
      </c>
      <c r="AK256" s="80" t="s">
        <v>218</v>
      </c>
      <c r="AL256" s="82">
        <v>2.8758381194076641</v>
      </c>
      <c r="AM256" s="82">
        <v>0.22558670573687681</v>
      </c>
      <c r="AN256" s="82">
        <v>-4.4909575402744838E-2</v>
      </c>
      <c r="AO256" s="82">
        <v>0.24628411150865251</v>
      </c>
      <c r="AP256" s="82">
        <v>-1.2371174942610335</v>
      </c>
      <c r="AQ256" s="82">
        <v>4.057328628979074E-2</v>
      </c>
      <c r="AR256" s="72">
        <v>1</v>
      </c>
      <c r="AS256" s="116">
        <f t="shared" si="98"/>
        <v>6</v>
      </c>
      <c r="AT256" s="7">
        <v>2</v>
      </c>
      <c r="AU256" s="6">
        <f t="shared" si="99"/>
        <v>12</v>
      </c>
      <c r="AV256" s="111">
        <f t="shared" si="100"/>
        <v>2.3652513953757058E-3</v>
      </c>
      <c r="AW256" s="117">
        <f t="shared" si="101"/>
        <v>105</v>
      </c>
      <c r="AX256" s="111">
        <f t="shared" si="102"/>
        <v>1</v>
      </c>
      <c r="AY256" s="111">
        <f t="shared" si="103"/>
        <v>1</v>
      </c>
      <c r="AZ256" s="111">
        <f t="shared" si="104"/>
        <v>1</v>
      </c>
      <c r="BA256" s="111">
        <f t="shared" si="105"/>
        <v>2.4897383109217961E-3</v>
      </c>
      <c r="BB256" s="111">
        <f t="shared" si="106"/>
        <v>3.2727957486697861E-3</v>
      </c>
      <c r="BC256" s="111">
        <f t="shared" si="107"/>
        <v>1.643968362806987E-2</v>
      </c>
      <c r="BD256" s="111">
        <v>0</v>
      </c>
      <c r="BE256" s="111">
        <f t="shared" si="108"/>
        <v>2.2202217687661452E-2</v>
      </c>
      <c r="BF256" s="6" t="str">
        <f t="shared" si="109"/>
        <v>OK</v>
      </c>
      <c r="BG256" s="16">
        <f t="shared" si="110"/>
        <v>63.625549371390676</v>
      </c>
      <c r="BH256" s="118">
        <f t="shared" si="111"/>
        <v>2.1193803644775273</v>
      </c>
      <c r="BI256" s="108">
        <f t="shared" si="112"/>
        <v>1.3145139528571874</v>
      </c>
      <c r="BJ256" s="6">
        <f t="shared" si="113"/>
        <v>1.2061648347384371</v>
      </c>
      <c r="BK256" s="108">
        <f t="shared" si="114"/>
        <v>1.585520504709359</v>
      </c>
      <c r="BL256" s="118" cm="1">
        <f t="array" ref="BL256">IF(AO256=0,FactorPhi7121(BH256,"a"),noisuy2chieu(BK256,BH256,Data!$A$63:$M$85))</f>
        <v>0</v>
      </c>
      <c r="BM256" s="111">
        <v>1.26</v>
      </c>
      <c r="BN256" s="118">
        <f t="shared" si="115"/>
        <v>0.99893758273381339</v>
      </c>
      <c r="BO256" s="108" t="e">
        <f t="shared" si="116"/>
        <v>#DIV/0!</v>
      </c>
      <c r="BP256" s="6" t="e">
        <f t="shared" si="117"/>
        <v>#DIV/0!</v>
      </c>
      <c r="BQ256" s="16">
        <f t="shared" si="118"/>
        <v>127.25109874278135</v>
      </c>
      <c r="BR256" s="118">
        <f t="shared" si="119"/>
        <v>4.2387607289550546</v>
      </c>
      <c r="BS256" s="108">
        <f t="shared" si="120"/>
        <v>6.6029765280766712</v>
      </c>
      <c r="BT256" s="118">
        <f t="shared" si="121"/>
        <v>1.1000000000000001</v>
      </c>
      <c r="BU256" s="108">
        <f t="shared" si="122"/>
        <v>7.2632741808843386</v>
      </c>
      <c r="BV256" s="6" cm="1">
        <f t="array" ref="BV256">IF(AP256=0,FactorPhi7121(BR256,"a"),noisuy2chieu(BU256,BR256,Data!$A$63:$M$85))</f>
        <v>0</v>
      </c>
      <c r="BW256" s="111">
        <v>1.26</v>
      </c>
      <c r="BX256" s="111">
        <f t="shared" si="123"/>
        <v>0.99575033093525367</v>
      </c>
      <c r="BY256" s="113" t="e">
        <f t="shared" si="124"/>
        <v>#DIV/0!</v>
      </c>
      <c r="BZ256" s="6" t="e">
        <f t="shared" si="125"/>
        <v>#DIV/0!</v>
      </c>
      <c r="CA256" s="114">
        <f t="shared" si="126"/>
        <v>127.25109874278135</v>
      </c>
      <c r="CB256" s="115" t="e">
        <f t="shared" si="127"/>
        <v>#DIV/0!</v>
      </c>
      <c r="CC256" s="6" t="e">
        <f t="shared" si="128"/>
        <v>#DIV/0!</v>
      </c>
      <c r="DG256" s="108"/>
      <c r="DH256" s="108"/>
      <c r="DI256" s="16"/>
      <c r="DJ256" s="108"/>
      <c r="DT256" s="6"/>
      <c r="DU256" s="6"/>
      <c r="DV256" s="111"/>
      <c r="DW256" s="111"/>
      <c r="DX256" s="111"/>
      <c r="DY256" s="111"/>
      <c r="DZ256" s="111"/>
      <c r="EA256" s="111"/>
      <c r="EB256" s="111"/>
      <c r="EC256" s="111"/>
      <c r="ED256" s="111"/>
      <c r="EE256" s="111"/>
      <c r="EF256" s="6"/>
      <c r="EG256" s="6"/>
      <c r="EH256" s="6"/>
      <c r="EI256" s="6"/>
      <c r="EJ256" s="6"/>
      <c r="EK256" s="6"/>
      <c r="EL256" s="112"/>
      <c r="EM256" s="112"/>
      <c r="EN256" s="118"/>
      <c r="EO256" s="118"/>
      <c r="EP256" s="112"/>
      <c r="EQ256" s="112"/>
      <c r="ER256" s="112"/>
      <c r="ES256" s="112"/>
      <c r="ET256" s="112"/>
      <c r="EU256" s="112"/>
      <c r="EV256" s="6"/>
      <c r="EW256" s="6"/>
      <c r="EX256" s="118"/>
      <c r="EY256" s="113"/>
      <c r="EZ256" s="6"/>
      <c r="FA256" s="114"/>
      <c r="FB256" s="115"/>
      <c r="FC256" s="6"/>
    </row>
    <row r="257" spans="27:159">
      <c r="AA257" s="79" t="s">
        <v>175</v>
      </c>
      <c r="AB257" s="80" t="s">
        <v>198</v>
      </c>
      <c r="AC257" s="81">
        <v>0</v>
      </c>
      <c r="AD257" s="81">
        <v>6</v>
      </c>
      <c r="AE257" s="80">
        <v>273</v>
      </c>
      <c r="AF257" s="80">
        <v>6.35</v>
      </c>
      <c r="AG257" s="108" cm="1">
        <f t="array" ref="AG257">_xll.DCEPropSectPipe(AE257, AF257, "Area")/100</f>
        <v>53.19431074856206</v>
      </c>
      <c r="AH257" s="16" cm="1">
        <f t="array" ref="AH257">_xll.DCEPropSectPipe(AE257, AF257, "Ix")/10000</f>
        <v>4730.4733077169503</v>
      </c>
      <c r="AI257" s="16" cm="1">
        <f t="array" ref="AI257">_xll.DCEPropSectPipe(AE257, AF257, "Wx")/1000</f>
        <v>346.55482107816493</v>
      </c>
      <c r="AJ257" s="108">
        <f t="shared" si="97"/>
        <v>9.4301739777164251</v>
      </c>
      <c r="AK257" s="80" t="s">
        <v>206</v>
      </c>
      <c r="AL257" s="82">
        <v>-26.988602582384186</v>
      </c>
      <c r="AM257" s="82">
        <v>4.0307545014221358</v>
      </c>
      <c r="AN257" s="82">
        <v>-1.1889066933097208</v>
      </c>
      <c r="AO257" s="82">
        <v>0</v>
      </c>
      <c r="AP257" s="82">
        <v>0</v>
      </c>
      <c r="AQ257" s="82">
        <v>-0.11422308547646658</v>
      </c>
      <c r="AR257" s="72">
        <v>1</v>
      </c>
      <c r="AS257" s="116">
        <f t="shared" si="98"/>
        <v>6</v>
      </c>
      <c r="AT257" s="7">
        <v>2</v>
      </c>
      <c r="AU257" s="6">
        <f t="shared" si="99"/>
        <v>12</v>
      </c>
      <c r="AV257" s="111">
        <f t="shared" si="100"/>
        <v>2.2196948251862178E-2</v>
      </c>
      <c r="AW257" s="117">
        <f t="shared" si="101"/>
        <v>105</v>
      </c>
      <c r="AX257" s="111">
        <f t="shared" si="102"/>
        <v>1</v>
      </c>
      <c r="AY257" s="111">
        <f t="shared" si="103"/>
        <v>1</v>
      </c>
      <c r="AZ257" s="111">
        <f t="shared" si="104"/>
        <v>1</v>
      </c>
      <c r="BA257" s="111">
        <f t="shared" si="105"/>
        <v>2.3365208686170719E-2</v>
      </c>
      <c r="BB257" s="111">
        <f t="shared" si="106"/>
        <v>0</v>
      </c>
      <c r="BC257" s="111">
        <f t="shared" si="107"/>
        <v>0</v>
      </c>
      <c r="BD257" s="111">
        <v>0</v>
      </c>
      <c r="BE257" s="111">
        <f t="shared" si="108"/>
        <v>2.3365208686170719E-2</v>
      </c>
      <c r="BF257" s="6" t="str">
        <f t="shared" si="109"/>
        <v>OK</v>
      </c>
      <c r="BG257" s="16">
        <f t="shared" si="110"/>
        <v>63.625549371390676</v>
      </c>
      <c r="BH257" s="118">
        <f t="shared" si="111"/>
        <v>2.1193803644775273</v>
      </c>
      <c r="BI257" s="108">
        <f t="shared" si="112"/>
        <v>0</v>
      </c>
      <c r="BJ257" s="6">
        <f t="shared" si="113"/>
        <v>1.2440309817761237</v>
      </c>
      <c r="BK257" s="108">
        <f t="shared" si="114"/>
        <v>0</v>
      </c>
      <c r="BL257" s="118" cm="1">
        <f t="array" ref="BL257">IF(AO257=0,FactorPhi7121(BH257,"a"),noisuy2chieu(BK257,BH257,Data!$A$63:$M$85))</f>
        <v>0.86214274110469236</v>
      </c>
      <c r="BM257" s="111">
        <v>1.26</v>
      </c>
      <c r="BN257" s="118">
        <f t="shared" si="115"/>
        <v>0.99002963442890923</v>
      </c>
      <c r="BO257" s="108">
        <f t="shared" si="116"/>
        <v>5.5237488102011706E-2</v>
      </c>
      <c r="BP257" s="6" t="str">
        <f t="shared" si="117"/>
        <v>OK</v>
      </c>
      <c r="BQ257" s="16">
        <f t="shared" si="118"/>
        <v>127.25109874278135</v>
      </c>
      <c r="BR257" s="118">
        <f t="shared" si="119"/>
        <v>4.2387607289550546</v>
      </c>
      <c r="BS257" s="108">
        <f t="shared" si="120"/>
        <v>0</v>
      </c>
      <c r="BT257" s="118">
        <f t="shared" si="121"/>
        <v>1.1380619635522473</v>
      </c>
      <c r="BU257" s="108">
        <f t="shared" si="122"/>
        <v>0</v>
      </c>
      <c r="BV257" s="6" cm="1">
        <f t="array" ref="BV257">IF(AP257=0,FactorPhi7121(BR257,"a"),noisuy2chieu(BU257,BR257,Data!$A$63:$M$85))</f>
        <v>0.42299549615688942</v>
      </c>
      <c r="BW257" s="111">
        <v>1.26</v>
      </c>
      <c r="BX257" s="111">
        <f t="shared" si="123"/>
        <v>0.96011853771563704</v>
      </c>
      <c r="BY257" s="113">
        <f t="shared" si="124"/>
        <v>2.7101322753390111E-2</v>
      </c>
      <c r="BZ257" s="6" t="str">
        <f t="shared" si="125"/>
        <v>OK</v>
      </c>
      <c r="CA257" s="114">
        <f t="shared" si="126"/>
        <v>127.25109874278135</v>
      </c>
      <c r="CB257" s="115">
        <f t="shared" si="127"/>
        <v>150</v>
      </c>
      <c r="CC257" s="6" t="str">
        <f t="shared" si="128"/>
        <v>OK</v>
      </c>
      <c r="DG257" s="108"/>
      <c r="DH257" s="108"/>
      <c r="DI257" s="16"/>
      <c r="DJ257" s="108"/>
      <c r="DT257" s="6"/>
      <c r="DU257" s="6"/>
      <c r="DV257" s="111"/>
      <c r="DW257" s="111"/>
      <c r="DX257" s="111"/>
      <c r="DY257" s="111"/>
      <c r="DZ257" s="111"/>
      <c r="EA257" s="111"/>
      <c r="EB257" s="111"/>
      <c r="EC257" s="111"/>
      <c r="ED257" s="111"/>
      <c r="EE257" s="111"/>
      <c r="EF257" s="6"/>
      <c r="EG257" s="6"/>
      <c r="EH257" s="6"/>
      <c r="EI257" s="6"/>
      <c r="EJ257" s="6"/>
      <c r="EK257" s="6"/>
      <c r="EL257" s="112"/>
      <c r="EM257" s="112"/>
      <c r="EN257" s="118"/>
      <c r="EO257" s="118"/>
      <c r="EP257" s="112"/>
      <c r="EQ257" s="112"/>
      <c r="ER257" s="112"/>
      <c r="ES257" s="112"/>
      <c r="ET257" s="112"/>
      <c r="EU257" s="112"/>
      <c r="EV257" s="6"/>
      <c r="EW257" s="6"/>
      <c r="EX257" s="118"/>
      <c r="EY257" s="113"/>
      <c r="EZ257" s="6"/>
      <c r="FA257" s="114"/>
      <c r="FB257" s="115"/>
      <c r="FC257" s="6"/>
    </row>
    <row r="258" spans="27:159">
      <c r="AA258" s="79" t="s">
        <v>175</v>
      </c>
      <c r="AB258" s="80" t="s">
        <v>198</v>
      </c>
      <c r="AC258" s="81">
        <v>2.74</v>
      </c>
      <c r="AD258" s="81">
        <v>6</v>
      </c>
      <c r="AE258" s="80">
        <v>273</v>
      </c>
      <c r="AF258" s="80">
        <v>6.35</v>
      </c>
      <c r="AG258" s="108" cm="1">
        <f t="array" ref="AG258">_xll.DCEPropSectPipe(AE258, AF258, "Area")/100</f>
        <v>53.19431074856206</v>
      </c>
      <c r="AH258" s="16" cm="1">
        <f t="array" ref="AH258">_xll.DCEPropSectPipe(AE258, AF258, "Ix")/10000</f>
        <v>4730.4733077169503</v>
      </c>
      <c r="AI258" s="16" cm="1">
        <f t="array" ref="AI258">_xll.DCEPropSectPipe(AE258, AF258, "Wx")/1000</f>
        <v>346.55482107816493</v>
      </c>
      <c r="AJ258" s="108">
        <f t="shared" si="97"/>
        <v>9.4301739777164251</v>
      </c>
      <c r="AK258" s="80" t="s">
        <v>206</v>
      </c>
      <c r="AL258" s="82">
        <v>-25.641342233652153</v>
      </c>
      <c r="AM258" s="82">
        <v>4.0307545014221358</v>
      </c>
      <c r="AN258" s="82">
        <v>-1.1889066933097208</v>
      </c>
      <c r="AO258" s="82">
        <v>3.2599821530552537</v>
      </c>
      <c r="AP258" s="82">
        <v>-11.052328842899495</v>
      </c>
      <c r="AQ258" s="82">
        <v>-0.11422308547646658</v>
      </c>
      <c r="AR258" s="72">
        <v>1</v>
      </c>
      <c r="AS258" s="116">
        <f t="shared" si="98"/>
        <v>6</v>
      </c>
      <c r="AT258" s="7">
        <v>2</v>
      </c>
      <c r="AU258" s="6">
        <f t="shared" si="99"/>
        <v>12</v>
      </c>
      <c r="AV258" s="111">
        <f t="shared" si="100"/>
        <v>2.1088885388981307E-2</v>
      </c>
      <c r="AW258" s="117">
        <f t="shared" si="101"/>
        <v>105</v>
      </c>
      <c r="AX258" s="111">
        <f t="shared" si="102"/>
        <v>1</v>
      </c>
      <c r="AY258" s="111">
        <f t="shared" si="103"/>
        <v>1</v>
      </c>
      <c r="AZ258" s="111">
        <f t="shared" si="104"/>
        <v>1</v>
      </c>
      <c r="BA258" s="111">
        <f t="shared" si="105"/>
        <v>2.2198826725243485E-2</v>
      </c>
      <c r="BB258" s="111">
        <f t="shared" si="106"/>
        <v>4.3320925844149621E-2</v>
      </c>
      <c r="BC258" s="111">
        <f t="shared" si="107"/>
        <v>0.14687108570814614</v>
      </c>
      <c r="BD258" s="111">
        <v>0</v>
      </c>
      <c r="BE258" s="111">
        <f t="shared" si="108"/>
        <v>0.21239083827753924</v>
      </c>
      <c r="BF258" s="6" t="str">
        <f t="shared" si="109"/>
        <v>OK</v>
      </c>
      <c r="BG258" s="16">
        <f t="shared" si="110"/>
        <v>63.625549371390676</v>
      </c>
      <c r="BH258" s="118">
        <f t="shared" si="111"/>
        <v>2.1193803644775273</v>
      </c>
      <c r="BI258" s="108">
        <f t="shared" si="112"/>
        <v>1.9514961930347006</v>
      </c>
      <c r="BJ258" s="6">
        <f t="shared" si="113"/>
        <v>1.1878157992530927</v>
      </c>
      <c r="BK258" s="108">
        <f t="shared" si="114"/>
        <v>2.3180180102688803</v>
      </c>
      <c r="BL258" s="118" cm="1">
        <f t="array" ref="BL258">IF(AO258=0,FactorPhi7121(BH258,"a"),noisuy2chieu(BK258,BH258,Data!$A$63:$M$85))</f>
        <v>0</v>
      </c>
      <c r="BM258" s="111">
        <v>1.26</v>
      </c>
      <c r="BN258" s="118">
        <f t="shared" si="115"/>
        <v>0.99052735112821921</v>
      </c>
      <c r="BO258" s="108" t="e">
        <f t="shared" si="116"/>
        <v>#DIV/0!</v>
      </c>
      <c r="BP258" s="6" t="e">
        <f t="shared" si="117"/>
        <v>#DIV/0!</v>
      </c>
      <c r="BQ258" s="16">
        <f t="shared" si="118"/>
        <v>127.25109874278135</v>
      </c>
      <c r="BR258" s="118">
        <f t="shared" si="119"/>
        <v>4.2387607289550546</v>
      </c>
      <c r="BS258" s="108">
        <f t="shared" si="120"/>
        <v>6.6161643372409014</v>
      </c>
      <c r="BT258" s="118">
        <f t="shared" si="121"/>
        <v>1.1000000000000001</v>
      </c>
      <c r="BU258" s="108">
        <f t="shared" si="122"/>
        <v>7.2777807709649922</v>
      </c>
      <c r="BV258" s="6" cm="1">
        <f t="array" ref="BV258">IF(AP258=0,FactorPhi7121(BR258,"a"),noisuy2chieu(BU258,BR258,Data!$A$63:$M$85))</f>
        <v>0</v>
      </c>
      <c r="BW258" s="111">
        <v>1.26</v>
      </c>
      <c r="BX258" s="111">
        <f t="shared" si="123"/>
        <v>0.96210940451287708</v>
      </c>
      <c r="BY258" s="113" t="e">
        <f t="shared" si="124"/>
        <v>#DIV/0!</v>
      </c>
      <c r="BZ258" s="6" t="e">
        <f t="shared" si="125"/>
        <v>#DIV/0!</v>
      </c>
      <c r="CA258" s="114">
        <f t="shared" si="126"/>
        <v>127.25109874278135</v>
      </c>
      <c r="CB258" s="115" t="e">
        <f t="shared" si="127"/>
        <v>#DIV/0!</v>
      </c>
      <c r="CC258" s="6" t="e">
        <f t="shared" si="128"/>
        <v>#DIV/0!</v>
      </c>
      <c r="DG258" s="108"/>
      <c r="DH258" s="108"/>
      <c r="DI258" s="16"/>
      <c r="DJ258" s="108"/>
      <c r="DT258" s="6"/>
      <c r="DU258" s="6"/>
      <c r="DV258" s="111"/>
      <c r="DW258" s="111"/>
      <c r="DX258" s="111"/>
      <c r="DY258" s="111"/>
      <c r="DZ258" s="111"/>
      <c r="EA258" s="111"/>
      <c r="EB258" s="111"/>
      <c r="EC258" s="111"/>
      <c r="ED258" s="111"/>
      <c r="EE258" s="111"/>
      <c r="EF258" s="6"/>
      <c r="EG258" s="6"/>
      <c r="EH258" s="6"/>
      <c r="EI258" s="6"/>
      <c r="EJ258" s="6"/>
      <c r="EK258" s="6"/>
      <c r="EL258" s="112"/>
      <c r="EM258" s="112"/>
      <c r="EN258" s="118"/>
      <c r="EO258" s="118"/>
      <c r="EP258" s="112"/>
      <c r="EQ258" s="112"/>
      <c r="ER258" s="112"/>
      <c r="ES258" s="112"/>
      <c r="ET258" s="112"/>
      <c r="EU258" s="112"/>
      <c r="EV258" s="6"/>
      <c r="EW258" s="6"/>
      <c r="EX258" s="118"/>
      <c r="EY258" s="113"/>
      <c r="EZ258" s="6"/>
      <c r="FA258" s="114"/>
      <c r="FB258" s="115"/>
      <c r="FC258" s="6"/>
    </row>
    <row r="259" spans="27:159">
      <c r="AA259" s="79" t="s">
        <v>175</v>
      </c>
      <c r="AB259" s="80" t="s">
        <v>198</v>
      </c>
      <c r="AC259" s="81">
        <v>5.48</v>
      </c>
      <c r="AD259" s="81">
        <v>6</v>
      </c>
      <c r="AE259" s="80">
        <v>273</v>
      </c>
      <c r="AF259" s="80">
        <v>6.35</v>
      </c>
      <c r="AG259" s="108" cm="1">
        <f t="array" ref="AG259">_xll.DCEPropSectPipe(AE259, AF259, "Area")/100</f>
        <v>53.19431074856206</v>
      </c>
      <c r="AH259" s="16" cm="1">
        <f t="array" ref="AH259">_xll.DCEPropSectPipe(AE259, AF259, "Ix")/10000</f>
        <v>4730.4733077169503</v>
      </c>
      <c r="AI259" s="16" cm="1">
        <f t="array" ref="AI259">_xll.DCEPropSectPipe(AE259, AF259, "Wx")/1000</f>
        <v>346.55482107816493</v>
      </c>
      <c r="AJ259" s="108">
        <f t="shared" si="97"/>
        <v>9.4301739777164251</v>
      </c>
      <c r="AK259" s="80" t="s">
        <v>206</v>
      </c>
      <c r="AL259" s="82">
        <v>-24.294081884920118</v>
      </c>
      <c r="AM259" s="82">
        <v>4.0307545014221358</v>
      </c>
      <c r="AN259" s="82">
        <v>-1.1889066933097208</v>
      </c>
      <c r="AO259" s="82">
        <v>6.5199643061105075</v>
      </c>
      <c r="AP259" s="82">
        <v>-22.10465768579899</v>
      </c>
      <c r="AQ259" s="82">
        <v>-0.11422308547646658</v>
      </c>
      <c r="AR259" s="72">
        <v>1</v>
      </c>
      <c r="AS259" s="116">
        <f t="shared" si="98"/>
        <v>6</v>
      </c>
      <c r="AT259" s="7">
        <v>2</v>
      </c>
      <c r="AU259" s="6">
        <f t="shared" si="99"/>
        <v>12</v>
      </c>
      <c r="AV259" s="111">
        <f t="shared" si="100"/>
        <v>1.9980822526100436E-2</v>
      </c>
      <c r="AW259" s="117">
        <f t="shared" si="101"/>
        <v>105</v>
      </c>
      <c r="AX259" s="111">
        <f t="shared" si="102"/>
        <v>1</v>
      </c>
      <c r="AY259" s="111">
        <f t="shared" si="103"/>
        <v>1</v>
      </c>
      <c r="AZ259" s="111">
        <f t="shared" si="104"/>
        <v>1</v>
      </c>
      <c r="BA259" s="111">
        <f t="shared" si="105"/>
        <v>2.1032444764316247E-2</v>
      </c>
      <c r="BB259" s="111">
        <f t="shared" si="106"/>
        <v>8.6641851688299243E-2</v>
      </c>
      <c r="BC259" s="111">
        <f t="shared" si="107"/>
        <v>0.29374217141629227</v>
      </c>
      <c r="BD259" s="111">
        <v>0</v>
      </c>
      <c r="BE259" s="111">
        <f t="shared" si="108"/>
        <v>0.40141646786890778</v>
      </c>
      <c r="BF259" s="6" t="str">
        <f t="shared" si="109"/>
        <v>OK</v>
      </c>
      <c r="BG259" s="16">
        <f t="shared" si="110"/>
        <v>63.625549371390676</v>
      </c>
      <c r="BH259" s="118">
        <f t="shared" si="111"/>
        <v>2.1193803644775273</v>
      </c>
      <c r="BI259" s="108">
        <f t="shared" si="112"/>
        <v>4.119437975907406</v>
      </c>
      <c r="BJ259" s="6">
        <f t="shared" si="113"/>
        <v>1.1253656425689655</v>
      </c>
      <c r="BK259" s="108">
        <f t="shared" si="114"/>
        <v>4.6358739647800364</v>
      </c>
      <c r="BL259" s="118" cm="1">
        <f t="array" ref="BL259">IF(AO259=0,FactorPhi7121(BH259,"a"),noisuy2chieu(BK259,BH259,Data!$A$63:$M$85))</f>
        <v>0</v>
      </c>
      <c r="BM259" s="111">
        <v>1.26</v>
      </c>
      <c r="BN259" s="118">
        <f t="shared" si="115"/>
        <v>0.9910250678275293</v>
      </c>
      <c r="BO259" s="108" t="e">
        <f t="shared" si="116"/>
        <v>#DIV/0!</v>
      </c>
      <c r="BP259" s="6" t="e">
        <f t="shared" si="117"/>
        <v>#DIV/0!</v>
      </c>
      <c r="BQ259" s="16">
        <f t="shared" si="118"/>
        <v>127.25109874278135</v>
      </c>
      <c r="BR259" s="118">
        <f t="shared" si="119"/>
        <v>4.2387607289550546</v>
      </c>
      <c r="BS259" s="108">
        <f t="shared" si="120"/>
        <v>13.966144911249534</v>
      </c>
      <c r="BT259" s="118">
        <f t="shared" si="121"/>
        <v>1.1000000000000001</v>
      </c>
      <c r="BU259" s="108">
        <f t="shared" si="122"/>
        <v>15.36275940237449</v>
      </c>
      <c r="BV259" s="6" cm="1">
        <f t="array" ref="BV259">IF(AP259=0,FactorPhi7121(BR259,"a"),noisuy2chieu(BU259,BR259,Data!$A$63:$M$85))</f>
        <v>0</v>
      </c>
      <c r="BW259" s="111">
        <v>1.26</v>
      </c>
      <c r="BX259" s="111">
        <f t="shared" si="123"/>
        <v>0.964100271310117</v>
      </c>
      <c r="BY259" s="113" t="e">
        <f t="shared" si="124"/>
        <v>#DIV/0!</v>
      </c>
      <c r="BZ259" s="6" t="e">
        <f t="shared" si="125"/>
        <v>#DIV/0!</v>
      </c>
      <c r="CA259" s="114">
        <f t="shared" si="126"/>
        <v>127.25109874278135</v>
      </c>
      <c r="CB259" s="115" t="e">
        <f t="shared" si="127"/>
        <v>#DIV/0!</v>
      </c>
      <c r="CC259" s="6" t="e">
        <f t="shared" si="128"/>
        <v>#DIV/0!</v>
      </c>
      <c r="DG259" s="108"/>
      <c r="DH259" s="108"/>
      <c r="DI259" s="16"/>
      <c r="DJ259" s="108"/>
      <c r="DT259" s="6"/>
      <c r="DU259" s="6"/>
      <c r="DV259" s="111"/>
      <c r="DW259" s="111"/>
      <c r="DX259" s="111"/>
      <c r="DY259" s="111"/>
      <c r="DZ259" s="111"/>
      <c r="EA259" s="111"/>
      <c r="EB259" s="111"/>
      <c r="EC259" s="111"/>
      <c r="ED259" s="111"/>
      <c r="EE259" s="111"/>
      <c r="EF259" s="6"/>
      <c r="EG259" s="6"/>
      <c r="EH259" s="6"/>
      <c r="EI259" s="6"/>
      <c r="EJ259" s="6"/>
      <c r="EK259" s="6"/>
      <c r="EL259" s="112"/>
      <c r="EM259" s="112"/>
      <c r="EN259" s="118"/>
      <c r="EO259" s="118"/>
      <c r="EP259" s="112"/>
      <c r="EQ259" s="112"/>
      <c r="ER259" s="112"/>
      <c r="ES259" s="112"/>
      <c r="ET259" s="112"/>
      <c r="EU259" s="112"/>
      <c r="EV259" s="6"/>
      <c r="EW259" s="6"/>
      <c r="EX259" s="118"/>
      <c r="EY259" s="113"/>
      <c r="EZ259" s="6"/>
      <c r="FA259" s="114"/>
      <c r="FB259" s="115"/>
      <c r="FC259" s="6"/>
    </row>
    <row r="260" spans="27:159">
      <c r="AA260" s="79" t="s">
        <v>175</v>
      </c>
      <c r="AB260" s="80" t="s">
        <v>198</v>
      </c>
      <c r="AC260" s="81">
        <v>0</v>
      </c>
      <c r="AD260" s="81">
        <v>6</v>
      </c>
      <c r="AE260" s="80">
        <v>273</v>
      </c>
      <c r="AF260" s="80">
        <v>6.35</v>
      </c>
      <c r="AG260" s="108" cm="1">
        <f t="array" ref="AG260">_xll.DCEPropSectPipe(AE260, AF260, "Area")/100</f>
        <v>53.19431074856206</v>
      </c>
      <c r="AH260" s="16" cm="1">
        <f t="array" ref="AH260">_xll.DCEPropSectPipe(AE260, AF260, "Ix")/10000</f>
        <v>4730.4733077169503</v>
      </c>
      <c r="AI260" s="16" cm="1">
        <f t="array" ref="AI260">_xll.DCEPropSectPipe(AE260, AF260, "Wx")/1000</f>
        <v>346.55482107816493</v>
      </c>
      <c r="AJ260" s="108">
        <f t="shared" si="97"/>
        <v>9.4301739777164251</v>
      </c>
      <c r="AK260" s="80" t="s">
        <v>207</v>
      </c>
      <c r="AL260" s="82">
        <v>-33.989283668124969</v>
      </c>
      <c r="AM260" s="82">
        <v>6.0628305663134547</v>
      </c>
      <c r="AN260" s="82">
        <v>-1.8044979687127882</v>
      </c>
      <c r="AO260" s="82">
        <v>0</v>
      </c>
      <c r="AP260" s="82">
        <v>0</v>
      </c>
      <c r="AQ260" s="82">
        <v>-0.20532882238065836</v>
      </c>
      <c r="AR260" s="72">
        <v>1</v>
      </c>
      <c r="AS260" s="116">
        <f t="shared" si="98"/>
        <v>6</v>
      </c>
      <c r="AT260" s="7">
        <v>2</v>
      </c>
      <c r="AU260" s="6">
        <f t="shared" si="99"/>
        <v>12</v>
      </c>
      <c r="AV260" s="111">
        <f t="shared" si="100"/>
        <v>2.7954703041634291E-2</v>
      </c>
      <c r="AW260" s="117">
        <f t="shared" si="101"/>
        <v>105</v>
      </c>
      <c r="AX260" s="111">
        <f t="shared" si="102"/>
        <v>1</v>
      </c>
      <c r="AY260" s="111">
        <f t="shared" si="103"/>
        <v>1</v>
      </c>
      <c r="AZ260" s="111">
        <f t="shared" si="104"/>
        <v>1</v>
      </c>
      <c r="BA260" s="111">
        <f t="shared" si="105"/>
        <v>2.942600320172031E-2</v>
      </c>
      <c r="BB260" s="111">
        <f t="shared" si="106"/>
        <v>0</v>
      </c>
      <c r="BC260" s="111">
        <f t="shared" si="107"/>
        <v>0</v>
      </c>
      <c r="BD260" s="111">
        <v>0</v>
      </c>
      <c r="BE260" s="111">
        <f t="shared" si="108"/>
        <v>2.942600320172031E-2</v>
      </c>
      <c r="BF260" s="6" t="str">
        <f t="shared" si="109"/>
        <v>OK</v>
      </c>
      <c r="BG260" s="16">
        <f t="shared" si="110"/>
        <v>63.625549371390676</v>
      </c>
      <c r="BH260" s="118">
        <f t="shared" si="111"/>
        <v>2.1193803644775273</v>
      </c>
      <c r="BI260" s="108">
        <f t="shared" si="112"/>
        <v>0</v>
      </c>
      <c r="BJ260" s="6">
        <f t="shared" si="113"/>
        <v>1.2440309817761237</v>
      </c>
      <c r="BK260" s="108">
        <f t="shared" si="114"/>
        <v>0</v>
      </c>
      <c r="BL260" s="118" cm="1">
        <f t="array" ref="BL260">IF(AO260=0,FactorPhi7121(BH260,"a"),noisuy2chieu(BK260,BH260,Data!$A$63:$M$85))</f>
        <v>0.86214274110469236</v>
      </c>
      <c r="BM260" s="111">
        <v>1.26</v>
      </c>
      <c r="BN260" s="118">
        <f t="shared" si="115"/>
        <v>0.98744338160391065</v>
      </c>
      <c r="BO260" s="108">
        <f t="shared" si="116"/>
        <v>6.9565760082717698E-2</v>
      </c>
      <c r="BP260" s="6" t="str">
        <f t="shared" si="117"/>
        <v>OK</v>
      </c>
      <c r="BQ260" s="16">
        <f t="shared" si="118"/>
        <v>127.25109874278135</v>
      </c>
      <c r="BR260" s="118">
        <f t="shared" si="119"/>
        <v>4.2387607289550546</v>
      </c>
      <c r="BS260" s="108">
        <f t="shared" si="120"/>
        <v>0</v>
      </c>
      <c r="BT260" s="118">
        <f t="shared" si="121"/>
        <v>1.1380619635522473</v>
      </c>
      <c r="BU260" s="108">
        <f t="shared" si="122"/>
        <v>0</v>
      </c>
      <c r="BV260" s="6" cm="1">
        <f t="array" ref="BV260">IF(AP260=0,FactorPhi7121(BR260,"a"),noisuy2chieu(BU260,BR260,Data!$A$63:$M$85))</f>
        <v>0.42299549615688942</v>
      </c>
      <c r="BW260" s="111">
        <v>1.26</v>
      </c>
      <c r="BX260" s="111">
        <f t="shared" si="123"/>
        <v>0.94977352641564261</v>
      </c>
      <c r="BY260" s="113">
        <f t="shared" si="124"/>
        <v>3.4131242773111782E-2</v>
      </c>
      <c r="BZ260" s="6" t="str">
        <f t="shared" si="125"/>
        <v>OK</v>
      </c>
      <c r="CA260" s="114">
        <f t="shared" si="126"/>
        <v>127.25109874278135</v>
      </c>
      <c r="CB260" s="115">
        <f t="shared" si="127"/>
        <v>150</v>
      </c>
      <c r="CC260" s="6" t="str">
        <f t="shared" si="128"/>
        <v>OK</v>
      </c>
      <c r="DG260" s="108"/>
      <c r="DH260" s="108"/>
      <c r="DI260" s="16"/>
      <c r="DJ260" s="108"/>
      <c r="DT260" s="6"/>
      <c r="DU260" s="6"/>
      <c r="DV260" s="111"/>
      <c r="DW260" s="111"/>
      <c r="DX260" s="111"/>
      <c r="DY260" s="111"/>
      <c r="DZ260" s="111"/>
      <c r="EA260" s="111"/>
      <c r="EB260" s="111"/>
      <c r="EC260" s="111"/>
      <c r="ED260" s="111"/>
      <c r="EE260" s="111"/>
      <c r="EF260" s="6"/>
      <c r="EG260" s="6"/>
      <c r="EH260" s="6"/>
      <c r="EI260" s="6"/>
      <c r="EJ260" s="6"/>
      <c r="EK260" s="6"/>
      <c r="EL260" s="112"/>
      <c r="EM260" s="112"/>
      <c r="EN260" s="118"/>
      <c r="EO260" s="118"/>
      <c r="EP260" s="112"/>
      <c r="EQ260" s="112"/>
      <c r="ER260" s="112"/>
      <c r="ES260" s="112"/>
      <c r="ET260" s="112"/>
      <c r="EU260" s="112"/>
      <c r="EV260" s="6"/>
      <c r="EW260" s="6"/>
      <c r="EX260" s="118"/>
      <c r="EY260" s="113"/>
      <c r="EZ260" s="6"/>
      <c r="FA260" s="114"/>
      <c r="FB260" s="115"/>
      <c r="FC260" s="6"/>
    </row>
    <row r="261" spans="27:159">
      <c r="AA261" s="79" t="s">
        <v>175</v>
      </c>
      <c r="AB261" s="80" t="s">
        <v>198</v>
      </c>
      <c r="AC261" s="81">
        <v>2.74</v>
      </c>
      <c r="AD261" s="81">
        <v>6</v>
      </c>
      <c r="AE261" s="80">
        <v>273</v>
      </c>
      <c r="AF261" s="80">
        <v>6.35</v>
      </c>
      <c r="AG261" s="108" cm="1">
        <f t="array" ref="AG261">_xll.DCEPropSectPipe(AE261, AF261, "Area")/100</f>
        <v>53.19431074856206</v>
      </c>
      <c r="AH261" s="16" cm="1">
        <f t="array" ref="AH261">_xll.DCEPropSectPipe(AE261, AF261, "Ix")/10000</f>
        <v>4730.4733077169503</v>
      </c>
      <c r="AI261" s="16" cm="1">
        <f t="array" ref="AI261">_xll.DCEPropSectPipe(AE261, AF261, "Wx")/1000</f>
        <v>346.55482107816493</v>
      </c>
      <c r="AJ261" s="108">
        <f t="shared" si="97"/>
        <v>9.4301739777164251</v>
      </c>
      <c r="AK261" s="80" t="s">
        <v>207</v>
      </c>
      <c r="AL261" s="82">
        <v>-32.642023319392941</v>
      </c>
      <c r="AM261" s="82">
        <v>6.0628305663134547</v>
      </c>
      <c r="AN261" s="82">
        <v>-1.8044979687127882</v>
      </c>
      <c r="AO261" s="82">
        <v>4.9479334302104654</v>
      </c>
      <c r="AP261" s="82">
        <v>-16.624281412831493</v>
      </c>
      <c r="AQ261" s="82">
        <v>-0.20532882238065836</v>
      </c>
      <c r="AR261" s="72">
        <v>1</v>
      </c>
      <c r="AS261" s="116">
        <f t="shared" si="98"/>
        <v>6</v>
      </c>
      <c r="AT261" s="7">
        <v>2</v>
      </c>
      <c r="AU261" s="6">
        <f t="shared" si="99"/>
        <v>12</v>
      </c>
      <c r="AV261" s="111">
        <f t="shared" si="100"/>
        <v>2.6846640178753427E-2</v>
      </c>
      <c r="AW261" s="117">
        <f t="shared" si="101"/>
        <v>105</v>
      </c>
      <c r="AX261" s="111">
        <f t="shared" si="102"/>
        <v>1</v>
      </c>
      <c r="AY261" s="111">
        <f t="shared" si="103"/>
        <v>1</v>
      </c>
      <c r="AZ261" s="111">
        <f t="shared" si="104"/>
        <v>1</v>
      </c>
      <c r="BA261" s="111">
        <f t="shared" si="105"/>
        <v>2.8259621240793079E-2</v>
      </c>
      <c r="BB261" s="111">
        <f t="shared" si="106"/>
        <v>6.5751604502205199E-2</v>
      </c>
      <c r="BC261" s="111">
        <f t="shared" si="107"/>
        <v>0.22091509354509695</v>
      </c>
      <c r="BD261" s="111">
        <v>0</v>
      </c>
      <c r="BE261" s="111">
        <f t="shared" si="108"/>
        <v>0.31492631928809522</v>
      </c>
      <c r="BF261" s="6" t="str">
        <f t="shared" si="109"/>
        <v>OK</v>
      </c>
      <c r="BG261" s="16">
        <f t="shared" si="110"/>
        <v>63.625549371390676</v>
      </c>
      <c r="BH261" s="118">
        <f t="shared" si="111"/>
        <v>2.1193803644775273</v>
      </c>
      <c r="BI261" s="108">
        <f t="shared" si="112"/>
        <v>2.326698009925626</v>
      </c>
      <c r="BJ261" s="6">
        <f t="shared" si="113"/>
        <v>1.1770076620428955</v>
      </c>
      <c r="BK261" s="108">
        <f t="shared" si="114"/>
        <v>2.7385413849424189</v>
      </c>
      <c r="BL261" s="118" cm="1">
        <f t="array" ref="BL261">IF(AO261=0,FactorPhi7121(BH261,"a"),noisuy2chieu(BK261,BH261,Data!$A$63:$M$85))</f>
        <v>0</v>
      </c>
      <c r="BM261" s="111">
        <v>1.26</v>
      </c>
      <c r="BN261" s="118">
        <f t="shared" si="115"/>
        <v>0.98794109830322063</v>
      </c>
      <c r="BO261" s="108" t="e">
        <f t="shared" si="116"/>
        <v>#DIV/0!</v>
      </c>
      <c r="BP261" s="6" t="e">
        <f t="shared" si="117"/>
        <v>#DIV/0!</v>
      </c>
      <c r="BQ261" s="16">
        <f t="shared" si="118"/>
        <v>127.25109874278135</v>
      </c>
      <c r="BR261" s="118">
        <f t="shared" si="119"/>
        <v>4.2387607289550546</v>
      </c>
      <c r="BS261" s="108">
        <f t="shared" si="120"/>
        <v>7.8173409212648464</v>
      </c>
      <c r="BT261" s="118">
        <f t="shared" si="121"/>
        <v>1.1000000000000001</v>
      </c>
      <c r="BU261" s="108">
        <f t="shared" si="122"/>
        <v>8.5990750133913316</v>
      </c>
      <c r="BV261" s="6" cm="1">
        <f t="array" ref="BV261">IF(AP261=0,FactorPhi7121(BR261,"a"),noisuy2chieu(BU261,BR261,Data!$A$63:$M$85))</f>
        <v>0</v>
      </c>
      <c r="BW261" s="111">
        <v>1.26</v>
      </c>
      <c r="BX261" s="111">
        <f t="shared" si="123"/>
        <v>0.95176439321288253</v>
      </c>
      <c r="BY261" s="113" t="e">
        <f t="shared" si="124"/>
        <v>#DIV/0!</v>
      </c>
      <c r="BZ261" s="6" t="e">
        <f t="shared" si="125"/>
        <v>#DIV/0!</v>
      </c>
      <c r="CA261" s="114">
        <f t="shared" si="126"/>
        <v>127.25109874278135</v>
      </c>
      <c r="CB261" s="115" t="e">
        <f t="shared" si="127"/>
        <v>#DIV/0!</v>
      </c>
      <c r="CC261" s="6" t="e">
        <f t="shared" si="128"/>
        <v>#DIV/0!</v>
      </c>
      <c r="DG261" s="108"/>
      <c r="DH261" s="108"/>
      <c r="DI261" s="16"/>
      <c r="DJ261" s="108"/>
      <c r="DT261" s="6"/>
      <c r="DU261" s="6"/>
      <c r="DV261" s="111"/>
      <c r="DW261" s="111"/>
      <c r="DX261" s="111"/>
      <c r="DY261" s="111"/>
      <c r="DZ261" s="111"/>
      <c r="EA261" s="111"/>
      <c r="EB261" s="111"/>
      <c r="EC261" s="111"/>
      <c r="ED261" s="111"/>
      <c r="EE261" s="111"/>
      <c r="EF261" s="6"/>
      <c r="EG261" s="6"/>
      <c r="EH261" s="6"/>
      <c r="EI261" s="6"/>
      <c r="EJ261" s="6"/>
      <c r="EK261" s="6"/>
      <c r="EL261" s="112"/>
      <c r="EM261" s="112"/>
      <c r="EN261" s="118"/>
      <c r="EO261" s="118"/>
      <c r="EP261" s="112"/>
      <c r="EQ261" s="112"/>
      <c r="ER261" s="112"/>
      <c r="ES261" s="112"/>
      <c r="ET261" s="112"/>
      <c r="EU261" s="112"/>
      <c r="EV261" s="6"/>
      <c r="EW261" s="6"/>
      <c r="EX261" s="118"/>
      <c r="EY261" s="113"/>
      <c r="EZ261" s="6"/>
      <c r="FA261" s="114"/>
      <c r="FB261" s="115"/>
      <c r="FC261" s="6"/>
    </row>
    <row r="262" spans="27:159">
      <c r="AA262" s="79" t="s">
        <v>175</v>
      </c>
      <c r="AB262" s="80" t="s">
        <v>198</v>
      </c>
      <c r="AC262" s="81">
        <v>5.48</v>
      </c>
      <c r="AD262" s="81">
        <v>6</v>
      </c>
      <c r="AE262" s="80">
        <v>273</v>
      </c>
      <c r="AF262" s="80">
        <v>6.35</v>
      </c>
      <c r="AG262" s="108" cm="1">
        <f t="array" ref="AG262">_xll.DCEPropSectPipe(AE262, AF262, "Area")/100</f>
        <v>53.19431074856206</v>
      </c>
      <c r="AH262" s="16" cm="1">
        <f t="array" ref="AH262">_xll.DCEPropSectPipe(AE262, AF262, "Ix")/10000</f>
        <v>4730.4733077169503</v>
      </c>
      <c r="AI262" s="16" cm="1">
        <f t="array" ref="AI262">_xll.DCEPropSectPipe(AE262, AF262, "Wx")/1000</f>
        <v>346.55482107816493</v>
      </c>
      <c r="AJ262" s="108">
        <f t="shared" si="97"/>
        <v>9.4301739777164251</v>
      </c>
      <c r="AK262" s="80" t="s">
        <v>207</v>
      </c>
      <c r="AL262" s="82">
        <v>-31.294762970660909</v>
      </c>
      <c r="AM262" s="82">
        <v>6.0628305663134547</v>
      </c>
      <c r="AN262" s="82">
        <v>-1.8044979687127882</v>
      </c>
      <c r="AO262" s="82">
        <v>9.8958668604209308</v>
      </c>
      <c r="AP262" s="82">
        <v>-33.248562825662987</v>
      </c>
      <c r="AQ262" s="82">
        <v>-0.20532882238065836</v>
      </c>
      <c r="AR262" s="72">
        <v>1</v>
      </c>
      <c r="AS262" s="116">
        <f t="shared" si="98"/>
        <v>6</v>
      </c>
      <c r="AT262" s="7">
        <v>2</v>
      </c>
      <c r="AU262" s="6">
        <f t="shared" si="99"/>
        <v>12</v>
      </c>
      <c r="AV262" s="111">
        <f t="shared" si="100"/>
        <v>2.5738577315872552E-2</v>
      </c>
      <c r="AW262" s="117">
        <f t="shared" si="101"/>
        <v>105</v>
      </c>
      <c r="AX262" s="111">
        <f t="shared" si="102"/>
        <v>1</v>
      </c>
      <c r="AY262" s="111">
        <f t="shared" si="103"/>
        <v>1</v>
      </c>
      <c r="AZ262" s="111">
        <f t="shared" si="104"/>
        <v>1</v>
      </c>
      <c r="BA262" s="111">
        <f t="shared" si="105"/>
        <v>2.7093239279865847E-2</v>
      </c>
      <c r="BB262" s="111">
        <f t="shared" si="106"/>
        <v>0.1315032090044104</v>
      </c>
      <c r="BC262" s="111">
        <f t="shared" si="107"/>
        <v>0.44183018709019389</v>
      </c>
      <c r="BD262" s="111">
        <v>0</v>
      </c>
      <c r="BE262" s="111">
        <f t="shared" si="108"/>
        <v>0.60042663537447016</v>
      </c>
      <c r="BF262" s="6" t="str">
        <f t="shared" si="109"/>
        <v>OK</v>
      </c>
      <c r="BG262" s="16">
        <f t="shared" si="110"/>
        <v>63.625549371390676</v>
      </c>
      <c r="BH262" s="118">
        <f t="shared" si="111"/>
        <v>2.1193803644775273</v>
      </c>
      <c r="BI262" s="108">
        <f t="shared" si="112"/>
        <v>4.8537278117990166</v>
      </c>
      <c r="BJ262" s="6">
        <f t="shared" si="113"/>
        <v>1.104213545374626</v>
      </c>
      <c r="BK262" s="108">
        <f t="shared" si="114"/>
        <v>5.3595519953500173</v>
      </c>
      <c r="BL262" s="118" cm="1">
        <f t="array" ref="BL262">IF(AO262=0,FactorPhi7121(BH262,"a"),noisuy2chieu(BK262,BH262,Data!$A$63:$M$85))</f>
        <v>0</v>
      </c>
      <c r="BM262" s="111">
        <v>1.26</v>
      </c>
      <c r="BN262" s="118">
        <f t="shared" si="115"/>
        <v>0.98843881500253061</v>
      </c>
      <c r="BO262" s="108" t="e">
        <f t="shared" si="116"/>
        <v>#DIV/0!</v>
      </c>
      <c r="BP262" s="6" t="e">
        <f t="shared" si="117"/>
        <v>#DIV/0!</v>
      </c>
      <c r="BQ262" s="16">
        <f t="shared" si="118"/>
        <v>127.25109874278135</v>
      </c>
      <c r="BR262" s="118">
        <f t="shared" si="119"/>
        <v>4.2387607289550546</v>
      </c>
      <c r="BS262" s="108">
        <f t="shared" si="120"/>
        <v>16.307765288831188</v>
      </c>
      <c r="BT262" s="118">
        <f t="shared" si="121"/>
        <v>1.1000000000000001</v>
      </c>
      <c r="BU262" s="108">
        <f t="shared" si="122"/>
        <v>17.938541817714309</v>
      </c>
      <c r="BV262" s="6" cm="1">
        <f t="array" ref="BV262">IF(AP262=0,FactorPhi7121(BR262,"a"),noisuy2chieu(BU262,BR262,Data!$A$63:$M$85))</f>
        <v>0</v>
      </c>
      <c r="BW262" s="111">
        <v>1.26</v>
      </c>
      <c r="BX262" s="111">
        <f t="shared" si="123"/>
        <v>0.95375526001012256</v>
      </c>
      <c r="BY262" s="113" t="e">
        <f t="shared" si="124"/>
        <v>#DIV/0!</v>
      </c>
      <c r="BZ262" s="6" t="e">
        <f t="shared" si="125"/>
        <v>#DIV/0!</v>
      </c>
      <c r="CA262" s="114">
        <f t="shared" si="126"/>
        <v>127.25109874278135</v>
      </c>
      <c r="CB262" s="115" t="e">
        <f t="shared" si="127"/>
        <v>#DIV/0!</v>
      </c>
      <c r="CC262" s="6" t="e">
        <f t="shared" si="128"/>
        <v>#DIV/0!</v>
      </c>
      <c r="DG262" s="108"/>
      <c r="DH262" s="108"/>
      <c r="DI262" s="16"/>
      <c r="DJ262" s="108"/>
      <c r="DT262" s="6"/>
      <c r="DU262" s="6"/>
      <c r="DV262" s="111"/>
      <c r="DW262" s="111"/>
      <c r="DX262" s="111"/>
      <c r="DY262" s="111"/>
      <c r="DZ262" s="111"/>
      <c r="EA262" s="111"/>
      <c r="EB262" s="111"/>
      <c r="EC262" s="111"/>
      <c r="ED262" s="111"/>
      <c r="EE262" s="111"/>
      <c r="EF262" s="6"/>
      <c r="EG262" s="6"/>
      <c r="EH262" s="6"/>
      <c r="EI262" s="6"/>
      <c r="EJ262" s="6"/>
      <c r="EK262" s="6"/>
      <c r="EL262" s="112"/>
      <c r="EM262" s="112"/>
      <c r="EN262" s="118"/>
      <c r="EO262" s="118"/>
      <c r="EP262" s="112"/>
      <c r="EQ262" s="112"/>
      <c r="ER262" s="112"/>
      <c r="ES262" s="112"/>
      <c r="ET262" s="112"/>
      <c r="EU262" s="112"/>
      <c r="EV262" s="6"/>
      <c r="EW262" s="6"/>
      <c r="EX262" s="118"/>
      <c r="EY262" s="113"/>
      <c r="EZ262" s="6"/>
      <c r="FA262" s="114"/>
      <c r="FB262" s="115"/>
      <c r="FC262" s="6"/>
    </row>
    <row r="263" spans="27:159">
      <c r="AA263" s="79" t="s">
        <v>175</v>
      </c>
      <c r="AB263" s="80" t="s">
        <v>198</v>
      </c>
      <c r="AC263" s="81">
        <v>0</v>
      </c>
      <c r="AD263" s="81">
        <v>6</v>
      </c>
      <c r="AE263" s="80">
        <v>273</v>
      </c>
      <c r="AF263" s="80">
        <v>6.35</v>
      </c>
      <c r="AG263" s="108" cm="1">
        <f t="array" ref="AG263">_xll.DCEPropSectPipe(AE263, AF263, "Area")/100</f>
        <v>53.19431074856206</v>
      </c>
      <c r="AH263" s="16" cm="1">
        <f t="array" ref="AH263">_xll.DCEPropSectPipe(AE263, AF263, "Ix")/10000</f>
        <v>4730.4733077169503</v>
      </c>
      <c r="AI263" s="16" cm="1">
        <f t="array" ref="AI263">_xll.DCEPropSectPipe(AE263, AF263, "Wx")/1000</f>
        <v>346.55482107816493</v>
      </c>
      <c r="AJ263" s="108">
        <f t="shared" si="97"/>
        <v>9.4301739777164251</v>
      </c>
      <c r="AK263" s="80" t="s">
        <v>208</v>
      </c>
      <c r="AL263" s="82">
        <v>-42.750700412010076</v>
      </c>
      <c r="AM263" s="82">
        <v>5.9698714646325168</v>
      </c>
      <c r="AN263" s="82">
        <v>-1.967655533534439</v>
      </c>
      <c r="AO263" s="82">
        <v>0</v>
      </c>
      <c r="AP263" s="82">
        <v>0</v>
      </c>
      <c r="AQ263" s="82">
        <v>-0.17814437266467825</v>
      </c>
      <c r="AR263" s="72">
        <v>1</v>
      </c>
      <c r="AS263" s="116">
        <f t="shared" si="98"/>
        <v>6</v>
      </c>
      <c r="AT263" s="7">
        <v>2</v>
      </c>
      <c r="AU263" s="6">
        <f t="shared" si="99"/>
        <v>12</v>
      </c>
      <c r="AV263" s="111">
        <f t="shared" si="100"/>
        <v>3.5160586098504906E-2</v>
      </c>
      <c r="AW263" s="117">
        <f t="shared" si="101"/>
        <v>105</v>
      </c>
      <c r="AX263" s="111">
        <f t="shared" si="102"/>
        <v>1</v>
      </c>
      <c r="AY263" s="111">
        <f t="shared" si="103"/>
        <v>1</v>
      </c>
      <c r="AZ263" s="111">
        <f t="shared" si="104"/>
        <v>1</v>
      </c>
      <c r="BA263" s="111">
        <f t="shared" si="105"/>
        <v>3.7011143261584105E-2</v>
      </c>
      <c r="BB263" s="111">
        <f t="shared" si="106"/>
        <v>0</v>
      </c>
      <c r="BC263" s="111">
        <f t="shared" si="107"/>
        <v>0</v>
      </c>
      <c r="BD263" s="111">
        <v>0</v>
      </c>
      <c r="BE263" s="111">
        <f t="shared" si="108"/>
        <v>3.7011143261584105E-2</v>
      </c>
      <c r="BF263" s="6" t="str">
        <f t="shared" si="109"/>
        <v>OK</v>
      </c>
      <c r="BG263" s="16">
        <f t="shared" si="110"/>
        <v>63.625549371390676</v>
      </c>
      <c r="BH263" s="118">
        <f t="shared" si="111"/>
        <v>2.1193803644775273</v>
      </c>
      <c r="BI263" s="108">
        <f t="shared" si="112"/>
        <v>0</v>
      </c>
      <c r="BJ263" s="6">
        <f t="shared" si="113"/>
        <v>1.2440309817761237</v>
      </c>
      <c r="BK263" s="108">
        <f t="shared" si="114"/>
        <v>0</v>
      </c>
      <c r="BL263" s="118" cm="1">
        <f t="array" ref="BL263">IF(AO263=0,FactorPhi7121(BH263,"a"),noisuy2chieu(BK263,BH263,Data!$A$63:$M$85))</f>
        <v>0.86214274110469236</v>
      </c>
      <c r="BM263" s="111">
        <v>1.26</v>
      </c>
      <c r="BN263" s="118">
        <f t="shared" si="115"/>
        <v>0.98420666241511401</v>
      </c>
      <c r="BO263" s="108">
        <f t="shared" si="116"/>
        <v>8.7497724202379307E-2</v>
      </c>
      <c r="BP263" s="6" t="str">
        <f t="shared" si="117"/>
        <v>OK</v>
      </c>
      <c r="BQ263" s="16">
        <f t="shared" si="118"/>
        <v>127.25109874278135</v>
      </c>
      <c r="BR263" s="118">
        <f t="shared" si="119"/>
        <v>4.2387607289550546</v>
      </c>
      <c r="BS263" s="108">
        <f t="shared" si="120"/>
        <v>0</v>
      </c>
      <c r="BT263" s="118">
        <f t="shared" si="121"/>
        <v>1.1380619635522473</v>
      </c>
      <c r="BU263" s="108">
        <f t="shared" si="122"/>
        <v>0</v>
      </c>
      <c r="BV263" s="6" cm="1">
        <f t="array" ref="BV263">IF(AP263=0,FactorPhi7121(BR263,"a"),noisuy2chieu(BU263,BR263,Data!$A$63:$M$85))</f>
        <v>0.42299549615688942</v>
      </c>
      <c r="BW263" s="111">
        <v>1.26</v>
      </c>
      <c r="BX263" s="111">
        <f t="shared" si="123"/>
        <v>0.93682664966045592</v>
      </c>
      <c r="BY263" s="113">
        <f t="shared" si="124"/>
        <v>4.2929252311700139E-2</v>
      </c>
      <c r="BZ263" s="6" t="str">
        <f t="shared" si="125"/>
        <v>OK</v>
      </c>
      <c r="CA263" s="114">
        <f t="shared" si="126"/>
        <v>127.25109874278135</v>
      </c>
      <c r="CB263" s="115">
        <f t="shared" si="127"/>
        <v>150</v>
      </c>
      <c r="CC263" s="6" t="str">
        <f t="shared" si="128"/>
        <v>OK</v>
      </c>
      <c r="DG263" s="108"/>
      <c r="DH263" s="108"/>
      <c r="DI263" s="16"/>
      <c r="DJ263" s="108"/>
      <c r="DT263" s="6"/>
      <c r="DU263" s="6"/>
      <c r="DV263" s="111"/>
      <c r="DW263" s="111"/>
      <c r="DX263" s="111"/>
      <c r="DY263" s="111"/>
      <c r="DZ263" s="111"/>
      <c r="EA263" s="111"/>
      <c r="EB263" s="111"/>
      <c r="EC263" s="111"/>
      <c r="ED263" s="111"/>
      <c r="EE263" s="111"/>
      <c r="EF263" s="6"/>
      <c r="EG263" s="6"/>
      <c r="EH263" s="6"/>
      <c r="EI263" s="6"/>
      <c r="EJ263" s="6"/>
      <c r="EK263" s="6"/>
      <c r="EL263" s="112"/>
      <c r="EM263" s="112"/>
      <c r="EN263" s="118"/>
      <c r="EO263" s="118"/>
      <c r="EP263" s="112"/>
      <c r="EQ263" s="112"/>
      <c r="ER263" s="112"/>
      <c r="ES263" s="112"/>
      <c r="ET263" s="112"/>
      <c r="EU263" s="112"/>
      <c r="EV263" s="6"/>
      <c r="EW263" s="6"/>
      <c r="EX263" s="118"/>
      <c r="EY263" s="113"/>
      <c r="EZ263" s="6"/>
      <c r="FA263" s="114"/>
      <c r="FB263" s="115"/>
      <c r="FC263" s="6"/>
    </row>
    <row r="264" spans="27:159">
      <c r="AA264" s="79" t="s">
        <v>175</v>
      </c>
      <c r="AB264" s="80" t="s">
        <v>198</v>
      </c>
      <c r="AC264" s="81">
        <v>2.74</v>
      </c>
      <c r="AD264" s="81">
        <v>6</v>
      </c>
      <c r="AE264" s="80">
        <v>273</v>
      </c>
      <c r="AF264" s="80">
        <v>6.35</v>
      </c>
      <c r="AG264" s="108" cm="1">
        <f t="array" ref="AG264">_xll.DCEPropSectPipe(AE264, AF264, "Area")/100</f>
        <v>53.19431074856206</v>
      </c>
      <c r="AH264" s="16" cm="1">
        <f t="array" ref="AH264">_xll.DCEPropSectPipe(AE264, AF264, "Ix")/10000</f>
        <v>4730.4733077169503</v>
      </c>
      <c r="AI264" s="16" cm="1">
        <f t="array" ref="AI264">_xll.DCEPropSectPipe(AE264, AF264, "Wx")/1000</f>
        <v>346.55482107816493</v>
      </c>
      <c r="AJ264" s="108">
        <f t="shared" si="97"/>
        <v>9.4301739777164251</v>
      </c>
      <c r="AK264" s="80" t="s">
        <v>208</v>
      </c>
      <c r="AL264" s="82">
        <v>-41.403440063278047</v>
      </c>
      <c r="AM264" s="82">
        <v>5.9698714646325168</v>
      </c>
      <c r="AN264" s="82">
        <v>-1.967655533534439</v>
      </c>
      <c r="AO264" s="82">
        <v>5.3953114729514313</v>
      </c>
      <c r="AP264" s="82">
        <v>-16.36938755602236</v>
      </c>
      <c r="AQ264" s="82">
        <v>-0.17814437266467825</v>
      </c>
      <c r="AR264" s="72">
        <v>1</v>
      </c>
      <c r="AS264" s="116">
        <f t="shared" si="98"/>
        <v>6</v>
      </c>
      <c r="AT264" s="7">
        <v>2</v>
      </c>
      <c r="AU264" s="6">
        <f t="shared" si="99"/>
        <v>12</v>
      </c>
      <c r="AV264" s="111">
        <f t="shared" si="100"/>
        <v>3.4052523235624028E-2</v>
      </c>
      <c r="AW264" s="117">
        <f t="shared" si="101"/>
        <v>105</v>
      </c>
      <c r="AX264" s="111">
        <f t="shared" si="102"/>
        <v>1</v>
      </c>
      <c r="AY264" s="111">
        <f t="shared" si="103"/>
        <v>1</v>
      </c>
      <c r="AZ264" s="111">
        <f t="shared" si="104"/>
        <v>1</v>
      </c>
      <c r="BA264" s="111">
        <f t="shared" si="105"/>
        <v>3.5844761300656877E-2</v>
      </c>
      <c r="BB264" s="111">
        <f t="shared" si="106"/>
        <v>7.1696677236949627E-2</v>
      </c>
      <c r="BC264" s="111">
        <f t="shared" si="107"/>
        <v>0.21752788547139357</v>
      </c>
      <c r="BD264" s="111">
        <v>0</v>
      </c>
      <c r="BE264" s="111">
        <f t="shared" si="108"/>
        <v>0.32506932400900007</v>
      </c>
      <c r="BF264" s="6" t="str">
        <f t="shared" si="109"/>
        <v>OK</v>
      </c>
      <c r="BG264" s="16">
        <f t="shared" si="110"/>
        <v>63.625549371390676</v>
      </c>
      <c r="BH264" s="118">
        <f t="shared" si="111"/>
        <v>2.1193803644775273</v>
      </c>
      <c r="BI264" s="108">
        <f t="shared" si="112"/>
        <v>2.0001996005936782</v>
      </c>
      <c r="BJ264" s="6">
        <f t="shared" si="113"/>
        <v>1.1864128393317801</v>
      </c>
      <c r="BK264" s="108">
        <f t="shared" si="114"/>
        <v>2.3730624873706381</v>
      </c>
      <c r="BL264" s="118" cm="1">
        <f t="array" ref="BL264">IF(AO264=0,FactorPhi7121(BH264,"a"),noisuy2chieu(BK264,BH264,Data!$A$63:$M$85))</f>
        <v>0</v>
      </c>
      <c r="BM264" s="111">
        <v>1.26</v>
      </c>
      <c r="BN264" s="118">
        <f t="shared" si="115"/>
        <v>0.98470437911442399</v>
      </c>
      <c r="BO264" s="108" t="e">
        <f t="shared" si="116"/>
        <v>#DIV/0!</v>
      </c>
      <c r="BP264" s="6" t="e">
        <f t="shared" si="117"/>
        <v>#DIV/0!</v>
      </c>
      <c r="BQ264" s="16">
        <f t="shared" si="118"/>
        <v>127.25109874278135</v>
      </c>
      <c r="BR264" s="118">
        <f t="shared" si="119"/>
        <v>4.2387607289550546</v>
      </c>
      <c r="BS264" s="108">
        <f t="shared" si="120"/>
        <v>6.068610239773232</v>
      </c>
      <c r="BT264" s="118">
        <f t="shared" si="121"/>
        <v>1.1000000000000001</v>
      </c>
      <c r="BU264" s="108">
        <f t="shared" si="122"/>
        <v>6.6754712637505556</v>
      </c>
      <c r="BV264" s="6" cm="1">
        <f t="array" ref="BV264">IF(AP264=0,FactorPhi7121(BR264,"a"),noisuy2chieu(BU264,BR264,Data!$A$63:$M$85))</f>
        <v>0</v>
      </c>
      <c r="BW264" s="111">
        <v>1.26</v>
      </c>
      <c r="BX264" s="111">
        <f t="shared" si="123"/>
        <v>0.93881751645769596</v>
      </c>
      <c r="BY264" s="113" t="e">
        <f t="shared" si="124"/>
        <v>#DIV/0!</v>
      </c>
      <c r="BZ264" s="6" t="e">
        <f t="shared" si="125"/>
        <v>#DIV/0!</v>
      </c>
      <c r="CA264" s="114">
        <f t="shared" si="126"/>
        <v>127.25109874278135</v>
      </c>
      <c r="CB264" s="115" t="e">
        <f t="shared" si="127"/>
        <v>#DIV/0!</v>
      </c>
      <c r="CC264" s="6" t="e">
        <f t="shared" si="128"/>
        <v>#DIV/0!</v>
      </c>
      <c r="DG264" s="108"/>
      <c r="DH264" s="108"/>
      <c r="DI264" s="16"/>
      <c r="DJ264" s="108"/>
      <c r="DT264" s="6"/>
      <c r="DU264" s="6"/>
      <c r="DV264" s="111"/>
      <c r="DW264" s="111"/>
      <c r="DX264" s="111"/>
      <c r="DY264" s="111"/>
      <c r="DZ264" s="111"/>
      <c r="EA264" s="111"/>
      <c r="EB264" s="111"/>
      <c r="EC264" s="111"/>
      <c r="ED264" s="111"/>
      <c r="EE264" s="111"/>
      <c r="EF264" s="6"/>
      <c r="EG264" s="6"/>
      <c r="EH264" s="6"/>
      <c r="EI264" s="6"/>
      <c r="EJ264" s="6"/>
      <c r="EK264" s="6"/>
      <c r="EL264" s="112"/>
      <c r="EM264" s="112"/>
      <c r="EN264" s="118"/>
      <c r="EO264" s="118"/>
      <c r="EP264" s="112"/>
      <c r="EQ264" s="112"/>
      <c r="ER264" s="112"/>
      <c r="ES264" s="112"/>
      <c r="ET264" s="112"/>
      <c r="EU264" s="112"/>
      <c r="EV264" s="6"/>
      <c r="EW264" s="6"/>
      <c r="EX264" s="118"/>
      <c r="EY264" s="113"/>
      <c r="EZ264" s="6"/>
      <c r="FA264" s="114"/>
      <c r="FB264" s="115"/>
      <c r="FC264" s="6"/>
    </row>
    <row r="265" spans="27:159">
      <c r="AA265" s="79" t="s">
        <v>175</v>
      </c>
      <c r="AB265" s="80" t="s">
        <v>198</v>
      </c>
      <c r="AC265" s="81">
        <v>5.48</v>
      </c>
      <c r="AD265" s="81">
        <v>6</v>
      </c>
      <c r="AE265" s="80">
        <v>273</v>
      </c>
      <c r="AF265" s="80">
        <v>6.35</v>
      </c>
      <c r="AG265" s="108" cm="1">
        <f t="array" ref="AG265">_xll.DCEPropSectPipe(AE265, AF265, "Area")/100</f>
        <v>53.19431074856206</v>
      </c>
      <c r="AH265" s="16" cm="1">
        <f t="array" ref="AH265">_xll.DCEPropSectPipe(AE265, AF265, "Ix")/10000</f>
        <v>4730.4733077169503</v>
      </c>
      <c r="AI265" s="16" cm="1">
        <f t="array" ref="AI265">_xll.DCEPropSectPipe(AE265, AF265, "Wx")/1000</f>
        <v>346.55482107816493</v>
      </c>
      <c r="AJ265" s="108">
        <f t="shared" si="97"/>
        <v>9.4301739777164251</v>
      </c>
      <c r="AK265" s="80" t="s">
        <v>208</v>
      </c>
      <c r="AL265" s="82">
        <v>-40.056179714546005</v>
      </c>
      <c r="AM265" s="82">
        <v>5.9698714646325168</v>
      </c>
      <c r="AN265" s="82">
        <v>-1.967655533534439</v>
      </c>
      <c r="AO265" s="82">
        <v>10.790622945902863</v>
      </c>
      <c r="AP265" s="82">
        <v>-32.738775112044721</v>
      </c>
      <c r="AQ265" s="82">
        <v>-0.17814437266467825</v>
      </c>
      <c r="AR265" s="72">
        <v>1</v>
      </c>
      <c r="AS265" s="116">
        <f t="shared" si="98"/>
        <v>6</v>
      </c>
      <c r="AT265" s="7">
        <v>2</v>
      </c>
      <c r="AU265" s="6">
        <f t="shared" si="99"/>
        <v>12</v>
      </c>
      <c r="AV265" s="111">
        <f t="shared" si="100"/>
        <v>3.2944460372743151E-2</v>
      </c>
      <c r="AW265" s="117">
        <f t="shared" si="101"/>
        <v>105</v>
      </c>
      <c r="AX265" s="111">
        <f t="shared" si="102"/>
        <v>1</v>
      </c>
      <c r="AY265" s="111">
        <f t="shared" si="103"/>
        <v>1</v>
      </c>
      <c r="AZ265" s="111">
        <f t="shared" si="104"/>
        <v>1</v>
      </c>
      <c r="BA265" s="111">
        <f t="shared" si="105"/>
        <v>3.4678379339729636E-2</v>
      </c>
      <c r="BB265" s="111">
        <f t="shared" si="106"/>
        <v>0.14339335447389925</v>
      </c>
      <c r="BC265" s="111">
        <f t="shared" si="107"/>
        <v>0.43505577094278713</v>
      </c>
      <c r="BD265" s="111">
        <v>0</v>
      </c>
      <c r="BE265" s="111">
        <f t="shared" si="108"/>
        <v>0.61312750475641598</v>
      </c>
      <c r="BF265" s="6" t="str">
        <f t="shared" si="109"/>
        <v>OK</v>
      </c>
      <c r="BG265" s="16">
        <f t="shared" si="110"/>
        <v>63.625549371390676</v>
      </c>
      <c r="BH265" s="118">
        <f t="shared" si="111"/>
        <v>2.1193803644775273</v>
      </c>
      <c r="BI265" s="108">
        <f t="shared" si="112"/>
        <v>4.1349497065342726</v>
      </c>
      <c r="BJ265" s="6">
        <f t="shared" si="113"/>
        <v>1.1249188086107185</v>
      </c>
      <c r="BK265" s="108">
        <f t="shared" si="114"/>
        <v>4.6514826975397741</v>
      </c>
      <c r="BL265" s="118" cm="1">
        <f t="array" ref="BL265">IF(AO265=0,FactorPhi7121(BH265,"a"),noisuy2chieu(BK265,BH265,Data!$A$63:$M$85))</f>
        <v>0</v>
      </c>
      <c r="BM265" s="111">
        <v>1.26</v>
      </c>
      <c r="BN265" s="118">
        <f t="shared" si="115"/>
        <v>0.98520209581373397</v>
      </c>
      <c r="BO265" s="108" t="e">
        <f t="shared" si="116"/>
        <v>#DIV/0!</v>
      </c>
      <c r="BP265" s="6" t="e">
        <f t="shared" si="117"/>
        <v>#DIV/0!</v>
      </c>
      <c r="BQ265" s="16">
        <f t="shared" si="118"/>
        <v>127.25109874278135</v>
      </c>
      <c r="BR265" s="118">
        <f t="shared" si="119"/>
        <v>4.2387607289550546</v>
      </c>
      <c r="BS265" s="108">
        <f t="shared" si="120"/>
        <v>12.545447025673461</v>
      </c>
      <c r="BT265" s="118">
        <f t="shared" si="121"/>
        <v>1.1000000000000001</v>
      </c>
      <c r="BU265" s="108">
        <f t="shared" si="122"/>
        <v>13.799991728240808</v>
      </c>
      <c r="BV265" s="6" cm="1">
        <f t="array" ref="BV265">IF(AP265=0,FactorPhi7121(BR265,"a"),noisuy2chieu(BU265,BR265,Data!$A$63:$M$85))</f>
        <v>0</v>
      </c>
      <c r="BW265" s="111">
        <v>1.26</v>
      </c>
      <c r="BX265" s="111">
        <f t="shared" si="123"/>
        <v>0.94080838325493599</v>
      </c>
      <c r="BY265" s="113" t="e">
        <f t="shared" si="124"/>
        <v>#DIV/0!</v>
      </c>
      <c r="BZ265" s="6" t="e">
        <f t="shared" si="125"/>
        <v>#DIV/0!</v>
      </c>
      <c r="CA265" s="114">
        <f t="shared" si="126"/>
        <v>127.25109874278135</v>
      </c>
      <c r="CB265" s="115" t="e">
        <f t="shared" si="127"/>
        <v>#DIV/0!</v>
      </c>
      <c r="CC265" s="6" t="e">
        <f t="shared" si="128"/>
        <v>#DIV/0!</v>
      </c>
      <c r="DG265" s="108"/>
      <c r="DH265" s="108"/>
      <c r="DI265" s="16"/>
      <c r="DJ265" s="108"/>
      <c r="DT265" s="6"/>
      <c r="DU265" s="6"/>
      <c r="DV265" s="111"/>
      <c r="DW265" s="111"/>
      <c r="DX265" s="111"/>
      <c r="DY265" s="111"/>
      <c r="DZ265" s="111"/>
      <c r="EA265" s="111"/>
      <c r="EB265" s="111"/>
      <c r="EC265" s="111"/>
      <c r="ED265" s="111"/>
      <c r="EE265" s="111"/>
      <c r="EF265" s="6"/>
      <c r="EG265" s="6"/>
      <c r="EH265" s="6"/>
      <c r="EI265" s="6"/>
      <c r="EJ265" s="6"/>
      <c r="EK265" s="6"/>
      <c r="EL265" s="112"/>
      <c r="EM265" s="112"/>
      <c r="EN265" s="118"/>
      <c r="EO265" s="118"/>
      <c r="EP265" s="112"/>
      <c r="EQ265" s="112"/>
      <c r="ER265" s="112"/>
      <c r="ES265" s="112"/>
      <c r="ET265" s="112"/>
      <c r="EU265" s="112"/>
      <c r="EV265" s="6"/>
      <c r="EW265" s="6"/>
      <c r="EX265" s="118"/>
      <c r="EY265" s="113"/>
      <c r="EZ265" s="6"/>
      <c r="FA265" s="114"/>
      <c r="FB265" s="115"/>
      <c r="FC265" s="6"/>
    </row>
    <row r="266" spans="27:159">
      <c r="AA266" s="79" t="s">
        <v>175</v>
      </c>
      <c r="AB266" s="80" t="s">
        <v>198</v>
      </c>
      <c r="AC266" s="81">
        <v>0</v>
      </c>
      <c r="AD266" s="81">
        <v>6</v>
      </c>
      <c r="AE266" s="80">
        <v>273</v>
      </c>
      <c r="AF266" s="80">
        <v>6.35</v>
      </c>
      <c r="AG266" s="108" cm="1">
        <f t="array" ref="AG266">_xll.DCEPropSectPipe(AE266, AF266, "Area")/100</f>
        <v>53.19431074856206</v>
      </c>
      <c r="AH266" s="16" cm="1">
        <f t="array" ref="AH266">_xll.DCEPropSectPipe(AE266, AF266, "Ix")/10000</f>
        <v>4730.4733077169503</v>
      </c>
      <c r="AI266" s="16" cm="1">
        <f t="array" ref="AI266">_xll.DCEPropSectPipe(AE266, AF266, "Wx")/1000</f>
        <v>346.55482107816493</v>
      </c>
      <c r="AJ266" s="108">
        <f t="shared" si="97"/>
        <v>9.4301739777164251</v>
      </c>
      <c r="AK266" s="80" t="s">
        <v>209</v>
      </c>
      <c r="AL266" s="82">
        <v>-2.4491673192969077</v>
      </c>
      <c r="AM266" s="82">
        <v>-1.1422053195764017</v>
      </c>
      <c r="AN266" s="82">
        <v>0.51970193217527738</v>
      </c>
      <c r="AO266" s="82">
        <v>0</v>
      </c>
      <c r="AP266" s="82">
        <v>0</v>
      </c>
      <c r="AQ266" s="82">
        <v>0.10067392384011647</v>
      </c>
      <c r="AR266" s="72">
        <v>1</v>
      </c>
      <c r="AS266" s="116">
        <f t="shared" si="98"/>
        <v>6</v>
      </c>
      <c r="AT266" s="7">
        <v>2</v>
      </c>
      <c r="AU266" s="6">
        <f t="shared" si="99"/>
        <v>12</v>
      </c>
      <c r="AV266" s="111">
        <f t="shared" si="100"/>
        <v>2.0143332757091175E-3</v>
      </c>
      <c r="AW266" s="117">
        <f t="shared" si="101"/>
        <v>105</v>
      </c>
      <c r="AX266" s="111">
        <f t="shared" si="102"/>
        <v>1</v>
      </c>
      <c r="AY266" s="111">
        <f t="shared" si="103"/>
        <v>1</v>
      </c>
      <c r="AZ266" s="111">
        <f t="shared" si="104"/>
        <v>1</v>
      </c>
      <c r="BA266" s="111">
        <f t="shared" si="105"/>
        <v>2.1203508165359131E-3</v>
      </c>
      <c r="BB266" s="111">
        <f t="shared" si="106"/>
        <v>0</v>
      </c>
      <c r="BC266" s="111">
        <f t="shared" si="107"/>
        <v>0</v>
      </c>
      <c r="BD266" s="111">
        <v>0</v>
      </c>
      <c r="BE266" s="111">
        <f t="shared" si="108"/>
        <v>2.1203508165359131E-3</v>
      </c>
      <c r="BF266" s="6" t="str">
        <f t="shared" si="109"/>
        <v>OK</v>
      </c>
      <c r="BG266" s="16">
        <f t="shared" si="110"/>
        <v>63.625549371390676</v>
      </c>
      <c r="BH266" s="118">
        <f t="shared" si="111"/>
        <v>2.1193803644775273</v>
      </c>
      <c r="BI266" s="108">
        <f t="shared" si="112"/>
        <v>0</v>
      </c>
      <c r="BJ266" s="6">
        <f t="shared" si="113"/>
        <v>1.2440309817761237</v>
      </c>
      <c r="BK266" s="108">
        <f t="shared" si="114"/>
        <v>0</v>
      </c>
      <c r="BL266" s="118" cm="1">
        <f t="array" ref="BL266">IF(AO266=0,FactorPhi7121(BH266,"a"),noisuy2chieu(BK266,BH266,Data!$A$63:$M$85))</f>
        <v>0.86214274110469236</v>
      </c>
      <c r="BM266" s="111">
        <v>1.26</v>
      </c>
      <c r="BN266" s="118">
        <f t="shared" si="115"/>
        <v>0.99909520719186484</v>
      </c>
      <c r="BO266" s="108">
        <f t="shared" si="116"/>
        <v>5.012703056652577E-3</v>
      </c>
      <c r="BP266" s="6" t="str">
        <f t="shared" si="117"/>
        <v>OK</v>
      </c>
      <c r="BQ266" s="16">
        <f t="shared" si="118"/>
        <v>127.25109874278135</v>
      </c>
      <c r="BR266" s="118">
        <f t="shared" si="119"/>
        <v>4.2387607289550546</v>
      </c>
      <c r="BS266" s="108">
        <f t="shared" si="120"/>
        <v>0</v>
      </c>
      <c r="BT266" s="118">
        <f t="shared" si="121"/>
        <v>1.1380619635522473</v>
      </c>
      <c r="BU266" s="108">
        <f t="shared" si="122"/>
        <v>0</v>
      </c>
      <c r="BV266" s="6" cm="1">
        <f t="array" ref="BV266">IF(AP266=0,FactorPhi7121(BR266,"a"),noisuy2chieu(BU266,BR266,Data!$A$63:$M$85))</f>
        <v>0.42299549615688942</v>
      </c>
      <c r="BW266" s="111">
        <v>1.26</v>
      </c>
      <c r="BX266" s="111">
        <f t="shared" si="123"/>
        <v>0.99638082876745948</v>
      </c>
      <c r="BY266" s="113">
        <f t="shared" si="124"/>
        <v>2.4593964728149729E-3</v>
      </c>
      <c r="BZ266" s="6" t="str">
        <f t="shared" si="125"/>
        <v>OK</v>
      </c>
      <c r="CA266" s="114">
        <f t="shared" si="126"/>
        <v>127.25109874278135</v>
      </c>
      <c r="CB266" s="115">
        <f t="shared" si="127"/>
        <v>150</v>
      </c>
      <c r="CC266" s="6" t="str">
        <f t="shared" si="128"/>
        <v>OK</v>
      </c>
      <c r="DG266" s="108"/>
      <c r="DH266" s="108"/>
      <c r="DI266" s="16"/>
      <c r="DJ266" s="108"/>
      <c r="DT266" s="6"/>
      <c r="DU266" s="6"/>
      <c r="DV266" s="111"/>
      <c r="DW266" s="111"/>
      <c r="DX266" s="111"/>
      <c r="DY266" s="111"/>
      <c r="DZ266" s="111"/>
      <c r="EA266" s="111"/>
      <c r="EB266" s="111"/>
      <c r="EC266" s="111"/>
      <c r="ED266" s="111"/>
      <c r="EE266" s="111"/>
      <c r="EF266" s="6"/>
      <c r="EG266" s="6"/>
      <c r="EH266" s="6"/>
      <c r="EI266" s="6"/>
      <c r="EJ266" s="6"/>
      <c r="EK266" s="6"/>
      <c r="EL266" s="112"/>
      <c r="EM266" s="112"/>
      <c r="EN266" s="118"/>
      <c r="EO266" s="118"/>
      <c r="EP266" s="112"/>
      <c r="EQ266" s="112"/>
      <c r="ER266" s="112"/>
      <c r="ES266" s="112"/>
      <c r="ET266" s="112"/>
      <c r="EU266" s="112"/>
      <c r="EV266" s="6"/>
      <c r="EW266" s="6"/>
      <c r="EX266" s="118"/>
      <c r="EY266" s="113"/>
      <c r="EZ266" s="6"/>
      <c r="FA266" s="114"/>
      <c r="FB266" s="115"/>
      <c r="FC266" s="6"/>
    </row>
    <row r="267" spans="27:159">
      <c r="AA267" s="79" t="s">
        <v>175</v>
      </c>
      <c r="AB267" s="80" t="s">
        <v>198</v>
      </c>
      <c r="AC267" s="81">
        <v>2.74</v>
      </c>
      <c r="AD267" s="81">
        <v>6</v>
      </c>
      <c r="AE267" s="80">
        <v>273</v>
      </c>
      <c r="AF267" s="80">
        <v>6.35</v>
      </c>
      <c r="AG267" s="108" cm="1">
        <f t="array" ref="AG267">_xll.DCEPropSectPipe(AE267, AF267, "Area")/100</f>
        <v>53.19431074856206</v>
      </c>
      <c r="AH267" s="16" cm="1">
        <f t="array" ref="AH267">_xll.DCEPropSectPipe(AE267, AF267, "Ix")/10000</f>
        <v>4730.4733077169503</v>
      </c>
      <c r="AI267" s="16" cm="1">
        <f t="array" ref="AI267">_xll.DCEPropSectPipe(AE267, AF267, "Wx")/1000</f>
        <v>346.55482107816493</v>
      </c>
      <c r="AJ267" s="108">
        <f t="shared" si="97"/>
        <v>9.4301739777164251</v>
      </c>
      <c r="AK267" s="80" t="s">
        <v>209</v>
      </c>
      <c r="AL267" s="82">
        <v>-1.1019069705648761</v>
      </c>
      <c r="AM267" s="82">
        <v>-1.1422053195764017</v>
      </c>
      <c r="AN267" s="82">
        <v>0.51970193217527738</v>
      </c>
      <c r="AO267" s="82">
        <v>-1.4250226980246108</v>
      </c>
      <c r="AP267" s="82">
        <v>3.1319269862784931</v>
      </c>
      <c r="AQ267" s="82">
        <v>0.10067392384011647</v>
      </c>
      <c r="AR267" s="72">
        <v>1</v>
      </c>
      <c r="AS267" s="116">
        <f t="shared" si="98"/>
        <v>6</v>
      </c>
      <c r="AT267" s="7">
        <v>2</v>
      </c>
      <c r="AU267" s="6">
        <f t="shared" si="99"/>
        <v>12</v>
      </c>
      <c r="AV267" s="111">
        <f t="shared" si="100"/>
        <v>9.062704128282458E-4</v>
      </c>
      <c r="AW267" s="117">
        <f t="shared" si="101"/>
        <v>105</v>
      </c>
      <c r="AX267" s="111">
        <f t="shared" si="102"/>
        <v>1</v>
      </c>
      <c r="AY267" s="111">
        <f t="shared" si="103"/>
        <v>1</v>
      </c>
      <c r="AZ267" s="111">
        <f t="shared" si="104"/>
        <v>1</v>
      </c>
      <c r="BA267" s="111">
        <f t="shared" si="105"/>
        <v>9.5396885560867996E-4</v>
      </c>
      <c r="BB267" s="111">
        <f t="shared" si="106"/>
        <v>1.8936699567357374E-2</v>
      </c>
      <c r="BC267" s="111">
        <f t="shared" si="107"/>
        <v>4.161923910985349E-2</v>
      </c>
      <c r="BD267" s="111">
        <v>0</v>
      </c>
      <c r="BE267" s="111">
        <f t="shared" si="108"/>
        <v>6.1509907532819541E-2</v>
      </c>
      <c r="BF267" s="6" t="str">
        <f t="shared" si="109"/>
        <v>OK</v>
      </c>
      <c r="BG267" s="16">
        <f t="shared" si="110"/>
        <v>63.625549371390676</v>
      </c>
      <c r="BH267" s="118">
        <f t="shared" si="111"/>
        <v>2.1193803644775273</v>
      </c>
      <c r="BI267" s="108">
        <f t="shared" si="112"/>
        <v>19.850437942520475</v>
      </c>
      <c r="BJ267" s="6">
        <f t="shared" si="113"/>
        <v>1.1000000000000001</v>
      </c>
      <c r="BK267" s="108">
        <f t="shared" si="114"/>
        <v>21.835481736772525</v>
      </c>
      <c r="BL267" s="118" cm="1">
        <f t="array" ref="BL267">IF(AO267=0,FactorPhi7121(BH267,"a"),noisuy2chieu(BK267,BH267,Data!$A$63:$M$85))</f>
        <v>0</v>
      </c>
      <c r="BM267" s="111">
        <v>1.26</v>
      </c>
      <c r="BN267" s="118">
        <f t="shared" si="115"/>
        <v>0.99959292389117482</v>
      </c>
      <c r="BO267" s="108" t="e">
        <f t="shared" si="116"/>
        <v>#DIV/0!</v>
      </c>
      <c r="BP267" s="6" t="e">
        <f t="shared" si="117"/>
        <v>#DIV/0!</v>
      </c>
      <c r="BQ267" s="16">
        <f t="shared" si="118"/>
        <v>127.25109874278135</v>
      </c>
      <c r="BR267" s="118">
        <f t="shared" si="119"/>
        <v>4.2387607289550546</v>
      </c>
      <c r="BS267" s="108">
        <f t="shared" si="120"/>
        <v>43.627461069783386</v>
      </c>
      <c r="BT267" s="118">
        <f t="shared" si="121"/>
        <v>1.1000000000000001</v>
      </c>
      <c r="BU267" s="108">
        <f t="shared" si="122"/>
        <v>47.990207176761729</v>
      </c>
      <c r="BV267" s="6" cm="1">
        <f t="array" ref="BV267">IF(AP267=0,FactorPhi7121(BR267,"a"),noisuy2chieu(BU267,BR267,Data!$A$63:$M$85))</f>
        <v>0</v>
      </c>
      <c r="BW267" s="111">
        <v>1.26</v>
      </c>
      <c r="BX267" s="111">
        <f t="shared" si="123"/>
        <v>0.99837169556469951</v>
      </c>
      <c r="BY267" s="113" t="e">
        <f t="shared" si="124"/>
        <v>#DIV/0!</v>
      </c>
      <c r="BZ267" s="6" t="e">
        <f t="shared" si="125"/>
        <v>#DIV/0!</v>
      </c>
      <c r="CA267" s="114">
        <f t="shared" si="126"/>
        <v>127.25109874278135</v>
      </c>
      <c r="CB267" s="115" t="e">
        <f t="shared" si="127"/>
        <v>#DIV/0!</v>
      </c>
      <c r="CC267" s="6" t="e">
        <f t="shared" si="128"/>
        <v>#DIV/0!</v>
      </c>
      <c r="DG267" s="108"/>
      <c r="DH267" s="108"/>
      <c r="DI267" s="16"/>
      <c r="DJ267" s="108"/>
      <c r="DT267" s="6"/>
      <c r="DU267" s="6"/>
      <c r="DV267" s="111"/>
      <c r="DW267" s="111"/>
      <c r="DX267" s="111"/>
      <c r="DY267" s="111"/>
      <c r="DZ267" s="111"/>
      <c r="EA267" s="111"/>
      <c r="EB267" s="111"/>
      <c r="EC267" s="111"/>
      <c r="ED267" s="111"/>
      <c r="EE267" s="111"/>
      <c r="EF267" s="6"/>
      <c r="EG267" s="6"/>
      <c r="EH267" s="6"/>
      <c r="EI267" s="6"/>
      <c r="EJ267" s="6"/>
      <c r="EK267" s="6"/>
      <c r="EL267" s="112"/>
      <c r="EM267" s="112"/>
      <c r="EN267" s="118"/>
      <c r="EO267" s="118"/>
      <c r="EP267" s="112"/>
      <c r="EQ267" s="112"/>
      <c r="ER267" s="112"/>
      <c r="ES267" s="112"/>
      <c r="ET267" s="112"/>
      <c r="EU267" s="112"/>
      <c r="EV267" s="6"/>
      <c r="EW267" s="6"/>
      <c r="EX267" s="118"/>
      <c r="EY267" s="113"/>
      <c r="EZ267" s="6"/>
      <c r="FA267" s="114"/>
      <c r="FB267" s="115"/>
      <c r="FC267" s="6"/>
    </row>
    <row r="268" spans="27:159">
      <c r="AA268" s="79" t="s">
        <v>175</v>
      </c>
      <c r="AB268" s="80" t="s">
        <v>198</v>
      </c>
      <c r="AC268" s="81">
        <v>5.48</v>
      </c>
      <c r="AD268" s="81">
        <v>6</v>
      </c>
      <c r="AE268" s="80">
        <v>273</v>
      </c>
      <c r="AF268" s="80">
        <v>6.35</v>
      </c>
      <c r="AG268" s="108" cm="1">
        <f t="array" ref="AG268">_xll.DCEPropSectPipe(AE268, AF268, "Area")/100</f>
        <v>53.19431074856206</v>
      </c>
      <c r="AH268" s="16" cm="1">
        <f t="array" ref="AH268">_xll.DCEPropSectPipe(AE268, AF268, "Ix")/10000</f>
        <v>4730.4733077169503</v>
      </c>
      <c r="AI268" s="16" cm="1">
        <f t="array" ref="AI268">_xll.DCEPropSectPipe(AE268, AF268, "Wx")/1000</f>
        <v>346.55482107816493</v>
      </c>
      <c r="AJ268" s="108">
        <f t="shared" si="97"/>
        <v>9.4301739777164251</v>
      </c>
      <c r="AK268" s="80" t="s">
        <v>209</v>
      </c>
      <c r="AL268" s="82">
        <v>0.2453533781671576</v>
      </c>
      <c r="AM268" s="82">
        <v>-1.1422053195764017</v>
      </c>
      <c r="AN268" s="82">
        <v>0.51970193217527738</v>
      </c>
      <c r="AO268" s="82">
        <v>-2.8500453960492216</v>
      </c>
      <c r="AP268" s="82">
        <v>6.2638539725569862</v>
      </c>
      <c r="AQ268" s="82">
        <v>0.10067392384011647</v>
      </c>
      <c r="AR268" s="72">
        <v>1</v>
      </c>
      <c r="AS268" s="116">
        <f t="shared" si="98"/>
        <v>6</v>
      </c>
      <c r="AT268" s="7">
        <v>2</v>
      </c>
      <c r="AU268" s="6">
        <f t="shared" si="99"/>
        <v>12</v>
      </c>
      <c r="AV268" s="111">
        <f t="shared" si="100"/>
        <v>2.0179245005262734E-4</v>
      </c>
      <c r="AW268" s="117">
        <f t="shared" si="101"/>
        <v>105</v>
      </c>
      <c r="AX268" s="111">
        <f t="shared" si="102"/>
        <v>1</v>
      </c>
      <c r="AY268" s="111">
        <f t="shared" si="103"/>
        <v>1</v>
      </c>
      <c r="AZ268" s="111">
        <f t="shared" si="104"/>
        <v>1</v>
      </c>
      <c r="BA268" s="111">
        <f t="shared" si="105"/>
        <v>2.1241310531855509E-4</v>
      </c>
      <c r="BB268" s="111">
        <f t="shared" si="106"/>
        <v>3.7873399134714748E-2</v>
      </c>
      <c r="BC268" s="111">
        <f t="shared" si="107"/>
        <v>8.3238478219706979E-2</v>
      </c>
      <c r="BD268" s="111">
        <v>0</v>
      </c>
      <c r="BE268" s="111">
        <f t="shared" si="108"/>
        <v>0.12132429045974027</v>
      </c>
      <c r="BF268" s="6" t="str">
        <f t="shared" si="109"/>
        <v>OK</v>
      </c>
      <c r="BG268" s="16">
        <f t="shared" si="110"/>
        <v>63.625549371390676</v>
      </c>
      <c r="BH268" s="118">
        <f t="shared" si="111"/>
        <v>2.1193803644775273</v>
      </c>
      <c r="BI268" s="108">
        <f t="shared" si="112"/>
        <v>178.30067065737853</v>
      </c>
      <c r="BJ268" s="6">
        <f t="shared" si="113"/>
        <v>1.1000000000000001</v>
      </c>
      <c r="BK268" s="108">
        <f t="shared" si="114"/>
        <v>196.1307377231164</v>
      </c>
      <c r="BL268" s="118" cm="1">
        <f t="array" ref="BL268">IF(AO268=0,FactorPhi7121(BH268,"a"),noisuy2chieu(BK268,BH268,Data!$A$63:$M$85))</f>
        <v>0</v>
      </c>
      <c r="BM268" s="111">
        <v>1.26</v>
      </c>
      <c r="BN268" s="118">
        <f t="shared" si="115"/>
        <v>0.99990935940951509</v>
      </c>
      <c r="BO268" s="108" t="e">
        <f t="shared" si="116"/>
        <v>#DIV/0!</v>
      </c>
      <c r="BP268" s="6" t="e">
        <f t="shared" si="117"/>
        <v>#DIV/0!</v>
      </c>
      <c r="BQ268" s="16">
        <f t="shared" si="118"/>
        <v>127.25109874278135</v>
      </c>
      <c r="BR268" s="118">
        <f t="shared" si="119"/>
        <v>4.2387607289550546</v>
      </c>
      <c r="BS268" s="108">
        <f t="shared" si="120"/>
        <v>391.87072800839934</v>
      </c>
      <c r="BT268" s="118">
        <f t="shared" si="121"/>
        <v>1.1000000000000001</v>
      </c>
      <c r="BU268" s="108">
        <f t="shared" si="122"/>
        <v>431.05780080923932</v>
      </c>
      <c r="BV268" s="6" cm="1">
        <f t="array" ref="BV268">IF(AP268=0,FactorPhi7121(BR268,"a"),noisuy2chieu(BU268,BR268,Data!$A$63:$M$85))</f>
        <v>0</v>
      </c>
      <c r="BW268" s="111">
        <v>1.26</v>
      </c>
      <c r="BX268" s="111">
        <f t="shared" si="123"/>
        <v>0.99963743763806057</v>
      </c>
      <c r="BY268" s="113" t="e">
        <f t="shared" si="124"/>
        <v>#DIV/0!</v>
      </c>
      <c r="BZ268" s="6" t="e">
        <f t="shared" si="125"/>
        <v>#DIV/0!</v>
      </c>
      <c r="CA268" s="114">
        <f t="shared" si="126"/>
        <v>127.25109874278135</v>
      </c>
      <c r="CB268" s="115" t="e">
        <f t="shared" si="127"/>
        <v>#DIV/0!</v>
      </c>
      <c r="CC268" s="6" t="e">
        <f t="shared" si="128"/>
        <v>#DIV/0!</v>
      </c>
      <c r="DG268" s="108"/>
      <c r="DH268" s="108"/>
      <c r="DI268" s="16"/>
      <c r="DJ268" s="108"/>
      <c r="DT268" s="6"/>
      <c r="DU268" s="6"/>
      <c r="DV268" s="111"/>
      <c r="DW268" s="111"/>
      <c r="DX268" s="111"/>
      <c r="DY268" s="111"/>
      <c r="DZ268" s="111"/>
      <c r="EA268" s="111"/>
      <c r="EB268" s="111"/>
      <c r="EC268" s="111"/>
      <c r="ED268" s="111"/>
      <c r="EE268" s="111"/>
      <c r="EF268" s="6"/>
      <c r="EG268" s="6"/>
      <c r="EH268" s="6"/>
      <c r="EI268" s="6"/>
      <c r="EJ268" s="6"/>
      <c r="EK268" s="6"/>
      <c r="EL268" s="112"/>
      <c r="EM268" s="112"/>
      <c r="EN268" s="118"/>
      <c r="EO268" s="118"/>
      <c r="EP268" s="112"/>
      <c r="EQ268" s="112"/>
      <c r="ER268" s="112"/>
      <c r="ES268" s="112"/>
      <c r="ET268" s="112"/>
      <c r="EU268" s="112"/>
      <c r="EV268" s="6"/>
      <c r="EW268" s="6"/>
      <c r="EX268" s="118"/>
      <c r="EY268" s="113"/>
      <c r="EZ268" s="6"/>
      <c r="FA268" s="114"/>
      <c r="FB268" s="115"/>
      <c r="FC268" s="6"/>
    </row>
    <row r="269" spans="27:159">
      <c r="AA269" s="79" t="s">
        <v>175</v>
      </c>
      <c r="AB269" s="80" t="s">
        <v>198</v>
      </c>
      <c r="AC269" s="81">
        <v>0</v>
      </c>
      <c r="AD269" s="81">
        <v>6</v>
      </c>
      <c r="AE269" s="80">
        <v>273</v>
      </c>
      <c r="AF269" s="80">
        <v>6.35</v>
      </c>
      <c r="AG269" s="108" cm="1">
        <f t="array" ref="AG269">_xll.DCEPropSectPipe(AE269, AF269, "Area")/100</f>
        <v>53.19431074856206</v>
      </c>
      <c r="AH269" s="16" cm="1">
        <f t="array" ref="AH269">_xll.DCEPropSectPipe(AE269, AF269, "Ix")/10000</f>
        <v>4730.4733077169503</v>
      </c>
      <c r="AI269" s="16" cm="1">
        <f t="array" ref="AI269">_xll.DCEPropSectPipe(AE269, AF269, "Wx")/1000</f>
        <v>346.55482107816493</v>
      </c>
      <c r="AJ269" s="108">
        <f t="shared" si="97"/>
        <v>9.4301739777164251</v>
      </c>
      <c r="AK269" s="80" t="s">
        <v>210</v>
      </c>
      <c r="AL269" s="82">
        <v>7.1883910989767017</v>
      </c>
      <c r="AM269" s="82">
        <v>-1.039950307727372</v>
      </c>
      <c r="AN269" s="82">
        <v>0.69917525347909226</v>
      </c>
      <c r="AO269" s="82">
        <v>0</v>
      </c>
      <c r="AP269" s="82">
        <v>0</v>
      </c>
      <c r="AQ269" s="82">
        <v>7.077102915253998E-2</v>
      </c>
      <c r="AR269" s="72">
        <v>1</v>
      </c>
      <c r="AS269" s="116">
        <f t="shared" si="98"/>
        <v>6</v>
      </c>
      <c r="AT269" s="7">
        <v>2</v>
      </c>
      <c r="AU269" s="6">
        <f t="shared" si="99"/>
        <v>12</v>
      </c>
      <c r="AV269" s="111">
        <f t="shared" si="100"/>
        <v>5.9121380868485457E-3</v>
      </c>
      <c r="AW269" s="117">
        <f t="shared" si="101"/>
        <v>105</v>
      </c>
      <c r="AX269" s="111">
        <f t="shared" si="102"/>
        <v>1</v>
      </c>
      <c r="AY269" s="111">
        <f t="shared" si="103"/>
        <v>1</v>
      </c>
      <c r="AZ269" s="111">
        <f t="shared" si="104"/>
        <v>1</v>
      </c>
      <c r="BA269" s="111">
        <f t="shared" si="105"/>
        <v>6.2233032493142588E-3</v>
      </c>
      <c r="BB269" s="111">
        <f t="shared" si="106"/>
        <v>0</v>
      </c>
      <c r="BC269" s="111">
        <f t="shared" si="107"/>
        <v>0</v>
      </c>
      <c r="BD269" s="111">
        <v>0</v>
      </c>
      <c r="BE269" s="111">
        <f t="shared" si="108"/>
        <v>6.2233032493142588E-3</v>
      </c>
      <c r="BF269" s="6" t="str">
        <f t="shared" si="109"/>
        <v>OK</v>
      </c>
      <c r="BG269" s="16">
        <f t="shared" si="110"/>
        <v>63.625549371390676</v>
      </c>
      <c r="BH269" s="118">
        <f t="shared" si="111"/>
        <v>2.1193803644775273</v>
      </c>
      <c r="BI269" s="108">
        <f t="shared" si="112"/>
        <v>0</v>
      </c>
      <c r="BJ269" s="6">
        <f t="shared" si="113"/>
        <v>1.2440309817761237</v>
      </c>
      <c r="BK269" s="108">
        <f t="shared" si="114"/>
        <v>0</v>
      </c>
      <c r="BL269" s="118" cm="1">
        <f t="array" ref="BL269">IF(AO269=0,FactorPhi7121(BH269,"a"),noisuy2chieu(BK269,BH269,Data!$A$63:$M$85))</f>
        <v>0.86214274110469236</v>
      </c>
      <c r="BM269" s="111">
        <v>1.26</v>
      </c>
      <c r="BN269" s="118">
        <f t="shared" si="115"/>
        <v>0.99734440170045879</v>
      </c>
      <c r="BO269" s="108">
        <f t="shared" si="116"/>
        <v>1.4712457474975172E-2</v>
      </c>
      <c r="BP269" s="6" t="str">
        <f t="shared" si="117"/>
        <v>OK</v>
      </c>
      <c r="BQ269" s="16">
        <f t="shared" si="118"/>
        <v>127.25109874278135</v>
      </c>
      <c r="BR269" s="118">
        <f t="shared" si="119"/>
        <v>4.2387607289550546</v>
      </c>
      <c r="BS269" s="108">
        <f t="shared" si="120"/>
        <v>0</v>
      </c>
      <c r="BT269" s="118">
        <f t="shared" si="121"/>
        <v>1.1380619635522473</v>
      </c>
      <c r="BU269" s="108">
        <f t="shared" si="122"/>
        <v>0</v>
      </c>
      <c r="BV269" s="6" cm="1">
        <f t="array" ref="BV269">IF(AP269=0,FactorPhi7121(BR269,"a"),noisuy2chieu(BU269,BR269,Data!$A$63:$M$85))</f>
        <v>0.42299549615688942</v>
      </c>
      <c r="BW269" s="111">
        <v>1.26</v>
      </c>
      <c r="BX269" s="111">
        <f t="shared" si="123"/>
        <v>0.98937760680183529</v>
      </c>
      <c r="BY269" s="113">
        <f t="shared" si="124"/>
        <v>7.2184140196322154E-3</v>
      </c>
      <c r="BZ269" s="6" t="str">
        <f t="shared" si="125"/>
        <v>OK</v>
      </c>
      <c r="CA269" s="114">
        <f t="shared" si="126"/>
        <v>127.25109874278135</v>
      </c>
      <c r="CB269" s="115">
        <f t="shared" si="127"/>
        <v>150</v>
      </c>
      <c r="CC269" s="6" t="str">
        <f t="shared" si="128"/>
        <v>OK</v>
      </c>
      <c r="DG269" s="108"/>
      <c r="DH269" s="108"/>
      <c r="DI269" s="16"/>
      <c r="DJ269" s="108"/>
      <c r="DT269" s="6"/>
      <c r="DU269" s="6"/>
      <c r="DV269" s="111"/>
      <c r="DW269" s="111"/>
      <c r="DX269" s="111"/>
      <c r="DY269" s="111"/>
      <c r="DZ269" s="111"/>
      <c r="EA269" s="111"/>
      <c r="EB269" s="111"/>
      <c r="EC269" s="111"/>
      <c r="ED269" s="111"/>
      <c r="EE269" s="111"/>
      <c r="EF269" s="6"/>
      <c r="EG269" s="6"/>
      <c r="EH269" s="6"/>
      <c r="EI269" s="6"/>
      <c r="EJ269" s="6"/>
      <c r="EK269" s="6"/>
      <c r="EL269" s="112"/>
      <c r="EM269" s="112"/>
      <c r="EN269" s="118"/>
      <c r="EO269" s="118"/>
      <c r="EP269" s="112"/>
      <c r="EQ269" s="112"/>
      <c r="ER269" s="112"/>
      <c r="ES269" s="112"/>
      <c r="ET269" s="112"/>
      <c r="EU269" s="112"/>
      <c r="EV269" s="6"/>
      <c r="EW269" s="6"/>
      <c r="EX269" s="118"/>
      <c r="EY269" s="113"/>
      <c r="EZ269" s="6"/>
      <c r="FA269" s="114"/>
      <c r="FB269" s="115"/>
      <c r="FC269" s="6"/>
    </row>
    <row r="270" spans="27:159">
      <c r="AA270" s="79" t="s">
        <v>175</v>
      </c>
      <c r="AB270" s="80" t="s">
        <v>198</v>
      </c>
      <c r="AC270" s="81">
        <v>2.74</v>
      </c>
      <c r="AD270" s="81">
        <v>6</v>
      </c>
      <c r="AE270" s="80">
        <v>273</v>
      </c>
      <c r="AF270" s="80">
        <v>6.35</v>
      </c>
      <c r="AG270" s="108" cm="1">
        <f t="array" ref="AG270">_xll.DCEPropSectPipe(AE270, AF270, "Area")/100</f>
        <v>53.19431074856206</v>
      </c>
      <c r="AH270" s="16" cm="1">
        <f t="array" ref="AH270">_xll.DCEPropSectPipe(AE270, AF270, "Ix")/10000</f>
        <v>4730.4733077169503</v>
      </c>
      <c r="AI270" s="16" cm="1">
        <f t="array" ref="AI270">_xll.DCEPropSectPipe(AE270, AF270, "Wx")/1000</f>
        <v>346.55482107816493</v>
      </c>
      <c r="AJ270" s="108">
        <f t="shared" si="97"/>
        <v>9.4301739777164251</v>
      </c>
      <c r="AK270" s="80" t="s">
        <v>210</v>
      </c>
      <c r="AL270" s="82">
        <v>8.5356514477087337</v>
      </c>
      <c r="AM270" s="82">
        <v>-1.039950307727372</v>
      </c>
      <c r="AN270" s="82">
        <v>0.69917525347909226</v>
      </c>
      <c r="AO270" s="82">
        <v>-1.9171385450396712</v>
      </c>
      <c r="AP270" s="82">
        <v>2.851543743788453</v>
      </c>
      <c r="AQ270" s="82">
        <v>7.077102915253998E-2</v>
      </c>
      <c r="AR270" s="72">
        <v>1</v>
      </c>
      <c r="AS270" s="116">
        <f t="shared" si="98"/>
        <v>6</v>
      </c>
      <c r="AT270" s="7">
        <v>2</v>
      </c>
      <c r="AU270" s="6">
        <f t="shared" si="99"/>
        <v>12</v>
      </c>
      <c r="AV270" s="111">
        <f t="shared" si="100"/>
        <v>7.0202009497294174E-3</v>
      </c>
      <c r="AW270" s="117">
        <f t="shared" si="101"/>
        <v>105</v>
      </c>
      <c r="AX270" s="111">
        <f t="shared" si="102"/>
        <v>1</v>
      </c>
      <c r="AY270" s="111">
        <f t="shared" si="103"/>
        <v>1</v>
      </c>
      <c r="AZ270" s="111">
        <f t="shared" si="104"/>
        <v>1</v>
      </c>
      <c r="BA270" s="111">
        <f t="shared" si="105"/>
        <v>7.3896852102414926E-3</v>
      </c>
      <c r="BB270" s="111">
        <f t="shared" si="106"/>
        <v>2.5476279575576202E-2</v>
      </c>
      <c r="BC270" s="111">
        <f t="shared" si="107"/>
        <v>3.7893310228779835E-2</v>
      </c>
      <c r="BD270" s="111">
        <v>0</v>
      </c>
      <c r="BE270" s="111">
        <f t="shared" si="108"/>
        <v>7.0759275014597528E-2</v>
      </c>
      <c r="BF270" s="6" t="str">
        <f t="shared" si="109"/>
        <v>OK</v>
      </c>
      <c r="BG270" s="16">
        <f t="shared" si="110"/>
        <v>63.625549371390676</v>
      </c>
      <c r="BH270" s="118">
        <f t="shared" si="111"/>
        <v>2.1193803644775273</v>
      </c>
      <c r="BI270" s="108">
        <f t="shared" si="112"/>
        <v>3.4475459848097709</v>
      </c>
      <c r="BJ270" s="6">
        <f t="shared" si="113"/>
        <v>1.1447202951940267</v>
      </c>
      <c r="BK270" s="108">
        <f t="shared" si="114"/>
        <v>3.9464758574264227</v>
      </c>
      <c r="BL270" s="118" cm="1">
        <f t="array" ref="BL270">IF(AO270=0,FactorPhi7121(BH270,"a"),noisuy2chieu(BK270,BH270,Data!$A$63:$M$85))</f>
        <v>0</v>
      </c>
      <c r="BM270" s="111">
        <v>1.26</v>
      </c>
      <c r="BN270" s="118">
        <f t="shared" si="115"/>
        <v>0.99684668500114881</v>
      </c>
      <c r="BO270" s="108" t="e">
        <f t="shared" si="116"/>
        <v>#DIV/0!</v>
      </c>
      <c r="BP270" s="6" t="e">
        <f t="shared" si="117"/>
        <v>#DIV/0!</v>
      </c>
      <c r="BQ270" s="16">
        <f t="shared" si="118"/>
        <v>127.25109874278135</v>
      </c>
      <c r="BR270" s="118">
        <f t="shared" si="119"/>
        <v>4.2387607289550546</v>
      </c>
      <c r="BS270" s="108">
        <f t="shared" si="120"/>
        <v>5.127865281225084</v>
      </c>
      <c r="BT270" s="118">
        <f t="shared" si="121"/>
        <v>1.1000000000000001</v>
      </c>
      <c r="BU270" s="108">
        <f t="shared" si="122"/>
        <v>5.6406518093475926</v>
      </c>
      <c r="BV270" s="6" cm="1">
        <f t="array" ref="BV270">IF(AP270=0,FactorPhi7121(BR270,"a"),noisuy2chieu(BU270,BR270,Data!$A$63:$M$85))</f>
        <v>0</v>
      </c>
      <c r="BW270" s="111">
        <v>1.26</v>
      </c>
      <c r="BX270" s="111">
        <f t="shared" si="123"/>
        <v>0.98738674000459525</v>
      </c>
      <c r="BY270" s="113" t="e">
        <f t="shared" si="124"/>
        <v>#DIV/0!</v>
      </c>
      <c r="BZ270" s="6" t="e">
        <f t="shared" si="125"/>
        <v>#DIV/0!</v>
      </c>
      <c r="CA270" s="114">
        <f t="shared" si="126"/>
        <v>127.25109874278135</v>
      </c>
      <c r="CB270" s="115" t="e">
        <f t="shared" si="127"/>
        <v>#DIV/0!</v>
      </c>
      <c r="CC270" s="6" t="e">
        <f t="shared" si="128"/>
        <v>#DIV/0!</v>
      </c>
      <c r="DG270" s="108"/>
      <c r="DH270" s="108"/>
      <c r="DI270" s="16"/>
      <c r="DJ270" s="108"/>
      <c r="DT270" s="6"/>
      <c r="DU270" s="6"/>
      <c r="DV270" s="111"/>
      <c r="DW270" s="111"/>
      <c r="DX270" s="111"/>
      <c r="DY270" s="111"/>
      <c r="DZ270" s="111"/>
      <c r="EA270" s="111"/>
      <c r="EB270" s="111"/>
      <c r="EC270" s="111"/>
      <c r="ED270" s="111"/>
      <c r="EE270" s="111"/>
      <c r="EF270" s="6"/>
      <c r="EG270" s="6"/>
      <c r="EH270" s="6"/>
      <c r="EI270" s="6"/>
      <c r="EJ270" s="6"/>
      <c r="EK270" s="6"/>
      <c r="EL270" s="112"/>
      <c r="EM270" s="112"/>
      <c r="EN270" s="118"/>
      <c r="EO270" s="118"/>
      <c r="EP270" s="112"/>
      <c r="EQ270" s="112"/>
      <c r="ER270" s="112"/>
      <c r="ES270" s="112"/>
      <c r="ET270" s="112"/>
      <c r="EU270" s="112"/>
      <c r="EV270" s="6"/>
      <c r="EW270" s="6"/>
      <c r="EX270" s="118"/>
      <c r="EY270" s="113"/>
      <c r="EZ270" s="6"/>
      <c r="FA270" s="114"/>
      <c r="FB270" s="115"/>
      <c r="FC270" s="6"/>
    </row>
    <row r="271" spans="27:159">
      <c r="AA271" s="79" t="s">
        <v>175</v>
      </c>
      <c r="AB271" s="80" t="s">
        <v>198</v>
      </c>
      <c r="AC271" s="81">
        <v>5.48</v>
      </c>
      <c r="AD271" s="81">
        <v>6</v>
      </c>
      <c r="AE271" s="80">
        <v>273</v>
      </c>
      <c r="AF271" s="80">
        <v>6.35</v>
      </c>
      <c r="AG271" s="108" cm="1">
        <f t="array" ref="AG271">_xll.DCEPropSectPipe(AE271, AF271, "Area")/100</f>
        <v>53.19431074856206</v>
      </c>
      <c r="AH271" s="16" cm="1">
        <f t="array" ref="AH271">_xll.DCEPropSectPipe(AE271, AF271, "Ix")/10000</f>
        <v>4730.4733077169503</v>
      </c>
      <c r="AI271" s="16" cm="1">
        <f t="array" ref="AI271">_xll.DCEPropSectPipe(AE271, AF271, "Wx")/1000</f>
        <v>346.55482107816493</v>
      </c>
      <c r="AJ271" s="108">
        <f t="shared" si="97"/>
        <v>9.4301739777164251</v>
      </c>
      <c r="AK271" s="80" t="s">
        <v>210</v>
      </c>
      <c r="AL271" s="82">
        <v>9.8829117964407676</v>
      </c>
      <c r="AM271" s="82">
        <v>-1.039950307727372</v>
      </c>
      <c r="AN271" s="82">
        <v>0.69917525347909226</v>
      </c>
      <c r="AO271" s="82">
        <v>-3.8342770900793424</v>
      </c>
      <c r="AP271" s="82">
        <v>5.703087487576906</v>
      </c>
      <c r="AQ271" s="82">
        <v>7.077102915253998E-2</v>
      </c>
      <c r="AR271" s="72">
        <v>1</v>
      </c>
      <c r="AS271" s="116">
        <f t="shared" si="98"/>
        <v>6</v>
      </c>
      <c r="AT271" s="7">
        <v>2</v>
      </c>
      <c r="AU271" s="6">
        <f t="shared" si="99"/>
        <v>12</v>
      </c>
      <c r="AV271" s="111">
        <f t="shared" si="100"/>
        <v>8.12826381261029E-3</v>
      </c>
      <c r="AW271" s="117">
        <f t="shared" si="101"/>
        <v>105</v>
      </c>
      <c r="AX271" s="111">
        <f t="shared" si="102"/>
        <v>1</v>
      </c>
      <c r="AY271" s="111">
        <f t="shared" si="103"/>
        <v>1</v>
      </c>
      <c r="AZ271" s="111">
        <f t="shared" si="104"/>
        <v>1</v>
      </c>
      <c r="BA271" s="111">
        <f t="shared" si="105"/>
        <v>8.5560671711687273E-3</v>
      </c>
      <c r="BB271" s="111">
        <f t="shared" si="106"/>
        <v>5.0952559151152405E-2</v>
      </c>
      <c r="BC271" s="111">
        <f t="shared" si="107"/>
        <v>7.578662045755967E-2</v>
      </c>
      <c r="BD271" s="111">
        <v>0</v>
      </c>
      <c r="BE271" s="111">
        <f t="shared" si="108"/>
        <v>0.13529524677988081</v>
      </c>
      <c r="BF271" s="6" t="str">
        <f t="shared" si="109"/>
        <v>OK</v>
      </c>
      <c r="BG271" s="16">
        <f t="shared" si="110"/>
        <v>63.625549371390676</v>
      </c>
      <c r="BH271" s="118">
        <f t="shared" si="111"/>
        <v>2.1193803644775273</v>
      </c>
      <c r="BI271" s="108">
        <f t="shared" si="112"/>
        <v>5.9551378141170526</v>
      </c>
      <c r="BJ271" s="6">
        <f t="shared" si="113"/>
        <v>1.1000000000000001</v>
      </c>
      <c r="BK271" s="108">
        <f t="shared" si="114"/>
        <v>6.5506515955287581</v>
      </c>
      <c r="BL271" s="118" cm="1">
        <f t="array" ref="BL271">IF(AO271=0,FactorPhi7121(BH271,"a"),noisuy2chieu(BK271,BH271,Data!$A$63:$M$85))</f>
        <v>0</v>
      </c>
      <c r="BM271" s="111">
        <v>1.26</v>
      </c>
      <c r="BN271" s="118">
        <f t="shared" si="115"/>
        <v>0.99634896830183883</v>
      </c>
      <c r="BO271" s="108" t="e">
        <f t="shared" si="116"/>
        <v>#DIV/0!</v>
      </c>
      <c r="BP271" s="6" t="e">
        <f t="shared" si="117"/>
        <v>#DIV/0!</v>
      </c>
      <c r="BQ271" s="16">
        <f t="shared" si="118"/>
        <v>127.25109874278135</v>
      </c>
      <c r="BR271" s="118">
        <f t="shared" si="119"/>
        <v>4.2387607289550546</v>
      </c>
      <c r="BS271" s="108">
        <f t="shared" si="120"/>
        <v>8.8576467366849219</v>
      </c>
      <c r="BT271" s="118">
        <f t="shared" si="121"/>
        <v>1.1000000000000001</v>
      </c>
      <c r="BU271" s="108">
        <f t="shared" si="122"/>
        <v>9.7434114103534153</v>
      </c>
      <c r="BV271" s="6" cm="1">
        <f t="array" ref="BV271">IF(AP271=0,FactorPhi7121(BR271,"a"),noisuy2chieu(BU271,BR271,Data!$A$63:$M$85))</f>
        <v>0</v>
      </c>
      <c r="BW271" s="111">
        <v>1.26</v>
      </c>
      <c r="BX271" s="111">
        <f t="shared" si="123"/>
        <v>0.98539587320735522</v>
      </c>
      <c r="BY271" s="113" t="e">
        <f t="shared" si="124"/>
        <v>#DIV/0!</v>
      </c>
      <c r="BZ271" s="6" t="e">
        <f t="shared" si="125"/>
        <v>#DIV/0!</v>
      </c>
      <c r="CA271" s="114">
        <f t="shared" si="126"/>
        <v>127.25109874278135</v>
      </c>
      <c r="CB271" s="115" t="e">
        <f t="shared" si="127"/>
        <v>#DIV/0!</v>
      </c>
      <c r="CC271" s="6" t="e">
        <f t="shared" si="128"/>
        <v>#DIV/0!</v>
      </c>
      <c r="DG271" s="108"/>
      <c r="DH271" s="108"/>
      <c r="DI271" s="16"/>
      <c r="DJ271" s="108"/>
      <c r="DT271" s="6"/>
      <c r="DU271" s="6"/>
      <c r="DV271" s="111"/>
      <c r="DW271" s="111"/>
      <c r="DX271" s="111"/>
      <c r="DY271" s="111"/>
      <c r="DZ271" s="111"/>
      <c r="EA271" s="111"/>
      <c r="EB271" s="111"/>
      <c r="EC271" s="111"/>
      <c r="ED271" s="111"/>
      <c r="EE271" s="111"/>
      <c r="EF271" s="6"/>
      <c r="EG271" s="6"/>
      <c r="EH271" s="6"/>
      <c r="EI271" s="6"/>
      <c r="EJ271" s="6"/>
      <c r="EK271" s="6"/>
      <c r="EL271" s="112"/>
      <c r="EM271" s="112"/>
      <c r="EN271" s="118"/>
      <c r="EO271" s="118"/>
      <c r="EP271" s="112"/>
      <c r="EQ271" s="112"/>
      <c r="ER271" s="112"/>
      <c r="ES271" s="112"/>
      <c r="ET271" s="112"/>
      <c r="EU271" s="112"/>
      <c r="EV271" s="6"/>
      <c r="EW271" s="6"/>
      <c r="EX271" s="118"/>
      <c r="EY271" s="113"/>
      <c r="EZ271" s="6"/>
      <c r="FA271" s="114"/>
      <c r="FB271" s="115"/>
      <c r="FC271" s="6"/>
    </row>
    <row r="272" spans="27:159">
      <c r="AA272" s="79" t="s">
        <v>175</v>
      </c>
      <c r="AB272" s="80" t="s">
        <v>198</v>
      </c>
      <c r="AC272" s="81">
        <v>0</v>
      </c>
      <c r="AD272" s="81">
        <v>6</v>
      </c>
      <c r="AE272" s="80">
        <v>273</v>
      </c>
      <c r="AF272" s="80">
        <v>6.35</v>
      </c>
      <c r="AG272" s="108" cm="1">
        <f t="array" ref="AG272">_xll.DCEPropSectPipe(AE272, AF272, "Area")/100</f>
        <v>53.19431074856206</v>
      </c>
      <c r="AH272" s="16" cm="1">
        <f t="array" ref="AH272">_xll.DCEPropSectPipe(AE272, AF272, "Ix")/10000</f>
        <v>4730.4733077169503</v>
      </c>
      <c r="AI272" s="16" cm="1">
        <f t="array" ref="AI272">_xll.DCEPropSectPipe(AE272, AF272, "Wx")/1000</f>
        <v>346.55482107816493</v>
      </c>
      <c r="AJ272" s="108">
        <f t="shared" si="97"/>
        <v>9.4301739777164251</v>
      </c>
      <c r="AK272" s="80" t="s">
        <v>211</v>
      </c>
      <c r="AL272" s="82">
        <v>-43.045406976863163</v>
      </c>
      <c r="AM272" s="82">
        <v>7.5616875223853128</v>
      </c>
      <c r="AN272" s="82">
        <v>-2.3405569579885519</v>
      </c>
      <c r="AO272" s="82">
        <v>0</v>
      </c>
      <c r="AP272" s="82">
        <v>0</v>
      </c>
      <c r="AQ272" s="82">
        <v>-0.26266326963980147</v>
      </c>
      <c r="AR272" s="72">
        <v>1</v>
      </c>
      <c r="AS272" s="116">
        <f t="shared" si="98"/>
        <v>6</v>
      </c>
      <c r="AT272" s="7">
        <v>2</v>
      </c>
      <c r="AU272" s="6">
        <f t="shared" si="99"/>
        <v>12</v>
      </c>
      <c r="AV272" s="111">
        <f t="shared" si="100"/>
        <v>3.5402969391584244E-2</v>
      </c>
      <c r="AW272" s="117">
        <f t="shared" si="101"/>
        <v>105</v>
      </c>
      <c r="AX272" s="111">
        <f t="shared" si="102"/>
        <v>1</v>
      </c>
      <c r="AY272" s="111">
        <f t="shared" si="103"/>
        <v>1</v>
      </c>
      <c r="AZ272" s="111">
        <f t="shared" si="104"/>
        <v>1</v>
      </c>
      <c r="BA272" s="111">
        <f t="shared" si="105"/>
        <v>3.7266283570088682E-2</v>
      </c>
      <c r="BB272" s="111">
        <f t="shared" si="106"/>
        <v>0</v>
      </c>
      <c r="BC272" s="111">
        <f t="shared" si="107"/>
        <v>0</v>
      </c>
      <c r="BD272" s="111">
        <v>0</v>
      </c>
      <c r="BE272" s="111">
        <f t="shared" si="108"/>
        <v>3.7266283570088682E-2</v>
      </c>
      <c r="BF272" s="6" t="str">
        <f t="shared" si="109"/>
        <v>OK</v>
      </c>
      <c r="BG272" s="16">
        <f t="shared" si="110"/>
        <v>63.625549371390676</v>
      </c>
      <c r="BH272" s="118">
        <f t="shared" si="111"/>
        <v>2.1193803644775273</v>
      </c>
      <c r="BI272" s="108">
        <f t="shared" si="112"/>
        <v>0</v>
      </c>
      <c r="BJ272" s="6">
        <f t="shared" si="113"/>
        <v>1.2440309817761237</v>
      </c>
      <c r="BK272" s="108">
        <f t="shared" si="114"/>
        <v>0</v>
      </c>
      <c r="BL272" s="118" cm="1">
        <f t="array" ref="BL272">IF(AO272=0,FactorPhi7121(BH272,"a"),noisuy2chieu(BK272,BH272,Data!$A$63:$M$85))</f>
        <v>0.86214274110469236</v>
      </c>
      <c r="BM272" s="111">
        <v>1.26</v>
      </c>
      <c r="BN272" s="118">
        <f t="shared" si="115"/>
        <v>0.98409778933882874</v>
      </c>
      <c r="BO272" s="108">
        <f t="shared" si="116"/>
        <v>8.8100899202639693E-2</v>
      </c>
      <c r="BP272" s="6" t="str">
        <f t="shared" si="117"/>
        <v>OK</v>
      </c>
      <c r="BQ272" s="16">
        <f t="shared" si="118"/>
        <v>127.25109874278135</v>
      </c>
      <c r="BR272" s="118">
        <f t="shared" si="119"/>
        <v>4.2387607289550546</v>
      </c>
      <c r="BS272" s="108">
        <f t="shared" si="120"/>
        <v>0</v>
      </c>
      <c r="BT272" s="118">
        <f t="shared" si="121"/>
        <v>1.1380619635522473</v>
      </c>
      <c r="BU272" s="108">
        <f t="shared" si="122"/>
        <v>0</v>
      </c>
      <c r="BV272" s="6" cm="1">
        <f t="array" ref="BV272">IF(AP272=0,FactorPhi7121(BR272,"a"),noisuy2chieu(BU272,BR272,Data!$A$63:$M$85))</f>
        <v>0.42299549615688942</v>
      </c>
      <c r="BW272" s="111">
        <v>1.26</v>
      </c>
      <c r="BX272" s="111">
        <f t="shared" si="123"/>
        <v>0.93639115735531475</v>
      </c>
      <c r="BY272" s="113">
        <f t="shared" si="124"/>
        <v>4.3225189743334315E-2</v>
      </c>
      <c r="BZ272" s="6" t="str">
        <f t="shared" si="125"/>
        <v>OK</v>
      </c>
      <c r="CA272" s="114">
        <f t="shared" si="126"/>
        <v>127.25109874278135</v>
      </c>
      <c r="CB272" s="115">
        <f t="shared" si="127"/>
        <v>150</v>
      </c>
      <c r="CC272" s="6" t="str">
        <f t="shared" si="128"/>
        <v>OK</v>
      </c>
      <c r="DG272" s="108"/>
      <c r="DH272" s="108"/>
      <c r="DI272" s="16"/>
      <c r="DJ272" s="108"/>
      <c r="DT272" s="6"/>
      <c r="DU272" s="6"/>
      <c r="DV272" s="111"/>
      <c r="DW272" s="111"/>
      <c r="DX272" s="111"/>
      <c r="DY272" s="111"/>
      <c r="DZ272" s="111"/>
      <c r="EA272" s="111"/>
      <c r="EB272" s="111"/>
      <c r="EC272" s="111"/>
      <c r="ED272" s="111"/>
      <c r="EE272" s="111"/>
      <c r="EF272" s="6"/>
      <c r="EG272" s="6"/>
      <c r="EH272" s="6"/>
      <c r="EI272" s="6"/>
      <c r="EJ272" s="6"/>
      <c r="EK272" s="6"/>
      <c r="EL272" s="112"/>
      <c r="EM272" s="112"/>
      <c r="EN272" s="118"/>
      <c r="EO272" s="118"/>
      <c r="EP272" s="112"/>
      <c r="EQ272" s="112"/>
      <c r="ER272" s="112"/>
      <c r="ES272" s="112"/>
      <c r="ET272" s="112"/>
      <c r="EU272" s="112"/>
      <c r="EV272" s="6"/>
      <c r="EW272" s="6"/>
      <c r="EX272" s="118"/>
      <c r="EY272" s="113"/>
      <c r="EZ272" s="6"/>
      <c r="FA272" s="114"/>
      <c r="FB272" s="115"/>
      <c r="FC272" s="6"/>
    </row>
    <row r="273" spans="27:159">
      <c r="AA273" s="79" t="s">
        <v>175</v>
      </c>
      <c r="AB273" s="80" t="s">
        <v>198</v>
      </c>
      <c r="AC273" s="81">
        <v>2.74</v>
      </c>
      <c r="AD273" s="81">
        <v>6</v>
      </c>
      <c r="AE273" s="80">
        <v>273</v>
      </c>
      <c r="AF273" s="80">
        <v>6.35</v>
      </c>
      <c r="AG273" s="108" cm="1">
        <f t="array" ref="AG273">_xll.DCEPropSectPipe(AE273, AF273, "Area")/100</f>
        <v>53.19431074856206</v>
      </c>
      <c r="AH273" s="16" cm="1">
        <f t="array" ref="AH273">_xll.DCEPropSectPipe(AE273, AF273, "Ix")/10000</f>
        <v>4730.4733077169503</v>
      </c>
      <c r="AI273" s="16" cm="1">
        <f t="array" ref="AI273">_xll.DCEPropSectPipe(AE273, AF273, "Wx")/1000</f>
        <v>346.55482107816493</v>
      </c>
      <c r="AJ273" s="108">
        <f t="shared" si="97"/>
        <v>9.4301739777164251</v>
      </c>
      <c r="AK273" s="80" t="s">
        <v>211</v>
      </c>
      <c r="AL273" s="82">
        <v>-41.698146628131127</v>
      </c>
      <c r="AM273" s="82">
        <v>7.5616875223853128</v>
      </c>
      <c r="AN273" s="82">
        <v>-2.3405569579885519</v>
      </c>
      <c r="AO273" s="82">
        <v>6.4178071788046074</v>
      </c>
      <c r="AP273" s="82">
        <v>-20.734147186380522</v>
      </c>
      <c r="AQ273" s="82">
        <v>-0.26266326963980147</v>
      </c>
      <c r="AR273" s="72">
        <v>1</v>
      </c>
      <c r="AS273" s="116">
        <f t="shared" si="98"/>
        <v>6</v>
      </c>
      <c r="AT273" s="7">
        <v>2</v>
      </c>
      <c r="AU273" s="6">
        <f t="shared" si="99"/>
        <v>12</v>
      </c>
      <c r="AV273" s="111">
        <f t="shared" si="100"/>
        <v>3.4294906528703373E-2</v>
      </c>
      <c r="AW273" s="117">
        <f t="shared" si="101"/>
        <v>105</v>
      </c>
      <c r="AX273" s="111">
        <f t="shared" si="102"/>
        <v>1</v>
      </c>
      <c r="AY273" s="111">
        <f t="shared" si="103"/>
        <v>1</v>
      </c>
      <c r="AZ273" s="111">
        <f t="shared" si="104"/>
        <v>1</v>
      </c>
      <c r="BA273" s="111">
        <f t="shared" si="105"/>
        <v>3.6099901609161447E-2</v>
      </c>
      <c r="BB273" s="111">
        <f t="shared" si="106"/>
        <v>8.5284316239118141E-2</v>
      </c>
      <c r="BC273" s="111">
        <f t="shared" si="107"/>
        <v>0.27552986811938845</v>
      </c>
      <c r="BD273" s="111">
        <v>0</v>
      </c>
      <c r="BE273" s="111">
        <f t="shared" si="108"/>
        <v>0.39691408596766803</v>
      </c>
      <c r="BF273" s="6" t="str">
        <f t="shared" si="109"/>
        <v>OK</v>
      </c>
      <c r="BG273" s="16">
        <f t="shared" si="110"/>
        <v>63.625549371390676</v>
      </c>
      <c r="BH273" s="118">
        <f t="shared" si="111"/>
        <v>2.1193803644775273</v>
      </c>
      <c r="BI273" s="108">
        <f t="shared" si="112"/>
        <v>2.3624528721007554</v>
      </c>
      <c r="BJ273" s="6">
        <f t="shared" si="113"/>
        <v>1.1759777004624248</v>
      </c>
      <c r="BK273" s="108">
        <f t="shared" si="114"/>
        <v>2.7781918959838974</v>
      </c>
      <c r="BL273" s="118" cm="1">
        <f t="array" ref="BL273">IF(AO273=0,FactorPhi7121(BH273,"a"),noisuy2chieu(BK273,BH273,Data!$A$63:$M$85))</f>
        <v>0</v>
      </c>
      <c r="BM273" s="111">
        <v>1.26</v>
      </c>
      <c r="BN273" s="118">
        <f t="shared" si="115"/>
        <v>0.98459550603813872</v>
      </c>
      <c r="BO273" s="108" t="e">
        <f t="shared" si="116"/>
        <v>#DIV/0!</v>
      </c>
      <c r="BP273" s="6" t="e">
        <f t="shared" si="117"/>
        <v>#DIV/0!</v>
      </c>
      <c r="BQ273" s="16">
        <f t="shared" si="118"/>
        <v>127.25109874278135</v>
      </c>
      <c r="BR273" s="118">
        <f t="shared" si="119"/>
        <v>4.2387607289550546</v>
      </c>
      <c r="BS273" s="108">
        <f t="shared" si="120"/>
        <v>7.6324271213377592</v>
      </c>
      <c r="BT273" s="118">
        <f t="shared" si="121"/>
        <v>1.1000000000000001</v>
      </c>
      <c r="BU273" s="108">
        <f t="shared" si="122"/>
        <v>8.3956698334715352</v>
      </c>
      <c r="BV273" s="6" cm="1">
        <f t="array" ref="BV273">IF(AP273=0,FactorPhi7121(BR273,"a"),noisuy2chieu(BU273,BR273,Data!$A$63:$M$85))</f>
        <v>0</v>
      </c>
      <c r="BW273" s="111">
        <v>1.26</v>
      </c>
      <c r="BX273" s="111">
        <f t="shared" si="123"/>
        <v>0.93838202415255478</v>
      </c>
      <c r="BY273" s="113" t="e">
        <f t="shared" si="124"/>
        <v>#DIV/0!</v>
      </c>
      <c r="BZ273" s="6" t="e">
        <f t="shared" si="125"/>
        <v>#DIV/0!</v>
      </c>
      <c r="CA273" s="114">
        <f t="shared" si="126"/>
        <v>127.25109874278135</v>
      </c>
      <c r="CB273" s="115" t="e">
        <f t="shared" si="127"/>
        <v>#DIV/0!</v>
      </c>
      <c r="CC273" s="6" t="e">
        <f t="shared" si="128"/>
        <v>#DIV/0!</v>
      </c>
      <c r="DG273" s="108"/>
      <c r="DH273" s="108"/>
      <c r="DI273" s="16"/>
      <c r="DJ273" s="108"/>
      <c r="DT273" s="6"/>
      <c r="DU273" s="6"/>
      <c r="DV273" s="111"/>
      <c r="DW273" s="111"/>
      <c r="DX273" s="111"/>
      <c r="DY273" s="111"/>
      <c r="DZ273" s="111"/>
      <c r="EA273" s="111"/>
      <c r="EB273" s="111"/>
      <c r="EC273" s="111"/>
      <c r="ED273" s="111"/>
      <c r="EE273" s="111"/>
      <c r="EF273" s="6"/>
      <c r="EG273" s="6"/>
      <c r="EH273" s="6"/>
      <c r="EI273" s="6"/>
      <c r="EJ273" s="6"/>
      <c r="EK273" s="6"/>
      <c r="EL273" s="112"/>
      <c r="EM273" s="112"/>
      <c r="EN273" s="118"/>
      <c r="EO273" s="118"/>
      <c r="EP273" s="112"/>
      <c r="EQ273" s="112"/>
      <c r="ER273" s="112"/>
      <c r="ES273" s="112"/>
      <c r="ET273" s="112"/>
      <c r="EU273" s="112"/>
      <c r="EV273" s="6"/>
      <c r="EW273" s="6"/>
      <c r="EX273" s="118"/>
      <c r="EY273" s="113"/>
      <c r="EZ273" s="6"/>
      <c r="FA273" s="114"/>
      <c r="FB273" s="115"/>
      <c r="FC273" s="6"/>
    </row>
    <row r="274" spans="27:159">
      <c r="AA274" s="79" t="s">
        <v>175</v>
      </c>
      <c r="AB274" s="80" t="s">
        <v>198</v>
      </c>
      <c r="AC274" s="81">
        <v>5.48</v>
      </c>
      <c r="AD274" s="81">
        <v>6</v>
      </c>
      <c r="AE274" s="80">
        <v>273</v>
      </c>
      <c r="AF274" s="80">
        <v>6.35</v>
      </c>
      <c r="AG274" s="108" cm="1">
        <f t="array" ref="AG274">_xll.DCEPropSectPipe(AE274, AF274, "Area")/100</f>
        <v>53.19431074856206</v>
      </c>
      <c r="AH274" s="16" cm="1">
        <f t="array" ref="AH274">_xll.DCEPropSectPipe(AE274, AF274, "Ix")/10000</f>
        <v>4730.4733077169503</v>
      </c>
      <c r="AI274" s="16" cm="1">
        <f t="array" ref="AI274">_xll.DCEPropSectPipe(AE274, AF274, "Wx")/1000</f>
        <v>346.55482107816493</v>
      </c>
      <c r="AJ274" s="108">
        <f t="shared" si="97"/>
        <v>9.4301739777164251</v>
      </c>
      <c r="AK274" s="80" t="s">
        <v>211</v>
      </c>
      <c r="AL274" s="82">
        <v>-40.350886279399099</v>
      </c>
      <c r="AM274" s="82">
        <v>7.5616875223853128</v>
      </c>
      <c r="AN274" s="82">
        <v>-2.3405569579885519</v>
      </c>
      <c r="AO274" s="82">
        <v>12.835614357609215</v>
      </c>
      <c r="AP274" s="82">
        <v>-41.468294372761044</v>
      </c>
      <c r="AQ274" s="82">
        <v>-0.26266326963980147</v>
      </c>
      <c r="AR274" s="72">
        <v>1</v>
      </c>
      <c r="AS274" s="116">
        <f t="shared" si="98"/>
        <v>6</v>
      </c>
      <c r="AT274" s="7">
        <v>2</v>
      </c>
      <c r="AU274" s="6">
        <f t="shared" si="99"/>
        <v>12</v>
      </c>
      <c r="AV274" s="111">
        <f t="shared" si="100"/>
        <v>3.3186843665822502E-2</v>
      </c>
      <c r="AW274" s="117">
        <f t="shared" si="101"/>
        <v>105</v>
      </c>
      <c r="AX274" s="111">
        <f t="shared" si="102"/>
        <v>1</v>
      </c>
      <c r="AY274" s="111">
        <f t="shared" si="103"/>
        <v>1</v>
      </c>
      <c r="AZ274" s="111">
        <f t="shared" si="104"/>
        <v>1</v>
      </c>
      <c r="BA274" s="111">
        <f t="shared" si="105"/>
        <v>3.4933519648234219E-2</v>
      </c>
      <c r="BB274" s="111">
        <f t="shared" si="106"/>
        <v>0.17056863247823628</v>
      </c>
      <c r="BC274" s="111">
        <f t="shared" si="107"/>
        <v>0.55105973623877691</v>
      </c>
      <c r="BD274" s="111">
        <v>0</v>
      </c>
      <c r="BE274" s="111">
        <f t="shared" si="108"/>
        <v>0.7565618883652474</v>
      </c>
      <c r="BF274" s="6" t="str">
        <f t="shared" si="109"/>
        <v>OK</v>
      </c>
      <c r="BG274" s="16">
        <f t="shared" si="110"/>
        <v>63.625549371390676</v>
      </c>
      <c r="BH274" s="118">
        <f t="shared" si="111"/>
        <v>2.1193803644775273</v>
      </c>
      <c r="BI274" s="108">
        <f t="shared" si="112"/>
        <v>4.8826638196148098</v>
      </c>
      <c r="BJ274" s="6">
        <f t="shared" si="113"/>
        <v>1.103380009051748</v>
      </c>
      <c r="BK274" s="108">
        <f t="shared" si="114"/>
        <v>5.3874336494832313</v>
      </c>
      <c r="BL274" s="118" cm="1">
        <f t="array" ref="BL274">IF(AO274=0,FactorPhi7121(BH274,"a"),noisuy2chieu(BK274,BH274,Data!$A$63:$M$85))</f>
        <v>0</v>
      </c>
      <c r="BM274" s="111">
        <v>1.26</v>
      </c>
      <c r="BN274" s="118">
        <f t="shared" si="115"/>
        <v>0.9850932227374487</v>
      </c>
      <c r="BO274" s="108" t="e">
        <f t="shared" si="116"/>
        <v>#DIV/0!</v>
      </c>
      <c r="BP274" s="6" t="e">
        <f t="shared" si="117"/>
        <v>#DIV/0!</v>
      </c>
      <c r="BQ274" s="16">
        <f t="shared" si="118"/>
        <v>127.25109874278135</v>
      </c>
      <c r="BR274" s="118">
        <f t="shared" si="119"/>
        <v>4.2387607289550546</v>
      </c>
      <c r="BS274" s="108">
        <f t="shared" si="120"/>
        <v>15.774526637673947</v>
      </c>
      <c r="BT274" s="118">
        <f t="shared" si="121"/>
        <v>1.1000000000000001</v>
      </c>
      <c r="BU274" s="108">
        <f t="shared" si="122"/>
        <v>17.351979301441343</v>
      </c>
      <c r="BV274" s="6" cm="1">
        <f t="array" ref="BV274">IF(AP274=0,FactorPhi7121(BR274,"a"),noisuy2chieu(BU274,BR274,Data!$A$63:$M$85))</f>
        <v>0</v>
      </c>
      <c r="BW274" s="111">
        <v>1.26</v>
      </c>
      <c r="BX274" s="111">
        <f t="shared" si="123"/>
        <v>0.9403728909497947</v>
      </c>
      <c r="BY274" s="113" t="e">
        <f t="shared" si="124"/>
        <v>#DIV/0!</v>
      </c>
      <c r="BZ274" s="6" t="e">
        <f t="shared" si="125"/>
        <v>#DIV/0!</v>
      </c>
      <c r="CA274" s="114">
        <f t="shared" si="126"/>
        <v>127.25109874278135</v>
      </c>
      <c r="CB274" s="115" t="e">
        <f t="shared" si="127"/>
        <v>#DIV/0!</v>
      </c>
      <c r="CC274" s="6" t="e">
        <f t="shared" si="128"/>
        <v>#DIV/0!</v>
      </c>
      <c r="DG274" s="108"/>
      <c r="DH274" s="108"/>
      <c r="DI274" s="16"/>
      <c r="DJ274" s="108"/>
      <c r="DT274" s="6"/>
      <c r="DU274" s="6"/>
      <c r="DV274" s="111"/>
      <c r="DW274" s="111"/>
      <c r="DX274" s="111"/>
      <c r="DY274" s="111"/>
      <c r="DZ274" s="111"/>
      <c r="EA274" s="111"/>
      <c r="EB274" s="111"/>
      <c r="EC274" s="111"/>
      <c r="ED274" s="111"/>
      <c r="EE274" s="111"/>
      <c r="EF274" s="6"/>
      <c r="EG274" s="6"/>
      <c r="EH274" s="6"/>
      <c r="EI274" s="6"/>
      <c r="EJ274" s="6"/>
      <c r="EK274" s="6"/>
      <c r="EL274" s="112"/>
      <c r="EM274" s="112"/>
      <c r="EN274" s="118"/>
      <c r="EO274" s="118"/>
      <c r="EP274" s="112"/>
      <c r="EQ274" s="112"/>
      <c r="ER274" s="112"/>
      <c r="ES274" s="112"/>
      <c r="ET274" s="112"/>
      <c r="EU274" s="112"/>
      <c r="EV274" s="6"/>
      <c r="EW274" s="6"/>
      <c r="EX274" s="118"/>
      <c r="EY274" s="113"/>
      <c r="EZ274" s="6"/>
      <c r="FA274" s="114"/>
      <c r="FB274" s="115"/>
      <c r="FC274" s="6"/>
    </row>
    <row r="275" spans="27:159">
      <c r="AA275" s="79" t="s">
        <v>175</v>
      </c>
      <c r="AB275" s="80" t="s">
        <v>198</v>
      </c>
      <c r="AC275" s="81">
        <v>0</v>
      </c>
      <c r="AD275" s="81">
        <v>6</v>
      </c>
      <c r="AE275" s="80">
        <v>273</v>
      </c>
      <c r="AF275" s="80">
        <v>6.35</v>
      </c>
      <c r="AG275" s="108" cm="1">
        <f t="array" ref="AG275">_xll.DCEPropSectPipe(AE275, AF275, "Area")/100</f>
        <v>53.19431074856206</v>
      </c>
      <c r="AH275" s="16" cm="1">
        <f t="array" ref="AH275">_xll.DCEPropSectPipe(AE275, AF275, "Ix")/10000</f>
        <v>4730.4733077169503</v>
      </c>
      <c r="AI275" s="16" cm="1">
        <f t="array" ref="AI275">_xll.DCEPropSectPipe(AE275, AF275, "Wx")/1000</f>
        <v>346.55482107816493</v>
      </c>
      <c r="AJ275" s="108">
        <f t="shared" si="97"/>
        <v>9.4301739777164251</v>
      </c>
      <c r="AK275" s="80" t="s">
        <v>212</v>
      </c>
      <c r="AL275" s="82">
        <v>-50.930682046359756</v>
      </c>
      <c r="AM275" s="82">
        <v>7.4780243308724685</v>
      </c>
      <c r="AN275" s="82">
        <v>-2.4873987663280372</v>
      </c>
      <c r="AO275" s="82">
        <v>0</v>
      </c>
      <c r="AP275" s="82">
        <v>0</v>
      </c>
      <c r="AQ275" s="82">
        <v>-0.23819726489541934</v>
      </c>
      <c r="AR275" s="72">
        <v>1</v>
      </c>
      <c r="AS275" s="116">
        <f t="shared" si="98"/>
        <v>6</v>
      </c>
      <c r="AT275" s="7">
        <v>2</v>
      </c>
      <c r="AU275" s="6">
        <f t="shared" si="99"/>
        <v>12</v>
      </c>
      <c r="AV275" s="111">
        <f t="shared" si="100"/>
        <v>4.1888264142767792E-2</v>
      </c>
      <c r="AW275" s="117">
        <f t="shared" si="101"/>
        <v>105</v>
      </c>
      <c r="AX275" s="111">
        <f t="shared" si="102"/>
        <v>1</v>
      </c>
      <c r="AY275" s="111">
        <f t="shared" si="103"/>
        <v>1</v>
      </c>
      <c r="AZ275" s="111">
        <f t="shared" si="104"/>
        <v>1</v>
      </c>
      <c r="BA275" s="111">
        <f t="shared" si="105"/>
        <v>4.4092909623966101E-2</v>
      </c>
      <c r="BB275" s="111">
        <f t="shared" si="106"/>
        <v>0</v>
      </c>
      <c r="BC275" s="111">
        <f t="shared" si="107"/>
        <v>0</v>
      </c>
      <c r="BD275" s="111">
        <v>0</v>
      </c>
      <c r="BE275" s="111">
        <f t="shared" si="108"/>
        <v>4.4092909623966101E-2</v>
      </c>
      <c r="BF275" s="6" t="str">
        <f t="shared" si="109"/>
        <v>OK</v>
      </c>
      <c r="BG275" s="16">
        <f t="shared" si="110"/>
        <v>63.625549371390676</v>
      </c>
      <c r="BH275" s="118">
        <f t="shared" si="111"/>
        <v>2.1193803644775273</v>
      </c>
      <c r="BI275" s="108">
        <f t="shared" si="112"/>
        <v>0</v>
      </c>
      <c r="BJ275" s="6">
        <f t="shared" si="113"/>
        <v>1.2440309817761237</v>
      </c>
      <c r="BK275" s="108">
        <f t="shared" si="114"/>
        <v>0</v>
      </c>
      <c r="BL275" s="118" cm="1">
        <f t="array" ref="BL275">IF(AO275=0,FactorPhi7121(BH275,"a"),noisuy2chieu(BK275,BH275,Data!$A$63:$M$85))</f>
        <v>0.86214274110469236</v>
      </c>
      <c r="BM275" s="111">
        <v>1.26</v>
      </c>
      <c r="BN275" s="118">
        <f t="shared" si="115"/>
        <v>0.98118474206891171</v>
      </c>
      <c r="BO275" s="108">
        <f t="shared" si="116"/>
        <v>0.10423966691033514</v>
      </c>
      <c r="BP275" s="6" t="str">
        <f t="shared" si="117"/>
        <v>OK</v>
      </c>
      <c r="BQ275" s="16">
        <f t="shared" si="118"/>
        <v>127.25109874278135</v>
      </c>
      <c r="BR275" s="118">
        <f t="shared" si="119"/>
        <v>4.2387607289550546</v>
      </c>
      <c r="BS275" s="108">
        <f t="shared" si="120"/>
        <v>0</v>
      </c>
      <c r="BT275" s="118">
        <f t="shared" si="121"/>
        <v>1.1380619635522473</v>
      </c>
      <c r="BU275" s="108">
        <f t="shared" si="122"/>
        <v>0</v>
      </c>
      <c r="BV275" s="6" cm="1">
        <f t="array" ref="BV275">IF(AP275=0,FactorPhi7121(BR275,"a"),noisuy2chieu(BU275,BR275,Data!$A$63:$M$85))</f>
        <v>0.42299549615688942</v>
      </c>
      <c r="BW275" s="111">
        <v>1.26</v>
      </c>
      <c r="BX275" s="111">
        <f t="shared" si="123"/>
        <v>0.92473896827564672</v>
      </c>
      <c r="BY275" s="113">
        <f t="shared" si="124"/>
        <v>5.1143398328063847E-2</v>
      </c>
      <c r="BZ275" s="6" t="str">
        <f t="shared" si="125"/>
        <v>OK</v>
      </c>
      <c r="CA275" s="114">
        <f t="shared" si="126"/>
        <v>127.25109874278135</v>
      </c>
      <c r="CB275" s="115">
        <f t="shared" si="127"/>
        <v>150</v>
      </c>
      <c r="CC275" s="6" t="str">
        <f t="shared" si="128"/>
        <v>OK</v>
      </c>
      <c r="DG275" s="108"/>
      <c r="DH275" s="108"/>
      <c r="DI275" s="16"/>
      <c r="DJ275" s="108"/>
      <c r="DT275" s="6"/>
      <c r="DU275" s="6"/>
      <c r="DV275" s="111"/>
      <c r="DW275" s="111"/>
      <c r="DX275" s="111"/>
      <c r="DY275" s="111"/>
      <c r="DZ275" s="111"/>
      <c r="EA275" s="111"/>
      <c r="EB275" s="111"/>
      <c r="EC275" s="111"/>
      <c r="ED275" s="111"/>
      <c r="EE275" s="111"/>
      <c r="EF275" s="6"/>
      <c r="EG275" s="6"/>
      <c r="EH275" s="6"/>
      <c r="EI275" s="6"/>
      <c r="EJ275" s="6"/>
      <c r="EK275" s="6"/>
      <c r="EL275" s="112"/>
      <c r="EM275" s="112"/>
      <c r="EN275" s="118"/>
      <c r="EO275" s="118"/>
      <c r="EP275" s="112"/>
      <c r="EQ275" s="112"/>
      <c r="ER275" s="112"/>
      <c r="ES275" s="112"/>
      <c r="ET275" s="112"/>
      <c r="EU275" s="112"/>
      <c r="EV275" s="6"/>
      <c r="EW275" s="6"/>
      <c r="EX275" s="118"/>
      <c r="EY275" s="113"/>
      <c r="EZ275" s="6"/>
      <c r="FA275" s="114"/>
      <c r="FB275" s="115"/>
      <c r="FC275" s="6"/>
    </row>
    <row r="276" spans="27:159">
      <c r="AA276" s="79" t="s">
        <v>175</v>
      </c>
      <c r="AB276" s="80" t="s">
        <v>198</v>
      </c>
      <c r="AC276" s="81">
        <v>2.74</v>
      </c>
      <c r="AD276" s="81">
        <v>6</v>
      </c>
      <c r="AE276" s="80">
        <v>273</v>
      </c>
      <c r="AF276" s="80">
        <v>6.35</v>
      </c>
      <c r="AG276" s="108" cm="1">
        <f t="array" ref="AG276">_xll.DCEPropSectPipe(AE276, AF276, "Area")/100</f>
        <v>53.19431074856206</v>
      </c>
      <c r="AH276" s="16" cm="1">
        <f t="array" ref="AH276">_xll.DCEPropSectPipe(AE276, AF276, "Ix")/10000</f>
        <v>4730.4733077169503</v>
      </c>
      <c r="AI276" s="16" cm="1">
        <f t="array" ref="AI276">_xll.DCEPropSectPipe(AE276, AF276, "Wx")/1000</f>
        <v>346.55482107816493</v>
      </c>
      <c r="AJ276" s="108">
        <f t="shared" si="97"/>
        <v>9.4301739777164251</v>
      </c>
      <c r="AK276" s="80" t="s">
        <v>212</v>
      </c>
      <c r="AL276" s="82">
        <v>-49.58342169762772</v>
      </c>
      <c r="AM276" s="82">
        <v>7.4780243308724685</v>
      </c>
      <c r="AN276" s="82">
        <v>-2.4873987663280372</v>
      </c>
      <c r="AO276" s="82">
        <v>6.8204474172714766</v>
      </c>
      <c r="AP276" s="82">
        <v>-20.504742715252306</v>
      </c>
      <c r="AQ276" s="82">
        <v>-0.23819726489541934</v>
      </c>
      <c r="AR276" s="72">
        <v>1</v>
      </c>
      <c r="AS276" s="116">
        <f t="shared" si="98"/>
        <v>6</v>
      </c>
      <c r="AT276" s="7">
        <v>2</v>
      </c>
      <c r="AU276" s="6">
        <f t="shared" si="99"/>
        <v>12</v>
      </c>
      <c r="AV276" s="111">
        <f t="shared" si="100"/>
        <v>4.0780201279886914E-2</v>
      </c>
      <c r="AW276" s="117">
        <f t="shared" si="101"/>
        <v>105</v>
      </c>
      <c r="AX276" s="111">
        <f t="shared" si="102"/>
        <v>1</v>
      </c>
      <c r="AY276" s="111">
        <f t="shared" si="103"/>
        <v>1</v>
      </c>
      <c r="AZ276" s="111">
        <f t="shared" si="104"/>
        <v>1</v>
      </c>
      <c r="BA276" s="111">
        <f t="shared" si="105"/>
        <v>4.2926527663038866E-2</v>
      </c>
      <c r="BB276" s="111">
        <f t="shared" si="106"/>
        <v>9.0634881700388109E-2</v>
      </c>
      <c r="BC276" s="111">
        <f t="shared" si="107"/>
        <v>0.27248138085305545</v>
      </c>
      <c r="BD276" s="111">
        <v>0</v>
      </c>
      <c r="BE276" s="111">
        <f t="shared" si="108"/>
        <v>0.40604279021648243</v>
      </c>
      <c r="BF276" s="6" t="str">
        <f t="shared" si="109"/>
        <v>OK</v>
      </c>
      <c r="BG276" s="16">
        <f t="shared" si="110"/>
        <v>63.625549371390676</v>
      </c>
      <c r="BH276" s="118">
        <f t="shared" si="111"/>
        <v>2.1193803644775273</v>
      </c>
      <c r="BI276" s="108">
        <f t="shared" si="112"/>
        <v>2.1113956016160071</v>
      </c>
      <c r="BJ276" s="6">
        <f t="shared" si="113"/>
        <v>1.1832097054924151</v>
      </c>
      <c r="BK276" s="108">
        <f t="shared" si="114"/>
        <v>2.4982237679660564</v>
      </c>
      <c r="BL276" s="118" cm="1">
        <f t="array" ref="BL276">IF(AO276=0,FactorPhi7121(BH276,"a"),noisuy2chieu(BK276,BH276,Data!$A$63:$M$85))</f>
        <v>0</v>
      </c>
      <c r="BM276" s="111">
        <v>1.26</v>
      </c>
      <c r="BN276" s="118">
        <f t="shared" si="115"/>
        <v>0.98168245876822169</v>
      </c>
      <c r="BO276" s="108" t="e">
        <f t="shared" si="116"/>
        <v>#DIV/0!</v>
      </c>
      <c r="BP276" s="6" t="e">
        <f t="shared" si="117"/>
        <v>#DIV/0!</v>
      </c>
      <c r="BQ276" s="16">
        <f t="shared" si="118"/>
        <v>127.25109874278135</v>
      </c>
      <c r="BR276" s="118">
        <f t="shared" si="119"/>
        <v>4.2387607289550546</v>
      </c>
      <c r="BS276" s="108">
        <f t="shared" si="120"/>
        <v>6.3476222207385939</v>
      </c>
      <c r="BT276" s="118">
        <f t="shared" si="121"/>
        <v>1.1000000000000001</v>
      </c>
      <c r="BU276" s="108">
        <f t="shared" si="122"/>
        <v>6.982384442812454</v>
      </c>
      <c r="BV276" s="6" cm="1">
        <f t="array" ref="BV276">IF(AP276=0,FactorPhi7121(BR276,"a"),noisuy2chieu(BU276,BR276,Data!$A$63:$M$85))</f>
        <v>0</v>
      </c>
      <c r="BW276" s="111">
        <v>1.26</v>
      </c>
      <c r="BX276" s="111">
        <f t="shared" si="123"/>
        <v>0.92672983507288675</v>
      </c>
      <c r="BY276" s="113" t="e">
        <f t="shared" si="124"/>
        <v>#DIV/0!</v>
      </c>
      <c r="BZ276" s="6" t="e">
        <f t="shared" si="125"/>
        <v>#DIV/0!</v>
      </c>
      <c r="CA276" s="114">
        <f t="shared" si="126"/>
        <v>127.25109874278135</v>
      </c>
      <c r="CB276" s="115" t="e">
        <f t="shared" si="127"/>
        <v>#DIV/0!</v>
      </c>
      <c r="CC276" s="6" t="e">
        <f t="shared" si="128"/>
        <v>#DIV/0!</v>
      </c>
      <c r="DG276" s="108"/>
      <c r="DH276" s="108"/>
      <c r="DI276" s="16"/>
      <c r="DJ276" s="108"/>
      <c r="DT276" s="6"/>
      <c r="DU276" s="6"/>
      <c r="DV276" s="111"/>
      <c r="DW276" s="111"/>
      <c r="DX276" s="111"/>
      <c r="DY276" s="111"/>
      <c r="DZ276" s="111"/>
      <c r="EA276" s="111"/>
      <c r="EB276" s="111"/>
      <c r="EC276" s="111"/>
      <c r="ED276" s="111"/>
      <c r="EE276" s="111"/>
      <c r="EF276" s="6"/>
      <c r="EG276" s="6"/>
      <c r="EH276" s="6"/>
      <c r="EI276" s="6"/>
      <c r="EJ276" s="6"/>
      <c r="EK276" s="6"/>
      <c r="EL276" s="112"/>
      <c r="EM276" s="112"/>
      <c r="EN276" s="118"/>
      <c r="EO276" s="118"/>
      <c r="EP276" s="112"/>
      <c r="EQ276" s="112"/>
      <c r="ER276" s="112"/>
      <c r="ES276" s="112"/>
      <c r="ET276" s="112"/>
      <c r="EU276" s="112"/>
      <c r="EV276" s="6"/>
      <c r="EW276" s="6"/>
      <c r="EX276" s="118"/>
      <c r="EY276" s="113"/>
      <c r="EZ276" s="6"/>
      <c r="FA276" s="114"/>
      <c r="FB276" s="115"/>
      <c r="FC276" s="6"/>
    </row>
    <row r="277" spans="27:159">
      <c r="AA277" s="79" t="s">
        <v>175</v>
      </c>
      <c r="AB277" s="80" t="s">
        <v>198</v>
      </c>
      <c r="AC277" s="81">
        <v>5.48</v>
      </c>
      <c r="AD277" s="81">
        <v>6</v>
      </c>
      <c r="AE277" s="80">
        <v>273</v>
      </c>
      <c r="AF277" s="80">
        <v>6.35</v>
      </c>
      <c r="AG277" s="108" cm="1">
        <f t="array" ref="AG277">_xll.DCEPropSectPipe(AE277, AF277, "Area")/100</f>
        <v>53.19431074856206</v>
      </c>
      <c r="AH277" s="16" cm="1">
        <f t="array" ref="AH277">_xll.DCEPropSectPipe(AE277, AF277, "Ix")/10000</f>
        <v>4730.4733077169503</v>
      </c>
      <c r="AI277" s="16" cm="1">
        <f t="array" ref="AI277">_xll.DCEPropSectPipe(AE277, AF277, "Wx")/1000</f>
        <v>346.55482107816493</v>
      </c>
      <c r="AJ277" s="108">
        <f t="shared" si="97"/>
        <v>9.4301739777164251</v>
      </c>
      <c r="AK277" s="80" t="s">
        <v>212</v>
      </c>
      <c r="AL277" s="82">
        <v>-48.236161348895685</v>
      </c>
      <c r="AM277" s="82">
        <v>7.4780243308724685</v>
      </c>
      <c r="AN277" s="82">
        <v>-2.4873987663280372</v>
      </c>
      <c r="AO277" s="82">
        <v>13.640894834542953</v>
      </c>
      <c r="AP277" s="82">
        <v>-41.009485430504611</v>
      </c>
      <c r="AQ277" s="82">
        <v>-0.23819726489541934</v>
      </c>
      <c r="AR277" s="72">
        <v>1</v>
      </c>
      <c r="AS277" s="116">
        <f t="shared" si="98"/>
        <v>6</v>
      </c>
      <c r="AT277" s="7">
        <v>2</v>
      </c>
      <c r="AU277" s="6">
        <f t="shared" si="99"/>
        <v>12</v>
      </c>
      <c r="AV277" s="111">
        <f t="shared" si="100"/>
        <v>3.9672138417006036E-2</v>
      </c>
      <c r="AW277" s="117">
        <f t="shared" si="101"/>
        <v>105</v>
      </c>
      <c r="AX277" s="111">
        <f t="shared" si="102"/>
        <v>1</v>
      </c>
      <c r="AY277" s="111">
        <f t="shared" si="103"/>
        <v>1</v>
      </c>
      <c r="AZ277" s="111">
        <f t="shared" si="104"/>
        <v>1</v>
      </c>
      <c r="BA277" s="111">
        <f t="shared" si="105"/>
        <v>4.1760145702111624E-2</v>
      </c>
      <c r="BB277" s="111">
        <f t="shared" si="106"/>
        <v>0.18126976340077622</v>
      </c>
      <c r="BC277" s="111">
        <f t="shared" si="107"/>
        <v>0.54496276170611091</v>
      </c>
      <c r="BD277" s="111">
        <v>0</v>
      </c>
      <c r="BE277" s="111">
        <f t="shared" si="108"/>
        <v>0.7679926708089988</v>
      </c>
      <c r="BF277" s="6" t="str">
        <f t="shared" si="109"/>
        <v>OK</v>
      </c>
      <c r="BG277" s="16">
        <f t="shared" si="110"/>
        <v>63.625549371390676</v>
      </c>
      <c r="BH277" s="118">
        <f t="shared" si="111"/>
        <v>2.1193803644775273</v>
      </c>
      <c r="BI277" s="108">
        <f t="shared" si="112"/>
        <v>4.3407358943101153</v>
      </c>
      <c r="BJ277" s="6">
        <f t="shared" si="113"/>
        <v>1.1189908912784545</v>
      </c>
      <c r="BK277" s="108">
        <f t="shared" si="114"/>
        <v>4.8572439271784553</v>
      </c>
      <c r="BL277" s="118" cm="1">
        <f t="array" ref="BL277">IF(AO277=0,FactorPhi7121(BH277,"a"),noisuy2chieu(BK277,BH277,Data!$A$63:$M$85))</f>
        <v>0</v>
      </c>
      <c r="BM277" s="111">
        <v>1.26</v>
      </c>
      <c r="BN277" s="118">
        <f t="shared" si="115"/>
        <v>0.98218017546753167</v>
      </c>
      <c r="BO277" s="108" t="e">
        <f t="shared" si="116"/>
        <v>#DIV/0!</v>
      </c>
      <c r="BP277" s="6" t="e">
        <f t="shared" si="117"/>
        <v>#DIV/0!</v>
      </c>
      <c r="BQ277" s="16">
        <f t="shared" si="118"/>
        <v>127.25109874278135</v>
      </c>
      <c r="BR277" s="118">
        <f t="shared" si="119"/>
        <v>4.2387607289550546</v>
      </c>
      <c r="BS277" s="108">
        <f t="shared" si="120"/>
        <v>13.049829030614577</v>
      </c>
      <c r="BT277" s="118">
        <f t="shared" si="121"/>
        <v>1.1000000000000001</v>
      </c>
      <c r="BU277" s="108">
        <f t="shared" si="122"/>
        <v>14.354811933676036</v>
      </c>
      <c r="BV277" s="6" cm="1">
        <f t="array" ref="BV277">IF(AP277=0,FactorPhi7121(BR277,"a"),noisuy2chieu(BU277,BR277,Data!$A$63:$M$85))</f>
        <v>0</v>
      </c>
      <c r="BW277" s="111">
        <v>1.26</v>
      </c>
      <c r="BX277" s="111">
        <f t="shared" si="123"/>
        <v>0.92872070187012679</v>
      </c>
      <c r="BY277" s="113" t="e">
        <f t="shared" si="124"/>
        <v>#DIV/0!</v>
      </c>
      <c r="BZ277" s="6" t="e">
        <f t="shared" si="125"/>
        <v>#DIV/0!</v>
      </c>
      <c r="CA277" s="114">
        <f t="shared" si="126"/>
        <v>127.25109874278135</v>
      </c>
      <c r="CB277" s="115" t="e">
        <f t="shared" si="127"/>
        <v>#DIV/0!</v>
      </c>
      <c r="CC277" s="6" t="e">
        <f t="shared" si="128"/>
        <v>#DIV/0!</v>
      </c>
      <c r="DG277" s="108"/>
      <c r="DH277" s="108"/>
      <c r="DI277" s="16"/>
      <c r="DJ277" s="108"/>
      <c r="DT277" s="6"/>
      <c r="DU277" s="6"/>
      <c r="DV277" s="111"/>
      <c r="DW277" s="111"/>
      <c r="DX277" s="111"/>
      <c r="DY277" s="111"/>
      <c r="DZ277" s="111"/>
      <c r="EA277" s="111"/>
      <c r="EB277" s="111"/>
      <c r="EC277" s="111"/>
      <c r="ED277" s="111"/>
      <c r="EE277" s="111"/>
      <c r="EF277" s="6"/>
      <c r="EG277" s="6"/>
      <c r="EH277" s="6"/>
      <c r="EI277" s="6"/>
      <c r="EJ277" s="6"/>
      <c r="EK277" s="6"/>
      <c r="EL277" s="112"/>
      <c r="EM277" s="112"/>
      <c r="EN277" s="118"/>
      <c r="EO277" s="118"/>
      <c r="EP277" s="112"/>
      <c r="EQ277" s="112"/>
      <c r="ER277" s="112"/>
      <c r="ES277" s="112"/>
      <c r="ET277" s="112"/>
      <c r="EU277" s="112"/>
      <c r="EV277" s="6"/>
      <c r="EW277" s="6"/>
      <c r="EX277" s="118"/>
      <c r="EY277" s="113"/>
      <c r="EZ277" s="6"/>
      <c r="FA277" s="114"/>
      <c r="FB277" s="115"/>
      <c r="FC277" s="6"/>
    </row>
    <row r="278" spans="27:159">
      <c r="AA278" s="79" t="s">
        <v>175</v>
      </c>
      <c r="AB278" s="80" t="s">
        <v>198</v>
      </c>
      <c r="AC278" s="81">
        <v>0</v>
      </c>
      <c r="AD278" s="81">
        <v>6</v>
      </c>
      <c r="AE278" s="80">
        <v>273</v>
      </c>
      <c r="AF278" s="80">
        <v>6.35</v>
      </c>
      <c r="AG278" s="108" cm="1">
        <f t="array" ref="AG278">_xll.DCEPropSectPipe(AE278, AF278, "Area")/100</f>
        <v>53.19431074856206</v>
      </c>
      <c r="AH278" s="16" cm="1">
        <f t="array" ref="AH278">_xll.DCEPropSectPipe(AE278, AF278, "Ix")/10000</f>
        <v>4730.4733077169503</v>
      </c>
      <c r="AI278" s="16" cm="1">
        <f t="array" ref="AI278">_xll.DCEPropSectPipe(AE278, AF278, "Wx")/1000</f>
        <v>346.55482107816493</v>
      </c>
      <c r="AJ278" s="108">
        <f t="shared" si="97"/>
        <v>9.4301739777164251</v>
      </c>
      <c r="AK278" s="80" t="s">
        <v>213</v>
      </c>
      <c r="AL278" s="82">
        <v>-14.659302262917908</v>
      </c>
      <c r="AM278" s="82">
        <v>1.0771552250844427</v>
      </c>
      <c r="AN278" s="82">
        <v>-0.24877704718929267</v>
      </c>
      <c r="AO278" s="82">
        <v>0</v>
      </c>
      <c r="AP278" s="82">
        <v>0</v>
      </c>
      <c r="AQ278" s="82">
        <v>1.273920195889589E-2</v>
      </c>
      <c r="AR278" s="72">
        <v>1</v>
      </c>
      <c r="AS278" s="116">
        <f t="shared" si="98"/>
        <v>6</v>
      </c>
      <c r="AT278" s="7">
        <v>2</v>
      </c>
      <c r="AU278" s="6">
        <f t="shared" si="99"/>
        <v>12</v>
      </c>
      <c r="AV278" s="111">
        <f t="shared" si="100"/>
        <v>1.2056636602251591E-2</v>
      </c>
      <c r="AW278" s="117">
        <f t="shared" si="101"/>
        <v>105</v>
      </c>
      <c r="AX278" s="111">
        <f t="shared" si="102"/>
        <v>1</v>
      </c>
      <c r="AY278" s="111">
        <f t="shared" si="103"/>
        <v>1</v>
      </c>
      <c r="AZ278" s="111">
        <f t="shared" si="104"/>
        <v>1</v>
      </c>
      <c r="BA278" s="111">
        <f t="shared" si="105"/>
        <v>1.2691196423422729E-2</v>
      </c>
      <c r="BB278" s="111">
        <f t="shared" si="106"/>
        <v>0</v>
      </c>
      <c r="BC278" s="111">
        <f t="shared" si="107"/>
        <v>0</v>
      </c>
      <c r="BD278" s="111">
        <v>0</v>
      </c>
      <c r="BE278" s="111">
        <f t="shared" si="108"/>
        <v>1.2691196423422729E-2</v>
      </c>
      <c r="BF278" s="6" t="str">
        <f t="shared" si="109"/>
        <v>OK</v>
      </c>
      <c r="BG278" s="16">
        <f t="shared" si="110"/>
        <v>63.625549371390676</v>
      </c>
      <c r="BH278" s="118">
        <f t="shared" si="111"/>
        <v>2.1193803644775273</v>
      </c>
      <c r="BI278" s="108">
        <f t="shared" si="112"/>
        <v>0</v>
      </c>
      <c r="BJ278" s="6">
        <f t="shared" si="113"/>
        <v>1.2440309817761237</v>
      </c>
      <c r="BK278" s="108">
        <f t="shared" si="114"/>
        <v>0</v>
      </c>
      <c r="BL278" s="118" cm="1">
        <f t="array" ref="BL278">IF(AO278=0,FactorPhi7121(BH278,"a"),noisuy2chieu(BK278,BH278,Data!$A$63:$M$85))</f>
        <v>0.86214274110469236</v>
      </c>
      <c r="BM278" s="111">
        <v>1.26</v>
      </c>
      <c r="BN278" s="118">
        <f t="shared" si="115"/>
        <v>0.99458443236798744</v>
      </c>
      <c r="BO278" s="108">
        <f t="shared" si="116"/>
        <v>3.0003147879181083E-2</v>
      </c>
      <c r="BP278" s="6" t="str">
        <f t="shared" si="117"/>
        <v>OK</v>
      </c>
      <c r="BQ278" s="16">
        <f t="shared" si="118"/>
        <v>127.25109874278135</v>
      </c>
      <c r="BR278" s="118">
        <f t="shared" si="119"/>
        <v>4.2387607289550546</v>
      </c>
      <c r="BS278" s="108">
        <f t="shared" si="120"/>
        <v>0</v>
      </c>
      <c r="BT278" s="118">
        <f t="shared" si="121"/>
        <v>1.1380619635522473</v>
      </c>
      <c r="BU278" s="108">
        <f t="shared" si="122"/>
        <v>0</v>
      </c>
      <c r="BV278" s="6" cm="1">
        <f t="array" ref="BV278">IF(AP278=0,FactorPhi7121(BR278,"a"),noisuy2chieu(BU278,BR278,Data!$A$63:$M$85))</f>
        <v>0.42299549615688942</v>
      </c>
      <c r="BW278" s="111">
        <v>1.26</v>
      </c>
      <c r="BX278" s="111">
        <f t="shared" si="123"/>
        <v>0.97833772947194997</v>
      </c>
      <c r="BY278" s="113">
        <f t="shared" si="124"/>
        <v>1.4720528073067196E-2</v>
      </c>
      <c r="BZ278" s="6" t="str">
        <f t="shared" si="125"/>
        <v>OK</v>
      </c>
      <c r="CA278" s="114">
        <f t="shared" si="126"/>
        <v>127.25109874278135</v>
      </c>
      <c r="CB278" s="115">
        <f t="shared" si="127"/>
        <v>150</v>
      </c>
      <c r="CC278" s="6" t="str">
        <f t="shared" si="128"/>
        <v>OK</v>
      </c>
      <c r="DG278" s="108"/>
      <c r="DH278" s="108"/>
      <c r="DI278" s="16"/>
      <c r="DJ278" s="108"/>
      <c r="DT278" s="6"/>
      <c r="DU278" s="6"/>
      <c r="DV278" s="111"/>
      <c r="DW278" s="111"/>
      <c r="DX278" s="111"/>
      <c r="DY278" s="111"/>
      <c r="DZ278" s="111"/>
      <c r="EA278" s="111"/>
      <c r="EB278" s="111"/>
      <c r="EC278" s="111"/>
      <c r="ED278" s="111"/>
      <c r="EE278" s="111"/>
      <c r="EF278" s="6"/>
      <c r="EG278" s="6"/>
      <c r="EH278" s="6"/>
      <c r="EI278" s="6"/>
      <c r="EJ278" s="6"/>
      <c r="EK278" s="6"/>
      <c r="EL278" s="112"/>
      <c r="EM278" s="112"/>
      <c r="EN278" s="118"/>
      <c r="EO278" s="118"/>
      <c r="EP278" s="112"/>
      <c r="EQ278" s="112"/>
      <c r="ER278" s="112"/>
      <c r="ES278" s="112"/>
      <c r="ET278" s="112"/>
      <c r="EU278" s="112"/>
      <c r="EV278" s="6"/>
      <c r="EW278" s="6"/>
      <c r="EX278" s="118"/>
      <c r="EY278" s="113"/>
      <c r="EZ278" s="6"/>
      <c r="FA278" s="114"/>
      <c r="FB278" s="115"/>
      <c r="FC278" s="6"/>
    </row>
    <row r="279" spans="27:159">
      <c r="AA279" s="79" t="s">
        <v>175</v>
      </c>
      <c r="AB279" s="80" t="s">
        <v>198</v>
      </c>
      <c r="AC279" s="81">
        <v>2.74</v>
      </c>
      <c r="AD279" s="81">
        <v>6</v>
      </c>
      <c r="AE279" s="80">
        <v>273</v>
      </c>
      <c r="AF279" s="80">
        <v>6.35</v>
      </c>
      <c r="AG279" s="108" cm="1">
        <f t="array" ref="AG279">_xll.DCEPropSectPipe(AE279, AF279, "Area")/100</f>
        <v>53.19431074856206</v>
      </c>
      <c r="AH279" s="16" cm="1">
        <f t="array" ref="AH279">_xll.DCEPropSectPipe(AE279, AF279, "Ix")/10000</f>
        <v>4730.4733077169503</v>
      </c>
      <c r="AI279" s="16" cm="1">
        <f t="array" ref="AI279">_xll.DCEPropSectPipe(AE279, AF279, "Wx")/1000</f>
        <v>346.55482107816493</v>
      </c>
      <c r="AJ279" s="108">
        <f t="shared" si="97"/>
        <v>9.4301739777164251</v>
      </c>
      <c r="AK279" s="80" t="s">
        <v>213</v>
      </c>
      <c r="AL279" s="82">
        <v>-13.312041914185874</v>
      </c>
      <c r="AM279" s="82">
        <v>1.0771552250844427</v>
      </c>
      <c r="AN279" s="82">
        <v>-0.24877704718929267</v>
      </c>
      <c r="AO279" s="82">
        <v>0.68214666339303953</v>
      </c>
      <c r="AP279" s="82">
        <v>-2.9535596271815403</v>
      </c>
      <c r="AQ279" s="82">
        <v>1.273920195889589E-2</v>
      </c>
      <c r="AR279" s="72">
        <v>1</v>
      </c>
      <c r="AS279" s="116">
        <f t="shared" si="98"/>
        <v>6</v>
      </c>
      <c r="AT279" s="7">
        <v>2</v>
      </c>
      <c r="AU279" s="6">
        <f t="shared" si="99"/>
        <v>12</v>
      </c>
      <c r="AV279" s="111">
        <f t="shared" si="100"/>
        <v>1.0948573739370717E-2</v>
      </c>
      <c r="AW279" s="117">
        <f t="shared" si="101"/>
        <v>105</v>
      </c>
      <c r="AX279" s="111">
        <f t="shared" si="102"/>
        <v>1</v>
      </c>
      <c r="AY279" s="111">
        <f t="shared" si="103"/>
        <v>1</v>
      </c>
      <c r="AZ279" s="111">
        <f t="shared" si="104"/>
        <v>1</v>
      </c>
      <c r="BA279" s="111">
        <f t="shared" si="105"/>
        <v>1.1524814462495495E-2</v>
      </c>
      <c r="BB279" s="111">
        <f t="shared" si="106"/>
        <v>9.0648425765118262E-3</v>
      </c>
      <c r="BC279" s="111">
        <f t="shared" si="107"/>
        <v>3.9248968729933123E-2</v>
      </c>
      <c r="BD279" s="111">
        <v>0</v>
      </c>
      <c r="BE279" s="111">
        <f t="shared" si="108"/>
        <v>5.9838625768940445E-2</v>
      </c>
      <c r="BF279" s="6" t="str">
        <f t="shared" si="109"/>
        <v>OK</v>
      </c>
      <c r="BG279" s="16">
        <f t="shared" si="110"/>
        <v>63.625549371390676</v>
      </c>
      <c r="BH279" s="118">
        <f t="shared" si="111"/>
        <v>2.1193803644775273</v>
      </c>
      <c r="BI279" s="108">
        <f t="shared" si="112"/>
        <v>0.78654997926526249</v>
      </c>
      <c r="BJ279" s="6">
        <f t="shared" si="113"/>
        <v>1.2213734686302107</v>
      </c>
      <c r="BK279" s="108">
        <f t="shared" si="114"/>
        <v>0.96067127642623396</v>
      </c>
      <c r="BL279" s="118" cm="1">
        <f t="array" ref="BL279">IF(AO279=0,FactorPhi7121(BH279,"a"),noisuy2chieu(BK279,BH279,Data!$A$63:$M$85))</f>
        <v>0</v>
      </c>
      <c r="BM279" s="111">
        <v>1.26</v>
      </c>
      <c r="BN279" s="118">
        <f t="shared" si="115"/>
        <v>0.99508214906729753</v>
      </c>
      <c r="BO279" s="108" t="e">
        <f t="shared" si="116"/>
        <v>#DIV/0!</v>
      </c>
      <c r="BP279" s="6" t="e">
        <f t="shared" si="117"/>
        <v>#DIV/0!</v>
      </c>
      <c r="BQ279" s="16">
        <f t="shared" si="118"/>
        <v>127.25109874278135</v>
      </c>
      <c r="BR279" s="118">
        <f t="shared" si="119"/>
        <v>4.2387607289550546</v>
      </c>
      <c r="BS279" s="108">
        <f t="shared" si="120"/>
        <v>3.4056052579118448</v>
      </c>
      <c r="BT279" s="118">
        <f t="shared" si="121"/>
        <v>1.1121371589122511</v>
      </c>
      <c r="BU279" s="108">
        <f t="shared" si="122"/>
        <v>3.7875001559107031</v>
      </c>
      <c r="BV279" s="6" cm="1">
        <f t="array" ref="BV279">IF(AP279=0,FactorPhi7121(BR279,"a"),noisuy2chieu(BU279,BR279,Data!$A$63:$M$85))</f>
        <v>0</v>
      </c>
      <c r="BW279" s="111">
        <v>1.26</v>
      </c>
      <c r="BX279" s="111">
        <f t="shared" si="123"/>
        <v>0.98032859626918989</v>
      </c>
      <c r="BY279" s="113" t="e">
        <f t="shared" si="124"/>
        <v>#DIV/0!</v>
      </c>
      <c r="BZ279" s="6" t="e">
        <f t="shared" si="125"/>
        <v>#DIV/0!</v>
      </c>
      <c r="CA279" s="114">
        <f t="shared" si="126"/>
        <v>127.25109874278135</v>
      </c>
      <c r="CB279" s="115" t="e">
        <f t="shared" si="127"/>
        <v>#DIV/0!</v>
      </c>
      <c r="CC279" s="6" t="e">
        <f t="shared" si="128"/>
        <v>#DIV/0!</v>
      </c>
      <c r="DG279" s="108"/>
      <c r="DH279" s="108"/>
      <c r="DI279" s="16"/>
      <c r="DJ279" s="108"/>
      <c r="DT279" s="6"/>
      <c r="DU279" s="6"/>
      <c r="DV279" s="111"/>
      <c r="DW279" s="111"/>
      <c r="DX279" s="111"/>
      <c r="DY279" s="111"/>
      <c r="DZ279" s="111"/>
      <c r="EA279" s="111"/>
      <c r="EB279" s="111"/>
      <c r="EC279" s="111"/>
      <c r="ED279" s="111"/>
      <c r="EE279" s="111"/>
      <c r="EF279" s="6"/>
      <c r="EG279" s="6"/>
      <c r="EH279" s="6"/>
      <c r="EI279" s="6"/>
      <c r="EJ279" s="6"/>
      <c r="EK279" s="6"/>
      <c r="EL279" s="112"/>
      <c r="EM279" s="112"/>
      <c r="EN279" s="118"/>
      <c r="EO279" s="118"/>
      <c r="EP279" s="112"/>
      <c r="EQ279" s="112"/>
      <c r="ER279" s="112"/>
      <c r="ES279" s="112"/>
      <c r="ET279" s="112"/>
      <c r="EU279" s="112"/>
      <c r="EV279" s="6"/>
      <c r="EW279" s="6"/>
      <c r="EX279" s="118"/>
      <c r="EY279" s="113"/>
      <c r="EZ279" s="6"/>
      <c r="FA279" s="114"/>
      <c r="FB279" s="115"/>
      <c r="FC279" s="6"/>
    </row>
    <row r="280" spans="27:159">
      <c r="AA280" s="79" t="s">
        <v>175</v>
      </c>
      <c r="AB280" s="80" t="s">
        <v>198</v>
      </c>
      <c r="AC280" s="81">
        <v>5.48</v>
      </c>
      <c r="AD280" s="81">
        <v>6</v>
      </c>
      <c r="AE280" s="80">
        <v>273</v>
      </c>
      <c r="AF280" s="80">
        <v>6.35</v>
      </c>
      <c r="AG280" s="108" cm="1">
        <f t="array" ref="AG280">_xll.DCEPropSectPipe(AE280, AF280, "Area")/100</f>
        <v>53.19431074856206</v>
      </c>
      <c r="AH280" s="16" cm="1">
        <f t="array" ref="AH280">_xll.DCEPropSectPipe(AE280, AF280, "Ix")/10000</f>
        <v>4730.4733077169503</v>
      </c>
      <c r="AI280" s="16" cm="1">
        <f t="array" ref="AI280">_xll.DCEPropSectPipe(AE280, AF280, "Wx")/1000</f>
        <v>346.55482107816493</v>
      </c>
      <c r="AJ280" s="108">
        <f t="shared" ref="AJ280:AJ343" si="129">SQRT(AH280/AG280)</f>
        <v>9.4301739777164251</v>
      </c>
      <c r="AK280" s="80" t="s">
        <v>213</v>
      </c>
      <c r="AL280" s="82">
        <v>-11.964781565453841</v>
      </c>
      <c r="AM280" s="82">
        <v>1.0771552250844427</v>
      </c>
      <c r="AN280" s="82">
        <v>-0.24877704718929267</v>
      </c>
      <c r="AO280" s="82">
        <v>1.3642933267860791</v>
      </c>
      <c r="AP280" s="82">
        <v>-5.9071192543630806</v>
      </c>
      <c r="AQ280" s="82">
        <v>1.273920195889589E-2</v>
      </c>
      <c r="AR280" s="72">
        <v>1</v>
      </c>
      <c r="AS280" s="116">
        <f t="shared" ref="AS280:AS343" si="130">AR280*AD280</f>
        <v>6</v>
      </c>
      <c r="AT280" s="7">
        <v>2</v>
      </c>
      <c r="AU280" s="6">
        <f t="shared" ref="AU280:AU343" si="131">AT280*AD280</f>
        <v>12</v>
      </c>
      <c r="AV280" s="111">
        <f t="shared" ref="AV280:AV343" si="132">ABS(AL280)/(AG280*$F$23)*10</f>
        <v>9.8405108764898427E-3</v>
      </c>
      <c r="AW280" s="117">
        <f t="shared" ref="AW280:AW343" si="133">IF(AV280&gt;0.1,104,105)</f>
        <v>105</v>
      </c>
      <c r="AX280" s="111">
        <f t="shared" ref="AX280:AX343" si="134">IF(AW280=104,1.5,1)</f>
        <v>1</v>
      </c>
      <c r="AY280" s="111">
        <f t="shared" ref="AY280:AY343" si="135">IF(AW280=104,1.26,1)</f>
        <v>1</v>
      </c>
      <c r="AZ280" s="111">
        <f t="shared" ref="AZ280:AZ343" si="136">IF(AW280=104,1.26,1)</f>
        <v>1</v>
      </c>
      <c r="BA280" s="111">
        <f t="shared" ref="BA280:BA343" si="137">(ABS(AL280)/(AG280*$F$23*$I$23)*10)^AX280</f>
        <v>1.0358432501568258E-2</v>
      </c>
      <c r="BB280" s="111">
        <f t="shared" ref="BB280:BB343" si="138">ABS(AO280)/(AY280*AI280*$F$23*$I$23)*1000</f>
        <v>1.8129685153023652E-2</v>
      </c>
      <c r="BC280" s="111">
        <f t="shared" ref="BC280:BC343" si="139">ABS(AP280)/(AZ280*AI280*$F$23*$I$23)*1000</f>
        <v>7.8497937459866246E-2</v>
      </c>
      <c r="BD280" s="111">
        <v>0</v>
      </c>
      <c r="BE280" s="111">
        <f t="shared" ref="BE280:BE343" si="140">BA280+BB280+BC280+BD280</f>
        <v>0.10698605511445816</v>
      </c>
      <c r="BF280" s="6" t="str">
        <f t="shared" ref="BF280:BF343" si="141">IF(BE280&lt;=1,"OK","Check")</f>
        <v>OK</v>
      </c>
      <c r="BG280" s="16">
        <f t="shared" ref="BG280:BG343" si="142">AS280*100/AJ280</f>
        <v>63.625549371390676</v>
      </c>
      <c r="BH280" s="118">
        <f t="shared" ref="BH280:BH343" si="143">BG280*SQRT($F$23/$D$23)</f>
        <v>2.1193803644775273</v>
      </c>
      <c r="BI280" s="108">
        <f t="shared" ref="BI280:BI343" si="144">ABS((AO280/AL280)*100*AG280/AI280)</f>
        <v>1.750234424974902</v>
      </c>
      <c r="BJ280" s="6">
        <f t="shared" ref="BJ280:BJ343" si="145">IF(AND(BH280&lt;=5,BI280&lt;=5),(1.35-0.05*BI280)-0.01*(5-BI280)*BH280,1.1)</f>
        <v>1.193613385262623</v>
      </c>
      <c r="BK280" s="108">
        <f t="shared" ref="BK280:BK343" si="146">BI280*BJ280</f>
        <v>2.0891032369974729</v>
      </c>
      <c r="BL280" s="118" cm="1">
        <f t="array" ref="BL280">IF(AO280=0,FactorPhi7121(BH280,"a"),noisuy2chieu(BK280,BH280,Data!$A$63:$M$85))</f>
        <v>0</v>
      </c>
      <c r="BM280" s="111">
        <v>1.26</v>
      </c>
      <c r="BN280" s="118">
        <f t="shared" ref="BN280:BN343" si="147">IF(BH280&lt;=1,1,1-0.1*ABS(AL280)*BH280^2/(AG280*$F$23)*10)</f>
        <v>0.99557986576660751</v>
      </c>
      <c r="BO280" s="108" t="e">
        <f t="shared" ref="BO280:BO343" si="148">ABS(AL280)/(BV280*AG280*$F$23*$I$23)*10+ABS(AO280)*1000/(BM280*BN280*AI280*$F$23*$I$23)</f>
        <v>#DIV/0!</v>
      </c>
      <c r="BP280" s="6" t="e">
        <f t="shared" ref="BP280:BP343" si="149">IF(BO280&lt;=1,"OK","Check")</f>
        <v>#DIV/0!</v>
      </c>
      <c r="BQ280" s="16">
        <f t="shared" ref="BQ280:BQ343" si="150">AU280*100/AJ280</f>
        <v>127.25109874278135</v>
      </c>
      <c r="BR280" s="118">
        <f t="shared" ref="BR280:BR343" si="151">BQ280*SQRT($F$23/$D$23)</f>
        <v>4.2387607289550546</v>
      </c>
      <c r="BS280" s="108">
        <f t="shared" ref="BS280:BS343" si="152">ABS((AP280/AL280)*100*AG280/AI280)</f>
        <v>7.5781675893511622</v>
      </c>
      <c r="BT280" s="118">
        <f t="shared" ref="BT280:BT343" si="153">IF(AND(BR280&lt;=5,BS280&lt;=5),(1.35-0.05*BS280)-0.01*(5-BS280)*BR280,1.1)</f>
        <v>1.1000000000000001</v>
      </c>
      <c r="BU280" s="108">
        <f t="shared" ref="BU280:BU343" si="154">BS280*BT280</f>
        <v>8.3359843482862797</v>
      </c>
      <c r="BV280" s="6" cm="1">
        <f t="array" ref="BV280">IF(AP280=0,FactorPhi7121(BR280,"a"),noisuy2chieu(BU280,BR280,Data!$A$63:$M$85))</f>
        <v>0</v>
      </c>
      <c r="BW280" s="111">
        <v>1.26</v>
      </c>
      <c r="BX280" s="111">
        <f t="shared" ref="BX280:BX343" si="155">IF(BR280&lt;=1,1,1-0.1*ABS(AL280)*BR280^2/(AG280*$F$23)*10)</f>
        <v>0.98231946306642992</v>
      </c>
      <c r="BY280" s="113" t="e">
        <f t="shared" ref="BY280:BY343" si="156">ABS(AL280)/(BL280*AG280*$F$23*$I$23)*10+ABS(AP280)*1000/(BW280*BX280*AI280*$F$23*$I$23)</f>
        <v>#DIV/0!</v>
      </c>
      <c r="BZ280" s="6" t="e">
        <f t="shared" ref="BZ280:BZ343" si="157">IF(BY280&lt;=1,"OK","Check")</f>
        <v>#DIV/0!</v>
      </c>
      <c r="CA280" s="114">
        <f t="shared" ref="CA280:CA343" si="158">MAX(BG280,BQ280)</f>
        <v>127.25109874278135</v>
      </c>
      <c r="CB280" s="115" t="e">
        <f t="shared" ref="CB280:CB343" si="159">180-60*MAX(ABS(AL280)/(BV280*AG280*$F$23*$I$23)*10,ABS(AL280)/(BL280*AG280*$F$23*$I$23)*10,0.5)</f>
        <v>#DIV/0!</v>
      </c>
      <c r="CC280" s="6" t="e">
        <f t="shared" ref="CC280:CC343" si="160">IF(CA280&lt;=CB280,"OK","Check")</f>
        <v>#DIV/0!</v>
      </c>
      <c r="DG280" s="108"/>
      <c r="DH280" s="108"/>
      <c r="DI280" s="16"/>
      <c r="DJ280" s="108"/>
      <c r="DT280" s="6"/>
      <c r="DU280" s="6"/>
      <c r="DV280" s="111"/>
      <c r="DW280" s="111"/>
      <c r="DX280" s="111"/>
      <c r="DY280" s="111"/>
      <c r="DZ280" s="111"/>
      <c r="EA280" s="111"/>
      <c r="EB280" s="111"/>
      <c r="EC280" s="111"/>
      <c r="ED280" s="111"/>
      <c r="EE280" s="111"/>
      <c r="EF280" s="6"/>
      <c r="EG280" s="6"/>
      <c r="EH280" s="6"/>
      <c r="EI280" s="6"/>
      <c r="EJ280" s="6"/>
      <c r="EK280" s="6"/>
      <c r="EL280" s="112"/>
      <c r="EM280" s="112"/>
      <c r="EN280" s="118"/>
      <c r="EO280" s="118"/>
      <c r="EP280" s="112"/>
      <c r="EQ280" s="112"/>
      <c r="ER280" s="112"/>
      <c r="ES280" s="112"/>
      <c r="ET280" s="112"/>
      <c r="EU280" s="112"/>
      <c r="EV280" s="6"/>
      <c r="EW280" s="6"/>
      <c r="EX280" s="118"/>
      <c r="EY280" s="113"/>
      <c r="EZ280" s="6"/>
      <c r="FA280" s="114"/>
      <c r="FB280" s="115"/>
      <c r="FC280" s="6"/>
    </row>
    <row r="281" spans="27:159">
      <c r="AA281" s="79" t="s">
        <v>175</v>
      </c>
      <c r="AB281" s="80" t="s">
        <v>198</v>
      </c>
      <c r="AC281" s="81">
        <v>0</v>
      </c>
      <c r="AD281" s="81">
        <v>6</v>
      </c>
      <c r="AE281" s="80">
        <v>273</v>
      </c>
      <c r="AF281" s="80">
        <v>6.35</v>
      </c>
      <c r="AG281" s="108" cm="1">
        <f t="array" ref="AG281">_xll.DCEPropSectPipe(AE281, AF281, "Area")/100</f>
        <v>53.19431074856206</v>
      </c>
      <c r="AH281" s="16" cm="1">
        <f t="array" ref="AH281">_xll.DCEPropSectPipe(AE281, AF281, "Ix")/10000</f>
        <v>4730.4733077169503</v>
      </c>
      <c r="AI281" s="16" cm="1">
        <f t="array" ref="AI281">_xll.DCEPropSectPipe(AE281, AF281, "Wx")/1000</f>
        <v>346.55482107816493</v>
      </c>
      <c r="AJ281" s="108">
        <f t="shared" si="129"/>
        <v>9.4301739777164251</v>
      </c>
      <c r="AK281" s="80" t="s">
        <v>214</v>
      </c>
      <c r="AL281" s="82">
        <v>-5.9854996864716616</v>
      </c>
      <c r="AM281" s="82">
        <v>1.1691847357485692</v>
      </c>
      <c r="AN281" s="82">
        <v>-8.7251058015859348E-2</v>
      </c>
      <c r="AO281" s="82">
        <v>0</v>
      </c>
      <c r="AP281" s="82">
        <v>0</v>
      </c>
      <c r="AQ281" s="82">
        <v>-1.4173403259922964E-2</v>
      </c>
      <c r="AR281" s="72">
        <v>1</v>
      </c>
      <c r="AS281" s="116">
        <f t="shared" si="130"/>
        <v>6</v>
      </c>
      <c r="AT281" s="7">
        <v>2</v>
      </c>
      <c r="AU281" s="6">
        <f t="shared" si="131"/>
        <v>12</v>
      </c>
      <c r="AV281" s="111">
        <f t="shared" si="132"/>
        <v>4.9228123759496954E-3</v>
      </c>
      <c r="AW281" s="117">
        <f t="shared" si="133"/>
        <v>105</v>
      </c>
      <c r="AX281" s="111">
        <f t="shared" si="134"/>
        <v>1</v>
      </c>
      <c r="AY281" s="111">
        <f t="shared" si="135"/>
        <v>1</v>
      </c>
      <c r="AZ281" s="111">
        <f t="shared" si="136"/>
        <v>1</v>
      </c>
      <c r="BA281" s="111">
        <f t="shared" si="137"/>
        <v>5.1819077641575752E-3</v>
      </c>
      <c r="BB281" s="111">
        <f t="shared" si="138"/>
        <v>0</v>
      </c>
      <c r="BC281" s="111">
        <f t="shared" si="139"/>
        <v>0</v>
      </c>
      <c r="BD281" s="111">
        <v>0</v>
      </c>
      <c r="BE281" s="111">
        <f t="shared" si="140"/>
        <v>5.1819077641575752E-3</v>
      </c>
      <c r="BF281" s="6" t="str">
        <f t="shared" si="141"/>
        <v>OK</v>
      </c>
      <c r="BG281" s="16">
        <f t="shared" si="142"/>
        <v>63.625549371390676</v>
      </c>
      <c r="BH281" s="118">
        <f t="shared" si="143"/>
        <v>2.1193803644775273</v>
      </c>
      <c r="BI281" s="108">
        <f t="shared" si="144"/>
        <v>0</v>
      </c>
      <c r="BJ281" s="6">
        <f t="shared" si="145"/>
        <v>1.2440309817761237</v>
      </c>
      <c r="BK281" s="108">
        <f t="shared" si="146"/>
        <v>0</v>
      </c>
      <c r="BL281" s="118" cm="1">
        <f t="array" ref="BL281">IF(AO281=0,FactorPhi7121(BH281,"a"),noisuy2chieu(BK281,BH281,Data!$A$63:$M$85))</f>
        <v>0.86214274110469236</v>
      </c>
      <c r="BM281" s="111">
        <v>1.26</v>
      </c>
      <c r="BN281" s="118">
        <f t="shared" si="147"/>
        <v>0.99778878436489615</v>
      </c>
      <c r="BO281" s="108">
        <f t="shared" si="148"/>
        <v>1.2250503400716116E-2</v>
      </c>
      <c r="BP281" s="6" t="str">
        <f t="shared" si="149"/>
        <v>OK</v>
      </c>
      <c r="BQ281" s="16">
        <f t="shared" si="150"/>
        <v>127.25109874278135</v>
      </c>
      <c r="BR281" s="118">
        <f t="shared" si="151"/>
        <v>4.2387607289550546</v>
      </c>
      <c r="BS281" s="108">
        <f t="shared" si="152"/>
        <v>0</v>
      </c>
      <c r="BT281" s="118">
        <f t="shared" si="153"/>
        <v>1.1380619635522473</v>
      </c>
      <c r="BU281" s="108">
        <f t="shared" si="154"/>
        <v>0</v>
      </c>
      <c r="BV281" s="6" cm="1">
        <f t="array" ref="BV281">IF(AP281=0,FactorPhi7121(BR281,"a"),noisuy2chieu(BU281,BR281,Data!$A$63:$M$85))</f>
        <v>0.42299549615688942</v>
      </c>
      <c r="BW281" s="111">
        <v>1.26</v>
      </c>
      <c r="BX281" s="111">
        <f t="shared" si="155"/>
        <v>0.99115513745958472</v>
      </c>
      <c r="BY281" s="113">
        <f t="shared" si="156"/>
        <v>6.0104986298647285E-3</v>
      </c>
      <c r="BZ281" s="6" t="str">
        <f t="shared" si="157"/>
        <v>OK</v>
      </c>
      <c r="CA281" s="114">
        <f t="shared" si="158"/>
        <v>127.25109874278135</v>
      </c>
      <c r="CB281" s="115">
        <f t="shared" si="159"/>
        <v>150</v>
      </c>
      <c r="CC281" s="6" t="str">
        <f t="shared" si="160"/>
        <v>OK</v>
      </c>
      <c r="DG281" s="108"/>
      <c r="DH281" s="108"/>
      <c r="DI281" s="16"/>
      <c r="DJ281" s="108"/>
      <c r="DT281" s="6"/>
      <c r="DU281" s="6"/>
      <c r="DV281" s="111"/>
      <c r="DW281" s="111"/>
      <c r="DX281" s="111"/>
      <c r="DY281" s="111"/>
      <c r="DZ281" s="111"/>
      <c r="EA281" s="111"/>
      <c r="EB281" s="111"/>
      <c r="EC281" s="111"/>
      <c r="ED281" s="111"/>
      <c r="EE281" s="111"/>
      <c r="EF281" s="6"/>
      <c r="EG281" s="6"/>
      <c r="EH281" s="6"/>
      <c r="EI281" s="6"/>
      <c r="EJ281" s="6"/>
      <c r="EK281" s="6"/>
      <c r="EL281" s="112"/>
      <c r="EM281" s="112"/>
      <c r="EN281" s="118"/>
      <c r="EO281" s="118"/>
      <c r="EP281" s="112"/>
      <c r="EQ281" s="112"/>
      <c r="ER281" s="112"/>
      <c r="ES281" s="112"/>
      <c r="ET281" s="112"/>
      <c r="EU281" s="112"/>
      <c r="EV281" s="6"/>
      <c r="EW281" s="6"/>
      <c r="EX281" s="118"/>
      <c r="EY281" s="113"/>
      <c r="EZ281" s="6"/>
      <c r="FA281" s="114"/>
      <c r="FB281" s="115"/>
      <c r="FC281" s="6"/>
    </row>
    <row r="282" spans="27:159">
      <c r="AA282" s="79" t="s">
        <v>175</v>
      </c>
      <c r="AB282" s="80" t="s">
        <v>198</v>
      </c>
      <c r="AC282" s="81">
        <v>2.74</v>
      </c>
      <c r="AD282" s="81">
        <v>6</v>
      </c>
      <c r="AE282" s="80">
        <v>273</v>
      </c>
      <c r="AF282" s="80">
        <v>6.35</v>
      </c>
      <c r="AG282" s="108" cm="1">
        <f t="array" ref="AG282">_xll.DCEPropSectPipe(AE282, AF282, "Area")/100</f>
        <v>53.19431074856206</v>
      </c>
      <c r="AH282" s="16" cm="1">
        <f t="array" ref="AH282">_xll.DCEPropSectPipe(AE282, AF282, "Ix")/10000</f>
        <v>4730.4733077169503</v>
      </c>
      <c r="AI282" s="16" cm="1">
        <f t="array" ref="AI282">_xll.DCEPropSectPipe(AE282, AF282, "Wx")/1000</f>
        <v>346.55482107816493</v>
      </c>
      <c r="AJ282" s="108">
        <f t="shared" si="129"/>
        <v>9.4301739777164251</v>
      </c>
      <c r="AK282" s="80" t="s">
        <v>214</v>
      </c>
      <c r="AL282" s="82">
        <v>-4.6382393377396287</v>
      </c>
      <c r="AM282" s="82">
        <v>1.1691847357485692</v>
      </c>
      <c r="AN282" s="82">
        <v>-8.7251058015859348E-2</v>
      </c>
      <c r="AO282" s="82">
        <v>0.23924240107948513</v>
      </c>
      <c r="AP282" s="82">
        <v>-3.2059045454225754</v>
      </c>
      <c r="AQ282" s="82">
        <v>-1.4173403259922964E-2</v>
      </c>
      <c r="AR282" s="72">
        <v>1</v>
      </c>
      <c r="AS282" s="116">
        <f t="shared" si="130"/>
        <v>6</v>
      </c>
      <c r="AT282" s="7">
        <v>2</v>
      </c>
      <c r="AU282" s="6">
        <f t="shared" si="131"/>
        <v>12</v>
      </c>
      <c r="AV282" s="111">
        <f t="shared" si="132"/>
        <v>3.8147495130688232E-3</v>
      </c>
      <c r="AW282" s="117">
        <f t="shared" si="133"/>
        <v>105</v>
      </c>
      <c r="AX282" s="111">
        <f t="shared" si="134"/>
        <v>1</v>
      </c>
      <c r="AY282" s="111">
        <f t="shared" si="135"/>
        <v>1</v>
      </c>
      <c r="AZ282" s="111">
        <f t="shared" si="136"/>
        <v>1</v>
      </c>
      <c r="BA282" s="111">
        <f t="shared" si="137"/>
        <v>4.0155258032303406E-3</v>
      </c>
      <c r="BB282" s="111">
        <f t="shared" si="138"/>
        <v>3.1792205691148806E-3</v>
      </c>
      <c r="BC282" s="111">
        <f t="shared" si="139"/>
        <v>4.2602304722899394E-2</v>
      </c>
      <c r="BD282" s="111">
        <v>0</v>
      </c>
      <c r="BE282" s="111">
        <f t="shared" si="140"/>
        <v>4.9797051095244613E-2</v>
      </c>
      <c r="BF282" s="6" t="str">
        <f t="shared" si="141"/>
        <v>OK</v>
      </c>
      <c r="BG282" s="16">
        <f t="shared" si="142"/>
        <v>63.625549371390676</v>
      </c>
      <c r="BH282" s="118">
        <f t="shared" si="143"/>
        <v>2.1193803644775273</v>
      </c>
      <c r="BI282" s="108">
        <f t="shared" si="144"/>
        <v>0.79173207318386962</v>
      </c>
      <c r="BJ282" s="6">
        <f t="shared" si="145"/>
        <v>1.22122419221526</v>
      </c>
      <c r="BK282" s="108">
        <f t="shared" si="146"/>
        <v>0.96688236152488427</v>
      </c>
      <c r="BL282" s="118" cm="1">
        <f t="array" ref="BL282">IF(AO282=0,FactorPhi7121(BH282,"a"),noisuy2chieu(BK282,BH282,Data!$A$63:$M$85))</f>
        <v>0</v>
      </c>
      <c r="BM282" s="111">
        <v>1.26</v>
      </c>
      <c r="BN282" s="118">
        <f t="shared" si="147"/>
        <v>0.99828650106420613</v>
      </c>
      <c r="BO282" s="108" t="e">
        <f t="shared" si="148"/>
        <v>#DIV/0!</v>
      </c>
      <c r="BP282" s="6" t="e">
        <f t="shared" si="149"/>
        <v>#DIV/0!</v>
      </c>
      <c r="BQ282" s="16">
        <f t="shared" si="150"/>
        <v>127.25109874278135</v>
      </c>
      <c r="BR282" s="118">
        <f t="shared" si="151"/>
        <v>4.2387607289550546</v>
      </c>
      <c r="BS282" s="108">
        <f t="shared" si="152"/>
        <v>10.609396330768798</v>
      </c>
      <c r="BT282" s="118">
        <f t="shared" si="153"/>
        <v>1.1000000000000001</v>
      </c>
      <c r="BU282" s="108">
        <f t="shared" si="154"/>
        <v>11.670335963845679</v>
      </c>
      <c r="BV282" s="6" cm="1">
        <f t="array" ref="BV282">IF(AP282=0,FactorPhi7121(BR282,"a"),noisuy2chieu(BU282,BR282,Data!$A$63:$M$85))</f>
        <v>0</v>
      </c>
      <c r="BW282" s="111">
        <v>1.26</v>
      </c>
      <c r="BX282" s="111">
        <f t="shared" si="155"/>
        <v>0.99314600425682464</v>
      </c>
      <c r="BY282" s="113" t="e">
        <f t="shared" si="156"/>
        <v>#DIV/0!</v>
      </c>
      <c r="BZ282" s="6" t="e">
        <f t="shared" si="157"/>
        <v>#DIV/0!</v>
      </c>
      <c r="CA282" s="114">
        <f t="shared" si="158"/>
        <v>127.25109874278135</v>
      </c>
      <c r="CB282" s="115" t="e">
        <f t="shared" si="159"/>
        <v>#DIV/0!</v>
      </c>
      <c r="CC282" s="6" t="e">
        <f t="shared" si="160"/>
        <v>#DIV/0!</v>
      </c>
      <c r="DG282" s="108"/>
      <c r="DH282" s="108"/>
      <c r="DI282" s="16"/>
      <c r="DJ282" s="108"/>
      <c r="DT282" s="6"/>
      <c r="DU282" s="6"/>
      <c r="DV282" s="111"/>
      <c r="DW282" s="111"/>
      <c r="DX282" s="111"/>
      <c r="DY282" s="111"/>
      <c r="DZ282" s="111"/>
      <c r="EA282" s="111"/>
      <c r="EB282" s="111"/>
      <c r="EC282" s="111"/>
      <c r="ED282" s="111"/>
      <c r="EE282" s="111"/>
      <c r="EF282" s="6"/>
      <c r="EG282" s="6"/>
      <c r="EH282" s="6"/>
      <c r="EI282" s="6"/>
      <c r="EJ282" s="6"/>
      <c r="EK282" s="6"/>
      <c r="EL282" s="112"/>
      <c r="EM282" s="112"/>
      <c r="EN282" s="118"/>
      <c r="EO282" s="118"/>
      <c r="EP282" s="112"/>
      <c r="EQ282" s="112"/>
      <c r="ER282" s="112"/>
      <c r="ES282" s="112"/>
      <c r="ET282" s="112"/>
      <c r="EU282" s="112"/>
      <c r="EV282" s="6"/>
      <c r="EW282" s="6"/>
      <c r="EX282" s="118"/>
      <c r="EY282" s="113"/>
      <c r="EZ282" s="6"/>
      <c r="FA282" s="114"/>
      <c r="FB282" s="115"/>
      <c r="FC282" s="6"/>
    </row>
    <row r="283" spans="27:159">
      <c r="AA283" s="79" t="s">
        <v>175</v>
      </c>
      <c r="AB283" s="80" t="s">
        <v>198</v>
      </c>
      <c r="AC283" s="81">
        <v>5.48</v>
      </c>
      <c r="AD283" s="81">
        <v>6</v>
      </c>
      <c r="AE283" s="80">
        <v>273</v>
      </c>
      <c r="AF283" s="80">
        <v>6.35</v>
      </c>
      <c r="AG283" s="108" cm="1">
        <f t="array" ref="AG283">_xll.DCEPropSectPipe(AE283, AF283, "Area")/100</f>
        <v>53.19431074856206</v>
      </c>
      <c r="AH283" s="16" cm="1">
        <f t="array" ref="AH283">_xll.DCEPropSectPipe(AE283, AF283, "Ix")/10000</f>
        <v>4730.4733077169503</v>
      </c>
      <c r="AI283" s="16" cm="1">
        <f t="array" ref="AI283">_xll.DCEPropSectPipe(AE283, AF283, "Wx")/1000</f>
        <v>346.55482107816493</v>
      </c>
      <c r="AJ283" s="108">
        <f t="shared" si="129"/>
        <v>9.4301739777164251</v>
      </c>
      <c r="AK283" s="80" t="s">
        <v>214</v>
      </c>
      <c r="AL283" s="82">
        <v>-3.2909789890075949</v>
      </c>
      <c r="AM283" s="82">
        <v>1.1691847357485692</v>
      </c>
      <c r="AN283" s="82">
        <v>-8.7251058015859348E-2</v>
      </c>
      <c r="AO283" s="82">
        <v>0.47848480215897027</v>
      </c>
      <c r="AP283" s="82">
        <v>-6.4118090908451508</v>
      </c>
      <c r="AQ283" s="82">
        <v>-1.4173403259922964E-2</v>
      </c>
      <c r="AR283" s="72">
        <v>1</v>
      </c>
      <c r="AS283" s="116">
        <f t="shared" si="130"/>
        <v>6</v>
      </c>
      <c r="AT283" s="7">
        <v>2</v>
      </c>
      <c r="AU283" s="6">
        <f t="shared" si="131"/>
        <v>12</v>
      </c>
      <c r="AV283" s="111">
        <f t="shared" si="132"/>
        <v>2.7066866501879497E-3</v>
      </c>
      <c r="AW283" s="117">
        <f t="shared" si="133"/>
        <v>105</v>
      </c>
      <c r="AX283" s="111">
        <f t="shared" si="134"/>
        <v>1</v>
      </c>
      <c r="AY283" s="111">
        <f t="shared" si="135"/>
        <v>1</v>
      </c>
      <c r="AZ283" s="111">
        <f t="shared" si="136"/>
        <v>1</v>
      </c>
      <c r="BA283" s="111">
        <f t="shared" si="137"/>
        <v>2.8491438423031055E-3</v>
      </c>
      <c r="BB283" s="111">
        <f t="shared" si="138"/>
        <v>6.3584411382297612E-3</v>
      </c>
      <c r="BC283" s="111">
        <f t="shared" si="139"/>
        <v>8.5204609445798787E-2</v>
      </c>
      <c r="BD283" s="111">
        <v>0</v>
      </c>
      <c r="BE283" s="111">
        <f t="shared" si="140"/>
        <v>9.4412194426331655E-2</v>
      </c>
      <c r="BF283" s="6" t="str">
        <f t="shared" si="141"/>
        <v>OK</v>
      </c>
      <c r="BG283" s="16">
        <f t="shared" si="142"/>
        <v>63.625549371390676</v>
      </c>
      <c r="BH283" s="118">
        <f t="shared" si="143"/>
        <v>2.1193803644775273</v>
      </c>
      <c r="BI283" s="108">
        <f t="shared" si="144"/>
        <v>2.2317023955834805</v>
      </c>
      <c r="BJ283" s="6">
        <f t="shared" si="145"/>
        <v>1.1797441243625206</v>
      </c>
      <c r="BK283" s="108">
        <f t="shared" si="146"/>
        <v>2.6328377885153729</v>
      </c>
      <c r="BL283" s="118" cm="1">
        <f t="array" ref="BL283">IF(AO283=0,FactorPhi7121(BH283,"a"),noisuy2chieu(BK283,BH283,Data!$A$63:$M$85))</f>
        <v>0</v>
      </c>
      <c r="BM283" s="111">
        <v>1.26</v>
      </c>
      <c r="BN283" s="118">
        <f t="shared" si="147"/>
        <v>0.99878421776351622</v>
      </c>
      <c r="BO283" s="108" t="e">
        <f t="shared" si="148"/>
        <v>#DIV/0!</v>
      </c>
      <c r="BP283" s="6" t="e">
        <f t="shared" si="149"/>
        <v>#DIV/0!</v>
      </c>
      <c r="BQ283" s="16">
        <f t="shared" si="150"/>
        <v>127.25109874278135</v>
      </c>
      <c r="BR283" s="118">
        <f t="shared" si="151"/>
        <v>4.2387607289550546</v>
      </c>
      <c r="BS283" s="108">
        <f t="shared" si="152"/>
        <v>29.905337940721051</v>
      </c>
      <c r="BT283" s="118">
        <f t="shared" si="153"/>
        <v>1.1000000000000001</v>
      </c>
      <c r="BU283" s="108">
        <f t="shared" si="154"/>
        <v>32.895871734793161</v>
      </c>
      <c r="BV283" s="6" cm="1">
        <f t="array" ref="BV283">IF(AP283=0,FactorPhi7121(BR283,"a"),noisuy2chieu(BU283,BR283,Data!$A$63:$M$85))</f>
        <v>0</v>
      </c>
      <c r="BW283" s="111">
        <v>1.26</v>
      </c>
      <c r="BX283" s="111">
        <f t="shared" si="155"/>
        <v>0.99513687105406468</v>
      </c>
      <c r="BY283" s="113" t="e">
        <f t="shared" si="156"/>
        <v>#DIV/0!</v>
      </c>
      <c r="BZ283" s="6" t="e">
        <f t="shared" si="157"/>
        <v>#DIV/0!</v>
      </c>
      <c r="CA283" s="114">
        <f t="shared" si="158"/>
        <v>127.25109874278135</v>
      </c>
      <c r="CB283" s="115" t="e">
        <f t="shared" si="159"/>
        <v>#DIV/0!</v>
      </c>
      <c r="CC283" s="6" t="e">
        <f t="shared" si="160"/>
        <v>#DIV/0!</v>
      </c>
      <c r="DG283" s="108"/>
      <c r="DH283" s="108"/>
      <c r="DI283" s="16"/>
      <c r="DJ283" s="108"/>
      <c r="DT283" s="6"/>
      <c r="DU283" s="6"/>
      <c r="DV283" s="111"/>
      <c r="DW283" s="111"/>
      <c r="DX283" s="111"/>
      <c r="DY283" s="111"/>
      <c r="DZ283" s="111"/>
      <c r="EA283" s="111"/>
      <c r="EB283" s="111"/>
      <c r="EC283" s="111"/>
      <c r="ED283" s="111"/>
      <c r="EE283" s="111"/>
      <c r="EF283" s="6"/>
      <c r="EG283" s="6"/>
      <c r="EH283" s="6"/>
      <c r="EI283" s="6"/>
      <c r="EJ283" s="6"/>
      <c r="EK283" s="6"/>
      <c r="EL283" s="112"/>
      <c r="EM283" s="112"/>
      <c r="EN283" s="118"/>
      <c r="EO283" s="118"/>
      <c r="EP283" s="112"/>
      <c r="EQ283" s="112"/>
      <c r="ER283" s="112"/>
      <c r="ES283" s="112"/>
      <c r="ET283" s="112"/>
      <c r="EU283" s="112"/>
      <c r="EV283" s="6"/>
      <c r="EW283" s="6"/>
      <c r="EX283" s="118"/>
      <c r="EY283" s="113"/>
      <c r="EZ283" s="6"/>
      <c r="FA283" s="114"/>
      <c r="FB283" s="115"/>
      <c r="FC283" s="6"/>
    </row>
    <row r="284" spans="27:159">
      <c r="AA284" s="79" t="s">
        <v>175</v>
      </c>
      <c r="AB284" s="80" t="s">
        <v>198</v>
      </c>
      <c r="AC284" s="81">
        <v>0</v>
      </c>
      <c r="AD284" s="81">
        <v>6</v>
      </c>
      <c r="AE284" s="80">
        <v>273</v>
      </c>
      <c r="AF284" s="80">
        <v>6.35</v>
      </c>
      <c r="AG284" s="108" cm="1">
        <f t="array" ref="AG284">_xll.DCEPropSectPipe(AE284, AF284, "Area")/100</f>
        <v>53.19431074856206</v>
      </c>
      <c r="AH284" s="16" cm="1">
        <f t="array" ref="AH284">_xll.DCEPropSectPipe(AE284, AF284, "Ix")/10000</f>
        <v>4730.4733077169503</v>
      </c>
      <c r="AI284" s="16" cm="1">
        <f t="array" ref="AI284">_xll.DCEPropSectPipe(AE284, AF284, "Wx")/1000</f>
        <v>346.55482107816493</v>
      </c>
      <c r="AJ284" s="108">
        <f t="shared" si="129"/>
        <v>9.4301739777164251</v>
      </c>
      <c r="AK284" s="80" t="s">
        <v>215</v>
      </c>
      <c r="AL284" s="82">
        <v>-43.745475085437242</v>
      </c>
      <c r="AM284" s="82">
        <v>7.7648951288744454</v>
      </c>
      <c r="AN284" s="82">
        <v>-2.4021160855288586</v>
      </c>
      <c r="AO284" s="82">
        <v>0</v>
      </c>
      <c r="AP284" s="82">
        <v>0</v>
      </c>
      <c r="AQ284" s="82">
        <v>-0.27177384333022064</v>
      </c>
      <c r="AR284" s="72">
        <v>1</v>
      </c>
      <c r="AS284" s="116">
        <f t="shared" si="130"/>
        <v>6</v>
      </c>
      <c r="AT284" s="7">
        <v>2</v>
      </c>
      <c r="AU284" s="6">
        <f t="shared" si="131"/>
        <v>12</v>
      </c>
      <c r="AV284" s="111">
        <f t="shared" si="132"/>
        <v>3.5978744870561456E-2</v>
      </c>
      <c r="AW284" s="117">
        <f t="shared" si="133"/>
        <v>105</v>
      </c>
      <c r="AX284" s="111">
        <f t="shared" si="134"/>
        <v>1</v>
      </c>
      <c r="AY284" s="111">
        <f t="shared" si="135"/>
        <v>1</v>
      </c>
      <c r="AZ284" s="111">
        <f t="shared" si="136"/>
        <v>1</v>
      </c>
      <c r="BA284" s="111">
        <f t="shared" si="137"/>
        <v>3.7872363021643644E-2</v>
      </c>
      <c r="BB284" s="111">
        <f t="shared" si="138"/>
        <v>0</v>
      </c>
      <c r="BC284" s="111">
        <f t="shared" si="139"/>
        <v>0</v>
      </c>
      <c r="BD284" s="111">
        <v>0</v>
      </c>
      <c r="BE284" s="111">
        <f t="shared" si="140"/>
        <v>3.7872363021643644E-2</v>
      </c>
      <c r="BF284" s="6" t="str">
        <f t="shared" si="141"/>
        <v>OK</v>
      </c>
      <c r="BG284" s="16">
        <f t="shared" si="142"/>
        <v>63.625549371390676</v>
      </c>
      <c r="BH284" s="118">
        <f t="shared" si="143"/>
        <v>2.1193803644775273</v>
      </c>
      <c r="BI284" s="108">
        <f t="shared" si="144"/>
        <v>0</v>
      </c>
      <c r="BJ284" s="6">
        <f t="shared" si="145"/>
        <v>1.2440309817761237</v>
      </c>
      <c r="BK284" s="108">
        <f t="shared" si="146"/>
        <v>0</v>
      </c>
      <c r="BL284" s="118" cm="1">
        <f t="array" ref="BL284">IF(AO284=0,FactorPhi7121(BH284,"a"),noisuy2chieu(BK284,BH284,Data!$A$63:$M$85))</f>
        <v>0.86214274110469236</v>
      </c>
      <c r="BM284" s="111">
        <v>1.26</v>
      </c>
      <c r="BN284" s="118">
        <f t="shared" si="147"/>
        <v>0.98383916405632887</v>
      </c>
      <c r="BO284" s="108">
        <f t="shared" si="148"/>
        <v>8.9533726400710306E-2</v>
      </c>
      <c r="BP284" s="6" t="str">
        <f t="shared" si="149"/>
        <v>OK</v>
      </c>
      <c r="BQ284" s="16">
        <f t="shared" si="150"/>
        <v>127.25109874278135</v>
      </c>
      <c r="BR284" s="118">
        <f t="shared" si="151"/>
        <v>4.2387607289550546</v>
      </c>
      <c r="BS284" s="108">
        <f t="shared" si="152"/>
        <v>0</v>
      </c>
      <c r="BT284" s="118">
        <f t="shared" si="153"/>
        <v>1.1380619635522473</v>
      </c>
      <c r="BU284" s="108">
        <f t="shared" si="154"/>
        <v>0</v>
      </c>
      <c r="BV284" s="6" cm="1">
        <f t="array" ref="BV284">IF(AP284=0,FactorPhi7121(BR284,"a"),noisuy2chieu(BU284,BR284,Data!$A$63:$M$85))</f>
        <v>0.42299549615688942</v>
      </c>
      <c r="BW284" s="111">
        <v>1.26</v>
      </c>
      <c r="BX284" s="111">
        <f t="shared" si="155"/>
        <v>0.93535665622531527</v>
      </c>
      <c r="BY284" s="113">
        <f t="shared" si="156"/>
        <v>4.3928181745306494E-2</v>
      </c>
      <c r="BZ284" s="6" t="str">
        <f t="shared" si="157"/>
        <v>OK</v>
      </c>
      <c r="CA284" s="114">
        <f t="shared" si="158"/>
        <v>127.25109874278135</v>
      </c>
      <c r="CB284" s="115">
        <f t="shared" si="159"/>
        <v>150</v>
      </c>
      <c r="CC284" s="6" t="str">
        <f t="shared" si="160"/>
        <v>OK</v>
      </c>
      <c r="DG284" s="108"/>
      <c r="DH284" s="108"/>
      <c r="DI284" s="16"/>
      <c r="DJ284" s="108"/>
      <c r="DT284" s="6"/>
      <c r="DU284" s="6"/>
      <c r="DV284" s="111"/>
      <c r="DW284" s="111"/>
      <c r="DX284" s="111"/>
      <c r="DY284" s="111"/>
      <c r="DZ284" s="111"/>
      <c r="EA284" s="111"/>
      <c r="EB284" s="111"/>
      <c r="EC284" s="111"/>
      <c r="ED284" s="111"/>
      <c r="EE284" s="111"/>
      <c r="EF284" s="6"/>
      <c r="EG284" s="6"/>
      <c r="EH284" s="6"/>
      <c r="EI284" s="6"/>
      <c r="EJ284" s="6"/>
      <c r="EK284" s="6"/>
      <c r="EL284" s="112"/>
      <c r="EM284" s="112"/>
      <c r="EN284" s="118"/>
      <c r="EO284" s="118"/>
      <c r="EP284" s="112"/>
      <c r="EQ284" s="112"/>
      <c r="ER284" s="112"/>
      <c r="ES284" s="112"/>
      <c r="ET284" s="112"/>
      <c r="EU284" s="112"/>
      <c r="EV284" s="6"/>
      <c r="EW284" s="6"/>
      <c r="EX284" s="118"/>
      <c r="EY284" s="113"/>
      <c r="EZ284" s="6"/>
      <c r="FA284" s="114"/>
      <c r="FB284" s="115"/>
      <c r="FC284" s="6"/>
    </row>
    <row r="285" spans="27:159">
      <c r="AA285" s="79" t="s">
        <v>175</v>
      </c>
      <c r="AB285" s="80" t="s">
        <v>198</v>
      </c>
      <c r="AC285" s="81">
        <v>2.74</v>
      </c>
      <c r="AD285" s="81">
        <v>6</v>
      </c>
      <c r="AE285" s="80">
        <v>273</v>
      </c>
      <c r="AF285" s="80">
        <v>6.35</v>
      </c>
      <c r="AG285" s="108" cm="1">
        <f t="array" ref="AG285">_xll.DCEPropSectPipe(AE285, AF285, "Area")/100</f>
        <v>53.19431074856206</v>
      </c>
      <c r="AH285" s="16" cm="1">
        <f t="array" ref="AH285">_xll.DCEPropSectPipe(AE285, AF285, "Ix")/10000</f>
        <v>4730.4733077169503</v>
      </c>
      <c r="AI285" s="16" cm="1">
        <f t="array" ref="AI285">_xll.DCEPropSectPipe(AE285, AF285, "Wx")/1000</f>
        <v>346.55482107816493</v>
      </c>
      <c r="AJ285" s="108">
        <f t="shared" si="129"/>
        <v>9.4301739777164251</v>
      </c>
      <c r="AK285" s="80" t="s">
        <v>215</v>
      </c>
      <c r="AL285" s="82">
        <v>-42.398214736705206</v>
      </c>
      <c r="AM285" s="82">
        <v>7.7648951288744454</v>
      </c>
      <c r="AN285" s="82">
        <v>-2.4021160855288586</v>
      </c>
      <c r="AO285" s="82">
        <v>6.5866023065201285</v>
      </c>
      <c r="AP285" s="82">
        <v>-21.291342443373726</v>
      </c>
      <c r="AQ285" s="82">
        <v>-0.27177384333022064</v>
      </c>
      <c r="AR285" s="72">
        <v>1</v>
      </c>
      <c r="AS285" s="116">
        <f t="shared" si="130"/>
        <v>6</v>
      </c>
      <c r="AT285" s="7">
        <v>2</v>
      </c>
      <c r="AU285" s="6">
        <f t="shared" si="131"/>
        <v>12</v>
      </c>
      <c r="AV285" s="111">
        <f t="shared" si="132"/>
        <v>3.4870682007680585E-2</v>
      </c>
      <c r="AW285" s="117">
        <f t="shared" si="133"/>
        <v>105</v>
      </c>
      <c r="AX285" s="111">
        <f t="shared" si="134"/>
        <v>1</v>
      </c>
      <c r="AY285" s="111">
        <f t="shared" si="135"/>
        <v>1</v>
      </c>
      <c r="AZ285" s="111">
        <f t="shared" si="136"/>
        <v>1</v>
      </c>
      <c r="BA285" s="111">
        <f t="shared" si="137"/>
        <v>3.670598106071641E-2</v>
      </c>
      <c r="BB285" s="111">
        <f t="shared" si="138"/>
        <v>8.7527384104923694E-2</v>
      </c>
      <c r="BC285" s="111">
        <f t="shared" si="139"/>
        <v>0.2829342689030836</v>
      </c>
      <c r="BD285" s="111">
        <v>0</v>
      </c>
      <c r="BE285" s="111">
        <f t="shared" si="140"/>
        <v>0.40716763406872369</v>
      </c>
      <c r="BF285" s="6" t="str">
        <f t="shared" si="141"/>
        <v>OK</v>
      </c>
      <c r="BG285" s="16">
        <f t="shared" si="142"/>
        <v>63.625549371390676</v>
      </c>
      <c r="BH285" s="118">
        <f t="shared" si="143"/>
        <v>2.1193803644775273</v>
      </c>
      <c r="BI285" s="108">
        <f t="shared" si="144"/>
        <v>2.384553731451617</v>
      </c>
      <c r="BJ285" s="6">
        <f t="shared" si="145"/>
        <v>1.1753410587683448</v>
      </c>
      <c r="BK285" s="108">
        <f t="shared" si="146"/>
        <v>2.8026639074143507</v>
      </c>
      <c r="BL285" s="118" cm="1">
        <f t="array" ref="BL285">IF(AO285=0,FactorPhi7121(BH285,"a"),noisuy2chieu(BK285,BH285,Data!$A$63:$M$85))</f>
        <v>0</v>
      </c>
      <c r="BM285" s="111">
        <v>1.26</v>
      </c>
      <c r="BN285" s="118">
        <f t="shared" si="147"/>
        <v>0.98433688075563885</v>
      </c>
      <c r="BO285" s="108" t="e">
        <f t="shared" si="148"/>
        <v>#DIV/0!</v>
      </c>
      <c r="BP285" s="6" t="e">
        <f t="shared" si="149"/>
        <v>#DIV/0!</v>
      </c>
      <c r="BQ285" s="16">
        <f t="shared" si="150"/>
        <v>127.25109874278135</v>
      </c>
      <c r="BR285" s="118">
        <f t="shared" si="151"/>
        <v>4.2387607289550546</v>
      </c>
      <c r="BS285" s="108">
        <f t="shared" si="152"/>
        <v>7.7081244180634751</v>
      </c>
      <c r="BT285" s="118">
        <f t="shared" si="153"/>
        <v>1.1000000000000001</v>
      </c>
      <c r="BU285" s="108">
        <f t="shared" si="154"/>
        <v>8.4789368598698225</v>
      </c>
      <c r="BV285" s="6" cm="1">
        <f t="array" ref="BV285">IF(AP285=0,FactorPhi7121(BR285,"a"),noisuy2chieu(BU285,BR285,Data!$A$63:$M$85))</f>
        <v>0</v>
      </c>
      <c r="BW285" s="111">
        <v>1.26</v>
      </c>
      <c r="BX285" s="111">
        <f t="shared" si="155"/>
        <v>0.93734752302255531</v>
      </c>
      <c r="BY285" s="113" t="e">
        <f t="shared" si="156"/>
        <v>#DIV/0!</v>
      </c>
      <c r="BZ285" s="6" t="e">
        <f t="shared" si="157"/>
        <v>#DIV/0!</v>
      </c>
      <c r="CA285" s="114">
        <f t="shared" si="158"/>
        <v>127.25109874278135</v>
      </c>
      <c r="CB285" s="115" t="e">
        <f t="shared" si="159"/>
        <v>#DIV/0!</v>
      </c>
      <c r="CC285" s="6" t="e">
        <f t="shared" si="160"/>
        <v>#DIV/0!</v>
      </c>
      <c r="DG285" s="108"/>
      <c r="DH285" s="108"/>
      <c r="DI285" s="16"/>
      <c r="DJ285" s="108"/>
      <c r="DT285" s="6"/>
      <c r="DU285" s="6"/>
      <c r="DV285" s="111"/>
      <c r="DW285" s="111"/>
      <c r="DX285" s="111"/>
      <c r="DY285" s="111"/>
      <c r="DZ285" s="111"/>
      <c r="EA285" s="111"/>
      <c r="EB285" s="111"/>
      <c r="EC285" s="111"/>
      <c r="ED285" s="111"/>
      <c r="EE285" s="111"/>
      <c r="EF285" s="6"/>
      <c r="EG285" s="6"/>
      <c r="EH285" s="6"/>
      <c r="EI285" s="6"/>
      <c r="EJ285" s="6"/>
      <c r="EK285" s="6"/>
      <c r="EL285" s="112"/>
      <c r="EM285" s="112"/>
      <c r="EN285" s="118"/>
      <c r="EO285" s="118"/>
      <c r="EP285" s="112"/>
      <c r="EQ285" s="112"/>
      <c r="ER285" s="112"/>
      <c r="ES285" s="112"/>
      <c r="ET285" s="112"/>
      <c r="EU285" s="112"/>
      <c r="EV285" s="6"/>
      <c r="EW285" s="6"/>
      <c r="EX285" s="118"/>
      <c r="EY285" s="113"/>
      <c r="EZ285" s="6"/>
      <c r="FA285" s="114"/>
      <c r="FB285" s="115"/>
      <c r="FC285" s="6"/>
    </row>
    <row r="286" spans="27:159">
      <c r="AA286" s="79" t="s">
        <v>175</v>
      </c>
      <c r="AB286" s="80" t="s">
        <v>198</v>
      </c>
      <c r="AC286" s="81">
        <v>5.48</v>
      </c>
      <c r="AD286" s="81">
        <v>6</v>
      </c>
      <c r="AE286" s="80">
        <v>273</v>
      </c>
      <c r="AF286" s="80">
        <v>6.35</v>
      </c>
      <c r="AG286" s="108" cm="1">
        <f t="array" ref="AG286">_xll.DCEPropSectPipe(AE286, AF286, "Area")/100</f>
        <v>53.19431074856206</v>
      </c>
      <c r="AH286" s="16" cm="1">
        <f t="array" ref="AH286">_xll.DCEPropSectPipe(AE286, AF286, "Ix")/10000</f>
        <v>4730.4733077169503</v>
      </c>
      <c r="AI286" s="16" cm="1">
        <f t="array" ref="AI286">_xll.DCEPropSectPipe(AE286, AF286, "Wx")/1000</f>
        <v>346.55482107816493</v>
      </c>
      <c r="AJ286" s="108">
        <f t="shared" si="129"/>
        <v>9.4301739777164251</v>
      </c>
      <c r="AK286" s="80" t="s">
        <v>215</v>
      </c>
      <c r="AL286" s="82">
        <v>-41.050954387973178</v>
      </c>
      <c r="AM286" s="82">
        <v>7.7648951288744454</v>
      </c>
      <c r="AN286" s="82">
        <v>-2.4021160855288586</v>
      </c>
      <c r="AO286" s="82">
        <v>13.173204613040257</v>
      </c>
      <c r="AP286" s="82">
        <v>-42.582684886747451</v>
      </c>
      <c r="AQ286" s="82">
        <v>-0.27177384333022064</v>
      </c>
      <c r="AR286" s="72">
        <v>1</v>
      </c>
      <c r="AS286" s="116">
        <f t="shared" si="130"/>
        <v>6</v>
      </c>
      <c r="AT286" s="7">
        <v>2</v>
      </c>
      <c r="AU286" s="6">
        <f t="shared" si="131"/>
        <v>12</v>
      </c>
      <c r="AV286" s="111">
        <f t="shared" si="132"/>
        <v>3.3762619144799715E-2</v>
      </c>
      <c r="AW286" s="117">
        <f t="shared" si="133"/>
        <v>105</v>
      </c>
      <c r="AX286" s="111">
        <f t="shared" si="134"/>
        <v>1</v>
      </c>
      <c r="AY286" s="111">
        <f t="shared" si="135"/>
        <v>1</v>
      </c>
      <c r="AZ286" s="111">
        <f t="shared" si="136"/>
        <v>1</v>
      </c>
      <c r="BA286" s="111">
        <f t="shared" si="137"/>
        <v>3.5539599099789182E-2</v>
      </c>
      <c r="BB286" s="111">
        <f t="shared" si="138"/>
        <v>0.17505476820984739</v>
      </c>
      <c r="BC286" s="111">
        <f t="shared" si="139"/>
        <v>0.56586853780616719</v>
      </c>
      <c r="BD286" s="111">
        <v>0</v>
      </c>
      <c r="BE286" s="111">
        <f t="shared" si="140"/>
        <v>0.77646290511580374</v>
      </c>
      <c r="BF286" s="6" t="str">
        <f t="shared" si="141"/>
        <v>OK</v>
      </c>
      <c r="BG286" s="16">
        <f t="shared" si="142"/>
        <v>63.625549371390676</v>
      </c>
      <c r="BH286" s="118">
        <f t="shared" si="143"/>
        <v>2.1193803644775273</v>
      </c>
      <c r="BI286" s="108">
        <f t="shared" si="144"/>
        <v>4.9256258552135961</v>
      </c>
      <c r="BJ286" s="6">
        <f t="shared" si="145"/>
        <v>1.1021424362184691</v>
      </c>
      <c r="BK286" s="108">
        <f t="shared" si="146"/>
        <v>5.4287412799657933</v>
      </c>
      <c r="BL286" s="118" cm="1">
        <f t="array" ref="BL286">IF(AO286=0,FactorPhi7121(BH286,"a"),noisuy2chieu(BK286,BH286,Data!$A$63:$M$85))</f>
        <v>0</v>
      </c>
      <c r="BM286" s="111">
        <v>1.26</v>
      </c>
      <c r="BN286" s="118">
        <f t="shared" si="147"/>
        <v>0.98483459745494883</v>
      </c>
      <c r="BO286" s="108" t="e">
        <f t="shared" si="148"/>
        <v>#DIV/0!</v>
      </c>
      <c r="BP286" s="6" t="e">
        <f t="shared" si="149"/>
        <v>#DIV/0!</v>
      </c>
      <c r="BQ286" s="16">
        <f t="shared" si="150"/>
        <v>127.25109874278135</v>
      </c>
      <c r="BR286" s="118">
        <f t="shared" si="151"/>
        <v>4.2387607289550546</v>
      </c>
      <c r="BS286" s="108">
        <f t="shared" si="152"/>
        <v>15.922198115327756</v>
      </c>
      <c r="BT286" s="118">
        <f t="shared" si="153"/>
        <v>1.1000000000000001</v>
      </c>
      <c r="BU286" s="108">
        <f t="shared" si="154"/>
        <v>17.514417926860531</v>
      </c>
      <c r="BV286" s="6" cm="1">
        <f t="array" ref="BV286">IF(AP286=0,FactorPhi7121(BR286,"a"),noisuy2chieu(BU286,BR286,Data!$A$63:$M$85))</f>
        <v>0</v>
      </c>
      <c r="BW286" s="111">
        <v>1.26</v>
      </c>
      <c r="BX286" s="111">
        <f t="shared" si="155"/>
        <v>0.93933838981979534</v>
      </c>
      <c r="BY286" s="113" t="e">
        <f t="shared" si="156"/>
        <v>#DIV/0!</v>
      </c>
      <c r="BZ286" s="6" t="e">
        <f t="shared" si="157"/>
        <v>#DIV/0!</v>
      </c>
      <c r="CA286" s="114">
        <f t="shared" si="158"/>
        <v>127.25109874278135</v>
      </c>
      <c r="CB286" s="115" t="e">
        <f t="shared" si="159"/>
        <v>#DIV/0!</v>
      </c>
      <c r="CC286" s="6" t="e">
        <f t="shared" si="160"/>
        <v>#DIV/0!</v>
      </c>
      <c r="DG286" s="108"/>
      <c r="DH286" s="108"/>
      <c r="DI286" s="16"/>
      <c r="DJ286" s="108"/>
      <c r="DT286" s="6"/>
      <c r="DU286" s="6"/>
      <c r="DV286" s="111"/>
      <c r="DW286" s="111"/>
      <c r="DX286" s="111"/>
      <c r="DY286" s="111"/>
      <c r="DZ286" s="111"/>
      <c r="EA286" s="111"/>
      <c r="EB286" s="111"/>
      <c r="EC286" s="111"/>
      <c r="ED286" s="111"/>
      <c r="EE286" s="111"/>
      <c r="EF286" s="6"/>
      <c r="EG286" s="6"/>
      <c r="EH286" s="6"/>
      <c r="EI286" s="6"/>
      <c r="EJ286" s="6"/>
      <c r="EK286" s="6"/>
      <c r="EL286" s="112"/>
      <c r="EM286" s="112"/>
      <c r="EN286" s="118"/>
      <c r="EO286" s="118"/>
      <c r="EP286" s="112"/>
      <c r="EQ286" s="112"/>
      <c r="ER286" s="112"/>
      <c r="ES286" s="112"/>
      <c r="ET286" s="112"/>
      <c r="EU286" s="112"/>
      <c r="EV286" s="6"/>
      <c r="EW286" s="6"/>
      <c r="EX286" s="118"/>
      <c r="EY286" s="113"/>
      <c r="EZ286" s="6"/>
      <c r="FA286" s="114"/>
      <c r="FB286" s="115"/>
      <c r="FC286" s="6"/>
    </row>
    <row r="287" spans="27:159">
      <c r="AA287" s="79" t="s">
        <v>175</v>
      </c>
      <c r="AB287" s="80" t="s">
        <v>198</v>
      </c>
      <c r="AC287" s="81">
        <v>0</v>
      </c>
      <c r="AD287" s="81">
        <v>6</v>
      </c>
      <c r="AE287" s="80">
        <v>273</v>
      </c>
      <c r="AF287" s="80">
        <v>6.35</v>
      </c>
      <c r="AG287" s="108" cm="1">
        <f t="array" ref="AG287">_xll.DCEPropSectPipe(AE287, AF287, "Area")/100</f>
        <v>53.19431074856206</v>
      </c>
      <c r="AH287" s="16" cm="1">
        <f t="array" ref="AH287">_xll.DCEPropSectPipe(AE287, AF287, "Ix")/10000</f>
        <v>4730.4733077169503</v>
      </c>
      <c r="AI287" s="16" cm="1">
        <f t="array" ref="AI287">_xll.DCEPropSectPipe(AE287, AF287, "Wx")/1000</f>
        <v>346.55482107816493</v>
      </c>
      <c r="AJ287" s="108">
        <f t="shared" si="129"/>
        <v>9.4301739777164251</v>
      </c>
      <c r="AK287" s="80" t="s">
        <v>216</v>
      </c>
      <c r="AL287" s="82">
        <v>-52.506891829322342</v>
      </c>
      <c r="AM287" s="82">
        <v>7.6719360271935066</v>
      </c>
      <c r="AN287" s="82">
        <v>-2.5652736503505089</v>
      </c>
      <c r="AO287" s="82">
        <v>0</v>
      </c>
      <c r="AP287" s="82">
        <v>0</v>
      </c>
      <c r="AQ287" s="82">
        <v>-0.24458939361424054</v>
      </c>
      <c r="AR287" s="72">
        <v>1</v>
      </c>
      <c r="AS287" s="116">
        <f t="shared" si="130"/>
        <v>6</v>
      </c>
      <c r="AT287" s="7">
        <v>2</v>
      </c>
      <c r="AU287" s="6">
        <f t="shared" si="131"/>
        <v>12</v>
      </c>
      <c r="AV287" s="111">
        <f t="shared" si="132"/>
        <v>4.3184627927432065E-2</v>
      </c>
      <c r="AW287" s="117">
        <f t="shared" si="133"/>
        <v>105</v>
      </c>
      <c r="AX287" s="111">
        <f t="shared" si="134"/>
        <v>1</v>
      </c>
      <c r="AY287" s="111">
        <f t="shared" si="135"/>
        <v>1</v>
      </c>
      <c r="AZ287" s="111">
        <f t="shared" si="136"/>
        <v>1</v>
      </c>
      <c r="BA287" s="111">
        <f t="shared" si="137"/>
        <v>4.5457503081507436E-2</v>
      </c>
      <c r="BB287" s="111">
        <f t="shared" si="138"/>
        <v>0</v>
      </c>
      <c r="BC287" s="111">
        <f t="shared" si="139"/>
        <v>0</v>
      </c>
      <c r="BD287" s="111">
        <v>0</v>
      </c>
      <c r="BE287" s="111">
        <f t="shared" si="140"/>
        <v>4.5457503081507436E-2</v>
      </c>
      <c r="BF287" s="6" t="str">
        <f t="shared" si="141"/>
        <v>OK</v>
      </c>
      <c r="BG287" s="16">
        <f t="shared" si="142"/>
        <v>63.625549371390676</v>
      </c>
      <c r="BH287" s="118">
        <f t="shared" si="143"/>
        <v>2.1193803644775273</v>
      </c>
      <c r="BI287" s="108">
        <f t="shared" si="144"/>
        <v>0</v>
      </c>
      <c r="BJ287" s="6">
        <f t="shared" si="145"/>
        <v>1.2440309817761237</v>
      </c>
      <c r="BK287" s="108">
        <f t="shared" si="146"/>
        <v>0</v>
      </c>
      <c r="BL287" s="118" cm="1">
        <f t="array" ref="BL287">IF(AO287=0,FactorPhi7121(BH287,"a"),noisuy2chieu(BK287,BH287,Data!$A$63:$M$85))</f>
        <v>0.86214274110469236</v>
      </c>
      <c r="BM287" s="111">
        <v>1.26</v>
      </c>
      <c r="BN287" s="118">
        <f t="shared" si="147"/>
        <v>0.98060244486753212</v>
      </c>
      <c r="BO287" s="108">
        <f t="shared" si="148"/>
        <v>0.1074656905203719</v>
      </c>
      <c r="BP287" s="6" t="str">
        <f t="shared" si="149"/>
        <v>OK</v>
      </c>
      <c r="BQ287" s="16">
        <f t="shared" si="150"/>
        <v>127.25109874278135</v>
      </c>
      <c r="BR287" s="118">
        <f t="shared" si="151"/>
        <v>4.2387607289550546</v>
      </c>
      <c r="BS287" s="108">
        <f t="shared" si="152"/>
        <v>0</v>
      </c>
      <c r="BT287" s="118">
        <f t="shared" si="153"/>
        <v>1.1380619635522473</v>
      </c>
      <c r="BU287" s="108">
        <f t="shared" si="154"/>
        <v>0</v>
      </c>
      <c r="BV287" s="6" cm="1">
        <f t="array" ref="BV287">IF(AP287=0,FactorPhi7121(BR287,"a"),noisuy2chieu(BU287,BR287,Data!$A$63:$M$85))</f>
        <v>0.42299549615688942</v>
      </c>
      <c r="BW287" s="111">
        <v>1.26</v>
      </c>
      <c r="BX287" s="111">
        <f t="shared" si="155"/>
        <v>0.9224097794701287</v>
      </c>
      <c r="BY287" s="113">
        <f t="shared" si="156"/>
        <v>5.2726191283894844E-2</v>
      </c>
      <c r="BZ287" s="6" t="str">
        <f t="shared" si="157"/>
        <v>OK</v>
      </c>
      <c r="CA287" s="114">
        <f t="shared" si="158"/>
        <v>127.25109874278135</v>
      </c>
      <c r="CB287" s="115">
        <f t="shared" si="159"/>
        <v>150</v>
      </c>
      <c r="CC287" s="6" t="str">
        <f t="shared" si="160"/>
        <v>OK</v>
      </c>
      <c r="DG287" s="108"/>
      <c r="DH287" s="108"/>
      <c r="DI287" s="16"/>
      <c r="DJ287" s="108"/>
      <c r="DT287" s="6"/>
      <c r="DU287" s="6"/>
      <c r="DV287" s="111"/>
      <c r="DW287" s="111"/>
      <c r="DX287" s="111"/>
      <c r="DY287" s="111"/>
      <c r="DZ287" s="111"/>
      <c r="EA287" s="111"/>
      <c r="EB287" s="111"/>
      <c r="EC287" s="111"/>
      <c r="ED287" s="111"/>
      <c r="EE287" s="111"/>
      <c r="EF287" s="6"/>
      <c r="EG287" s="6"/>
      <c r="EH287" s="6"/>
      <c r="EI287" s="6"/>
      <c r="EJ287" s="6"/>
      <c r="EK287" s="6"/>
      <c r="EL287" s="112"/>
      <c r="EM287" s="112"/>
      <c r="EN287" s="118"/>
      <c r="EO287" s="118"/>
      <c r="EP287" s="112"/>
      <c r="EQ287" s="112"/>
      <c r="ER287" s="112"/>
      <c r="ES287" s="112"/>
      <c r="ET287" s="112"/>
      <c r="EU287" s="112"/>
      <c r="EV287" s="6"/>
      <c r="EW287" s="6"/>
      <c r="EX287" s="118"/>
      <c r="EY287" s="113"/>
      <c r="EZ287" s="6"/>
      <c r="FA287" s="114"/>
      <c r="FB287" s="115"/>
      <c r="FC287" s="6"/>
    </row>
    <row r="288" spans="27:159">
      <c r="AA288" s="79" t="s">
        <v>175</v>
      </c>
      <c r="AB288" s="80" t="s">
        <v>198</v>
      </c>
      <c r="AC288" s="81">
        <v>2.74</v>
      </c>
      <c r="AD288" s="81">
        <v>6</v>
      </c>
      <c r="AE288" s="80">
        <v>273</v>
      </c>
      <c r="AF288" s="80">
        <v>6.35</v>
      </c>
      <c r="AG288" s="108" cm="1">
        <f t="array" ref="AG288">_xll.DCEPropSectPipe(AE288, AF288, "Area")/100</f>
        <v>53.19431074856206</v>
      </c>
      <c r="AH288" s="16" cm="1">
        <f t="array" ref="AH288">_xll.DCEPropSectPipe(AE288, AF288, "Ix")/10000</f>
        <v>4730.4733077169503</v>
      </c>
      <c r="AI288" s="16" cm="1">
        <f t="array" ref="AI288">_xll.DCEPropSectPipe(AE288, AF288, "Wx")/1000</f>
        <v>346.55482107816493</v>
      </c>
      <c r="AJ288" s="108">
        <f t="shared" si="129"/>
        <v>9.4301739777164251</v>
      </c>
      <c r="AK288" s="80" t="s">
        <v>216</v>
      </c>
      <c r="AL288" s="82">
        <v>-51.159631480590313</v>
      </c>
      <c r="AM288" s="82">
        <v>7.6719360271935066</v>
      </c>
      <c r="AN288" s="82">
        <v>-2.5652736503505089</v>
      </c>
      <c r="AO288" s="82">
        <v>7.0339803492610953</v>
      </c>
      <c r="AP288" s="82">
        <v>-21.036448586564596</v>
      </c>
      <c r="AQ288" s="82">
        <v>-0.24458939361424054</v>
      </c>
      <c r="AR288" s="72">
        <v>1</v>
      </c>
      <c r="AS288" s="116">
        <f t="shared" si="130"/>
        <v>6</v>
      </c>
      <c r="AT288" s="7">
        <v>2</v>
      </c>
      <c r="AU288" s="6">
        <f t="shared" si="131"/>
        <v>12</v>
      </c>
      <c r="AV288" s="111">
        <f t="shared" si="132"/>
        <v>4.2076565064551194E-2</v>
      </c>
      <c r="AW288" s="117">
        <f t="shared" si="133"/>
        <v>105</v>
      </c>
      <c r="AX288" s="111">
        <f t="shared" si="134"/>
        <v>1</v>
      </c>
      <c r="AY288" s="111">
        <f t="shared" si="135"/>
        <v>1</v>
      </c>
      <c r="AZ288" s="111">
        <f t="shared" si="136"/>
        <v>1</v>
      </c>
      <c r="BA288" s="111">
        <f t="shared" si="137"/>
        <v>4.4291121120580208E-2</v>
      </c>
      <c r="BB288" s="111">
        <f t="shared" si="138"/>
        <v>9.3472456839668122E-2</v>
      </c>
      <c r="BC288" s="111">
        <f t="shared" si="139"/>
        <v>0.27954706082938019</v>
      </c>
      <c r="BD288" s="111">
        <v>0</v>
      </c>
      <c r="BE288" s="111">
        <f t="shared" si="140"/>
        <v>0.41731063878962849</v>
      </c>
      <c r="BF288" s="6" t="str">
        <f t="shared" si="141"/>
        <v>OK</v>
      </c>
      <c r="BG288" s="16">
        <f t="shared" si="142"/>
        <v>63.625549371390676</v>
      </c>
      <c r="BH288" s="118">
        <f t="shared" si="143"/>
        <v>2.1193803644775273</v>
      </c>
      <c r="BI288" s="108">
        <f t="shared" si="144"/>
        <v>2.1104107205865112</v>
      </c>
      <c r="BJ288" s="6">
        <f t="shared" si="145"/>
        <v>1.1832380761687373</v>
      </c>
      <c r="BK288" s="108">
        <f t="shared" si="146"/>
        <v>2.4971183209526622</v>
      </c>
      <c r="BL288" s="118" cm="1">
        <f t="array" ref="BL288">IF(AO288=0,FactorPhi7121(BH288,"a"),noisuy2chieu(BK288,BH288,Data!$A$63:$M$85))</f>
        <v>0</v>
      </c>
      <c r="BM288" s="111">
        <v>1.26</v>
      </c>
      <c r="BN288" s="118">
        <f t="shared" si="147"/>
        <v>0.98110016156684221</v>
      </c>
      <c r="BO288" s="108" t="e">
        <f t="shared" si="148"/>
        <v>#DIV/0!</v>
      </c>
      <c r="BP288" s="6" t="e">
        <f t="shared" si="149"/>
        <v>#DIV/0!</v>
      </c>
      <c r="BQ288" s="16">
        <f t="shared" si="150"/>
        <v>127.25109874278135</v>
      </c>
      <c r="BR288" s="118">
        <f t="shared" si="151"/>
        <v>4.2387607289550546</v>
      </c>
      <c r="BS288" s="108">
        <f t="shared" si="152"/>
        <v>6.3115824065127715</v>
      </c>
      <c r="BT288" s="118">
        <f t="shared" si="153"/>
        <v>1.1000000000000001</v>
      </c>
      <c r="BU288" s="108">
        <f t="shared" si="154"/>
        <v>6.9427406471640492</v>
      </c>
      <c r="BV288" s="6" cm="1">
        <f t="array" ref="BV288">IF(AP288=0,FactorPhi7121(BR288,"a"),noisuy2chieu(BU288,BR288,Data!$A$63:$M$85))</f>
        <v>0</v>
      </c>
      <c r="BW288" s="111">
        <v>1.26</v>
      </c>
      <c r="BX288" s="111">
        <f t="shared" si="155"/>
        <v>0.92440064626736862</v>
      </c>
      <c r="BY288" s="113" t="e">
        <f t="shared" si="156"/>
        <v>#DIV/0!</v>
      </c>
      <c r="BZ288" s="6" t="e">
        <f t="shared" si="157"/>
        <v>#DIV/0!</v>
      </c>
      <c r="CA288" s="114">
        <f t="shared" si="158"/>
        <v>127.25109874278135</v>
      </c>
      <c r="CB288" s="115" t="e">
        <f t="shared" si="159"/>
        <v>#DIV/0!</v>
      </c>
      <c r="CC288" s="6" t="e">
        <f t="shared" si="160"/>
        <v>#DIV/0!</v>
      </c>
      <c r="DG288" s="108"/>
      <c r="DH288" s="108"/>
      <c r="DI288" s="16"/>
      <c r="DJ288" s="108"/>
      <c r="DT288" s="6"/>
      <c r="DU288" s="6"/>
      <c r="DV288" s="111"/>
      <c r="DW288" s="111"/>
      <c r="DX288" s="111"/>
      <c r="DY288" s="111"/>
      <c r="DZ288" s="111"/>
      <c r="EA288" s="111"/>
      <c r="EB288" s="111"/>
      <c r="EC288" s="111"/>
      <c r="ED288" s="111"/>
      <c r="EE288" s="111"/>
      <c r="EF288" s="6"/>
      <c r="EG288" s="6"/>
      <c r="EH288" s="6"/>
      <c r="EI288" s="6"/>
      <c r="EJ288" s="6"/>
      <c r="EK288" s="6"/>
      <c r="EL288" s="112"/>
      <c r="EM288" s="112"/>
      <c r="EN288" s="118"/>
      <c r="EO288" s="118"/>
      <c r="EP288" s="112"/>
      <c r="EQ288" s="112"/>
      <c r="ER288" s="112"/>
      <c r="ES288" s="112"/>
      <c r="ET288" s="112"/>
      <c r="EU288" s="112"/>
      <c r="EV288" s="6"/>
      <c r="EW288" s="6"/>
      <c r="EX288" s="118"/>
      <c r="EY288" s="113"/>
      <c r="EZ288" s="6"/>
      <c r="FA288" s="114"/>
      <c r="FB288" s="115"/>
      <c r="FC288" s="6"/>
    </row>
    <row r="289" spans="27:159">
      <c r="AA289" s="79" t="s">
        <v>175</v>
      </c>
      <c r="AB289" s="80" t="s">
        <v>198</v>
      </c>
      <c r="AC289" s="81">
        <v>5.48</v>
      </c>
      <c r="AD289" s="81">
        <v>6</v>
      </c>
      <c r="AE289" s="80">
        <v>273</v>
      </c>
      <c r="AF289" s="80">
        <v>6.35</v>
      </c>
      <c r="AG289" s="108" cm="1">
        <f t="array" ref="AG289">_xll.DCEPropSectPipe(AE289, AF289, "Area")/100</f>
        <v>53.19431074856206</v>
      </c>
      <c r="AH289" s="16" cm="1">
        <f t="array" ref="AH289">_xll.DCEPropSectPipe(AE289, AF289, "Ix")/10000</f>
        <v>4730.4733077169503</v>
      </c>
      <c r="AI289" s="16" cm="1">
        <f t="array" ref="AI289">_xll.DCEPropSectPipe(AE289, AF289, "Wx")/1000</f>
        <v>346.55482107816493</v>
      </c>
      <c r="AJ289" s="108">
        <f t="shared" si="129"/>
        <v>9.4301739777164251</v>
      </c>
      <c r="AK289" s="80" t="s">
        <v>216</v>
      </c>
      <c r="AL289" s="82">
        <v>-49.812371131858285</v>
      </c>
      <c r="AM289" s="82">
        <v>7.6719360271935066</v>
      </c>
      <c r="AN289" s="82">
        <v>-2.5652736503505089</v>
      </c>
      <c r="AO289" s="82">
        <v>14.067960698522191</v>
      </c>
      <c r="AP289" s="82">
        <v>-42.072897173129192</v>
      </c>
      <c r="AQ289" s="82">
        <v>-0.24458939361424054</v>
      </c>
      <c r="AR289" s="72">
        <v>1</v>
      </c>
      <c r="AS289" s="116">
        <f t="shared" si="130"/>
        <v>6</v>
      </c>
      <c r="AT289" s="7">
        <v>2</v>
      </c>
      <c r="AU289" s="6">
        <f t="shared" si="131"/>
        <v>12</v>
      </c>
      <c r="AV289" s="111">
        <f t="shared" si="132"/>
        <v>4.0968502201670323E-2</v>
      </c>
      <c r="AW289" s="117">
        <f t="shared" si="133"/>
        <v>105</v>
      </c>
      <c r="AX289" s="111">
        <f t="shared" si="134"/>
        <v>1</v>
      </c>
      <c r="AY289" s="111">
        <f t="shared" si="135"/>
        <v>1</v>
      </c>
      <c r="AZ289" s="111">
        <f t="shared" si="136"/>
        <v>1</v>
      </c>
      <c r="BA289" s="111">
        <f t="shared" si="137"/>
        <v>4.3124739159652974E-2</v>
      </c>
      <c r="BB289" s="111">
        <f t="shared" si="138"/>
        <v>0.18694491367933624</v>
      </c>
      <c r="BC289" s="111">
        <f t="shared" si="139"/>
        <v>0.55909412165876038</v>
      </c>
      <c r="BD289" s="111">
        <v>0</v>
      </c>
      <c r="BE289" s="111">
        <f t="shared" si="140"/>
        <v>0.78916377449774955</v>
      </c>
      <c r="BF289" s="6" t="str">
        <f t="shared" si="141"/>
        <v>OK</v>
      </c>
      <c r="BG289" s="16">
        <f t="shared" si="142"/>
        <v>63.625549371390676</v>
      </c>
      <c r="BH289" s="118">
        <f t="shared" si="143"/>
        <v>2.1193803644775273</v>
      </c>
      <c r="BI289" s="108">
        <f t="shared" si="144"/>
        <v>4.3349807401093763</v>
      </c>
      <c r="BJ289" s="6">
        <f t="shared" si="145"/>
        <v>1.1191566753804156</v>
      </c>
      <c r="BK289" s="108">
        <f t="shared" si="146"/>
        <v>4.8515226329389431</v>
      </c>
      <c r="BL289" s="118" cm="1">
        <f t="array" ref="BL289">IF(AO289=0,FactorPhi7121(BH289,"a"),noisuy2chieu(BK289,BH289,Data!$A$63:$M$85))</f>
        <v>0</v>
      </c>
      <c r="BM289" s="111">
        <v>1.26</v>
      </c>
      <c r="BN289" s="118">
        <f t="shared" si="147"/>
        <v>0.98159787826615219</v>
      </c>
      <c r="BO289" s="108" t="e">
        <f t="shared" si="148"/>
        <v>#DIV/0!</v>
      </c>
      <c r="BP289" s="6" t="e">
        <f t="shared" si="149"/>
        <v>#DIV/0!</v>
      </c>
      <c r="BQ289" s="16">
        <f t="shared" si="150"/>
        <v>127.25109874278135</v>
      </c>
      <c r="BR289" s="118">
        <f t="shared" si="151"/>
        <v>4.2387607289550546</v>
      </c>
      <c r="BS289" s="108">
        <f t="shared" si="152"/>
        <v>12.964579787692786</v>
      </c>
      <c r="BT289" s="118">
        <f t="shared" si="153"/>
        <v>1.1000000000000001</v>
      </c>
      <c r="BU289" s="108">
        <f t="shared" si="154"/>
        <v>14.261037766462065</v>
      </c>
      <c r="BV289" s="6" cm="1">
        <f t="array" ref="BV289">IF(AP289=0,FactorPhi7121(BR289,"a"),noisuy2chieu(BU289,BR289,Data!$A$63:$M$85))</f>
        <v>0</v>
      </c>
      <c r="BW289" s="111">
        <v>1.26</v>
      </c>
      <c r="BX289" s="111">
        <f t="shared" si="155"/>
        <v>0.92639151306460865</v>
      </c>
      <c r="BY289" s="113" t="e">
        <f t="shared" si="156"/>
        <v>#DIV/0!</v>
      </c>
      <c r="BZ289" s="6" t="e">
        <f t="shared" si="157"/>
        <v>#DIV/0!</v>
      </c>
      <c r="CA289" s="114">
        <f t="shared" si="158"/>
        <v>127.25109874278135</v>
      </c>
      <c r="CB289" s="115" t="e">
        <f t="shared" si="159"/>
        <v>#DIV/0!</v>
      </c>
      <c r="CC289" s="6" t="e">
        <f t="shared" si="160"/>
        <v>#DIV/0!</v>
      </c>
      <c r="DG289" s="108"/>
      <c r="DH289" s="108"/>
      <c r="DI289" s="16"/>
      <c r="DJ289" s="108"/>
      <c r="DT289" s="6"/>
      <c r="DU289" s="6"/>
      <c r="DV289" s="111"/>
      <c r="DW289" s="111"/>
      <c r="DX289" s="111"/>
      <c r="DY289" s="111"/>
      <c r="DZ289" s="111"/>
      <c r="EA289" s="111"/>
      <c r="EB289" s="111"/>
      <c r="EC289" s="111"/>
      <c r="ED289" s="111"/>
      <c r="EE289" s="111"/>
      <c r="EF289" s="6"/>
      <c r="EG289" s="6"/>
      <c r="EH289" s="6"/>
      <c r="EI289" s="6"/>
      <c r="EJ289" s="6"/>
      <c r="EK289" s="6"/>
      <c r="EL289" s="112"/>
      <c r="EM289" s="112"/>
      <c r="EN289" s="118"/>
      <c r="EO289" s="118"/>
      <c r="EP289" s="112"/>
      <c r="EQ289" s="112"/>
      <c r="ER289" s="112"/>
      <c r="ES289" s="112"/>
      <c r="ET289" s="112"/>
      <c r="EU289" s="112"/>
      <c r="EV289" s="6"/>
      <c r="EW289" s="6"/>
      <c r="EX289" s="118"/>
      <c r="EY289" s="113"/>
      <c r="EZ289" s="6"/>
      <c r="FA289" s="114"/>
      <c r="FB289" s="115"/>
      <c r="FC289" s="6"/>
    </row>
    <row r="290" spans="27:159">
      <c r="AA290" s="79" t="s">
        <v>175</v>
      </c>
      <c r="AB290" s="80" t="s">
        <v>198</v>
      </c>
      <c r="AC290" s="81">
        <v>0</v>
      </c>
      <c r="AD290" s="81">
        <v>6</v>
      </c>
      <c r="AE290" s="80">
        <v>273</v>
      </c>
      <c r="AF290" s="80">
        <v>6.35</v>
      </c>
      <c r="AG290" s="108" cm="1">
        <f t="array" ref="AG290">_xll.DCEPropSectPipe(AE290, AF290, "Area")/100</f>
        <v>53.19431074856206</v>
      </c>
      <c r="AH290" s="16" cm="1">
        <f t="array" ref="AH290">_xll.DCEPropSectPipe(AE290, AF290, "Ix")/10000</f>
        <v>4730.4733077169503</v>
      </c>
      <c r="AI290" s="16" cm="1">
        <f t="array" ref="AI290">_xll.DCEPropSectPipe(AE290, AF290, "Wx")/1000</f>
        <v>346.55482107816493</v>
      </c>
      <c r="AJ290" s="108">
        <f t="shared" si="129"/>
        <v>9.4301739777164251</v>
      </c>
      <c r="AK290" s="80" t="s">
        <v>217</v>
      </c>
      <c r="AL290" s="82">
        <v>-12.205358736609178</v>
      </c>
      <c r="AM290" s="82">
        <v>0.55985924298458833</v>
      </c>
      <c r="AN290" s="82">
        <v>-7.7916184640792599E-2</v>
      </c>
      <c r="AO290" s="82">
        <v>0</v>
      </c>
      <c r="AP290" s="82">
        <v>0</v>
      </c>
      <c r="AQ290" s="82">
        <v>3.4228902890554185E-2</v>
      </c>
      <c r="AR290" s="72">
        <v>1</v>
      </c>
      <c r="AS290" s="116">
        <f t="shared" si="130"/>
        <v>6</v>
      </c>
      <c r="AT290" s="7">
        <v>2</v>
      </c>
      <c r="AU290" s="6">
        <f t="shared" si="131"/>
        <v>12</v>
      </c>
      <c r="AV290" s="111">
        <f t="shared" si="132"/>
        <v>1.0038375104636283E-2</v>
      </c>
      <c r="AW290" s="117">
        <f t="shared" si="133"/>
        <v>105</v>
      </c>
      <c r="AX290" s="111">
        <f t="shared" si="134"/>
        <v>1</v>
      </c>
      <c r="AY290" s="111">
        <f t="shared" si="135"/>
        <v>1</v>
      </c>
      <c r="AZ290" s="111">
        <f t="shared" si="136"/>
        <v>1</v>
      </c>
      <c r="BA290" s="111">
        <f t="shared" si="137"/>
        <v>1.0566710636459246E-2</v>
      </c>
      <c r="BB290" s="111">
        <f t="shared" si="138"/>
        <v>0</v>
      </c>
      <c r="BC290" s="111">
        <f t="shared" si="139"/>
        <v>0</v>
      </c>
      <c r="BD290" s="111">
        <v>0</v>
      </c>
      <c r="BE290" s="111">
        <f t="shared" si="140"/>
        <v>1.0566710636459246E-2</v>
      </c>
      <c r="BF290" s="6" t="str">
        <f t="shared" si="141"/>
        <v>OK</v>
      </c>
      <c r="BG290" s="16">
        <f t="shared" si="142"/>
        <v>63.625549371390676</v>
      </c>
      <c r="BH290" s="118">
        <f t="shared" si="143"/>
        <v>2.1193803644775273</v>
      </c>
      <c r="BI290" s="108">
        <f t="shared" si="144"/>
        <v>0</v>
      </c>
      <c r="BJ290" s="6">
        <f t="shared" si="145"/>
        <v>1.2440309817761237</v>
      </c>
      <c r="BK290" s="108">
        <f t="shared" si="146"/>
        <v>0</v>
      </c>
      <c r="BL290" s="118" cm="1">
        <f t="array" ref="BL290">IF(AO290=0,FactorPhi7121(BH290,"a"),noisuy2chieu(BK290,BH290,Data!$A$63:$M$85))</f>
        <v>0.86214274110469236</v>
      </c>
      <c r="BM290" s="111">
        <v>1.26</v>
      </c>
      <c r="BN290" s="118">
        <f t="shared" si="147"/>
        <v>0.99549098964428306</v>
      </c>
      <c r="BO290" s="108">
        <f t="shared" si="148"/>
        <v>2.4980669374645166E-2</v>
      </c>
      <c r="BP290" s="6" t="str">
        <f t="shared" si="149"/>
        <v>OK</v>
      </c>
      <c r="BQ290" s="16">
        <f t="shared" si="150"/>
        <v>127.25109874278135</v>
      </c>
      <c r="BR290" s="118">
        <f t="shared" si="151"/>
        <v>4.2387607289550546</v>
      </c>
      <c r="BS290" s="108">
        <f t="shared" si="152"/>
        <v>0</v>
      </c>
      <c r="BT290" s="118">
        <f t="shared" si="153"/>
        <v>1.1380619635522473</v>
      </c>
      <c r="BU290" s="108">
        <f t="shared" si="154"/>
        <v>0</v>
      </c>
      <c r="BV290" s="6" cm="1">
        <f t="array" ref="BV290">IF(AP290=0,FactorPhi7121(BR290,"a"),noisuy2chieu(BU290,BR290,Data!$A$63:$M$85))</f>
        <v>0.42299549615688942</v>
      </c>
      <c r="BW290" s="111">
        <v>1.26</v>
      </c>
      <c r="BX290" s="111">
        <f t="shared" si="155"/>
        <v>0.98196395857713215</v>
      </c>
      <c r="BY290" s="113">
        <f t="shared" si="156"/>
        <v>1.225633544500968E-2</v>
      </c>
      <c r="BZ290" s="6" t="str">
        <f t="shared" si="157"/>
        <v>OK</v>
      </c>
      <c r="CA290" s="114">
        <f t="shared" si="158"/>
        <v>127.25109874278135</v>
      </c>
      <c r="CB290" s="115">
        <f t="shared" si="159"/>
        <v>150</v>
      </c>
      <c r="CC290" s="6" t="str">
        <f t="shared" si="160"/>
        <v>OK</v>
      </c>
      <c r="DG290" s="108"/>
      <c r="DH290" s="108"/>
      <c r="DI290" s="16"/>
      <c r="DJ290" s="108"/>
      <c r="DT290" s="6"/>
      <c r="DU290" s="6"/>
      <c r="DV290" s="111"/>
      <c r="DW290" s="111"/>
      <c r="DX290" s="111"/>
      <c r="DY290" s="111"/>
      <c r="DZ290" s="111"/>
      <c r="EA290" s="111"/>
      <c r="EB290" s="111"/>
      <c r="EC290" s="111"/>
      <c r="ED290" s="111"/>
      <c r="EE290" s="111"/>
      <c r="EF290" s="6"/>
      <c r="EG290" s="6"/>
      <c r="EH290" s="6"/>
      <c r="EI290" s="6"/>
      <c r="EJ290" s="6"/>
      <c r="EK290" s="6"/>
      <c r="EL290" s="112"/>
      <c r="EM290" s="112"/>
      <c r="EN290" s="118"/>
      <c r="EO290" s="118"/>
      <c r="EP290" s="112"/>
      <c r="EQ290" s="112"/>
      <c r="ER290" s="112"/>
      <c r="ES290" s="112"/>
      <c r="ET290" s="112"/>
      <c r="EU290" s="112"/>
      <c r="EV290" s="6"/>
      <c r="EW290" s="6"/>
      <c r="EX290" s="118"/>
      <c r="EY290" s="113"/>
      <c r="EZ290" s="6"/>
      <c r="FA290" s="114"/>
      <c r="FB290" s="115"/>
      <c r="FC290" s="6"/>
    </row>
    <row r="291" spans="27:159">
      <c r="AA291" s="79" t="s">
        <v>175</v>
      </c>
      <c r="AB291" s="80" t="s">
        <v>198</v>
      </c>
      <c r="AC291" s="81">
        <v>2.74</v>
      </c>
      <c r="AD291" s="81">
        <v>6</v>
      </c>
      <c r="AE291" s="80">
        <v>273</v>
      </c>
      <c r="AF291" s="80">
        <v>6.35</v>
      </c>
      <c r="AG291" s="108" cm="1">
        <f t="array" ref="AG291">_xll.DCEPropSectPipe(AE291, AF291, "Area")/100</f>
        <v>53.19431074856206</v>
      </c>
      <c r="AH291" s="16" cm="1">
        <f t="array" ref="AH291">_xll.DCEPropSectPipe(AE291, AF291, "Ix")/10000</f>
        <v>4730.4733077169503</v>
      </c>
      <c r="AI291" s="16" cm="1">
        <f t="array" ref="AI291">_xll.DCEPropSectPipe(AE291, AF291, "Wx")/1000</f>
        <v>346.55482107816493</v>
      </c>
      <c r="AJ291" s="108">
        <f t="shared" si="129"/>
        <v>9.4301739777164251</v>
      </c>
      <c r="AK291" s="80" t="s">
        <v>217</v>
      </c>
      <c r="AL291" s="82">
        <v>-10.858098387877144</v>
      </c>
      <c r="AM291" s="82">
        <v>0.55985924298458833</v>
      </c>
      <c r="AN291" s="82">
        <v>-7.7916184640792599E-2</v>
      </c>
      <c r="AO291" s="82">
        <v>0.21364617828505295</v>
      </c>
      <c r="AP291" s="82">
        <v>-1.5351340442637407</v>
      </c>
      <c r="AQ291" s="82">
        <v>3.4228902890554185E-2</v>
      </c>
      <c r="AR291" s="72">
        <v>1</v>
      </c>
      <c r="AS291" s="116">
        <f t="shared" si="130"/>
        <v>6</v>
      </c>
      <c r="AT291" s="7">
        <v>2</v>
      </c>
      <c r="AU291" s="6">
        <f t="shared" si="131"/>
        <v>12</v>
      </c>
      <c r="AV291" s="111">
        <f t="shared" si="132"/>
        <v>8.9303122417554084E-3</v>
      </c>
      <c r="AW291" s="117">
        <f t="shared" si="133"/>
        <v>105</v>
      </c>
      <c r="AX291" s="111">
        <f t="shared" si="134"/>
        <v>1</v>
      </c>
      <c r="AY291" s="111">
        <f t="shared" si="135"/>
        <v>1</v>
      </c>
      <c r="AZ291" s="111">
        <f t="shared" si="136"/>
        <v>1</v>
      </c>
      <c r="BA291" s="111">
        <f t="shared" si="137"/>
        <v>9.40032867553201E-3</v>
      </c>
      <c r="BB291" s="111">
        <f t="shared" si="138"/>
        <v>2.8390800353611254E-3</v>
      </c>
      <c r="BC291" s="111">
        <f t="shared" si="139"/>
        <v>2.0399936248133146E-2</v>
      </c>
      <c r="BD291" s="111">
        <v>0</v>
      </c>
      <c r="BE291" s="111">
        <f t="shared" si="140"/>
        <v>3.2639344959026283E-2</v>
      </c>
      <c r="BF291" s="6" t="str">
        <f t="shared" si="141"/>
        <v>OK</v>
      </c>
      <c r="BG291" s="16">
        <f t="shared" si="142"/>
        <v>63.625549371390676</v>
      </c>
      <c r="BH291" s="118">
        <f t="shared" si="143"/>
        <v>2.1193803644775273</v>
      </c>
      <c r="BI291" s="108">
        <f t="shared" si="144"/>
        <v>0.30201923074784914</v>
      </c>
      <c r="BJ291" s="6">
        <f t="shared" si="145"/>
        <v>1.2353309565121473</v>
      </c>
      <c r="BK291" s="108">
        <f t="shared" si="146"/>
        <v>0.37309370520480339</v>
      </c>
      <c r="BL291" s="118" cm="1">
        <f t="array" ref="BL291">IF(AO291=0,FactorPhi7121(BH291,"a"),noisuy2chieu(BK291,BH291,Data!$A$63:$M$85))</f>
        <v>0</v>
      </c>
      <c r="BM291" s="111">
        <v>1.26</v>
      </c>
      <c r="BN291" s="118">
        <f t="shared" si="147"/>
        <v>0.99598870634359304</v>
      </c>
      <c r="BO291" s="108" t="e">
        <f t="shared" si="148"/>
        <v>#DIV/0!</v>
      </c>
      <c r="BP291" s="6" t="e">
        <f t="shared" si="149"/>
        <v>#DIV/0!</v>
      </c>
      <c r="BQ291" s="16">
        <f t="shared" si="150"/>
        <v>127.25109874278135</v>
      </c>
      <c r="BR291" s="118">
        <f t="shared" si="151"/>
        <v>4.2387607289550546</v>
      </c>
      <c r="BS291" s="108">
        <f t="shared" si="152"/>
        <v>2.1701301041985763</v>
      </c>
      <c r="BT291" s="118">
        <f t="shared" si="153"/>
        <v>1.1215420809663192</v>
      </c>
      <c r="BU291" s="108">
        <f t="shared" si="154"/>
        <v>2.4338922330305266</v>
      </c>
      <c r="BV291" s="6" cm="1">
        <f t="array" ref="BV291">IF(AP291=0,FactorPhi7121(BR291,"a"),noisuy2chieu(BU291,BR291,Data!$A$63:$M$85))</f>
        <v>0</v>
      </c>
      <c r="BW291" s="111">
        <v>1.26</v>
      </c>
      <c r="BX291" s="111">
        <f t="shared" si="155"/>
        <v>0.98395482537437218</v>
      </c>
      <c r="BY291" s="113" t="e">
        <f t="shared" si="156"/>
        <v>#DIV/0!</v>
      </c>
      <c r="BZ291" s="6" t="e">
        <f t="shared" si="157"/>
        <v>#DIV/0!</v>
      </c>
      <c r="CA291" s="114">
        <f t="shared" si="158"/>
        <v>127.25109874278135</v>
      </c>
      <c r="CB291" s="115" t="e">
        <f t="shared" si="159"/>
        <v>#DIV/0!</v>
      </c>
      <c r="CC291" s="6" t="e">
        <f t="shared" si="160"/>
        <v>#DIV/0!</v>
      </c>
      <c r="DG291" s="108"/>
      <c r="DH291" s="108"/>
      <c r="DI291" s="16"/>
      <c r="DJ291" s="108"/>
      <c r="DT291" s="6"/>
      <c r="DU291" s="6"/>
      <c r="DV291" s="111"/>
      <c r="DW291" s="111"/>
      <c r="DX291" s="111"/>
      <c r="DY291" s="111"/>
      <c r="DZ291" s="111"/>
      <c r="EA291" s="111"/>
      <c r="EB291" s="111"/>
      <c r="EC291" s="111"/>
      <c r="ED291" s="111"/>
      <c r="EE291" s="111"/>
      <c r="EF291" s="6"/>
      <c r="EG291" s="6"/>
      <c r="EH291" s="6"/>
      <c r="EI291" s="6"/>
      <c r="EJ291" s="6"/>
      <c r="EK291" s="6"/>
      <c r="EL291" s="112"/>
      <c r="EM291" s="112"/>
      <c r="EN291" s="118"/>
      <c r="EO291" s="118"/>
      <c r="EP291" s="112"/>
      <c r="EQ291" s="112"/>
      <c r="ER291" s="112"/>
      <c r="ES291" s="112"/>
      <c r="ET291" s="112"/>
      <c r="EU291" s="112"/>
      <c r="EV291" s="6"/>
      <c r="EW291" s="6"/>
      <c r="EX291" s="118"/>
      <c r="EY291" s="113"/>
      <c r="EZ291" s="6"/>
      <c r="FA291" s="114"/>
      <c r="FB291" s="115"/>
      <c r="FC291" s="6"/>
    </row>
    <row r="292" spans="27:159">
      <c r="AA292" s="79" t="s">
        <v>175</v>
      </c>
      <c r="AB292" s="80" t="s">
        <v>198</v>
      </c>
      <c r="AC292" s="81">
        <v>5.48</v>
      </c>
      <c r="AD292" s="81">
        <v>6</v>
      </c>
      <c r="AE292" s="80">
        <v>273</v>
      </c>
      <c r="AF292" s="80">
        <v>6.35</v>
      </c>
      <c r="AG292" s="108" cm="1">
        <f t="array" ref="AG292">_xll.DCEPropSectPipe(AE292, AF292, "Area")/100</f>
        <v>53.19431074856206</v>
      </c>
      <c r="AH292" s="16" cm="1">
        <f t="array" ref="AH292">_xll.DCEPropSectPipe(AE292, AF292, "Ix")/10000</f>
        <v>4730.4733077169503</v>
      </c>
      <c r="AI292" s="16" cm="1">
        <f t="array" ref="AI292">_xll.DCEPropSectPipe(AE292, AF292, "Wx")/1000</f>
        <v>346.55482107816493</v>
      </c>
      <c r="AJ292" s="108">
        <f t="shared" si="129"/>
        <v>9.4301739777164251</v>
      </c>
      <c r="AK292" s="80" t="s">
        <v>217</v>
      </c>
      <c r="AL292" s="82">
        <v>-9.5108380391451135</v>
      </c>
      <c r="AM292" s="82">
        <v>0.55985924298458833</v>
      </c>
      <c r="AN292" s="82">
        <v>-7.7916184640792599E-2</v>
      </c>
      <c r="AO292" s="82">
        <v>0.42729235657010589</v>
      </c>
      <c r="AP292" s="82">
        <v>-3.0702680885274813</v>
      </c>
      <c r="AQ292" s="82">
        <v>3.4228902890554185E-2</v>
      </c>
      <c r="AR292" s="72">
        <v>1</v>
      </c>
      <c r="AS292" s="116">
        <f t="shared" si="130"/>
        <v>6</v>
      </c>
      <c r="AT292" s="7">
        <v>2</v>
      </c>
      <c r="AU292" s="6">
        <f t="shared" si="131"/>
        <v>12</v>
      </c>
      <c r="AV292" s="111">
        <f t="shared" si="132"/>
        <v>7.8222493788745392E-3</v>
      </c>
      <c r="AW292" s="117">
        <f t="shared" si="133"/>
        <v>105</v>
      </c>
      <c r="AX292" s="111">
        <f t="shared" si="134"/>
        <v>1</v>
      </c>
      <c r="AY292" s="111">
        <f t="shared" si="135"/>
        <v>1</v>
      </c>
      <c r="AZ292" s="111">
        <f t="shared" si="136"/>
        <v>1</v>
      </c>
      <c r="BA292" s="111">
        <f t="shared" si="137"/>
        <v>8.2339467146047771E-3</v>
      </c>
      <c r="BB292" s="111">
        <f t="shared" si="138"/>
        <v>5.6781600707222508E-3</v>
      </c>
      <c r="BC292" s="111">
        <f t="shared" si="139"/>
        <v>4.0799872496266293E-2</v>
      </c>
      <c r="BD292" s="111">
        <v>0</v>
      </c>
      <c r="BE292" s="111">
        <f t="shared" si="140"/>
        <v>5.4711979281593319E-2</v>
      </c>
      <c r="BF292" s="6" t="str">
        <f t="shared" si="141"/>
        <v>OK</v>
      </c>
      <c r="BG292" s="16">
        <f t="shared" si="142"/>
        <v>63.625549371390676</v>
      </c>
      <c r="BH292" s="118">
        <f t="shared" si="143"/>
        <v>2.1193803644775273</v>
      </c>
      <c r="BI292" s="108">
        <f t="shared" si="144"/>
        <v>0.68960369401598665</v>
      </c>
      <c r="BJ292" s="6">
        <f t="shared" si="145"/>
        <v>1.2241661223590108</v>
      </c>
      <c r="BK292" s="108">
        <f t="shared" si="146"/>
        <v>0.8441894800680001</v>
      </c>
      <c r="BL292" s="118" cm="1">
        <f t="array" ref="BL292">IF(AO292=0,FactorPhi7121(BH292,"a"),noisuy2chieu(BK292,BH292,Data!$A$63:$M$85))</f>
        <v>0</v>
      </c>
      <c r="BM292" s="111">
        <v>1.26</v>
      </c>
      <c r="BN292" s="118">
        <f t="shared" si="147"/>
        <v>0.99648642304290302</v>
      </c>
      <c r="BO292" s="108" t="e">
        <f t="shared" si="148"/>
        <v>#DIV/0!</v>
      </c>
      <c r="BP292" s="6" t="e">
        <f t="shared" si="149"/>
        <v>#DIV/0!</v>
      </c>
      <c r="BQ292" s="16">
        <f t="shared" si="150"/>
        <v>127.25109874278135</v>
      </c>
      <c r="BR292" s="118">
        <f t="shared" si="151"/>
        <v>4.2387607289550546</v>
      </c>
      <c r="BS292" s="108">
        <f t="shared" si="152"/>
        <v>4.9550809484713376</v>
      </c>
      <c r="BT292" s="118">
        <f t="shared" si="153"/>
        <v>1.1003419414604172</v>
      </c>
      <c r="BU292" s="108">
        <f t="shared" si="154"/>
        <v>5.4522833909344772</v>
      </c>
      <c r="BV292" s="6" cm="1">
        <f t="array" ref="BV292">IF(AP292=0,FactorPhi7121(BR292,"a"),noisuy2chieu(BU292,BR292,Data!$A$63:$M$85))</f>
        <v>0</v>
      </c>
      <c r="BW292" s="111">
        <v>1.26</v>
      </c>
      <c r="BX292" s="111">
        <f t="shared" si="155"/>
        <v>0.98594569217161221</v>
      </c>
      <c r="BY292" s="113" t="e">
        <f t="shared" si="156"/>
        <v>#DIV/0!</v>
      </c>
      <c r="BZ292" s="6" t="e">
        <f t="shared" si="157"/>
        <v>#DIV/0!</v>
      </c>
      <c r="CA292" s="114">
        <f t="shared" si="158"/>
        <v>127.25109874278135</v>
      </c>
      <c r="CB292" s="115" t="e">
        <f t="shared" si="159"/>
        <v>#DIV/0!</v>
      </c>
      <c r="CC292" s="6" t="e">
        <f t="shared" si="160"/>
        <v>#DIV/0!</v>
      </c>
      <c r="DG292" s="108"/>
      <c r="DH292" s="108"/>
      <c r="DI292" s="16"/>
      <c r="DJ292" s="108"/>
      <c r="DT292" s="6"/>
      <c r="DU292" s="6"/>
      <c r="DV292" s="111"/>
      <c r="DW292" s="111"/>
      <c r="DX292" s="111"/>
      <c r="DY292" s="111"/>
      <c r="DZ292" s="111"/>
      <c r="EA292" s="111"/>
      <c r="EB292" s="111"/>
      <c r="EC292" s="111"/>
      <c r="ED292" s="111"/>
      <c r="EE292" s="111"/>
      <c r="EF292" s="6"/>
      <c r="EG292" s="6"/>
      <c r="EH292" s="6"/>
      <c r="EI292" s="6"/>
      <c r="EJ292" s="6"/>
      <c r="EK292" s="6"/>
      <c r="EL292" s="112"/>
      <c r="EM292" s="112"/>
      <c r="EN292" s="118"/>
      <c r="EO292" s="118"/>
      <c r="EP292" s="112"/>
      <c r="EQ292" s="112"/>
      <c r="ER292" s="112"/>
      <c r="ES292" s="112"/>
      <c r="ET292" s="112"/>
      <c r="EU292" s="112"/>
      <c r="EV292" s="6"/>
      <c r="EW292" s="6"/>
      <c r="EX292" s="118"/>
      <c r="EY292" s="113"/>
      <c r="EZ292" s="6"/>
      <c r="FA292" s="114"/>
      <c r="FB292" s="115"/>
      <c r="FC292" s="6"/>
    </row>
    <row r="293" spans="27:159">
      <c r="AA293" s="79" t="s">
        <v>175</v>
      </c>
      <c r="AB293" s="80" t="s">
        <v>198</v>
      </c>
      <c r="AC293" s="81">
        <v>0</v>
      </c>
      <c r="AD293" s="81">
        <v>6</v>
      </c>
      <c r="AE293" s="80">
        <v>273</v>
      </c>
      <c r="AF293" s="80">
        <v>6.35</v>
      </c>
      <c r="AG293" s="108" cm="1">
        <f t="array" ref="AG293">_xll.DCEPropSectPipe(AE293, AF293, "Area")/100</f>
        <v>53.19431074856206</v>
      </c>
      <c r="AH293" s="16" cm="1">
        <f t="array" ref="AH293">_xll.DCEPropSectPipe(AE293, AF293, "Ix")/10000</f>
        <v>4730.4733077169503</v>
      </c>
      <c r="AI293" s="16" cm="1">
        <f t="array" ref="AI293">_xll.DCEPropSectPipe(AE293, AF293, "Wx")/1000</f>
        <v>346.55482107816493</v>
      </c>
      <c r="AJ293" s="108">
        <f t="shared" si="129"/>
        <v>9.4301739777164251</v>
      </c>
      <c r="AK293" s="80" t="s">
        <v>218</v>
      </c>
      <c r="AL293" s="82">
        <v>-2.5678003183355682</v>
      </c>
      <c r="AM293" s="82">
        <v>0.66211425483361819</v>
      </c>
      <c r="AN293" s="82">
        <v>0.1015571366630222</v>
      </c>
      <c r="AO293" s="82">
        <v>0</v>
      </c>
      <c r="AP293" s="82">
        <v>0</v>
      </c>
      <c r="AQ293" s="82">
        <v>4.3260082029776808E-3</v>
      </c>
      <c r="AR293" s="72">
        <v>1</v>
      </c>
      <c r="AS293" s="116">
        <f t="shared" si="130"/>
        <v>6</v>
      </c>
      <c r="AT293" s="7">
        <v>2</v>
      </c>
      <c r="AU293" s="6">
        <f t="shared" si="131"/>
        <v>12</v>
      </c>
      <c r="AV293" s="111">
        <f t="shared" si="132"/>
        <v>2.1119037420786191E-3</v>
      </c>
      <c r="AW293" s="117">
        <f t="shared" si="133"/>
        <v>105</v>
      </c>
      <c r="AX293" s="111">
        <f t="shared" si="134"/>
        <v>1</v>
      </c>
      <c r="AY293" s="111">
        <f t="shared" si="135"/>
        <v>1</v>
      </c>
      <c r="AZ293" s="111">
        <f t="shared" si="136"/>
        <v>1</v>
      </c>
      <c r="BA293" s="111">
        <f t="shared" si="137"/>
        <v>2.2230565706090727E-3</v>
      </c>
      <c r="BB293" s="111">
        <f t="shared" si="138"/>
        <v>0</v>
      </c>
      <c r="BC293" s="111">
        <f t="shared" si="139"/>
        <v>0</v>
      </c>
      <c r="BD293" s="111">
        <v>0</v>
      </c>
      <c r="BE293" s="111">
        <f t="shared" si="140"/>
        <v>2.2230565706090727E-3</v>
      </c>
      <c r="BF293" s="6" t="str">
        <f t="shared" si="141"/>
        <v>OK</v>
      </c>
      <c r="BG293" s="16">
        <f t="shared" si="142"/>
        <v>63.625549371390676</v>
      </c>
      <c r="BH293" s="118">
        <f t="shared" si="143"/>
        <v>2.1193803644775273</v>
      </c>
      <c r="BI293" s="108">
        <f t="shared" si="144"/>
        <v>0</v>
      </c>
      <c r="BJ293" s="6">
        <f t="shared" si="145"/>
        <v>1.2440309817761237</v>
      </c>
      <c r="BK293" s="108">
        <f t="shared" si="146"/>
        <v>0</v>
      </c>
      <c r="BL293" s="118" cm="1">
        <f t="array" ref="BL293">IF(AO293=0,FactorPhi7121(BH293,"a"),noisuy2chieu(BK293,BH293,Data!$A$63:$M$85))</f>
        <v>0.86214274110469236</v>
      </c>
      <c r="BM293" s="111">
        <v>1.26</v>
      </c>
      <c r="BN293" s="118">
        <f t="shared" si="147"/>
        <v>0.99905138075195932</v>
      </c>
      <c r="BO293" s="108">
        <f t="shared" si="148"/>
        <v>5.2555088430174179E-3</v>
      </c>
      <c r="BP293" s="6" t="str">
        <f t="shared" si="149"/>
        <v>OK</v>
      </c>
      <c r="BQ293" s="16">
        <f t="shared" si="150"/>
        <v>127.25109874278135</v>
      </c>
      <c r="BR293" s="118">
        <f t="shared" si="151"/>
        <v>4.2387607289550546</v>
      </c>
      <c r="BS293" s="108">
        <f t="shared" si="152"/>
        <v>0</v>
      </c>
      <c r="BT293" s="118">
        <f t="shared" si="153"/>
        <v>1.1380619635522473</v>
      </c>
      <c r="BU293" s="108">
        <f t="shared" si="154"/>
        <v>0</v>
      </c>
      <c r="BV293" s="6" cm="1">
        <f t="array" ref="BV293">IF(AP293=0,FactorPhi7121(BR293,"a"),noisuy2chieu(BU293,BR293,Data!$A$63:$M$85))</f>
        <v>0.42299549615688942</v>
      </c>
      <c r="BW293" s="111">
        <v>1.26</v>
      </c>
      <c r="BX293" s="111">
        <f t="shared" si="155"/>
        <v>0.99620552300783749</v>
      </c>
      <c r="BY293" s="113">
        <f t="shared" si="156"/>
        <v>2.5785249525624907E-3</v>
      </c>
      <c r="BZ293" s="6" t="str">
        <f t="shared" si="157"/>
        <v>OK</v>
      </c>
      <c r="CA293" s="114">
        <f t="shared" si="158"/>
        <v>127.25109874278135</v>
      </c>
      <c r="CB293" s="115">
        <f t="shared" si="159"/>
        <v>150</v>
      </c>
      <c r="CC293" s="6" t="str">
        <f t="shared" si="160"/>
        <v>OK</v>
      </c>
      <c r="DG293" s="108"/>
      <c r="DH293" s="108"/>
      <c r="DI293" s="16"/>
      <c r="DJ293" s="108"/>
      <c r="DT293" s="6"/>
      <c r="DU293" s="6"/>
      <c r="DV293" s="111"/>
      <c r="DW293" s="111"/>
      <c r="DX293" s="111"/>
      <c r="DY293" s="111"/>
      <c r="DZ293" s="111"/>
      <c r="EA293" s="111"/>
      <c r="EB293" s="111"/>
      <c r="EC293" s="111"/>
      <c r="ED293" s="111"/>
      <c r="EE293" s="111"/>
      <c r="EF293" s="6"/>
      <c r="EG293" s="6"/>
      <c r="EH293" s="6"/>
      <c r="EI293" s="6"/>
      <c r="EJ293" s="6"/>
      <c r="EK293" s="6"/>
      <c r="EL293" s="112"/>
      <c r="EM293" s="112"/>
      <c r="EN293" s="118"/>
      <c r="EO293" s="118"/>
      <c r="EP293" s="112"/>
      <c r="EQ293" s="112"/>
      <c r="ER293" s="112"/>
      <c r="ES293" s="112"/>
      <c r="ET293" s="112"/>
      <c r="EU293" s="112"/>
      <c r="EV293" s="6"/>
      <c r="EW293" s="6"/>
      <c r="EX293" s="118"/>
      <c r="EY293" s="113"/>
      <c r="EZ293" s="6"/>
      <c r="FA293" s="114"/>
      <c r="FB293" s="115"/>
      <c r="FC293" s="6"/>
    </row>
    <row r="294" spans="27:159">
      <c r="AA294" s="79" t="s">
        <v>175</v>
      </c>
      <c r="AB294" s="80" t="s">
        <v>198</v>
      </c>
      <c r="AC294" s="81">
        <v>2.74</v>
      </c>
      <c r="AD294" s="81">
        <v>6</v>
      </c>
      <c r="AE294" s="80">
        <v>273</v>
      </c>
      <c r="AF294" s="80">
        <v>6.35</v>
      </c>
      <c r="AG294" s="108" cm="1">
        <f t="array" ref="AG294">_xll.DCEPropSectPipe(AE294, AF294, "Area")/100</f>
        <v>53.19431074856206</v>
      </c>
      <c r="AH294" s="16" cm="1">
        <f t="array" ref="AH294">_xll.DCEPropSectPipe(AE294, AF294, "Ix")/10000</f>
        <v>4730.4733077169503</v>
      </c>
      <c r="AI294" s="16" cm="1">
        <f t="array" ref="AI294">_xll.DCEPropSectPipe(AE294, AF294, "Wx")/1000</f>
        <v>346.55482107816493</v>
      </c>
      <c r="AJ294" s="108">
        <f t="shared" si="129"/>
        <v>9.4301739777164251</v>
      </c>
      <c r="AK294" s="80" t="s">
        <v>218</v>
      </c>
      <c r="AL294" s="82">
        <v>-1.2205399696035344</v>
      </c>
      <c r="AM294" s="82">
        <v>0.66211425483361819</v>
      </c>
      <c r="AN294" s="82">
        <v>0.1015571366630222</v>
      </c>
      <c r="AO294" s="82">
        <v>-0.27846966873000739</v>
      </c>
      <c r="AP294" s="82">
        <v>-1.8155172867537808</v>
      </c>
      <c r="AQ294" s="82">
        <v>4.3260082029776808E-3</v>
      </c>
      <c r="AR294" s="72">
        <v>1</v>
      </c>
      <c r="AS294" s="116">
        <f t="shared" si="130"/>
        <v>6</v>
      </c>
      <c r="AT294" s="7">
        <v>2</v>
      </c>
      <c r="AU294" s="6">
        <f t="shared" si="131"/>
        <v>12</v>
      </c>
      <c r="AV294" s="111">
        <f t="shared" si="132"/>
        <v>1.0038408791977458E-3</v>
      </c>
      <c r="AW294" s="117">
        <f t="shared" si="133"/>
        <v>105</v>
      </c>
      <c r="AX294" s="111">
        <f t="shared" si="134"/>
        <v>1</v>
      </c>
      <c r="AY294" s="111">
        <f t="shared" si="135"/>
        <v>1</v>
      </c>
      <c r="AZ294" s="111">
        <f t="shared" si="136"/>
        <v>1</v>
      </c>
      <c r="BA294" s="111">
        <f t="shared" si="137"/>
        <v>1.0566746096818376E-3</v>
      </c>
      <c r="BB294" s="111">
        <f t="shared" si="138"/>
        <v>3.7004999728577023E-3</v>
      </c>
      <c r="BC294" s="111">
        <f t="shared" si="139"/>
        <v>2.4125865129206801E-2</v>
      </c>
      <c r="BD294" s="111">
        <v>0</v>
      </c>
      <c r="BE294" s="111">
        <f t="shared" si="140"/>
        <v>2.8883039711746342E-2</v>
      </c>
      <c r="BF294" s="6" t="str">
        <f t="shared" si="141"/>
        <v>OK</v>
      </c>
      <c r="BG294" s="16">
        <f t="shared" si="142"/>
        <v>63.625549371390676</v>
      </c>
      <c r="BH294" s="118">
        <f t="shared" si="143"/>
        <v>2.1193803644775273</v>
      </c>
      <c r="BI294" s="108">
        <f t="shared" si="144"/>
        <v>3.5020241226122719</v>
      </c>
      <c r="BJ294" s="6">
        <f t="shared" si="145"/>
        <v>1.143150987259421</v>
      </c>
      <c r="BK294" s="108">
        <f t="shared" si="146"/>
        <v>4.0033423331705258</v>
      </c>
      <c r="BL294" s="118" cm="1">
        <f t="array" ref="BL294">IF(AO294=0,FactorPhi7121(BH294,"a"),noisuy2chieu(BK294,BH294,Data!$A$63:$M$85))</f>
        <v>0</v>
      </c>
      <c r="BM294" s="111">
        <v>1.26</v>
      </c>
      <c r="BN294" s="118">
        <f t="shared" si="147"/>
        <v>0.99954909745126941</v>
      </c>
      <c r="BO294" s="108" t="e">
        <f t="shared" si="148"/>
        <v>#DIV/0!</v>
      </c>
      <c r="BP294" s="6" t="e">
        <f t="shared" si="149"/>
        <v>#DIV/0!</v>
      </c>
      <c r="BQ294" s="16">
        <f t="shared" si="150"/>
        <v>127.25109874278135</v>
      </c>
      <c r="BR294" s="118">
        <f t="shared" si="151"/>
        <v>4.2387607289550546</v>
      </c>
      <c r="BS294" s="108">
        <f t="shared" si="152"/>
        <v>22.831877389834364</v>
      </c>
      <c r="BT294" s="118">
        <f t="shared" si="153"/>
        <v>1.1000000000000001</v>
      </c>
      <c r="BU294" s="108">
        <f t="shared" si="154"/>
        <v>25.115065128817804</v>
      </c>
      <c r="BV294" s="6" cm="1">
        <f t="array" ref="BV294">IF(AP294=0,FactorPhi7121(BR294,"a"),noisuy2chieu(BU294,BR294,Data!$A$63:$M$85))</f>
        <v>0</v>
      </c>
      <c r="BW294" s="111">
        <v>1.26</v>
      </c>
      <c r="BX294" s="111">
        <f t="shared" si="155"/>
        <v>0.99819638980507741</v>
      </c>
      <c r="BY294" s="113" t="e">
        <f t="shared" si="156"/>
        <v>#DIV/0!</v>
      </c>
      <c r="BZ294" s="6" t="e">
        <f t="shared" si="157"/>
        <v>#DIV/0!</v>
      </c>
      <c r="CA294" s="114">
        <f t="shared" si="158"/>
        <v>127.25109874278135</v>
      </c>
      <c r="CB294" s="115" t="e">
        <f t="shared" si="159"/>
        <v>#DIV/0!</v>
      </c>
      <c r="CC294" s="6" t="e">
        <f t="shared" si="160"/>
        <v>#DIV/0!</v>
      </c>
      <c r="DG294" s="108"/>
      <c r="DH294" s="108"/>
      <c r="DI294" s="16"/>
      <c r="DJ294" s="108"/>
      <c r="DT294" s="6"/>
      <c r="DU294" s="6"/>
      <c r="DV294" s="111"/>
      <c r="DW294" s="111"/>
      <c r="DX294" s="111"/>
      <c r="DY294" s="111"/>
      <c r="DZ294" s="111"/>
      <c r="EA294" s="111"/>
      <c r="EB294" s="111"/>
      <c r="EC294" s="111"/>
      <c r="ED294" s="111"/>
      <c r="EE294" s="111"/>
      <c r="EF294" s="6"/>
      <c r="EG294" s="6"/>
      <c r="EH294" s="6"/>
      <c r="EI294" s="6"/>
      <c r="EJ294" s="6"/>
      <c r="EK294" s="6"/>
      <c r="EL294" s="112"/>
      <c r="EM294" s="112"/>
      <c r="EN294" s="118"/>
      <c r="EO294" s="118"/>
      <c r="EP294" s="112"/>
      <c r="EQ294" s="112"/>
      <c r="ER294" s="112"/>
      <c r="ES294" s="112"/>
      <c r="ET294" s="112"/>
      <c r="EU294" s="112"/>
      <c r="EV294" s="6"/>
      <c r="EW294" s="6"/>
      <c r="EX294" s="118"/>
      <c r="EY294" s="113"/>
      <c r="EZ294" s="6"/>
      <c r="FA294" s="114"/>
      <c r="FB294" s="115"/>
      <c r="FC294" s="6"/>
    </row>
    <row r="295" spans="27:159">
      <c r="AA295" s="79" t="s">
        <v>175</v>
      </c>
      <c r="AB295" s="80" t="s">
        <v>198</v>
      </c>
      <c r="AC295" s="81">
        <v>5.48</v>
      </c>
      <c r="AD295" s="81">
        <v>6</v>
      </c>
      <c r="AE295" s="80">
        <v>273</v>
      </c>
      <c r="AF295" s="80">
        <v>6.35</v>
      </c>
      <c r="AG295" s="108" cm="1">
        <f t="array" ref="AG295">_xll.DCEPropSectPipe(AE295, AF295, "Area")/100</f>
        <v>53.19431074856206</v>
      </c>
      <c r="AH295" s="16" cm="1">
        <f t="array" ref="AH295">_xll.DCEPropSectPipe(AE295, AF295, "Ix")/10000</f>
        <v>4730.4733077169503</v>
      </c>
      <c r="AI295" s="16" cm="1">
        <f t="array" ref="AI295">_xll.DCEPropSectPipe(AE295, AF295, "Wx")/1000</f>
        <v>346.55482107816493</v>
      </c>
      <c r="AJ295" s="108">
        <f t="shared" si="129"/>
        <v>9.4301739777164251</v>
      </c>
      <c r="AK295" s="80" t="s">
        <v>218</v>
      </c>
      <c r="AL295" s="82">
        <v>0.12672037912849551</v>
      </c>
      <c r="AM295" s="82">
        <v>0.66211425483361819</v>
      </c>
      <c r="AN295" s="82">
        <v>0.1015571366630222</v>
      </c>
      <c r="AO295" s="82">
        <v>-0.55693933746001478</v>
      </c>
      <c r="AP295" s="82">
        <v>-3.6310345735075615</v>
      </c>
      <c r="AQ295" s="82">
        <v>4.3260082029776808E-3</v>
      </c>
      <c r="AR295" s="72">
        <v>1</v>
      </c>
      <c r="AS295" s="116">
        <f t="shared" si="130"/>
        <v>6</v>
      </c>
      <c r="AT295" s="7">
        <v>2</v>
      </c>
      <c r="AU295" s="6">
        <f t="shared" si="131"/>
        <v>12</v>
      </c>
      <c r="AV295" s="111">
        <f t="shared" si="132"/>
        <v>1.0422198368312431E-4</v>
      </c>
      <c r="AW295" s="117">
        <f t="shared" si="133"/>
        <v>105</v>
      </c>
      <c r="AX295" s="111">
        <f t="shared" si="134"/>
        <v>1</v>
      </c>
      <c r="AY295" s="111">
        <f t="shared" si="135"/>
        <v>1</v>
      </c>
      <c r="AZ295" s="111">
        <f t="shared" si="136"/>
        <v>1</v>
      </c>
      <c r="BA295" s="111">
        <f t="shared" si="137"/>
        <v>1.0970735124539403E-4</v>
      </c>
      <c r="BB295" s="111">
        <f t="shared" si="138"/>
        <v>7.4009999457154045E-3</v>
      </c>
      <c r="BC295" s="111">
        <f t="shared" si="139"/>
        <v>4.8251730258413603E-2</v>
      </c>
      <c r="BD295" s="111">
        <v>0</v>
      </c>
      <c r="BE295" s="111">
        <f t="shared" si="140"/>
        <v>5.5762437555374404E-2</v>
      </c>
      <c r="BF295" s="6" t="str">
        <f t="shared" si="141"/>
        <v>OK</v>
      </c>
      <c r="BG295" s="16">
        <f t="shared" si="142"/>
        <v>63.625549371390676</v>
      </c>
      <c r="BH295" s="118">
        <f t="shared" si="143"/>
        <v>2.1193803644775273</v>
      </c>
      <c r="BI295" s="108">
        <f t="shared" si="144"/>
        <v>67.461294632488276</v>
      </c>
      <c r="BJ295" s="6">
        <f t="shared" si="145"/>
        <v>1.1000000000000001</v>
      </c>
      <c r="BK295" s="108">
        <f t="shared" si="146"/>
        <v>74.20742409573711</v>
      </c>
      <c r="BL295" s="118" cm="1">
        <f t="array" ref="BL295">IF(AO295=0,FactorPhi7121(BH295,"a"),noisuy2chieu(BK295,BH295,Data!$A$63:$M$85))</f>
        <v>0</v>
      </c>
      <c r="BM295" s="111">
        <v>1.26</v>
      </c>
      <c r="BN295" s="118">
        <f t="shared" si="147"/>
        <v>0.99995318584942061</v>
      </c>
      <c r="BO295" s="108" t="e">
        <f t="shared" si="148"/>
        <v>#DIV/0!</v>
      </c>
      <c r="BP295" s="6" t="e">
        <f t="shared" si="149"/>
        <v>#DIV/0!</v>
      </c>
      <c r="BQ295" s="16">
        <f t="shared" si="150"/>
        <v>127.25109874278135</v>
      </c>
      <c r="BR295" s="118">
        <f t="shared" si="151"/>
        <v>4.2387607289550546</v>
      </c>
      <c r="BS295" s="108">
        <f t="shared" si="152"/>
        <v>439.82221529060405</v>
      </c>
      <c r="BT295" s="118">
        <f t="shared" si="153"/>
        <v>1.1000000000000001</v>
      </c>
      <c r="BU295" s="108">
        <f t="shared" si="154"/>
        <v>483.80443681966449</v>
      </c>
      <c r="BV295" s="6" cm="1">
        <f t="array" ref="BV295">IF(AP295=0,FactorPhi7121(BR295,"a"),noisuy2chieu(BU295,BR295,Data!$A$63:$M$85))</f>
        <v>0</v>
      </c>
      <c r="BW295" s="111">
        <v>1.26</v>
      </c>
      <c r="BX295" s="111">
        <f t="shared" si="155"/>
        <v>0.99981274339768256</v>
      </c>
      <c r="BY295" s="113" t="e">
        <f t="shared" si="156"/>
        <v>#DIV/0!</v>
      </c>
      <c r="BZ295" s="6" t="e">
        <f t="shared" si="157"/>
        <v>#DIV/0!</v>
      </c>
      <c r="CA295" s="114">
        <f t="shared" si="158"/>
        <v>127.25109874278135</v>
      </c>
      <c r="CB295" s="115" t="e">
        <f t="shared" si="159"/>
        <v>#DIV/0!</v>
      </c>
      <c r="CC295" s="6" t="e">
        <f t="shared" si="160"/>
        <v>#DIV/0!</v>
      </c>
      <c r="DG295" s="108"/>
      <c r="DH295" s="108"/>
      <c r="DI295" s="16"/>
      <c r="DJ295" s="108"/>
      <c r="DT295" s="6"/>
      <c r="DU295" s="6"/>
      <c r="DV295" s="111"/>
      <c r="DW295" s="111"/>
      <c r="DX295" s="111"/>
      <c r="DY295" s="111"/>
      <c r="DZ295" s="111"/>
      <c r="EA295" s="111"/>
      <c r="EB295" s="111"/>
      <c r="EC295" s="111"/>
      <c r="ED295" s="111"/>
      <c r="EE295" s="111"/>
      <c r="EF295" s="6"/>
      <c r="EG295" s="6"/>
      <c r="EH295" s="6"/>
      <c r="EI295" s="6"/>
      <c r="EJ295" s="6"/>
      <c r="EK295" s="6"/>
      <c r="EL295" s="112"/>
      <c r="EM295" s="112"/>
      <c r="EN295" s="118"/>
      <c r="EO295" s="118"/>
      <c r="EP295" s="112"/>
      <c r="EQ295" s="112"/>
      <c r="ER295" s="112"/>
      <c r="ES295" s="112"/>
      <c r="ET295" s="112"/>
      <c r="EU295" s="112"/>
      <c r="EV295" s="6"/>
      <c r="EW295" s="6"/>
      <c r="EX295" s="118"/>
      <c r="EY295" s="113"/>
      <c r="EZ295" s="6"/>
      <c r="FA295" s="114"/>
      <c r="FB295" s="115"/>
      <c r="FC295" s="6"/>
    </row>
    <row r="296" spans="27:159">
      <c r="AA296" s="79" t="s">
        <v>175</v>
      </c>
      <c r="AB296" s="80" t="s">
        <v>199</v>
      </c>
      <c r="AC296" s="81">
        <v>0</v>
      </c>
      <c r="AD296" s="81">
        <v>6</v>
      </c>
      <c r="AE296" s="80">
        <v>273</v>
      </c>
      <c r="AF296" s="80">
        <v>6.35</v>
      </c>
      <c r="AG296" s="108" cm="1">
        <f t="array" ref="AG296">_xll.DCEPropSectPipe(AE296, AF296, "Area")/100</f>
        <v>53.19431074856206</v>
      </c>
      <c r="AH296" s="16" cm="1">
        <f t="array" ref="AH296">_xll.DCEPropSectPipe(AE296, AF296, "Ix")/10000</f>
        <v>4730.4733077169503</v>
      </c>
      <c r="AI296" s="16" cm="1">
        <f t="array" ref="AI296">_xll.DCEPropSectPipe(AE296, AF296, "Wx")/1000</f>
        <v>346.55482107816493</v>
      </c>
      <c r="AJ296" s="108">
        <f t="shared" si="129"/>
        <v>9.4301739777164251</v>
      </c>
      <c r="AK296" s="80" t="s">
        <v>206</v>
      </c>
      <c r="AL296" s="82">
        <v>-30.009173855369518</v>
      </c>
      <c r="AM296" s="82">
        <v>-4.3405107655877861</v>
      </c>
      <c r="AN296" s="82">
        <v>1.0338060477514681</v>
      </c>
      <c r="AO296" s="82">
        <v>0</v>
      </c>
      <c r="AP296" s="82">
        <v>0</v>
      </c>
      <c r="AQ296" s="82">
        <v>-0.12241015667125879</v>
      </c>
      <c r="AR296" s="72">
        <v>1</v>
      </c>
      <c r="AS296" s="116">
        <f t="shared" si="130"/>
        <v>6</v>
      </c>
      <c r="AT296" s="7">
        <v>2</v>
      </c>
      <c r="AU296" s="6">
        <f t="shared" si="131"/>
        <v>12</v>
      </c>
      <c r="AV296" s="111">
        <f t="shared" si="132"/>
        <v>2.4681236352101933E-2</v>
      </c>
      <c r="AW296" s="117">
        <f t="shared" si="133"/>
        <v>105</v>
      </c>
      <c r="AX296" s="111">
        <f t="shared" si="134"/>
        <v>1</v>
      </c>
      <c r="AY296" s="111">
        <f t="shared" si="135"/>
        <v>1</v>
      </c>
      <c r="AZ296" s="111">
        <f t="shared" si="136"/>
        <v>1</v>
      </c>
      <c r="BA296" s="111">
        <f t="shared" si="137"/>
        <v>2.5980248791686245E-2</v>
      </c>
      <c r="BB296" s="111">
        <f t="shared" si="138"/>
        <v>0</v>
      </c>
      <c r="BC296" s="111">
        <f t="shared" si="139"/>
        <v>0</v>
      </c>
      <c r="BD296" s="111">
        <v>0</v>
      </c>
      <c r="BE296" s="111">
        <f t="shared" si="140"/>
        <v>2.5980248791686245E-2</v>
      </c>
      <c r="BF296" s="6" t="str">
        <f t="shared" si="141"/>
        <v>OK</v>
      </c>
      <c r="BG296" s="16">
        <f t="shared" si="142"/>
        <v>63.625549371390676</v>
      </c>
      <c r="BH296" s="118">
        <f t="shared" si="143"/>
        <v>2.1193803644775273</v>
      </c>
      <c r="BI296" s="108">
        <f t="shared" si="144"/>
        <v>0</v>
      </c>
      <c r="BJ296" s="6">
        <f t="shared" si="145"/>
        <v>1.2440309817761237</v>
      </c>
      <c r="BK296" s="108">
        <f t="shared" si="146"/>
        <v>0</v>
      </c>
      <c r="BL296" s="118" cm="1">
        <f t="array" ref="BL296">IF(AO296=0,FactorPhi7121(BH296,"a"),noisuy2chieu(BK296,BH296,Data!$A$63:$M$85))</f>
        <v>0.86214274110469236</v>
      </c>
      <c r="BM296" s="111">
        <v>1.26</v>
      </c>
      <c r="BN296" s="118">
        <f t="shared" si="147"/>
        <v>0.98891374857549141</v>
      </c>
      <c r="BO296" s="108">
        <f t="shared" si="148"/>
        <v>6.1419681835217815E-2</v>
      </c>
      <c r="BP296" s="6" t="str">
        <f t="shared" si="149"/>
        <v>OK</v>
      </c>
      <c r="BQ296" s="16">
        <f t="shared" si="150"/>
        <v>127.25109874278135</v>
      </c>
      <c r="BR296" s="118">
        <f t="shared" si="151"/>
        <v>4.2387607289550546</v>
      </c>
      <c r="BS296" s="108">
        <f t="shared" si="152"/>
        <v>0</v>
      </c>
      <c r="BT296" s="118">
        <f t="shared" si="153"/>
        <v>1.1380619635522473</v>
      </c>
      <c r="BU296" s="108">
        <f t="shared" si="154"/>
        <v>0</v>
      </c>
      <c r="BV296" s="6" cm="1">
        <f t="array" ref="BV296">IF(AP296=0,FactorPhi7121(BR296,"a"),noisuy2chieu(BU296,BR296,Data!$A$63:$M$85))</f>
        <v>0.42299549615688942</v>
      </c>
      <c r="BW296" s="111">
        <v>1.26</v>
      </c>
      <c r="BX296" s="111">
        <f t="shared" si="155"/>
        <v>0.95565499430196565</v>
      </c>
      <c r="BY296" s="113">
        <f t="shared" si="156"/>
        <v>3.0134509696615769E-2</v>
      </c>
      <c r="BZ296" s="6" t="str">
        <f t="shared" si="157"/>
        <v>OK</v>
      </c>
      <c r="CA296" s="114">
        <f t="shared" si="158"/>
        <v>127.25109874278135</v>
      </c>
      <c r="CB296" s="115">
        <f t="shared" si="159"/>
        <v>150</v>
      </c>
      <c r="CC296" s="6" t="str">
        <f t="shared" si="160"/>
        <v>OK</v>
      </c>
      <c r="DG296" s="108"/>
      <c r="DH296" s="108"/>
      <c r="DI296" s="16"/>
      <c r="DJ296" s="108"/>
      <c r="DT296" s="6"/>
      <c r="DU296" s="6"/>
      <c r="DV296" s="111"/>
      <c r="DW296" s="111"/>
      <c r="DX296" s="111"/>
      <c r="DY296" s="111"/>
      <c r="DZ296" s="111"/>
      <c r="EA296" s="111"/>
      <c r="EB296" s="111"/>
      <c r="EC296" s="111"/>
      <c r="ED296" s="111"/>
      <c r="EE296" s="111"/>
      <c r="EF296" s="6"/>
      <c r="EG296" s="6"/>
      <c r="EH296" s="6"/>
      <c r="EI296" s="6"/>
      <c r="EJ296" s="6"/>
      <c r="EK296" s="6"/>
      <c r="EL296" s="112"/>
      <c r="EM296" s="112"/>
      <c r="EN296" s="118"/>
      <c r="EO296" s="118"/>
      <c r="EP296" s="112"/>
      <c r="EQ296" s="112"/>
      <c r="ER296" s="112"/>
      <c r="ES296" s="112"/>
      <c r="ET296" s="112"/>
      <c r="EU296" s="112"/>
      <c r="EV296" s="6"/>
      <c r="EW296" s="6"/>
      <c r="EX296" s="118"/>
      <c r="EY296" s="113"/>
      <c r="EZ296" s="6"/>
      <c r="FA296" s="114"/>
      <c r="FB296" s="115"/>
      <c r="FC296" s="6"/>
    </row>
    <row r="297" spans="27:159">
      <c r="AA297" s="79" t="s">
        <v>175</v>
      </c>
      <c r="AB297" s="80" t="s">
        <v>199</v>
      </c>
      <c r="AC297" s="81">
        <v>2.74</v>
      </c>
      <c r="AD297" s="81">
        <v>6</v>
      </c>
      <c r="AE297" s="80">
        <v>273</v>
      </c>
      <c r="AF297" s="80">
        <v>6.35</v>
      </c>
      <c r="AG297" s="108" cm="1">
        <f t="array" ref="AG297">_xll.DCEPropSectPipe(AE297, AF297, "Area")/100</f>
        <v>53.19431074856206</v>
      </c>
      <c r="AH297" s="16" cm="1">
        <f t="array" ref="AH297">_xll.DCEPropSectPipe(AE297, AF297, "Ix")/10000</f>
        <v>4730.4733077169503</v>
      </c>
      <c r="AI297" s="16" cm="1">
        <f t="array" ref="AI297">_xll.DCEPropSectPipe(AE297, AF297, "Wx")/1000</f>
        <v>346.55482107816493</v>
      </c>
      <c r="AJ297" s="108">
        <f t="shared" si="129"/>
        <v>9.4301739777164251</v>
      </c>
      <c r="AK297" s="80" t="s">
        <v>206</v>
      </c>
      <c r="AL297" s="82">
        <v>-28.661913506637489</v>
      </c>
      <c r="AM297" s="82">
        <v>-4.3405107655877861</v>
      </c>
      <c r="AN297" s="82">
        <v>1.0338060477514681</v>
      </c>
      <c r="AO297" s="82">
        <v>-2.8346961829345254</v>
      </c>
      <c r="AP297" s="82">
        <v>11.901680519241706</v>
      </c>
      <c r="AQ297" s="82">
        <v>-0.12241015667125879</v>
      </c>
      <c r="AR297" s="72">
        <v>1</v>
      </c>
      <c r="AS297" s="116">
        <f t="shared" si="130"/>
        <v>6</v>
      </c>
      <c r="AT297" s="7">
        <v>2</v>
      </c>
      <c r="AU297" s="6">
        <f t="shared" si="131"/>
        <v>12</v>
      </c>
      <c r="AV297" s="111">
        <f t="shared" si="132"/>
        <v>2.3573173489221062E-2</v>
      </c>
      <c r="AW297" s="117">
        <f t="shared" si="133"/>
        <v>105</v>
      </c>
      <c r="AX297" s="111">
        <f t="shared" si="134"/>
        <v>1</v>
      </c>
      <c r="AY297" s="111">
        <f t="shared" si="135"/>
        <v>1</v>
      </c>
      <c r="AZ297" s="111">
        <f t="shared" si="136"/>
        <v>1</v>
      </c>
      <c r="BA297" s="111">
        <f t="shared" si="137"/>
        <v>2.4813866830759018E-2</v>
      </c>
      <c r="BB297" s="111">
        <f t="shared" si="138"/>
        <v>3.7669428041656884E-2</v>
      </c>
      <c r="BC297" s="111">
        <f t="shared" si="139"/>
        <v>0.15815786559187683</v>
      </c>
      <c r="BD297" s="111">
        <v>0</v>
      </c>
      <c r="BE297" s="111">
        <f t="shared" si="140"/>
        <v>0.22064116046429272</v>
      </c>
      <c r="BF297" s="6" t="str">
        <f t="shared" si="141"/>
        <v>OK</v>
      </c>
      <c r="BG297" s="16">
        <f t="shared" si="142"/>
        <v>63.625549371390676</v>
      </c>
      <c r="BH297" s="118">
        <f t="shared" si="143"/>
        <v>2.1193803644775273</v>
      </c>
      <c r="BI297" s="108">
        <f t="shared" si="144"/>
        <v>1.5180797212533697</v>
      </c>
      <c r="BJ297" s="6">
        <f t="shared" si="145"/>
        <v>1.2003008792428145</v>
      </c>
      <c r="BK297" s="108">
        <f t="shared" si="146"/>
        <v>1.8221524241811062</v>
      </c>
      <c r="BL297" s="118" cm="1">
        <f t="array" ref="BL297">IF(AO297=0,FactorPhi7121(BH297,"a"),noisuy2chieu(BK297,BH297,Data!$A$63:$M$85))</f>
        <v>0</v>
      </c>
      <c r="BM297" s="111">
        <v>1.26</v>
      </c>
      <c r="BN297" s="118">
        <f t="shared" si="147"/>
        <v>0.98941146527480139</v>
      </c>
      <c r="BO297" s="108" t="e">
        <f t="shared" si="148"/>
        <v>#DIV/0!</v>
      </c>
      <c r="BP297" s="6" t="e">
        <f t="shared" si="149"/>
        <v>#DIV/0!</v>
      </c>
      <c r="BQ297" s="16">
        <f t="shared" si="150"/>
        <v>127.25109874278135</v>
      </c>
      <c r="BR297" s="118">
        <f t="shared" si="151"/>
        <v>4.2387607289550546</v>
      </c>
      <c r="BS297" s="108">
        <f t="shared" si="152"/>
        <v>6.3737694197595181</v>
      </c>
      <c r="BT297" s="118">
        <f t="shared" si="153"/>
        <v>1.1000000000000001</v>
      </c>
      <c r="BU297" s="108">
        <f t="shared" si="154"/>
        <v>7.0111463617354701</v>
      </c>
      <c r="BV297" s="6" cm="1">
        <f t="array" ref="BV297">IF(AP297=0,FactorPhi7121(BR297,"a"),noisuy2chieu(BU297,BR297,Data!$A$63:$M$85))</f>
        <v>0</v>
      </c>
      <c r="BW297" s="111">
        <v>1.26</v>
      </c>
      <c r="BX297" s="111">
        <f t="shared" si="155"/>
        <v>0.95764586109920569</v>
      </c>
      <c r="BY297" s="113" t="e">
        <f t="shared" si="156"/>
        <v>#DIV/0!</v>
      </c>
      <c r="BZ297" s="6" t="e">
        <f t="shared" si="157"/>
        <v>#DIV/0!</v>
      </c>
      <c r="CA297" s="114">
        <f t="shared" si="158"/>
        <v>127.25109874278135</v>
      </c>
      <c r="CB297" s="115" t="e">
        <f t="shared" si="159"/>
        <v>#DIV/0!</v>
      </c>
      <c r="CC297" s="6" t="e">
        <f t="shared" si="160"/>
        <v>#DIV/0!</v>
      </c>
      <c r="DG297" s="108"/>
      <c r="DH297" s="108"/>
      <c r="DI297" s="16"/>
      <c r="DJ297" s="108"/>
      <c r="DT297" s="6"/>
      <c r="DU297" s="6"/>
      <c r="DV297" s="111"/>
      <c r="DW297" s="111"/>
      <c r="DX297" s="111"/>
      <c r="DY297" s="111"/>
      <c r="DZ297" s="111"/>
      <c r="EA297" s="111"/>
      <c r="EB297" s="111"/>
      <c r="EC297" s="111"/>
      <c r="ED297" s="111"/>
      <c r="EE297" s="111"/>
      <c r="EF297" s="6"/>
      <c r="EG297" s="6"/>
      <c r="EH297" s="6"/>
      <c r="EI297" s="6"/>
      <c r="EJ297" s="6"/>
      <c r="EK297" s="6"/>
      <c r="EL297" s="112"/>
      <c r="EM297" s="112"/>
      <c r="EN297" s="118"/>
      <c r="EO297" s="118"/>
      <c r="EP297" s="112"/>
      <c r="EQ297" s="112"/>
      <c r="ER297" s="112"/>
      <c r="ES297" s="112"/>
      <c r="ET297" s="112"/>
      <c r="EU297" s="112"/>
      <c r="EV297" s="6"/>
      <c r="EW297" s="6"/>
      <c r="EX297" s="118"/>
      <c r="EY297" s="113"/>
      <c r="EZ297" s="6"/>
      <c r="FA297" s="114"/>
      <c r="FB297" s="115"/>
      <c r="FC297" s="6"/>
    </row>
    <row r="298" spans="27:159">
      <c r="AA298" s="79" t="s">
        <v>175</v>
      </c>
      <c r="AB298" s="80" t="s">
        <v>199</v>
      </c>
      <c r="AC298" s="81">
        <v>5.48</v>
      </c>
      <c r="AD298" s="81">
        <v>6</v>
      </c>
      <c r="AE298" s="80">
        <v>273</v>
      </c>
      <c r="AF298" s="80">
        <v>6.35</v>
      </c>
      <c r="AG298" s="108" cm="1">
        <f t="array" ref="AG298">_xll.DCEPropSectPipe(AE298, AF298, "Area")/100</f>
        <v>53.19431074856206</v>
      </c>
      <c r="AH298" s="16" cm="1">
        <f t="array" ref="AH298">_xll.DCEPropSectPipe(AE298, AF298, "Ix")/10000</f>
        <v>4730.4733077169503</v>
      </c>
      <c r="AI298" s="16" cm="1">
        <f t="array" ref="AI298">_xll.DCEPropSectPipe(AE298, AF298, "Wx")/1000</f>
        <v>346.55482107816493</v>
      </c>
      <c r="AJ298" s="108">
        <f t="shared" si="129"/>
        <v>9.4301739777164251</v>
      </c>
      <c r="AK298" s="80" t="s">
        <v>206</v>
      </c>
      <c r="AL298" s="82">
        <v>-27.31465315790545</v>
      </c>
      <c r="AM298" s="82">
        <v>-4.3405107655877861</v>
      </c>
      <c r="AN298" s="82">
        <v>1.0338060477514681</v>
      </c>
      <c r="AO298" s="82">
        <v>-5.6693923658690508</v>
      </c>
      <c r="AP298" s="82">
        <v>23.803361038483413</v>
      </c>
      <c r="AQ298" s="82">
        <v>-0.12241015667125879</v>
      </c>
      <c r="AR298" s="72">
        <v>1</v>
      </c>
      <c r="AS298" s="116">
        <f t="shared" si="130"/>
        <v>6</v>
      </c>
      <c r="AT298" s="7">
        <v>2</v>
      </c>
      <c r="AU298" s="6">
        <f t="shared" si="131"/>
        <v>12</v>
      </c>
      <c r="AV298" s="111">
        <f t="shared" si="132"/>
        <v>2.2465110626340188E-2</v>
      </c>
      <c r="AW298" s="117">
        <f t="shared" si="133"/>
        <v>105</v>
      </c>
      <c r="AX298" s="111">
        <f t="shared" si="134"/>
        <v>1</v>
      </c>
      <c r="AY298" s="111">
        <f t="shared" si="135"/>
        <v>1</v>
      </c>
      <c r="AZ298" s="111">
        <f t="shared" si="136"/>
        <v>1</v>
      </c>
      <c r="BA298" s="111">
        <f t="shared" si="137"/>
        <v>2.3647484869831776E-2</v>
      </c>
      <c r="BB298" s="111">
        <f t="shared" si="138"/>
        <v>7.5338856083313768E-2</v>
      </c>
      <c r="BC298" s="111">
        <f t="shared" si="139"/>
        <v>0.31631573118375367</v>
      </c>
      <c r="BD298" s="111">
        <v>0</v>
      </c>
      <c r="BE298" s="111">
        <f t="shared" si="140"/>
        <v>0.41530207213689918</v>
      </c>
      <c r="BF298" s="6" t="str">
        <f t="shared" si="141"/>
        <v>OK</v>
      </c>
      <c r="BG298" s="16">
        <f t="shared" si="142"/>
        <v>63.625549371390676</v>
      </c>
      <c r="BH298" s="118">
        <f t="shared" si="143"/>
        <v>2.1193803644775273</v>
      </c>
      <c r="BI298" s="108">
        <f t="shared" si="144"/>
        <v>3.185914125667848</v>
      </c>
      <c r="BJ298" s="6">
        <f t="shared" si="145"/>
        <v>1.1522569139012515</v>
      </c>
      <c r="BK298" s="108">
        <f t="shared" si="146"/>
        <v>3.6709915783964386</v>
      </c>
      <c r="BL298" s="118" cm="1">
        <f t="array" ref="BL298">IF(AO298=0,FactorPhi7121(BH298,"a"),noisuy2chieu(BK298,BH298,Data!$A$63:$M$85))</f>
        <v>0</v>
      </c>
      <c r="BM298" s="111">
        <v>1.26</v>
      </c>
      <c r="BN298" s="118">
        <f t="shared" si="147"/>
        <v>0.98990918197411137</v>
      </c>
      <c r="BO298" s="108" t="e">
        <f t="shared" si="148"/>
        <v>#DIV/0!</v>
      </c>
      <c r="BP298" s="6" t="e">
        <f t="shared" si="149"/>
        <v>#DIV/0!</v>
      </c>
      <c r="BQ298" s="16">
        <f t="shared" si="150"/>
        <v>127.25109874278135</v>
      </c>
      <c r="BR298" s="118">
        <f t="shared" si="151"/>
        <v>4.2387607289550546</v>
      </c>
      <c r="BS298" s="108">
        <f t="shared" si="152"/>
        <v>13.376294896684456</v>
      </c>
      <c r="BT298" s="118">
        <f t="shared" si="153"/>
        <v>1.1000000000000001</v>
      </c>
      <c r="BU298" s="108">
        <f t="shared" si="154"/>
        <v>14.713924386352902</v>
      </c>
      <c r="BV298" s="6" cm="1">
        <f t="array" ref="BV298">IF(AP298=0,FactorPhi7121(BR298,"a"),noisuy2chieu(BU298,BR298,Data!$A$63:$M$85))</f>
        <v>0</v>
      </c>
      <c r="BW298" s="111">
        <v>1.26</v>
      </c>
      <c r="BX298" s="111">
        <f t="shared" si="155"/>
        <v>0.95963672789644572</v>
      </c>
      <c r="BY298" s="113" t="e">
        <f t="shared" si="156"/>
        <v>#DIV/0!</v>
      </c>
      <c r="BZ298" s="6" t="e">
        <f t="shared" si="157"/>
        <v>#DIV/0!</v>
      </c>
      <c r="CA298" s="114">
        <f t="shared" si="158"/>
        <v>127.25109874278135</v>
      </c>
      <c r="CB298" s="115" t="e">
        <f t="shared" si="159"/>
        <v>#DIV/0!</v>
      </c>
      <c r="CC298" s="6" t="e">
        <f t="shared" si="160"/>
        <v>#DIV/0!</v>
      </c>
      <c r="DG298" s="108"/>
      <c r="DH298" s="108"/>
      <c r="DI298" s="16"/>
      <c r="DJ298" s="108"/>
      <c r="DT298" s="6"/>
      <c r="DU298" s="6"/>
      <c r="DV298" s="111"/>
      <c r="DW298" s="111"/>
      <c r="DX298" s="111"/>
      <c r="DY298" s="111"/>
      <c r="DZ298" s="111"/>
      <c r="EA298" s="111"/>
      <c r="EB298" s="111"/>
      <c r="EC298" s="111"/>
      <c r="ED298" s="111"/>
      <c r="EE298" s="111"/>
      <c r="EF298" s="6"/>
      <c r="EG298" s="6"/>
      <c r="EH298" s="6"/>
      <c r="EI298" s="6"/>
      <c r="EJ298" s="6"/>
      <c r="EK298" s="6"/>
      <c r="EL298" s="112"/>
      <c r="EM298" s="112"/>
      <c r="EN298" s="118"/>
      <c r="EO298" s="118"/>
      <c r="EP298" s="112"/>
      <c r="EQ298" s="112"/>
      <c r="ER298" s="112"/>
      <c r="ES298" s="112"/>
      <c r="ET298" s="112"/>
      <c r="EU298" s="112"/>
      <c r="EV298" s="6"/>
      <c r="EW298" s="6"/>
      <c r="EX298" s="118"/>
      <c r="EY298" s="113"/>
      <c r="EZ298" s="6"/>
      <c r="FA298" s="114"/>
      <c r="FB298" s="115"/>
      <c r="FC298" s="6"/>
    </row>
    <row r="299" spans="27:159">
      <c r="AA299" s="79" t="s">
        <v>175</v>
      </c>
      <c r="AB299" s="80" t="s">
        <v>199</v>
      </c>
      <c r="AC299" s="81">
        <v>0</v>
      </c>
      <c r="AD299" s="81">
        <v>6</v>
      </c>
      <c r="AE299" s="80">
        <v>273</v>
      </c>
      <c r="AF299" s="80">
        <v>6.35</v>
      </c>
      <c r="AG299" s="108" cm="1">
        <f t="array" ref="AG299">_xll.DCEPropSectPipe(AE299, AF299, "Area")/100</f>
        <v>53.19431074856206</v>
      </c>
      <c r="AH299" s="16" cm="1">
        <f t="array" ref="AH299">_xll.DCEPropSectPipe(AE299, AF299, "Ix")/10000</f>
        <v>4730.4733077169503</v>
      </c>
      <c r="AI299" s="16" cm="1">
        <f t="array" ref="AI299">_xll.DCEPropSectPipe(AE299, AF299, "Wx")/1000</f>
        <v>346.55482107816493</v>
      </c>
      <c r="AJ299" s="108">
        <f t="shared" si="129"/>
        <v>9.4301739777164251</v>
      </c>
      <c r="AK299" s="80" t="s">
        <v>207</v>
      </c>
      <c r="AL299" s="82">
        <v>-47.606361985052622</v>
      </c>
      <c r="AM299" s="82">
        <v>-6.5195129350415089</v>
      </c>
      <c r="AN299" s="82">
        <v>1.5326046383591871</v>
      </c>
      <c r="AO299" s="82">
        <v>0</v>
      </c>
      <c r="AP299" s="82">
        <v>0</v>
      </c>
      <c r="AQ299" s="82">
        <v>-0.22065003368270036</v>
      </c>
      <c r="AR299" s="72">
        <v>1</v>
      </c>
      <c r="AS299" s="116">
        <f t="shared" si="130"/>
        <v>6</v>
      </c>
      <c r="AT299" s="7">
        <v>2</v>
      </c>
      <c r="AU299" s="6">
        <f t="shared" si="131"/>
        <v>12</v>
      </c>
      <c r="AV299" s="111">
        <f t="shared" si="132"/>
        <v>3.9154155915110782E-2</v>
      </c>
      <c r="AW299" s="117">
        <f t="shared" si="133"/>
        <v>105</v>
      </c>
      <c r="AX299" s="111">
        <f t="shared" si="134"/>
        <v>1</v>
      </c>
      <c r="AY299" s="111">
        <f t="shared" si="135"/>
        <v>1</v>
      </c>
      <c r="AZ299" s="111">
        <f t="shared" si="136"/>
        <v>1</v>
      </c>
      <c r="BA299" s="111">
        <f t="shared" si="137"/>
        <v>4.1214900963274514E-2</v>
      </c>
      <c r="BB299" s="111">
        <f t="shared" si="138"/>
        <v>0</v>
      </c>
      <c r="BC299" s="111">
        <f t="shared" si="139"/>
        <v>0</v>
      </c>
      <c r="BD299" s="111">
        <v>0</v>
      </c>
      <c r="BE299" s="111">
        <f t="shared" si="140"/>
        <v>4.1214900963274514E-2</v>
      </c>
      <c r="BF299" s="6" t="str">
        <f t="shared" si="141"/>
        <v>OK</v>
      </c>
      <c r="BG299" s="16">
        <f t="shared" si="142"/>
        <v>63.625549371390676</v>
      </c>
      <c r="BH299" s="118">
        <f t="shared" si="143"/>
        <v>2.1193803644775273</v>
      </c>
      <c r="BI299" s="108">
        <f t="shared" si="144"/>
        <v>0</v>
      </c>
      <c r="BJ299" s="6">
        <f t="shared" si="145"/>
        <v>1.2440309817761237</v>
      </c>
      <c r="BK299" s="108">
        <f t="shared" si="146"/>
        <v>0</v>
      </c>
      <c r="BL299" s="118" cm="1">
        <f t="array" ref="BL299">IF(AO299=0,FactorPhi7121(BH299,"a"),noisuy2chieu(BK299,BH299,Data!$A$63:$M$85))</f>
        <v>0.86214274110469236</v>
      </c>
      <c r="BM299" s="111">
        <v>1.26</v>
      </c>
      <c r="BN299" s="118">
        <f t="shared" si="147"/>
        <v>0.98241284145587948</v>
      </c>
      <c r="BO299" s="108">
        <f t="shared" si="148"/>
        <v>9.743579148650762E-2</v>
      </c>
      <c r="BP299" s="6" t="str">
        <f t="shared" si="149"/>
        <v>OK</v>
      </c>
      <c r="BQ299" s="16">
        <f t="shared" si="150"/>
        <v>127.25109874278135</v>
      </c>
      <c r="BR299" s="118">
        <f t="shared" si="151"/>
        <v>4.2387607289550546</v>
      </c>
      <c r="BS299" s="108">
        <f t="shared" si="152"/>
        <v>0</v>
      </c>
      <c r="BT299" s="118">
        <f t="shared" si="153"/>
        <v>1.1380619635522473</v>
      </c>
      <c r="BU299" s="108">
        <f t="shared" si="154"/>
        <v>0</v>
      </c>
      <c r="BV299" s="6" cm="1">
        <f t="array" ref="BV299">IF(AP299=0,FactorPhi7121(BR299,"a"),noisuy2chieu(BU299,BR299,Data!$A$63:$M$85))</f>
        <v>0.42299549615688942</v>
      </c>
      <c r="BW299" s="111">
        <v>1.26</v>
      </c>
      <c r="BX299" s="111">
        <f t="shared" si="155"/>
        <v>0.92965136582351793</v>
      </c>
      <c r="BY299" s="113">
        <f t="shared" si="156"/>
        <v>4.7805193964127662E-2</v>
      </c>
      <c r="BZ299" s="6" t="str">
        <f t="shared" si="157"/>
        <v>OK</v>
      </c>
      <c r="CA299" s="114">
        <f t="shared" si="158"/>
        <v>127.25109874278135</v>
      </c>
      <c r="CB299" s="115">
        <f t="shared" si="159"/>
        <v>150</v>
      </c>
      <c r="CC299" s="6" t="str">
        <f t="shared" si="160"/>
        <v>OK</v>
      </c>
      <c r="DG299" s="108"/>
      <c r="DH299" s="108"/>
      <c r="DI299" s="16"/>
      <c r="DJ299" s="108"/>
      <c r="DT299" s="6"/>
      <c r="DU299" s="6"/>
      <c r="DV299" s="111"/>
      <c r="DW299" s="111"/>
      <c r="DX299" s="111"/>
      <c r="DY299" s="111"/>
      <c r="DZ299" s="111"/>
      <c r="EA299" s="111"/>
      <c r="EB299" s="111"/>
      <c r="EC299" s="111"/>
      <c r="ED299" s="111"/>
      <c r="EE299" s="111"/>
      <c r="EF299" s="6"/>
      <c r="EG299" s="6"/>
      <c r="EH299" s="6"/>
      <c r="EI299" s="6"/>
      <c r="EJ299" s="6"/>
      <c r="EK299" s="6"/>
      <c r="EL299" s="112"/>
      <c r="EM299" s="112"/>
      <c r="EN299" s="118"/>
      <c r="EO299" s="118"/>
      <c r="EP299" s="112"/>
      <c r="EQ299" s="112"/>
      <c r="ER299" s="112"/>
      <c r="ES299" s="112"/>
      <c r="ET299" s="112"/>
      <c r="EU299" s="112"/>
      <c r="EV299" s="6"/>
      <c r="EW299" s="6"/>
      <c r="EX299" s="118"/>
      <c r="EY299" s="113"/>
      <c r="EZ299" s="6"/>
      <c r="FA299" s="114"/>
      <c r="FB299" s="115"/>
      <c r="FC299" s="6"/>
    </row>
    <row r="300" spans="27:159">
      <c r="AA300" s="79" t="s">
        <v>175</v>
      </c>
      <c r="AB300" s="80" t="s">
        <v>199</v>
      </c>
      <c r="AC300" s="81">
        <v>2.74</v>
      </c>
      <c r="AD300" s="81">
        <v>6</v>
      </c>
      <c r="AE300" s="80">
        <v>273</v>
      </c>
      <c r="AF300" s="80">
        <v>6.35</v>
      </c>
      <c r="AG300" s="108" cm="1">
        <f t="array" ref="AG300">_xll.DCEPropSectPipe(AE300, AF300, "Area")/100</f>
        <v>53.19431074856206</v>
      </c>
      <c r="AH300" s="16" cm="1">
        <f t="array" ref="AH300">_xll.DCEPropSectPipe(AE300, AF300, "Ix")/10000</f>
        <v>4730.4733077169503</v>
      </c>
      <c r="AI300" s="16" cm="1">
        <f t="array" ref="AI300">_xll.DCEPropSectPipe(AE300, AF300, "Wx")/1000</f>
        <v>346.55482107816493</v>
      </c>
      <c r="AJ300" s="108">
        <f t="shared" si="129"/>
        <v>9.4301739777164251</v>
      </c>
      <c r="AK300" s="80" t="s">
        <v>207</v>
      </c>
      <c r="AL300" s="82">
        <v>-46.259101636320594</v>
      </c>
      <c r="AM300" s="82">
        <v>-6.5195129350415089</v>
      </c>
      <c r="AN300" s="82">
        <v>1.5326046383591871</v>
      </c>
      <c r="AO300" s="82">
        <v>-4.2024019183808905</v>
      </c>
      <c r="AP300" s="82">
        <v>17.876504467883816</v>
      </c>
      <c r="AQ300" s="82">
        <v>-0.22065003368270036</v>
      </c>
      <c r="AR300" s="72">
        <v>1</v>
      </c>
      <c r="AS300" s="116">
        <f t="shared" si="130"/>
        <v>6</v>
      </c>
      <c r="AT300" s="7">
        <v>2</v>
      </c>
      <c r="AU300" s="6">
        <f t="shared" si="131"/>
        <v>12</v>
      </c>
      <c r="AV300" s="111">
        <f t="shared" si="132"/>
        <v>3.8046093052229918E-2</v>
      </c>
      <c r="AW300" s="117">
        <f t="shared" si="133"/>
        <v>105</v>
      </c>
      <c r="AX300" s="111">
        <f t="shared" si="134"/>
        <v>1</v>
      </c>
      <c r="AY300" s="111">
        <f t="shared" si="135"/>
        <v>1</v>
      </c>
      <c r="AZ300" s="111">
        <f t="shared" si="136"/>
        <v>1</v>
      </c>
      <c r="BA300" s="111">
        <f t="shared" si="137"/>
        <v>4.004851900234728E-2</v>
      </c>
      <c r="BB300" s="111">
        <f t="shared" si="138"/>
        <v>5.5844459670698399E-2</v>
      </c>
      <c r="BC300" s="111">
        <f t="shared" si="139"/>
        <v>0.23755551044351941</v>
      </c>
      <c r="BD300" s="111">
        <v>0</v>
      </c>
      <c r="BE300" s="111">
        <f t="shared" si="140"/>
        <v>0.33344848911656511</v>
      </c>
      <c r="BF300" s="6" t="str">
        <f t="shared" si="141"/>
        <v>OK</v>
      </c>
      <c r="BG300" s="16">
        <f t="shared" si="142"/>
        <v>63.625549371390676</v>
      </c>
      <c r="BH300" s="118">
        <f t="shared" si="143"/>
        <v>2.1193803644775273</v>
      </c>
      <c r="BI300" s="108">
        <f t="shared" si="144"/>
        <v>1.3944200949709353</v>
      </c>
      <c r="BJ300" s="6">
        <f t="shared" si="145"/>
        <v>1.2038630427187198</v>
      </c>
      <c r="BK300" s="108">
        <f t="shared" si="146"/>
        <v>1.6786908183598364</v>
      </c>
      <c r="BL300" s="118" cm="1">
        <f t="array" ref="BL300">IF(AO300=0,FactorPhi7121(BH300,"a"),noisuy2chieu(BK300,BH300,Data!$A$63:$M$85))</f>
        <v>0</v>
      </c>
      <c r="BM300" s="111">
        <v>1.26</v>
      </c>
      <c r="BN300" s="118">
        <f t="shared" si="147"/>
        <v>0.98291055815518946</v>
      </c>
      <c r="BO300" s="108" t="e">
        <f t="shared" si="148"/>
        <v>#DIV/0!</v>
      </c>
      <c r="BP300" s="6" t="e">
        <f t="shared" si="149"/>
        <v>#DIV/0!</v>
      </c>
      <c r="BQ300" s="16">
        <f t="shared" si="150"/>
        <v>127.25109874278135</v>
      </c>
      <c r="BR300" s="118">
        <f t="shared" si="151"/>
        <v>4.2387607289550546</v>
      </c>
      <c r="BS300" s="108">
        <f t="shared" si="152"/>
        <v>5.9316927657074174</v>
      </c>
      <c r="BT300" s="118">
        <f t="shared" si="153"/>
        <v>1.1000000000000001</v>
      </c>
      <c r="BU300" s="108">
        <f t="shared" si="154"/>
        <v>6.5248620422781594</v>
      </c>
      <c r="BV300" s="6" cm="1">
        <f t="array" ref="BV300">IF(AP300=0,FactorPhi7121(BR300,"a"),noisuy2chieu(BU300,BR300,Data!$A$63:$M$85))</f>
        <v>0</v>
      </c>
      <c r="BW300" s="111">
        <v>1.26</v>
      </c>
      <c r="BX300" s="111">
        <f t="shared" si="155"/>
        <v>0.93164223262075785</v>
      </c>
      <c r="BY300" s="113" t="e">
        <f t="shared" si="156"/>
        <v>#DIV/0!</v>
      </c>
      <c r="BZ300" s="6" t="e">
        <f t="shared" si="157"/>
        <v>#DIV/0!</v>
      </c>
      <c r="CA300" s="114">
        <f t="shared" si="158"/>
        <v>127.25109874278135</v>
      </c>
      <c r="CB300" s="115" t="e">
        <f t="shared" si="159"/>
        <v>#DIV/0!</v>
      </c>
      <c r="CC300" s="6" t="e">
        <f t="shared" si="160"/>
        <v>#DIV/0!</v>
      </c>
      <c r="DG300" s="108"/>
      <c r="DH300" s="108"/>
      <c r="DI300" s="16"/>
      <c r="DJ300" s="108"/>
      <c r="DT300" s="6"/>
      <c r="DU300" s="6"/>
      <c r="DV300" s="111"/>
      <c r="DW300" s="111"/>
      <c r="DX300" s="111"/>
      <c r="DY300" s="111"/>
      <c r="DZ300" s="111"/>
      <c r="EA300" s="111"/>
      <c r="EB300" s="111"/>
      <c r="EC300" s="111"/>
      <c r="ED300" s="111"/>
      <c r="EE300" s="111"/>
      <c r="EF300" s="6"/>
      <c r="EG300" s="6"/>
      <c r="EH300" s="6"/>
      <c r="EI300" s="6"/>
      <c r="EJ300" s="6"/>
      <c r="EK300" s="6"/>
      <c r="EL300" s="112"/>
      <c r="EM300" s="112"/>
      <c r="EN300" s="118"/>
      <c r="EO300" s="118"/>
      <c r="EP300" s="112"/>
      <c r="EQ300" s="112"/>
      <c r="ER300" s="112"/>
      <c r="ES300" s="112"/>
      <c r="ET300" s="112"/>
      <c r="EU300" s="112"/>
      <c r="EV300" s="6"/>
      <c r="EW300" s="6"/>
      <c r="EX300" s="118"/>
      <c r="EY300" s="113"/>
      <c r="EZ300" s="6"/>
      <c r="FA300" s="114"/>
      <c r="FB300" s="115"/>
      <c r="FC300" s="6"/>
    </row>
    <row r="301" spans="27:159">
      <c r="AA301" s="79" t="s">
        <v>175</v>
      </c>
      <c r="AB301" s="80" t="s">
        <v>199</v>
      </c>
      <c r="AC301" s="81">
        <v>5.48</v>
      </c>
      <c r="AD301" s="81">
        <v>6</v>
      </c>
      <c r="AE301" s="80">
        <v>273</v>
      </c>
      <c r="AF301" s="80">
        <v>6.35</v>
      </c>
      <c r="AG301" s="108" cm="1">
        <f t="array" ref="AG301">_xll.DCEPropSectPipe(AE301, AF301, "Area")/100</f>
        <v>53.19431074856206</v>
      </c>
      <c r="AH301" s="16" cm="1">
        <f t="array" ref="AH301">_xll.DCEPropSectPipe(AE301, AF301, "Ix")/10000</f>
        <v>4730.4733077169503</v>
      </c>
      <c r="AI301" s="16" cm="1">
        <f t="array" ref="AI301">_xll.DCEPropSectPipe(AE301, AF301, "Wx")/1000</f>
        <v>346.55482107816493</v>
      </c>
      <c r="AJ301" s="108">
        <f t="shared" si="129"/>
        <v>9.4301739777164251</v>
      </c>
      <c r="AK301" s="80" t="s">
        <v>207</v>
      </c>
      <c r="AL301" s="82">
        <v>-44.911841287588558</v>
      </c>
      <c r="AM301" s="82">
        <v>-6.5195129350415089</v>
      </c>
      <c r="AN301" s="82">
        <v>1.5326046383591871</v>
      </c>
      <c r="AO301" s="82">
        <v>-8.404803836761781</v>
      </c>
      <c r="AP301" s="82">
        <v>35.753008935767632</v>
      </c>
      <c r="AQ301" s="82">
        <v>-0.22065003368270036</v>
      </c>
      <c r="AR301" s="72">
        <v>1</v>
      </c>
      <c r="AS301" s="116">
        <f t="shared" si="130"/>
        <v>6</v>
      </c>
      <c r="AT301" s="7">
        <v>2</v>
      </c>
      <c r="AU301" s="6">
        <f t="shared" si="131"/>
        <v>12</v>
      </c>
      <c r="AV301" s="111">
        <f t="shared" si="132"/>
        <v>3.693803018934904E-2</v>
      </c>
      <c r="AW301" s="117">
        <f t="shared" si="133"/>
        <v>105</v>
      </c>
      <c r="AX301" s="111">
        <f t="shared" si="134"/>
        <v>1</v>
      </c>
      <c r="AY301" s="111">
        <f t="shared" si="135"/>
        <v>1</v>
      </c>
      <c r="AZ301" s="111">
        <f t="shared" si="136"/>
        <v>1</v>
      </c>
      <c r="BA301" s="111">
        <f t="shared" si="137"/>
        <v>3.8882137041420045E-2</v>
      </c>
      <c r="BB301" s="111">
        <f t="shared" si="138"/>
        <v>0.1116889193413968</v>
      </c>
      <c r="BC301" s="111">
        <f t="shared" si="139"/>
        <v>0.47511102088703883</v>
      </c>
      <c r="BD301" s="111">
        <v>0</v>
      </c>
      <c r="BE301" s="111">
        <f t="shared" si="140"/>
        <v>0.6256820772698557</v>
      </c>
      <c r="BF301" s="6" t="str">
        <f t="shared" si="141"/>
        <v>OK</v>
      </c>
      <c r="BG301" s="16">
        <f t="shared" si="142"/>
        <v>63.625549371390676</v>
      </c>
      <c r="BH301" s="118">
        <f t="shared" si="143"/>
        <v>2.1193803644775273</v>
      </c>
      <c r="BI301" s="108">
        <f t="shared" si="144"/>
        <v>2.8724995033688026</v>
      </c>
      <c r="BJ301" s="6">
        <f t="shared" si="145"/>
        <v>1.1612851970517963</v>
      </c>
      <c r="BK301" s="108">
        <f t="shared" si="146"/>
        <v>3.335791151800827</v>
      </c>
      <c r="BL301" s="118" cm="1">
        <f t="array" ref="BL301">IF(AO301=0,FactorPhi7121(BH301,"a"),noisuy2chieu(BK301,BH301,Data!$A$63:$M$85))</f>
        <v>0</v>
      </c>
      <c r="BM301" s="111">
        <v>1.26</v>
      </c>
      <c r="BN301" s="118">
        <f t="shared" si="147"/>
        <v>0.98340827485449944</v>
      </c>
      <c r="BO301" s="108" t="e">
        <f t="shared" si="148"/>
        <v>#DIV/0!</v>
      </c>
      <c r="BP301" s="6" t="e">
        <f t="shared" si="149"/>
        <v>#DIV/0!</v>
      </c>
      <c r="BQ301" s="16">
        <f t="shared" si="150"/>
        <v>127.25109874278135</v>
      </c>
      <c r="BR301" s="118">
        <f t="shared" si="151"/>
        <v>4.2387607289550546</v>
      </c>
      <c r="BS301" s="108">
        <f t="shared" si="152"/>
        <v>12.219262032354765</v>
      </c>
      <c r="BT301" s="118">
        <f t="shared" si="153"/>
        <v>1.1000000000000001</v>
      </c>
      <c r="BU301" s="108">
        <f t="shared" si="154"/>
        <v>13.441188235590243</v>
      </c>
      <c r="BV301" s="6" cm="1">
        <f t="array" ref="BV301">IF(AP301=0,FactorPhi7121(BR301,"a"),noisuy2chieu(BU301,BR301,Data!$A$63:$M$85))</f>
        <v>0</v>
      </c>
      <c r="BW301" s="111">
        <v>1.26</v>
      </c>
      <c r="BX301" s="111">
        <f t="shared" si="155"/>
        <v>0.93363309941799788</v>
      </c>
      <c r="BY301" s="113" t="e">
        <f t="shared" si="156"/>
        <v>#DIV/0!</v>
      </c>
      <c r="BZ301" s="6" t="e">
        <f t="shared" si="157"/>
        <v>#DIV/0!</v>
      </c>
      <c r="CA301" s="114">
        <f t="shared" si="158"/>
        <v>127.25109874278135</v>
      </c>
      <c r="CB301" s="115" t="e">
        <f t="shared" si="159"/>
        <v>#DIV/0!</v>
      </c>
      <c r="CC301" s="6" t="e">
        <f t="shared" si="160"/>
        <v>#DIV/0!</v>
      </c>
      <c r="DG301" s="108"/>
      <c r="DH301" s="108"/>
      <c r="DI301" s="16"/>
      <c r="DJ301" s="108"/>
      <c r="DT301" s="6"/>
      <c r="DU301" s="6"/>
      <c r="DV301" s="111"/>
      <c r="DW301" s="111"/>
      <c r="DX301" s="111"/>
      <c r="DY301" s="111"/>
      <c r="DZ301" s="111"/>
      <c r="EA301" s="111"/>
      <c r="EB301" s="111"/>
      <c r="EC301" s="111"/>
      <c r="ED301" s="111"/>
      <c r="EE301" s="111"/>
      <c r="EF301" s="6"/>
      <c r="EG301" s="6"/>
      <c r="EH301" s="6"/>
      <c r="EI301" s="6"/>
      <c r="EJ301" s="6"/>
      <c r="EK301" s="6"/>
      <c r="EL301" s="112"/>
      <c r="EM301" s="112"/>
      <c r="EN301" s="118"/>
      <c r="EO301" s="118"/>
      <c r="EP301" s="112"/>
      <c r="EQ301" s="112"/>
      <c r="ER301" s="112"/>
      <c r="ES301" s="112"/>
      <c r="ET301" s="112"/>
      <c r="EU301" s="112"/>
      <c r="EV301" s="6"/>
      <c r="EW301" s="6"/>
      <c r="EX301" s="118"/>
      <c r="EY301" s="113"/>
      <c r="EZ301" s="6"/>
      <c r="FA301" s="114"/>
      <c r="FB301" s="115"/>
      <c r="FC301" s="6"/>
    </row>
    <row r="302" spans="27:159">
      <c r="AA302" s="79" t="s">
        <v>175</v>
      </c>
      <c r="AB302" s="80" t="s">
        <v>199</v>
      </c>
      <c r="AC302" s="81">
        <v>0</v>
      </c>
      <c r="AD302" s="81">
        <v>6</v>
      </c>
      <c r="AE302" s="80">
        <v>273</v>
      </c>
      <c r="AF302" s="80">
        <v>6.35</v>
      </c>
      <c r="AG302" s="108" cm="1">
        <f t="array" ref="AG302">_xll.DCEPropSectPipe(AE302, AF302, "Area")/100</f>
        <v>53.19431074856206</v>
      </c>
      <c r="AH302" s="16" cm="1">
        <f t="array" ref="AH302">_xll.DCEPropSectPipe(AE302, AF302, "Ix")/10000</f>
        <v>4730.4733077169503</v>
      </c>
      <c r="AI302" s="16" cm="1">
        <f t="array" ref="AI302">_xll.DCEPropSectPipe(AE302, AF302, "Wx")/1000</f>
        <v>346.55482107816493</v>
      </c>
      <c r="AJ302" s="108">
        <f t="shared" si="129"/>
        <v>9.4301739777164251</v>
      </c>
      <c r="AK302" s="80" t="s">
        <v>208</v>
      </c>
      <c r="AL302" s="82">
        <v>-38.491629094052115</v>
      </c>
      <c r="AM302" s="82">
        <v>-6.5828924057110916</v>
      </c>
      <c r="AN302" s="82">
        <v>1.4472812588118937</v>
      </c>
      <c r="AO302" s="82">
        <v>0</v>
      </c>
      <c r="AP302" s="82">
        <v>0</v>
      </c>
      <c r="AQ302" s="82">
        <v>-0.1910526191819312</v>
      </c>
      <c r="AR302" s="72">
        <v>1</v>
      </c>
      <c r="AS302" s="116">
        <f t="shared" si="130"/>
        <v>6</v>
      </c>
      <c r="AT302" s="7">
        <v>2</v>
      </c>
      <c r="AU302" s="6">
        <f t="shared" si="131"/>
        <v>12</v>
      </c>
      <c r="AV302" s="111">
        <f t="shared" si="132"/>
        <v>3.1657685740580858E-2</v>
      </c>
      <c r="AW302" s="117">
        <f t="shared" si="133"/>
        <v>105</v>
      </c>
      <c r="AX302" s="111">
        <f t="shared" si="134"/>
        <v>1</v>
      </c>
      <c r="AY302" s="111">
        <f t="shared" si="135"/>
        <v>1</v>
      </c>
      <c r="AZ302" s="111">
        <f t="shared" si="136"/>
        <v>1</v>
      </c>
      <c r="BA302" s="111">
        <f t="shared" si="137"/>
        <v>3.3323879726927227E-2</v>
      </c>
      <c r="BB302" s="111">
        <f t="shared" si="138"/>
        <v>0</v>
      </c>
      <c r="BC302" s="111">
        <f t="shared" si="139"/>
        <v>0</v>
      </c>
      <c r="BD302" s="111">
        <v>0</v>
      </c>
      <c r="BE302" s="111">
        <f t="shared" si="140"/>
        <v>3.3323879726927227E-2</v>
      </c>
      <c r="BF302" s="6" t="str">
        <f t="shared" si="141"/>
        <v>OK</v>
      </c>
      <c r="BG302" s="16">
        <f t="shared" si="142"/>
        <v>63.625549371390676</v>
      </c>
      <c r="BH302" s="118">
        <f t="shared" si="143"/>
        <v>2.1193803644775273</v>
      </c>
      <c r="BI302" s="108">
        <f t="shared" si="144"/>
        <v>0</v>
      </c>
      <c r="BJ302" s="6">
        <f t="shared" si="145"/>
        <v>1.2440309817761237</v>
      </c>
      <c r="BK302" s="108">
        <f t="shared" si="146"/>
        <v>0</v>
      </c>
      <c r="BL302" s="118" cm="1">
        <f t="array" ref="BL302">IF(AO302=0,FactorPhi7121(BH302,"a"),noisuy2chieu(BK302,BH302,Data!$A$63:$M$85))</f>
        <v>0.86214274110469236</v>
      </c>
      <c r="BM302" s="111">
        <v>1.26</v>
      </c>
      <c r="BN302" s="118">
        <f t="shared" si="147"/>
        <v>0.98578008578535936</v>
      </c>
      <c r="BO302" s="108">
        <f t="shared" si="148"/>
        <v>7.8780696318731872E-2</v>
      </c>
      <c r="BP302" s="6" t="str">
        <f t="shared" si="149"/>
        <v>OK</v>
      </c>
      <c r="BQ302" s="16">
        <f t="shared" si="150"/>
        <v>127.25109874278135</v>
      </c>
      <c r="BR302" s="118">
        <f t="shared" si="151"/>
        <v>4.2387607289550546</v>
      </c>
      <c r="BS302" s="108">
        <f t="shared" si="152"/>
        <v>0</v>
      </c>
      <c r="BT302" s="118">
        <f t="shared" si="153"/>
        <v>1.1380619635522473</v>
      </c>
      <c r="BU302" s="108">
        <f t="shared" si="154"/>
        <v>0</v>
      </c>
      <c r="BV302" s="6" cm="1">
        <f t="array" ref="BV302">IF(AP302=0,FactorPhi7121(BR302,"a"),noisuy2chieu(BU302,BR302,Data!$A$63:$M$85))</f>
        <v>0.42299549615688942</v>
      </c>
      <c r="BW302" s="111">
        <v>1.26</v>
      </c>
      <c r="BX302" s="111">
        <f t="shared" si="155"/>
        <v>0.94312034314143744</v>
      </c>
      <c r="BY302" s="113">
        <f t="shared" si="156"/>
        <v>3.8652392623787821E-2</v>
      </c>
      <c r="BZ302" s="6" t="str">
        <f t="shared" si="157"/>
        <v>OK</v>
      </c>
      <c r="CA302" s="114">
        <f t="shared" si="158"/>
        <v>127.25109874278135</v>
      </c>
      <c r="CB302" s="115">
        <f t="shared" si="159"/>
        <v>150</v>
      </c>
      <c r="CC302" s="6" t="str">
        <f t="shared" si="160"/>
        <v>OK</v>
      </c>
      <c r="DG302" s="108"/>
      <c r="DH302" s="108"/>
      <c r="DI302" s="16"/>
      <c r="DJ302" s="108"/>
      <c r="DT302" s="6"/>
      <c r="DU302" s="6"/>
      <c r="DV302" s="111"/>
      <c r="DW302" s="111"/>
      <c r="DX302" s="111"/>
      <c r="DY302" s="111"/>
      <c r="DZ302" s="111"/>
      <c r="EA302" s="111"/>
      <c r="EB302" s="111"/>
      <c r="EC302" s="111"/>
      <c r="ED302" s="111"/>
      <c r="EE302" s="111"/>
      <c r="EF302" s="6"/>
      <c r="EG302" s="6"/>
      <c r="EH302" s="6"/>
      <c r="EI302" s="6"/>
      <c r="EJ302" s="6"/>
      <c r="EK302" s="6"/>
      <c r="EL302" s="112"/>
      <c r="EM302" s="112"/>
      <c r="EN302" s="118"/>
      <c r="EO302" s="118"/>
      <c r="EP302" s="112"/>
      <c r="EQ302" s="112"/>
      <c r="ER302" s="112"/>
      <c r="ES302" s="112"/>
      <c r="ET302" s="112"/>
      <c r="EU302" s="112"/>
      <c r="EV302" s="6"/>
      <c r="EW302" s="6"/>
      <c r="EX302" s="118"/>
      <c r="EY302" s="113"/>
      <c r="EZ302" s="6"/>
      <c r="FA302" s="114"/>
      <c r="FB302" s="115"/>
      <c r="FC302" s="6"/>
    </row>
    <row r="303" spans="27:159">
      <c r="AA303" s="79" t="s">
        <v>175</v>
      </c>
      <c r="AB303" s="80" t="s">
        <v>199</v>
      </c>
      <c r="AC303" s="81">
        <v>2.74</v>
      </c>
      <c r="AD303" s="81">
        <v>6</v>
      </c>
      <c r="AE303" s="80">
        <v>273</v>
      </c>
      <c r="AF303" s="80">
        <v>6.35</v>
      </c>
      <c r="AG303" s="108" cm="1">
        <f t="array" ref="AG303">_xll.DCEPropSectPipe(AE303, AF303, "Area")/100</f>
        <v>53.19431074856206</v>
      </c>
      <c r="AH303" s="16" cm="1">
        <f t="array" ref="AH303">_xll.DCEPropSectPipe(AE303, AF303, "Ix")/10000</f>
        <v>4730.4733077169503</v>
      </c>
      <c r="AI303" s="16" cm="1">
        <f t="array" ref="AI303">_xll.DCEPropSectPipe(AE303, AF303, "Wx")/1000</f>
        <v>346.55482107816493</v>
      </c>
      <c r="AJ303" s="108">
        <f t="shared" si="129"/>
        <v>9.4301739777164251</v>
      </c>
      <c r="AK303" s="80" t="s">
        <v>208</v>
      </c>
      <c r="AL303" s="82">
        <v>-37.144368745320087</v>
      </c>
      <c r="AM303" s="82">
        <v>-6.5828924057110916</v>
      </c>
      <c r="AN303" s="82">
        <v>1.4472812588118937</v>
      </c>
      <c r="AO303" s="82">
        <v>-3.9684452116622122</v>
      </c>
      <c r="AP303" s="82">
        <v>18.050290976459813</v>
      </c>
      <c r="AQ303" s="82">
        <v>-0.1910526191819312</v>
      </c>
      <c r="AR303" s="72">
        <v>1</v>
      </c>
      <c r="AS303" s="116">
        <f t="shared" si="130"/>
        <v>6</v>
      </c>
      <c r="AT303" s="7">
        <v>2</v>
      </c>
      <c r="AU303" s="6">
        <f t="shared" si="131"/>
        <v>12</v>
      </c>
      <c r="AV303" s="111">
        <f t="shared" si="132"/>
        <v>3.0549622877699988E-2</v>
      </c>
      <c r="AW303" s="117">
        <f t="shared" si="133"/>
        <v>105</v>
      </c>
      <c r="AX303" s="111">
        <f t="shared" si="134"/>
        <v>1</v>
      </c>
      <c r="AY303" s="111">
        <f t="shared" si="135"/>
        <v>1</v>
      </c>
      <c r="AZ303" s="111">
        <f t="shared" si="136"/>
        <v>1</v>
      </c>
      <c r="BA303" s="111">
        <f t="shared" si="137"/>
        <v>3.2157497765999993E-2</v>
      </c>
      <c r="BB303" s="111">
        <f t="shared" si="138"/>
        <v>5.2735479109868463E-2</v>
      </c>
      <c r="BC303" s="111">
        <f t="shared" si="139"/>
        <v>0.23986490727370716</v>
      </c>
      <c r="BD303" s="111">
        <v>0</v>
      </c>
      <c r="BE303" s="111">
        <f t="shared" si="140"/>
        <v>0.32475788414957563</v>
      </c>
      <c r="BF303" s="6" t="str">
        <f t="shared" si="141"/>
        <v>OK</v>
      </c>
      <c r="BG303" s="16">
        <f t="shared" si="142"/>
        <v>63.625549371390676</v>
      </c>
      <c r="BH303" s="118">
        <f t="shared" si="143"/>
        <v>2.1193803644775273</v>
      </c>
      <c r="BI303" s="108">
        <f t="shared" si="144"/>
        <v>1.6399123928611605</v>
      </c>
      <c r="BJ303" s="6">
        <f t="shared" si="145"/>
        <v>1.1967913433819988</v>
      </c>
      <c r="BK303" s="108">
        <f t="shared" si="146"/>
        <v>1.9626329556810964</v>
      </c>
      <c r="BL303" s="118" cm="1">
        <f t="array" ref="BL303">IF(AO303=0,FactorPhi7121(BH303,"a"),noisuy2chieu(BK303,BH303,Data!$A$63:$M$85))</f>
        <v>0</v>
      </c>
      <c r="BM303" s="111">
        <v>1.26</v>
      </c>
      <c r="BN303" s="118">
        <f t="shared" si="147"/>
        <v>0.98627780248466934</v>
      </c>
      <c r="BO303" s="108" t="e">
        <f t="shared" si="148"/>
        <v>#DIV/0!</v>
      </c>
      <c r="BP303" s="6" t="e">
        <f t="shared" si="149"/>
        <v>#DIV/0!</v>
      </c>
      <c r="BQ303" s="16">
        <f t="shared" si="150"/>
        <v>127.25109874278135</v>
      </c>
      <c r="BR303" s="118">
        <f t="shared" si="151"/>
        <v>4.2387607289550546</v>
      </c>
      <c r="BS303" s="108">
        <f t="shared" si="152"/>
        <v>7.4590662811866988</v>
      </c>
      <c r="BT303" s="118">
        <f t="shared" si="153"/>
        <v>1.1000000000000001</v>
      </c>
      <c r="BU303" s="108">
        <f t="shared" si="154"/>
        <v>8.2049729093053685</v>
      </c>
      <c r="BV303" s="6" cm="1">
        <f t="array" ref="BV303">IF(AP303=0,FactorPhi7121(BR303,"a"),noisuy2chieu(BU303,BR303,Data!$A$63:$M$85))</f>
        <v>0</v>
      </c>
      <c r="BW303" s="111">
        <v>1.26</v>
      </c>
      <c r="BX303" s="111">
        <f t="shared" si="155"/>
        <v>0.94511120993867748</v>
      </c>
      <c r="BY303" s="113" t="e">
        <f t="shared" si="156"/>
        <v>#DIV/0!</v>
      </c>
      <c r="BZ303" s="6" t="e">
        <f t="shared" si="157"/>
        <v>#DIV/0!</v>
      </c>
      <c r="CA303" s="114">
        <f t="shared" si="158"/>
        <v>127.25109874278135</v>
      </c>
      <c r="CB303" s="115" t="e">
        <f t="shared" si="159"/>
        <v>#DIV/0!</v>
      </c>
      <c r="CC303" s="6" t="e">
        <f t="shared" si="160"/>
        <v>#DIV/0!</v>
      </c>
      <c r="DG303" s="108"/>
      <c r="DH303" s="108"/>
      <c r="DI303" s="16"/>
      <c r="DJ303" s="108"/>
      <c r="DT303" s="6"/>
      <c r="DU303" s="6"/>
      <c r="DV303" s="111"/>
      <c r="DW303" s="111"/>
      <c r="DX303" s="111"/>
      <c r="DY303" s="111"/>
      <c r="DZ303" s="111"/>
      <c r="EA303" s="111"/>
      <c r="EB303" s="111"/>
      <c r="EC303" s="111"/>
      <c r="ED303" s="111"/>
      <c r="EE303" s="111"/>
      <c r="EF303" s="6"/>
      <c r="EG303" s="6"/>
      <c r="EH303" s="6"/>
      <c r="EI303" s="6"/>
      <c r="EJ303" s="6"/>
      <c r="EK303" s="6"/>
      <c r="EL303" s="112"/>
      <c r="EM303" s="112"/>
      <c r="EN303" s="118"/>
      <c r="EO303" s="118"/>
      <c r="EP303" s="112"/>
      <c r="EQ303" s="112"/>
      <c r="ER303" s="112"/>
      <c r="ES303" s="112"/>
      <c r="ET303" s="112"/>
      <c r="EU303" s="112"/>
      <c r="EV303" s="6"/>
      <c r="EW303" s="6"/>
      <c r="EX303" s="118"/>
      <c r="EY303" s="113"/>
      <c r="EZ303" s="6"/>
      <c r="FA303" s="114"/>
      <c r="FB303" s="115"/>
      <c r="FC303" s="6"/>
    </row>
    <row r="304" spans="27:159">
      <c r="AA304" s="79" t="s">
        <v>175</v>
      </c>
      <c r="AB304" s="80" t="s">
        <v>199</v>
      </c>
      <c r="AC304" s="81">
        <v>5.48</v>
      </c>
      <c r="AD304" s="81">
        <v>6</v>
      </c>
      <c r="AE304" s="80">
        <v>273</v>
      </c>
      <c r="AF304" s="80">
        <v>6.35</v>
      </c>
      <c r="AG304" s="108" cm="1">
        <f t="array" ref="AG304">_xll.DCEPropSectPipe(AE304, AF304, "Area")/100</f>
        <v>53.19431074856206</v>
      </c>
      <c r="AH304" s="16" cm="1">
        <f t="array" ref="AH304">_xll.DCEPropSectPipe(AE304, AF304, "Ix")/10000</f>
        <v>4730.4733077169503</v>
      </c>
      <c r="AI304" s="16" cm="1">
        <f t="array" ref="AI304">_xll.DCEPropSectPipe(AE304, AF304, "Wx")/1000</f>
        <v>346.55482107816493</v>
      </c>
      <c r="AJ304" s="108">
        <f t="shared" si="129"/>
        <v>9.4301739777164251</v>
      </c>
      <c r="AK304" s="80" t="s">
        <v>208</v>
      </c>
      <c r="AL304" s="82">
        <v>-35.797108396588044</v>
      </c>
      <c r="AM304" s="82">
        <v>-6.5828924057110916</v>
      </c>
      <c r="AN304" s="82">
        <v>1.4472812588118937</v>
      </c>
      <c r="AO304" s="82">
        <v>-7.9368904233244244</v>
      </c>
      <c r="AP304" s="82">
        <v>36.100581952919626</v>
      </c>
      <c r="AQ304" s="82">
        <v>-0.1910526191819312</v>
      </c>
      <c r="AR304" s="72">
        <v>1</v>
      </c>
      <c r="AS304" s="116">
        <f t="shared" si="130"/>
        <v>6</v>
      </c>
      <c r="AT304" s="7">
        <v>2</v>
      </c>
      <c r="AU304" s="6">
        <f t="shared" si="131"/>
        <v>12</v>
      </c>
      <c r="AV304" s="111">
        <f t="shared" si="132"/>
        <v>2.944156001481911E-2</v>
      </c>
      <c r="AW304" s="117">
        <f t="shared" si="133"/>
        <v>105</v>
      </c>
      <c r="AX304" s="111">
        <f t="shared" si="134"/>
        <v>1</v>
      </c>
      <c r="AY304" s="111">
        <f t="shared" si="135"/>
        <v>1</v>
      </c>
      <c r="AZ304" s="111">
        <f t="shared" si="136"/>
        <v>1</v>
      </c>
      <c r="BA304" s="111">
        <f t="shared" si="137"/>
        <v>3.0991115805072751E-2</v>
      </c>
      <c r="BB304" s="111">
        <f t="shared" si="138"/>
        <v>0.10547095821973693</v>
      </c>
      <c r="BC304" s="111">
        <f t="shared" si="139"/>
        <v>0.47972981454741431</v>
      </c>
      <c r="BD304" s="111">
        <v>0</v>
      </c>
      <c r="BE304" s="111">
        <f t="shared" si="140"/>
        <v>0.61619188857222396</v>
      </c>
      <c r="BF304" s="6" t="str">
        <f t="shared" si="141"/>
        <v>OK</v>
      </c>
      <c r="BG304" s="16">
        <f t="shared" si="142"/>
        <v>63.625549371390676</v>
      </c>
      <c r="BH304" s="118">
        <f t="shared" si="143"/>
        <v>2.1193803644775273</v>
      </c>
      <c r="BI304" s="108">
        <f t="shared" si="144"/>
        <v>3.4032643059103092</v>
      </c>
      <c r="BJ304" s="6">
        <f t="shared" si="145"/>
        <v>1.1459958819313438</v>
      </c>
      <c r="BK304" s="108">
        <f t="shared" si="146"/>
        <v>3.9001268796971473</v>
      </c>
      <c r="BL304" s="118" cm="1">
        <f t="array" ref="BL304">IF(AO304=0,FactorPhi7121(BH304,"a"),noisuy2chieu(BK304,BH304,Data!$A$63:$M$85))</f>
        <v>0</v>
      </c>
      <c r="BM304" s="111">
        <v>1.26</v>
      </c>
      <c r="BN304" s="118">
        <f t="shared" si="147"/>
        <v>0.98677551918397932</v>
      </c>
      <c r="BO304" s="108" t="e">
        <f t="shared" si="148"/>
        <v>#DIV/0!</v>
      </c>
      <c r="BP304" s="6" t="e">
        <f t="shared" si="149"/>
        <v>#DIV/0!</v>
      </c>
      <c r="BQ304" s="16">
        <f t="shared" si="150"/>
        <v>127.25109874278135</v>
      </c>
      <c r="BR304" s="118">
        <f t="shared" si="151"/>
        <v>4.2387607289550546</v>
      </c>
      <c r="BS304" s="108">
        <f t="shared" si="152"/>
        <v>15.479591556651545</v>
      </c>
      <c r="BT304" s="118">
        <f t="shared" si="153"/>
        <v>1.1000000000000001</v>
      </c>
      <c r="BU304" s="108">
        <f t="shared" si="154"/>
        <v>17.0275507123167</v>
      </c>
      <c r="BV304" s="6" cm="1">
        <f t="array" ref="BV304">IF(AP304=0,FactorPhi7121(BR304,"a"),noisuy2chieu(BU304,BR304,Data!$A$63:$M$85))</f>
        <v>0</v>
      </c>
      <c r="BW304" s="111">
        <v>1.26</v>
      </c>
      <c r="BX304" s="111">
        <f t="shared" si="155"/>
        <v>0.94710207673591751</v>
      </c>
      <c r="BY304" s="113" t="e">
        <f t="shared" si="156"/>
        <v>#DIV/0!</v>
      </c>
      <c r="BZ304" s="6" t="e">
        <f t="shared" si="157"/>
        <v>#DIV/0!</v>
      </c>
      <c r="CA304" s="114">
        <f t="shared" si="158"/>
        <v>127.25109874278135</v>
      </c>
      <c r="CB304" s="115" t="e">
        <f t="shared" si="159"/>
        <v>#DIV/0!</v>
      </c>
      <c r="CC304" s="6" t="e">
        <f t="shared" si="160"/>
        <v>#DIV/0!</v>
      </c>
      <c r="DG304" s="108"/>
      <c r="DH304" s="108"/>
      <c r="DI304" s="16"/>
      <c r="DJ304" s="108"/>
      <c r="DT304" s="6"/>
      <c r="DU304" s="6"/>
      <c r="DV304" s="111"/>
      <c r="DW304" s="111"/>
      <c r="DX304" s="111"/>
      <c r="DY304" s="111"/>
      <c r="DZ304" s="111"/>
      <c r="EA304" s="111"/>
      <c r="EB304" s="111"/>
      <c r="EC304" s="111"/>
      <c r="ED304" s="111"/>
      <c r="EE304" s="111"/>
      <c r="EF304" s="6"/>
      <c r="EG304" s="6"/>
      <c r="EH304" s="6"/>
      <c r="EI304" s="6"/>
      <c r="EJ304" s="6"/>
      <c r="EK304" s="6"/>
      <c r="EL304" s="112"/>
      <c r="EM304" s="112"/>
      <c r="EN304" s="118"/>
      <c r="EO304" s="118"/>
      <c r="EP304" s="112"/>
      <c r="EQ304" s="112"/>
      <c r="ER304" s="112"/>
      <c r="ES304" s="112"/>
      <c r="ET304" s="112"/>
      <c r="EU304" s="112"/>
      <c r="EV304" s="6"/>
      <c r="EW304" s="6"/>
      <c r="EX304" s="118"/>
      <c r="EY304" s="113"/>
      <c r="EZ304" s="6"/>
      <c r="FA304" s="114"/>
      <c r="FB304" s="115"/>
      <c r="FC304" s="6"/>
    </row>
    <row r="305" spans="27:159">
      <c r="AA305" s="79" t="s">
        <v>175</v>
      </c>
      <c r="AB305" s="80" t="s">
        <v>199</v>
      </c>
      <c r="AC305" s="81">
        <v>0</v>
      </c>
      <c r="AD305" s="81">
        <v>6</v>
      </c>
      <c r="AE305" s="80">
        <v>273</v>
      </c>
      <c r="AF305" s="80">
        <v>6.35</v>
      </c>
      <c r="AG305" s="108" cm="1">
        <f t="array" ref="AG305">_xll.DCEPropSectPipe(AE305, AF305, "Area")/100</f>
        <v>53.19431074856206</v>
      </c>
      <c r="AH305" s="16" cm="1">
        <f t="array" ref="AH305">_xll.DCEPropSectPipe(AE305, AF305, "Ix")/10000</f>
        <v>4730.4733077169503</v>
      </c>
      <c r="AI305" s="16" cm="1">
        <f t="array" ref="AI305">_xll.DCEPropSectPipe(AE305, AF305, "Wx")/1000</f>
        <v>346.55482107816493</v>
      </c>
      <c r="AJ305" s="108">
        <f t="shared" si="129"/>
        <v>9.4301739777164251</v>
      </c>
      <c r="AK305" s="80" t="s">
        <v>209</v>
      </c>
      <c r="AL305" s="82">
        <v>8.6400580313594499</v>
      </c>
      <c r="AM305" s="82">
        <v>1.3270948260671764</v>
      </c>
      <c r="AN305" s="82">
        <v>-0.18972375517974702</v>
      </c>
      <c r="AO305" s="82">
        <v>0</v>
      </c>
      <c r="AP305" s="82">
        <v>0</v>
      </c>
      <c r="AQ305" s="82">
        <v>0.10910433487749831</v>
      </c>
      <c r="AR305" s="72">
        <v>1</v>
      </c>
      <c r="AS305" s="116">
        <f t="shared" si="130"/>
        <v>6</v>
      </c>
      <c r="AT305" s="7">
        <v>2</v>
      </c>
      <c r="AU305" s="6">
        <f t="shared" si="131"/>
        <v>12</v>
      </c>
      <c r="AV305" s="111">
        <f t="shared" si="132"/>
        <v>7.1060708100667341E-3</v>
      </c>
      <c r="AW305" s="117">
        <f t="shared" si="133"/>
        <v>105</v>
      </c>
      <c r="AX305" s="111">
        <f t="shared" si="134"/>
        <v>1</v>
      </c>
      <c r="AY305" s="111">
        <f t="shared" si="135"/>
        <v>1</v>
      </c>
      <c r="AZ305" s="111">
        <f t="shared" si="136"/>
        <v>1</v>
      </c>
      <c r="BA305" s="111">
        <f t="shared" si="137"/>
        <v>7.4800745369123529E-3</v>
      </c>
      <c r="BB305" s="111">
        <f t="shared" si="138"/>
        <v>0</v>
      </c>
      <c r="BC305" s="111">
        <f t="shared" si="139"/>
        <v>0</v>
      </c>
      <c r="BD305" s="111">
        <v>0</v>
      </c>
      <c r="BE305" s="111">
        <f t="shared" si="140"/>
        <v>7.4800745369123529E-3</v>
      </c>
      <c r="BF305" s="6" t="str">
        <f t="shared" si="141"/>
        <v>OK</v>
      </c>
      <c r="BG305" s="16">
        <f t="shared" si="142"/>
        <v>63.625549371390676</v>
      </c>
      <c r="BH305" s="118">
        <f t="shared" si="143"/>
        <v>2.1193803644775273</v>
      </c>
      <c r="BI305" s="108">
        <f t="shared" si="144"/>
        <v>0</v>
      </c>
      <c r="BJ305" s="6">
        <f t="shared" si="145"/>
        <v>1.2440309817761237</v>
      </c>
      <c r="BK305" s="108">
        <f t="shared" si="146"/>
        <v>0</v>
      </c>
      <c r="BL305" s="118" cm="1">
        <f t="array" ref="BL305">IF(AO305=0,FactorPhi7121(BH305,"a"),noisuy2chieu(BK305,BH305,Data!$A$63:$M$85))</f>
        <v>0.86214274110469236</v>
      </c>
      <c r="BM305" s="111">
        <v>1.26</v>
      </c>
      <c r="BN305" s="118">
        <f t="shared" si="147"/>
        <v>0.99680811420802051</v>
      </c>
      <c r="BO305" s="108">
        <f t="shared" si="148"/>
        <v>1.7683579624067639E-2</v>
      </c>
      <c r="BP305" s="6" t="str">
        <f t="shared" si="149"/>
        <v>OK</v>
      </c>
      <c r="BQ305" s="16">
        <f t="shared" si="150"/>
        <v>127.25109874278135</v>
      </c>
      <c r="BR305" s="118">
        <f t="shared" si="151"/>
        <v>4.2387607289550546</v>
      </c>
      <c r="BS305" s="108">
        <f t="shared" si="152"/>
        <v>0</v>
      </c>
      <c r="BT305" s="118">
        <f t="shared" si="153"/>
        <v>1.1380619635522473</v>
      </c>
      <c r="BU305" s="108">
        <f t="shared" si="154"/>
        <v>0</v>
      </c>
      <c r="BV305" s="6" cm="1">
        <f t="array" ref="BV305">IF(AP305=0,FactorPhi7121(BR305,"a"),noisuy2chieu(BU305,BR305,Data!$A$63:$M$85))</f>
        <v>0.42299549615688942</v>
      </c>
      <c r="BW305" s="111">
        <v>1.26</v>
      </c>
      <c r="BX305" s="111">
        <f t="shared" si="155"/>
        <v>0.98723245683208216</v>
      </c>
      <c r="BY305" s="113">
        <f t="shared" si="156"/>
        <v>8.676143961181975E-3</v>
      </c>
      <c r="BZ305" s="6" t="str">
        <f t="shared" si="157"/>
        <v>OK</v>
      </c>
      <c r="CA305" s="114">
        <f t="shared" si="158"/>
        <v>127.25109874278135</v>
      </c>
      <c r="CB305" s="115">
        <f t="shared" si="159"/>
        <v>150</v>
      </c>
      <c r="CC305" s="6" t="str">
        <f t="shared" si="160"/>
        <v>OK</v>
      </c>
      <c r="DG305" s="108"/>
      <c r="DH305" s="108"/>
      <c r="DI305" s="16"/>
      <c r="DJ305" s="108"/>
      <c r="DT305" s="6"/>
      <c r="DU305" s="6"/>
      <c r="DV305" s="111"/>
      <c r="DW305" s="111"/>
      <c r="DX305" s="111"/>
      <c r="DY305" s="111"/>
      <c r="DZ305" s="111"/>
      <c r="EA305" s="111"/>
      <c r="EB305" s="111"/>
      <c r="EC305" s="111"/>
      <c r="ED305" s="111"/>
      <c r="EE305" s="111"/>
      <c r="EF305" s="6"/>
      <c r="EG305" s="6"/>
      <c r="EH305" s="6"/>
      <c r="EI305" s="6"/>
      <c r="EJ305" s="6"/>
      <c r="EK305" s="6"/>
      <c r="EL305" s="112"/>
      <c r="EM305" s="112"/>
      <c r="EN305" s="118"/>
      <c r="EO305" s="118"/>
      <c r="EP305" s="112"/>
      <c r="EQ305" s="112"/>
      <c r="ER305" s="112"/>
      <c r="ES305" s="112"/>
      <c r="ET305" s="112"/>
      <c r="EU305" s="112"/>
      <c r="EV305" s="6"/>
      <c r="EW305" s="6"/>
      <c r="EX305" s="118"/>
      <c r="EY305" s="113"/>
      <c r="EZ305" s="6"/>
      <c r="FA305" s="114"/>
      <c r="FB305" s="115"/>
      <c r="FC305" s="6"/>
    </row>
    <row r="306" spans="27:159">
      <c r="AA306" s="79" t="s">
        <v>175</v>
      </c>
      <c r="AB306" s="80" t="s">
        <v>199</v>
      </c>
      <c r="AC306" s="81">
        <v>2.74</v>
      </c>
      <c r="AD306" s="81">
        <v>6</v>
      </c>
      <c r="AE306" s="80">
        <v>273</v>
      </c>
      <c r="AF306" s="80">
        <v>6.35</v>
      </c>
      <c r="AG306" s="108" cm="1">
        <f t="array" ref="AG306">_xll.DCEPropSectPipe(AE306, AF306, "Area")/100</f>
        <v>53.19431074856206</v>
      </c>
      <c r="AH306" s="16" cm="1">
        <f t="array" ref="AH306">_xll.DCEPropSectPipe(AE306, AF306, "Ix")/10000</f>
        <v>4730.4733077169503</v>
      </c>
      <c r="AI306" s="16" cm="1">
        <f t="array" ref="AI306">_xll.DCEPropSectPipe(AE306, AF306, "Wx")/1000</f>
        <v>346.55482107816493</v>
      </c>
      <c r="AJ306" s="108">
        <f t="shared" si="129"/>
        <v>9.4301739777164251</v>
      </c>
      <c r="AK306" s="80" t="s">
        <v>209</v>
      </c>
      <c r="AL306" s="82">
        <v>9.9873183800914802</v>
      </c>
      <c r="AM306" s="82">
        <v>1.3270948260671764</v>
      </c>
      <c r="AN306" s="82">
        <v>-0.18972375517974702</v>
      </c>
      <c r="AO306" s="82">
        <v>0.52022253670286633</v>
      </c>
      <c r="AP306" s="82">
        <v>-3.6388940130761953</v>
      </c>
      <c r="AQ306" s="82">
        <v>0.10910433487749831</v>
      </c>
      <c r="AR306" s="72">
        <v>1</v>
      </c>
      <c r="AS306" s="116">
        <f t="shared" si="130"/>
        <v>6</v>
      </c>
      <c r="AT306" s="7">
        <v>2</v>
      </c>
      <c r="AU306" s="6">
        <f t="shared" si="131"/>
        <v>12</v>
      </c>
      <c r="AV306" s="111">
        <f t="shared" si="132"/>
        <v>8.2141336729476041E-3</v>
      </c>
      <c r="AW306" s="117">
        <f t="shared" si="133"/>
        <v>105</v>
      </c>
      <c r="AX306" s="111">
        <f t="shared" si="134"/>
        <v>1</v>
      </c>
      <c r="AY306" s="111">
        <f t="shared" si="135"/>
        <v>1</v>
      </c>
      <c r="AZ306" s="111">
        <f t="shared" si="136"/>
        <v>1</v>
      </c>
      <c r="BA306" s="111">
        <f t="shared" si="137"/>
        <v>8.6464564978395841E-3</v>
      </c>
      <c r="BB306" s="111">
        <f t="shared" si="138"/>
        <v>6.9130813841539159E-3</v>
      </c>
      <c r="BC306" s="111">
        <f t="shared" si="139"/>
        <v>4.8356171995436695E-2</v>
      </c>
      <c r="BD306" s="111">
        <v>0</v>
      </c>
      <c r="BE306" s="111">
        <f t="shared" si="140"/>
        <v>6.3915709877430199E-2</v>
      </c>
      <c r="BF306" s="6" t="str">
        <f t="shared" si="141"/>
        <v>OK</v>
      </c>
      <c r="BG306" s="16">
        <f t="shared" si="142"/>
        <v>63.625549371390676</v>
      </c>
      <c r="BH306" s="118">
        <f t="shared" si="143"/>
        <v>2.1193803644775273</v>
      </c>
      <c r="BI306" s="108">
        <f t="shared" si="144"/>
        <v>0.79952768927724649</v>
      </c>
      <c r="BJ306" s="6">
        <f t="shared" si="145"/>
        <v>1.2209996301673642</v>
      </c>
      <c r="BK306" s="108">
        <f t="shared" si="146"/>
        <v>0.97622301291608526</v>
      </c>
      <c r="BL306" s="118" cm="1">
        <f t="array" ref="BL306">IF(AO306=0,FactorPhi7121(BH306,"a"),noisuy2chieu(BK306,BH306,Data!$A$63:$M$85))</f>
        <v>0</v>
      </c>
      <c r="BM306" s="111">
        <v>1.26</v>
      </c>
      <c r="BN306" s="118">
        <f t="shared" si="147"/>
        <v>0.99631039750871053</v>
      </c>
      <c r="BO306" s="108" t="e">
        <f t="shared" si="148"/>
        <v>#DIV/0!</v>
      </c>
      <c r="BP306" s="6" t="e">
        <f t="shared" si="149"/>
        <v>#DIV/0!</v>
      </c>
      <c r="BQ306" s="16">
        <f t="shared" si="150"/>
        <v>127.25109874278135</v>
      </c>
      <c r="BR306" s="118">
        <f t="shared" si="151"/>
        <v>4.2387607289550546</v>
      </c>
      <c r="BS306" s="108">
        <f t="shared" si="152"/>
        <v>5.5925999289441908</v>
      </c>
      <c r="BT306" s="118">
        <f t="shared" si="153"/>
        <v>1.1000000000000001</v>
      </c>
      <c r="BU306" s="108">
        <f t="shared" si="154"/>
        <v>6.1518599218386107</v>
      </c>
      <c r="BV306" s="6" cm="1">
        <f t="array" ref="BV306">IF(AP306=0,FactorPhi7121(BR306,"a"),noisuy2chieu(BU306,BR306,Data!$A$63:$M$85))</f>
        <v>0</v>
      </c>
      <c r="BW306" s="111">
        <v>1.26</v>
      </c>
      <c r="BX306" s="111">
        <f t="shared" si="155"/>
        <v>0.98524159003484213</v>
      </c>
      <c r="BY306" s="113" t="e">
        <f t="shared" si="156"/>
        <v>#DIV/0!</v>
      </c>
      <c r="BZ306" s="6" t="e">
        <f t="shared" si="157"/>
        <v>#DIV/0!</v>
      </c>
      <c r="CA306" s="114">
        <f t="shared" si="158"/>
        <v>127.25109874278135</v>
      </c>
      <c r="CB306" s="115" t="e">
        <f t="shared" si="159"/>
        <v>#DIV/0!</v>
      </c>
      <c r="CC306" s="6" t="e">
        <f t="shared" si="160"/>
        <v>#DIV/0!</v>
      </c>
      <c r="DG306" s="108"/>
      <c r="DH306" s="108"/>
      <c r="DI306" s="16"/>
      <c r="DJ306" s="108"/>
      <c r="DT306" s="6"/>
      <c r="DU306" s="6"/>
      <c r="DV306" s="111"/>
      <c r="DW306" s="111"/>
      <c r="DX306" s="111"/>
      <c r="DY306" s="111"/>
      <c r="DZ306" s="111"/>
      <c r="EA306" s="111"/>
      <c r="EB306" s="111"/>
      <c r="EC306" s="111"/>
      <c r="ED306" s="111"/>
      <c r="EE306" s="111"/>
      <c r="EF306" s="6"/>
      <c r="EG306" s="6"/>
      <c r="EH306" s="6"/>
      <c r="EI306" s="6"/>
      <c r="EJ306" s="6"/>
      <c r="EK306" s="6"/>
      <c r="EL306" s="112"/>
      <c r="EM306" s="112"/>
      <c r="EN306" s="118"/>
      <c r="EO306" s="118"/>
      <c r="EP306" s="112"/>
      <c r="EQ306" s="112"/>
      <c r="ER306" s="112"/>
      <c r="ES306" s="112"/>
      <c r="ET306" s="112"/>
      <c r="EU306" s="112"/>
      <c r="EV306" s="6"/>
      <c r="EW306" s="6"/>
      <c r="EX306" s="118"/>
      <c r="EY306" s="113"/>
      <c r="EZ306" s="6"/>
      <c r="FA306" s="114"/>
      <c r="FB306" s="115"/>
      <c r="FC306" s="6"/>
    </row>
    <row r="307" spans="27:159">
      <c r="AA307" s="79" t="s">
        <v>175</v>
      </c>
      <c r="AB307" s="80" t="s">
        <v>199</v>
      </c>
      <c r="AC307" s="81">
        <v>5.48</v>
      </c>
      <c r="AD307" s="81">
        <v>6</v>
      </c>
      <c r="AE307" s="80">
        <v>273</v>
      </c>
      <c r="AF307" s="80">
        <v>6.35</v>
      </c>
      <c r="AG307" s="108" cm="1">
        <f t="array" ref="AG307">_xll.DCEPropSectPipe(AE307, AF307, "Area")/100</f>
        <v>53.19431074856206</v>
      </c>
      <c r="AH307" s="16" cm="1">
        <f t="array" ref="AH307">_xll.DCEPropSectPipe(AE307, AF307, "Ix")/10000</f>
        <v>4730.4733077169503</v>
      </c>
      <c r="AI307" s="16" cm="1">
        <f t="array" ref="AI307">_xll.DCEPropSectPipe(AE307, AF307, "Wx")/1000</f>
        <v>346.55482107816493</v>
      </c>
      <c r="AJ307" s="108">
        <f t="shared" si="129"/>
        <v>9.4301739777164251</v>
      </c>
      <c r="AK307" s="80" t="s">
        <v>209</v>
      </c>
      <c r="AL307" s="82">
        <v>11.334578728823514</v>
      </c>
      <c r="AM307" s="82">
        <v>1.3270948260671764</v>
      </c>
      <c r="AN307" s="82">
        <v>-0.18972375517974702</v>
      </c>
      <c r="AO307" s="82">
        <v>1.0404450734057327</v>
      </c>
      <c r="AP307" s="82">
        <v>-7.2777880261523906</v>
      </c>
      <c r="AQ307" s="82">
        <v>0.10910433487749831</v>
      </c>
      <c r="AR307" s="72">
        <v>1</v>
      </c>
      <c r="AS307" s="116">
        <f t="shared" si="130"/>
        <v>6</v>
      </c>
      <c r="AT307" s="7">
        <v>2</v>
      </c>
      <c r="AU307" s="6">
        <f t="shared" si="131"/>
        <v>12</v>
      </c>
      <c r="AV307" s="111">
        <f t="shared" si="132"/>
        <v>9.3221965358284767E-3</v>
      </c>
      <c r="AW307" s="117">
        <f t="shared" si="133"/>
        <v>105</v>
      </c>
      <c r="AX307" s="111">
        <f t="shared" si="134"/>
        <v>1</v>
      </c>
      <c r="AY307" s="111">
        <f t="shared" si="135"/>
        <v>1</v>
      </c>
      <c r="AZ307" s="111">
        <f t="shared" si="136"/>
        <v>1</v>
      </c>
      <c r="BA307" s="111">
        <f t="shared" si="137"/>
        <v>9.8128384587668205E-3</v>
      </c>
      <c r="BB307" s="111">
        <f t="shared" si="138"/>
        <v>1.3826162768307832E-2</v>
      </c>
      <c r="BC307" s="111">
        <f t="shared" si="139"/>
        <v>9.671234399087339E-2</v>
      </c>
      <c r="BD307" s="111">
        <v>0</v>
      </c>
      <c r="BE307" s="111">
        <f t="shared" si="140"/>
        <v>0.12035134521794805</v>
      </c>
      <c r="BF307" s="6" t="str">
        <f t="shared" si="141"/>
        <v>OK</v>
      </c>
      <c r="BG307" s="16">
        <f t="shared" si="142"/>
        <v>63.625549371390676</v>
      </c>
      <c r="BH307" s="118">
        <f t="shared" si="143"/>
        <v>2.1193803644775273</v>
      </c>
      <c r="BI307" s="108">
        <f t="shared" si="144"/>
        <v>1.4089870964863891</v>
      </c>
      <c r="BJ307" s="6">
        <f t="shared" si="145"/>
        <v>1.2034434228127588</v>
      </c>
      <c r="BK307" s="108">
        <f t="shared" si="146"/>
        <v>1.6956362540945911</v>
      </c>
      <c r="BL307" s="118" cm="1">
        <f t="array" ref="BL307">IF(AO307=0,FactorPhi7121(BH307,"a"),noisuy2chieu(BK307,BH307,Data!$A$63:$M$85))</f>
        <v>0</v>
      </c>
      <c r="BM307" s="111">
        <v>1.26</v>
      </c>
      <c r="BN307" s="118">
        <f t="shared" si="147"/>
        <v>0.99581268080940055</v>
      </c>
      <c r="BO307" s="108" t="e">
        <f t="shared" si="148"/>
        <v>#DIV/0!</v>
      </c>
      <c r="BP307" s="6" t="e">
        <f t="shared" si="149"/>
        <v>#DIV/0!</v>
      </c>
      <c r="BQ307" s="16">
        <f t="shared" si="150"/>
        <v>127.25109874278135</v>
      </c>
      <c r="BR307" s="118">
        <f t="shared" si="151"/>
        <v>4.2387607289550546</v>
      </c>
      <c r="BS307" s="108">
        <f t="shared" si="152"/>
        <v>9.8556951077157784</v>
      </c>
      <c r="BT307" s="118">
        <f t="shared" si="153"/>
        <v>1.1000000000000001</v>
      </c>
      <c r="BU307" s="108">
        <f t="shared" si="154"/>
        <v>10.841264618487356</v>
      </c>
      <c r="BV307" s="6" cm="1">
        <f t="array" ref="BV307">IF(AP307=0,FactorPhi7121(BR307,"a"),noisuy2chieu(BU307,BR307,Data!$A$63:$M$85))</f>
        <v>0</v>
      </c>
      <c r="BW307" s="111">
        <v>1.26</v>
      </c>
      <c r="BX307" s="111">
        <f t="shared" si="155"/>
        <v>0.98325072323760221</v>
      </c>
      <c r="BY307" s="113" t="e">
        <f t="shared" si="156"/>
        <v>#DIV/0!</v>
      </c>
      <c r="BZ307" s="6" t="e">
        <f t="shared" si="157"/>
        <v>#DIV/0!</v>
      </c>
      <c r="CA307" s="114">
        <f t="shared" si="158"/>
        <v>127.25109874278135</v>
      </c>
      <c r="CB307" s="115" t="e">
        <f t="shared" si="159"/>
        <v>#DIV/0!</v>
      </c>
      <c r="CC307" s="6" t="e">
        <f t="shared" si="160"/>
        <v>#DIV/0!</v>
      </c>
      <c r="DG307" s="108"/>
      <c r="DH307" s="108"/>
      <c r="DI307" s="16"/>
      <c r="DJ307" s="108"/>
      <c r="DT307" s="6"/>
      <c r="DU307" s="6"/>
      <c r="DV307" s="111"/>
      <c r="DW307" s="111"/>
      <c r="DX307" s="111"/>
      <c r="DY307" s="111"/>
      <c r="DZ307" s="111"/>
      <c r="EA307" s="111"/>
      <c r="EB307" s="111"/>
      <c r="EC307" s="111"/>
      <c r="ED307" s="111"/>
      <c r="EE307" s="111"/>
      <c r="EF307" s="6"/>
      <c r="EG307" s="6"/>
      <c r="EH307" s="6"/>
      <c r="EI307" s="6"/>
      <c r="EJ307" s="6"/>
      <c r="EK307" s="6"/>
      <c r="EL307" s="112"/>
      <c r="EM307" s="112"/>
      <c r="EN307" s="118"/>
      <c r="EO307" s="118"/>
      <c r="EP307" s="112"/>
      <c r="EQ307" s="112"/>
      <c r="ER307" s="112"/>
      <c r="ES307" s="112"/>
      <c r="ET307" s="112"/>
      <c r="EU307" s="112"/>
      <c r="EV307" s="6"/>
      <c r="EW307" s="6"/>
      <c r="EX307" s="118"/>
      <c r="EY307" s="113"/>
      <c r="EZ307" s="6"/>
      <c r="FA307" s="114"/>
      <c r="FB307" s="115"/>
      <c r="FC307" s="6"/>
    </row>
    <row r="308" spans="27:159">
      <c r="AA308" s="79" t="s">
        <v>175</v>
      </c>
      <c r="AB308" s="80" t="s">
        <v>199</v>
      </c>
      <c r="AC308" s="81">
        <v>0</v>
      </c>
      <c r="AD308" s="81">
        <v>6</v>
      </c>
      <c r="AE308" s="80">
        <v>273</v>
      </c>
      <c r="AF308" s="80">
        <v>6.35</v>
      </c>
      <c r="AG308" s="108" cm="1">
        <f t="array" ref="AG308">_xll.DCEPropSectPipe(AE308, AF308, "Area")/100</f>
        <v>53.19431074856206</v>
      </c>
      <c r="AH308" s="16" cm="1">
        <f t="array" ref="AH308">_xll.DCEPropSectPipe(AE308, AF308, "Ix")/10000</f>
        <v>4730.4733077169503</v>
      </c>
      <c r="AI308" s="16" cm="1">
        <f t="array" ref="AI308">_xll.DCEPropSectPipe(AE308, AF308, "Wx")/1000</f>
        <v>346.55482107816493</v>
      </c>
      <c r="AJ308" s="108">
        <f t="shared" si="129"/>
        <v>9.4301739777164251</v>
      </c>
      <c r="AK308" s="80" t="s">
        <v>210</v>
      </c>
      <c r="AL308" s="82">
        <v>-1.3861481487410998</v>
      </c>
      <c r="AM308" s="82">
        <v>1.3968122438037169</v>
      </c>
      <c r="AN308" s="82">
        <v>-9.5868037677723783E-2</v>
      </c>
      <c r="AO308" s="82">
        <v>0</v>
      </c>
      <c r="AP308" s="82">
        <v>0</v>
      </c>
      <c r="AQ308" s="82">
        <v>7.6547178926653733E-2</v>
      </c>
      <c r="AR308" s="72">
        <v>1</v>
      </c>
      <c r="AS308" s="116">
        <f t="shared" si="130"/>
        <v>6</v>
      </c>
      <c r="AT308" s="7">
        <v>2</v>
      </c>
      <c r="AU308" s="6">
        <f t="shared" si="131"/>
        <v>12</v>
      </c>
      <c r="AV308" s="111">
        <f t="shared" si="132"/>
        <v>1.1400463819161797E-3</v>
      </c>
      <c r="AW308" s="117">
        <f t="shared" si="133"/>
        <v>105</v>
      </c>
      <c r="AX308" s="111">
        <f t="shared" si="134"/>
        <v>1</v>
      </c>
      <c r="AY308" s="111">
        <f t="shared" si="135"/>
        <v>1</v>
      </c>
      <c r="AZ308" s="111">
        <f t="shared" si="136"/>
        <v>1</v>
      </c>
      <c r="BA308" s="111">
        <f t="shared" si="137"/>
        <v>1.200048823069663E-3</v>
      </c>
      <c r="BB308" s="111">
        <f t="shared" si="138"/>
        <v>0</v>
      </c>
      <c r="BC308" s="111">
        <f t="shared" si="139"/>
        <v>0</v>
      </c>
      <c r="BD308" s="111">
        <v>0</v>
      </c>
      <c r="BE308" s="111">
        <f t="shared" si="140"/>
        <v>1.200048823069663E-3</v>
      </c>
      <c r="BF308" s="6" t="str">
        <f t="shared" si="141"/>
        <v>OK</v>
      </c>
      <c r="BG308" s="16">
        <f t="shared" si="142"/>
        <v>63.625549371390676</v>
      </c>
      <c r="BH308" s="118">
        <f t="shared" si="143"/>
        <v>2.1193803644775273</v>
      </c>
      <c r="BI308" s="108">
        <f t="shared" si="144"/>
        <v>0</v>
      </c>
      <c r="BJ308" s="6">
        <f t="shared" si="145"/>
        <v>1.2440309817761237</v>
      </c>
      <c r="BK308" s="108">
        <f t="shared" si="146"/>
        <v>0</v>
      </c>
      <c r="BL308" s="118" cm="1">
        <f t="array" ref="BL308">IF(AO308=0,FactorPhi7121(BH308,"a"),noisuy2chieu(BK308,BH308,Data!$A$63:$M$85))</f>
        <v>0.86214274110469236</v>
      </c>
      <c r="BM308" s="111">
        <v>1.26</v>
      </c>
      <c r="BN308" s="118">
        <f t="shared" si="147"/>
        <v>0.99948791702955153</v>
      </c>
      <c r="BO308" s="108">
        <f t="shared" si="148"/>
        <v>2.8370250604856642E-3</v>
      </c>
      <c r="BP308" s="6" t="str">
        <f t="shared" si="149"/>
        <v>OK</v>
      </c>
      <c r="BQ308" s="16">
        <f t="shared" si="150"/>
        <v>127.25109874278135</v>
      </c>
      <c r="BR308" s="118">
        <f t="shared" si="151"/>
        <v>4.2387607289550546</v>
      </c>
      <c r="BS308" s="108">
        <f t="shared" si="152"/>
        <v>0</v>
      </c>
      <c r="BT308" s="118">
        <f t="shared" si="153"/>
        <v>1.1380619635522473</v>
      </c>
      <c r="BU308" s="108">
        <f t="shared" si="154"/>
        <v>0</v>
      </c>
      <c r="BV308" s="6" cm="1">
        <f t="array" ref="BV308">IF(AP308=0,FactorPhi7121(BR308,"a"),noisuy2chieu(BU308,BR308,Data!$A$63:$M$85))</f>
        <v>0.42299549615688942</v>
      </c>
      <c r="BW308" s="111">
        <v>1.26</v>
      </c>
      <c r="BX308" s="111">
        <f t="shared" si="155"/>
        <v>0.99795166811820624</v>
      </c>
      <c r="BY308" s="113">
        <f t="shared" si="156"/>
        <v>1.3919375131918412E-3</v>
      </c>
      <c r="BZ308" s="6" t="str">
        <f t="shared" si="157"/>
        <v>OK</v>
      </c>
      <c r="CA308" s="114">
        <f t="shared" si="158"/>
        <v>127.25109874278135</v>
      </c>
      <c r="CB308" s="115">
        <f t="shared" si="159"/>
        <v>150</v>
      </c>
      <c r="CC308" s="6" t="str">
        <f t="shared" si="160"/>
        <v>OK</v>
      </c>
      <c r="DG308" s="108"/>
      <c r="DH308" s="108"/>
      <c r="DI308" s="16"/>
      <c r="DJ308" s="108"/>
      <c r="DT308" s="6"/>
      <c r="DU308" s="6"/>
      <c r="DV308" s="111"/>
      <c r="DW308" s="111"/>
      <c r="DX308" s="111"/>
      <c r="DY308" s="111"/>
      <c r="DZ308" s="111"/>
      <c r="EA308" s="111"/>
      <c r="EB308" s="111"/>
      <c r="EC308" s="111"/>
      <c r="ED308" s="111"/>
      <c r="EE308" s="111"/>
      <c r="EF308" s="6"/>
      <c r="EG308" s="6"/>
      <c r="EH308" s="6"/>
      <c r="EI308" s="6"/>
      <c r="EJ308" s="6"/>
      <c r="EK308" s="6"/>
      <c r="EL308" s="112"/>
      <c r="EM308" s="112"/>
      <c r="EN308" s="118"/>
      <c r="EO308" s="118"/>
      <c r="EP308" s="112"/>
      <c r="EQ308" s="112"/>
      <c r="ER308" s="112"/>
      <c r="ES308" s="112"/>
      <c r="ET308" s="112"/>
      <c r="EU308" s="112"/>
      <c r="EV308" s="6"/>
      <c r="EW308" s="6"/>
      <c r="EX308" s="118"/>
      <c r="EY308" s="113"/>
      <c r="EZ308" s="6"/>
      <c r="FA308" s="114"/>
      <c r="FB308" s="115"/>
      <c r="FC308" s="6"/>
    </row>
    <row r="309" spans="27:159">
      <c r="AA309" s="79" t="s">
        <v>175</v>
      </c>
      <c r="AB309" s="80" t="s">
        <v>199</v>
      </c>
      <c r="AC309" s="81">
        <v>2.74</v>
      </c>
      <c r="AD309" s="81">
        <v>6</v>
      </c>
      <c r="AE309" s="80">
        <v>273</v>
      </c>
      <c r="AF309" s="80">
        <v>6.35</v>
      </c>
      <c r="AG309" s="108" cm="1">
        <f t="array" ref="AG309">_xll.DCEPropSectPipe(AE309, AF309, "Area")/100</f>
        <v>53.19431074856206</v>
      </c>
      <c r="AH309" s="16" cm="1">
        <f t="array" ref="AH309">_xll.DCEPropSectPipe(AE309, AF309, "Ix")/10000</f>
        <v>4730.4733077169503</v>
      </c>
      <c r="AI309" s="16" cm="1">
        <f t="array" ref="AI309">_xll.DCEPropSectPipe(AE309, AF309, "Wx")/1000</f>
        <v>346.55482107816493</v>
      </c>
      <c r="AJ309" s="108">
        <f t="shared" si="129"/>
        <v>9.4301739777164251</v>
      </c>
      <c r="AK309" s="80" t="s">
        <v>210</v>
      </c>
      <c r="AL309" s="82">
        <v>-3.888780000906808E-2</v>
      </c>
      <c r="AM309" s="82">
        <v>1.3968122438037169</v>
      </c>
      <c r="AN309" s="82">
        <v>-9.5868037677723783E-2</v>
      </c>
      <c r="AO309" s="82">
        <v>0.26287015931231872</v>
      </c>
      <c r="AP309" s="82">
        <v>-3.8300591725097912</v>
      </c>
      <c r="AQ309" s="82">
        <v>7.6547178926653733E-2</v>
      </c>
      <c r="AR309" s="72">
        <v>1</v>
      </c>
      <c r="AS309" s="116">
        <f t="shared" si="130"/>
        <v>6</v>
      </c>
      <c r="AT309" s="7">
        <v>2</v>
      </c>
      <c r="AU309" s="6">
        <f t="shared" si="131"/>
        <v>12</v>
      </c>
      <c r="AV309" s="111">
        <f t="shared" si="132"/>
        <v>3.1983519035308096E-5</v>
      </c>
      <c r="AW309" s="117">
        <f t="shared" si="133"/>
        <v>105</v>
      </c>
      <c r="AX309" s="111">
        <f t="shared" si="134"/>
        <v>1</v>
      </c>
      <c r="AY309" s="111">
        <f t="shared" si="135"/>
        <v>1</v>
      </c>
      <c r="AZ309" s="111">
        <f t="shared" si="136"/>
        <v>1</v>
      </c>
      <c r="BA309" s="111">
        <f t="shared" si="137"/>
        <v>3.3666862142429577E-5</v>
      </c>
      <c r="BB309" s="111">
        <f t="shared" si="138"/>
        <v>3.4932027672409604E-3</v>
      </c>
      <c r="BC309" s="111">
        <f t="shared" si="139"/>
        <v>5.0896508508643211E-2</v>
      </c>
      <c r="BD309" s="111">
        <v>0</v>
      </c>
      <c r="BE309" s="111">
        <f t="shared" si="140"/>
        <v>5.4423378138026599E-2</v>
      </c>
      <c r="BF309" s="6" t="str">
        <f t="shared" si="141"/>
        <v>OK</v>
      </c>
      <c r="BG309" s="16">
        <f t="shared" si="142"/>
        <v>63.625549371390676</v>
      </c>
      <c r="BH309" s="118">
        <f t="shared" si="143"/>
        <v>2.1193803644775273</v>
      </c>
      <c r="BI309" s="108">
        <f t="shared" si="144"/>
        <v>103.75789559664834</v>
      </c>
      <c r="BJ309" s="6">
        <f t="shared" si="145"/>
        <v>1.1000000000000001</v>
      </c>
      <c r="BK309" s="108">
        <f t="shared" si="146"/>
        <v>114.13368515631318</v>
      </c>
      <c r="BL309" s="118" cm="1">
        <f t="array" ref="BL309">IF(AO309=0,FactorPhi7121(BH309,"a"),noisuy2chieu(BK309,BH309,Data!$A$63:$M$85))</f>
        <v>0</v>
      </c>
      <c r="BM309" s="111">
        <v>1.26</v>
      </c>
      <c r="BN309" s="118">
        <f t="shared" si="147"/>
        <v>0.99998563372886162</v>
      </c>
      <c r="BO309" s="108" t="e">
        <f t="shared" si="148"/>
        <v>#DIV/0!</v>
      </c>
      <c r="BP309" s="6" t="e">
        <f t="shared" si="149"/>
        <v>#DIV/0!</v>
      </c>
      <c r="BQ309" s="16">
        <f t="shared" si="150"/>
        <v>127.25109874278135</v>
      </c>
      <c r="BR309" s="118">
        <f t="shared" si="151"/>
        <v>4.2387607289550546</v>
      </c>
      <c r="BS309" s="108">
        <f t="shared" si="152"/>
        <v>1511.7687028070104</v>
      </c>
      <c r="BT309" s="118">
        <f t="shared" si="153"/>
        <v>1.1000000000000001</v>
      </c>
      <c r="BU309" s="108">
        <f t="shared" si="154"/>
        <v>1662.9455730877116</v>
      </c>
      <c r="BV309" s="6" cm="1">
        <f t="array" ref="BV309">IF(AP309=0,FactorPhi7121(BR309,"a"),noisuy2chieu(BU309,BR309,Data!$A$63:$M$85))</f>
        <v>0</v>
      </c>
      <c r="BW309" s="111">
        <v>1.26</v>
      </c>
      <c r="BX309" s="111">
        <f t="shared" si="155"/>
        <v>0.99994253491544627</v>
      </c>
      <c r="BY309" s="113" t="e">
        <f t="shared" si="156"/>
        <v>#DIV/0!</v>
      </c>
      <c r="BZ309" s="6" t="e">
        <f t="shared" si="157"/>
        <v>#DIV/0!</v>
      </c>
      <c r="CA309" s="114">
        <f t="shared" si="158"/>
        <v>127.25109874278135</v>
      </c>
      <c r="CB309" s="115" t="e">
        <f t="shared" si="159"/>
        <v>#DIV/0!</v>
      </c>
      <c r="CC309" s="6" t="e">
        <f t="shared" si="160"/>
        <v>#DIV/0!</v>
      </c>
      <c r="DG309" s="108"/>
      <c r="DH309" s="108"/>
      <c r="DI309" s="16"/>
      <c r="DJ309" s="108"/>
      <c r="DT309" s="6"/>
      <c r="DU309" s="6"/>
      <c r="DV309" s="111"/>
      <c r="DW309" s="111"/>
      <c r="DX309" s="111"/>
      <c r="DY309" s="111"/>
      <c r="DZ309" s="111"/>
      <c r="EA309" s="111"/>
      <c r="EB309" s="111"/>
      <c r="EC309" s="111"/>
      <c r="ED309" s="111"/>
      <c r="EE309" s="111"/>
      <c r="EF309" s="6"/>
      <c r="EG309" s="6"/>
      <c r="EH309" s="6"/>
      <c r="EI309" s="6"/>
      <c r="EJ309" s="6"/>
      <c r="EK309" s="6"/>
      <c r="EL309" s="112"/>
      <c r="EM309" s="112"/>
      <c r="EN309" s="118"/>
      <c r="EO309" s="118"/>
      <c r="EP309" s="112"/>
      <c r="EQ309" s="112"/>
      <c r="ER309" s="112"/>
      <c r="ES309" s="112"/>
      <c r="ET309" s="112"/>
      <c r="EU309" s="112"/>
      <c r="EV309" s="6"/>
      <c r="EW309" s="6"/>
      <c r="EX309" s="118"/>
      <c r="EY309" s="113"/>
      <c r="EZ309" s="6"/>
      <c r="FA309" s="114"/>
      <c r="FB309" s="115"/>
      <c r="FC309" s="6"/>
    </row>
    <row r="310" spans="27:159">
      <c r="AA310" s="79" t="s">
        <v>175</v>
      </c>
      <c r="AB310" s="80" t="s">
        <v>199</v>
      </c>
      <c r="AC310" s="81">
        <v>5.48</v>
      </c>
      <c r="AD310" s="81">
        <v>6</v>
      </c>
      <c r="AE310" s="80">
        <v>273</v>
      </c>
      <c r="AF310" s="80">
        <v>6.35</v>
      </c>
      <c r="AG310" s="108" cm="1">
        <f t="array" ref="AG310">_xll.DCEPropSectPipe(AE310, AF310, "Area")/100</f>
        <v>53.19431074856206</v>
      </c>
      <c r="AH310" s="16" cm="1">
        <f t="array" ref="AH310">_xll.DCEPropSectPipe(AE310, AF310, "Ix")/10000</f>
        <v>4730.4733077169503</v>
      </c>
      <c r="AI310" s="16" cm="1">
        <f t="array" ref="AI310">_xll.DCEPropSectPipe(AE310, AF310, "Wx")/1000</f>
        <v>346.55482107816493</v>
      </c>
      <c r="AJ310" s="108">
        <f t="shared" si="129"/>
        <v>9.4301739777164251</v>
      </c>
      <c r="AK310" s="80" t="s">
        <v>210</v>
      </c>
      <c r="AL310" s="82">
        <v>1.3083725487229656</v>
      </c>
      <c r="AM310" s="82">
        <v>1.3968122438037169</v>
      </c>
      <c r="AN310" s="82">
        <v>-9.5868037677723783E-2</v>
      </c>
      <c r="AO310" s="82">
        <v>0.52574031862463744</v>
      </c>
      <c r="AP310" s="82">
        <v>-7.6601183450195824</v>
      </c>
      <c r="AQ310" s="82">
        <v>7.6547178926653733E-2</v>
      </c>
      <c r="AR310" s="72">
        <v>1</v>
      </c>
      <c r="AS310" s="116">
        <f t="shared" si="130"/>
        <v>6</v>
      </c>
      <c r="AT310" s="7">
        <v>2</v>
      </c>
      <c r="AU310" s="6">
        <f t="shared" si="131"/>
        <v>12</v>
      </c>
      <c r="AV310" s="111">
        <f t="shared" si="132"/>
        <v>1.0760793438455651E-3</v>
      </c>
      <c r="AW310" s="117">
        <f t="shared" si="133"/>
        <v>105</v>
      </c>
      <c r="AX310" s="111">
        <f t="shared" si="134"/>
        <v>1</v>
      </c>
      <c r="AY310" s="111">
        <f t="shared" si="135"/>
        <v>1</v>
      </c>
      <c r="AZ310" s="111">
        <f t="shared" si="136"/>
        <v>1</v>
      </c>
      <c r="BA310" s="111">
        <f t="shared" si="137"/>
        <v>1.1327150987848055E-3</v>
      </c>
      <c r="BB310" s="111">
        <f t="shared" si="138"/>
        <v>6.9864055344819207E-3</v>
      </c>
      <c r="BC310" s="111">
        <f t="shared" si="139"/>
        <v>0.10179301701728642</v>
      </c>
      <c r="BD310" s="111">
        <v>0</v>
      </c>
      <c r="BE310" s="111">
        <f t="shared" si="140"/>
        <v>0.10991213765055315</v>
      </c>
      <c r="BF310" s="6" t="str">
        <f t="shared" si="141"/>
        <v>OK</v>
      </c>
      <c r="BG310" s="16">
        <f t="shared" si="142"/>
        <v>63.625549371390676</v>
      </c>
      <c r="BH310" s="118">
        <f t="shared" si="143"/>
        <v>2.1193803644775273</v>
      </c>
      <c r="BI310" s="108">
        <f t="shared" si="144"/>
        <v>6.167840034954108</v>
      </c>
      <c r="BJ310" s="6">
        <f t="shared" si="145"/>
        <v>1.1000000000000001</v>
      </c>
      <c r="BK310" s="108">
        <f t="shared" si="146"/>
        <v>6.7846240384495191</v>
      </c>
      <c r="BL310" s="118" cm="1">
        <f t="array" ref="BL310">IF(AO310=0,FactorPhi7121(BH310,"a"),noisuy2chieu(BK310,BH310,Data!$A$63:$M$85))</f>
        <v>0</v>
      </c>
      <c r="BM310" s="111">
        <v>1.26</v>
      </c>
      <c r="BN310" s="118">
        <f t="shared" si="147"/>
        <v>0.9995166495718284</v>
      </c>
      <c r="BO310" s="108" t="e">
        <f t="shared" si="148"/>
        <v>#DIV/0!</v>
      </c>
      <c r="BP310" s="6" t="e">
        <f t="shared" si="149"/>
        <v>#DIV/0!</v>
      </c>
      <c r="BQ310" s="16">
        <f t="shared" si="150"/>
        <v>127.25109874278135</v>
      </c>
      <c r="BR310" s="118">
        <f t="shared" si="151"/>
        <v>4.2387607289550546</v>
      </c>
      <c r="BS310" s="108">
        <f t="shared" si="152"/>
        <v>89.866390168623667</v>
      </c>
      <c r="BT310" s="118">
        <f t="shared" si="153"/>
        <v>1.1000000000000001</v>
      </c>
      <c r="BU310" s="108">
        <f t="shared" si="154"/>
        <v>98.853029185486037</v>
      </c>
      <c r="BV310" s="6" cm="1">
        <f t="array" ref="BV310">IF(AP310=0,FactorPhi7121(BR310,"a"),noisuy2chieu(BU310,BR310,Data!$A$63:$M$85))</f>
        <v>0</v>
      </c>
      <c r="BW310" s="111">
        <v>1.26</v>
      </c>
      <c r="BX310" s="111">
        <f t="shared" si="155"/>
        <v>0.9980665982873137</v>
      </c>
      <c r="BY310" s="113" t="e">
        <f t="shared" si="156"/>
        <v>#DIV/0!</v>
      </c>
      <c r="BZ310" s="6" t="e">
        <f t="shared" si="157"/>
        <v>#DIV/0!</v>
      </c>
      <c r="CA310" s="114">
        <f t="shared" si="158"/>
        <v>127.25109874278135</v>
      </c>
      <c r="CB310" s="115" t="e">
        <f t="shared" si="159"/>
        <v>#DIV/0!</v>
      </c>
      <c r="CC310" s="6" t="e">
        <f t="shared" si="160"/>
        <v>#DIV/0!</v>
      </c>
      <c r="DG310" s="108"/>
      <c r="DH310" s="108"/>
      <c r="DI310" s="16"/>
      <c r="DJ310" s="108"/>
      <c r="DT310" s="6"/>
      <c r="DU310" s="6"/>
      <c r="DV310" s="111"/>
      <c r="DW310" s="111"/>
      <c r="DX310" s="111"/>
      <c r="DY310" s="111"/>
      <c r="DZ310" s="111"/>
      <c r="EA310" s="111"/>
      <c r="EB310" s="111"/>
      <c r="EC310" s="111"/>
      <c r="ED310" s="111"/>
      <c r="EE310" s="111"/>
      <c r="EF310" s="6"/>
      <c r="EG310" s="6"/>
      <c r="EH310" s="6"/>
      <c r="EI310" s="6"/>
      <c r="EJ310" s="6"/>
      <c r="EK310" s="6"/>
      <c r="EL310" s="112"/>
      <c r="EM310" s="112"/>
      <c r="EN310" s="118"/>
      <c r="EO310" s="118"/>
      <c r="EP310" s="112"/>
      <c r="EQ310" s="112"/>
      <c r="ER310" s="112"/>
      <c r="ES310" s="112"/>
      <c r="ET310" s="112"/>
      <c r="EU310" s="112"/>
      <c r="EV310" s="6"/>
      <c r="EW310" s="6"/>
      <c r="EX310" s="118"/>
      <c r="EY310" s="113"/>
      <c r="EZ310" s="6"/>
      <c r="FA310" s="114"/>
      <c r="FB310" s="115"/>
      <c r="FC310" s="6"/>
    </row>
    <row r="311" spans="27:159">
      <c r="AA311" s="79" t="s">
        <v>175</v>
      </c>
      <c r="AB311" s="80" t="s">
        <v>199</v>
      </c>
      <c r="AC311" s="81">
        <v>0</v>
      </c>
      <c r="AD311" s="81">
        <v>6</v>
      </c>
      <c r="AE311" s="80">
        <v>273</v>
      </c>
      <c r="AF311" s="80">
        <v>6.35</v>
      </c>
      <c r="AG311" s="108" cm="1">
        <f t="array" ref="AG311">_xll.DCEPropSectPipe(AE311, AF311, "Area")/100</f>
        <v>53.19431074856206</v>
      </c>
      <c r="AH311" s="16" cm="1">
        <f t="array" ref="AH311">_xll.DCEPropSectPipe(AE311, AF311, "Ix")/10000</f>
        <v>4730.4733077169503</v>
      </c>
      <c r="AI311" s="16" cm="1">
        <f t="array" ref="AI311">_xll.DCEPropSectPipe(AE311, AF311, "Wx")/1000</f>
        <v>346.55482107816493</v>
      </c>
      <c r="AJ311" s="108">
        <f t="shared" si="129"/>
        <v>9.4301739777164251</v>
      </c>
      <c r="AK311" s="80" t="s">
        <v>211</v>
      </c>
      <c r="AL311" s="82">
        <v>-57.024452074197228</v>
      </c>
      <c r="AM311" s="82">
        <v>-8.1966303227576933</v>
      </c>
      <c r="AN311" s="82">
        <v>1.873727910645667</v>
      </c>
      <c r="AO311" s="82">
        <v>0</v>
      </c>
      <c r="AP311" s="82">
        <v>0</v>
      </c>
      <c r="AQ311" s="82">
        <v>-0.28235228865167</v>
      </c>
      <c r="AR311" s="72">
        <v>1</v>
      </c>
      <c r="AS311" s="116">
        <f t="shared" si="130"/>
        <v>6</v>
      </c>
      <c r="AT311" s="7">
        <v>2</v>
      </c>
      <c r="AU311" s="6">
        <f t="shared" si="131"/>
        <v>12</v>
      </c>
      <c r="AV311" s="111">
        <f t="shared" si="132"/>
        <v>4.6900124151219851E-2</v>
      </c>
      <c r="AW311" s="117">
        <f t="shared" si="133"/>
        <v>105</v>
      </c>
      <c r="AX311" s="111">
        <f t="shared" si="134"/>
        <v>1</v>
      </c>
      <c r="AY311" s="111">
        <f t="shared" si="135"/>
        <v>1</v>
      </c>
      <c r="AZ311" s="111">
        <f t="shared" si="136"/>
        <v>1</v>
      </c>
      <c r="BA311" s="111">
        <f t="shared" si="137"/>
        <v>4.9368551738126154E-2</v>
      </c>
      <c r="BB311" s="111">
        <f t="shared" si="138"/>
        <v>0</v>
      </c>
      <c r="BC311" s="111">
        <f t="shared" si="139"/>
        <v>0</v>
      </c>
      <c r="BD311" s="111">
        <v>0</v>
      </c>
      <c r="BE311" s="111">
        <f t="shared" si="140"/>
        <v>4.9368551738126154E-2</v>
      </c>
      <c r="BF311" s="6" t="str">
        <f t="shared" si="141"/>
        <v>OK</v>
      </c>
      <c r="BG311" s="16">
        <f t="shared" si="142"/>
        <v>63.625549371390676</v>
      </c>
      <c r="BH311" s="118">
        <f t="shared" si="143"/>
        <v>2.1193803644775273</v>
      </c>
      <c r="BI311" s="108">
        <f t="shared" si="144"/>
        <v>0</v>
      </c>
      <c r="BJ311" s="6">
        <f t="shared" si="145"/>
        <v>1.2440309817761237</v>
      </c>
      <c r="BK311" s="108">
        <f t="shared" si="146"/>
        <v>0</v>
      </c>
      <c r="BL311" s="118" cm="1">
        <f t="array" ref="BL311">IF(AO311=0,FactorPhi7121(BH311,"a"),noisuy2chieu(BK311,BH311,Data!$A$63:$M$85))</f>
        <v>0.86214274110469236</v>
      </c>
      <c r="BM311" s="111">
        <v>1.26</v>
      </c>
      <c r="BN311" s="118">
        <f t="shared" si="147"/>
        <v>0.97893352825751734</v>
      </c>
      <c r="BO311" s="108">
        <f t="shared" si="148"/>
        <v>0.11671176687851852</v>
      </c>
      <c r="BP311" s="6" t="str">
        <f t="shared" si="149"/>
        <v>OK</v>
      </c>
      <c r="BQ311" s="16">
        <f t="shared" si="150"/>
        <v>127.25109874278135</v>
      </c>
      <c r="BR311" s="118">
        <f t="shared" si="151"/>
        <v>4.2387607289550546</v>
      </c>
      <c r="BS311" s="108">
        <f t="shared" si="152"/>
        <v>0</v>
      </c>
      <c r="BT311" s="118">
        <f t="shared" si="153"/>
        <v>1.1380619635522473</v>
      </c>
      <c r="BU311" s="108">
        <f t="shared" si="154"/>
        <v>0</v>
      </c>
      <c r="BV311" s="6" cm="1">
        <f t="array" ref="BV311">IF(AP311=0,FactorPhi7121(BR311,"a"),noisuy2chieu(BU311,BR311,Data!$A$63:$M$85))</f>
        <v>0.42299549615688942</v>
      </c>
      <c r="BW311" s="111">
        <v>1.26</v>
      </c>
      <c r="BX311" s="111">
        <f t="shared" si="155"/>
        <v>0.91573411303006957</v>
      </c>
      <c r="BY311" s="113">
        <f t="shared" si="156"/>
        <v>5.7262619499490977E-2</v>
      </c>
      <c r="BZ311" s="6" t="str">
        <f t="shared" si="157"/>
        <v>OK</v>
      </c>
      <c r="CA311" s="114">
        <f t="shared" si="158"/>
        <v>127.25109874278135</v>
      </c>
      <c r="CB311" s="115">
        <f t="shared" si="159"/>
        <v>150</v>
      </c>
      <c r="CC311" s="6" t="str">
        <f t="shared" si="160"/>
        <v>OK</v>
      </c>
      <c r="DG311" s="108"/>
      <c r="DH311" s="108"/>
      <c r="DI311" s="16"/>
      <c r="DJ311" s="108"/>
      <c r="DT311" s="6"/>
      <c r="DU311" s="6"/>
      <c r="DV311" s="111"/>
      <c r="DW311" s="111"/>
      <c r="DX311" s="111"/>
      <c r="DY311" s="111"/>
      <c r="DZ311" s="111"/>
      <c r="EA311" s="111"/>
      <c r="EB311" s="111"/>
      <c r="EC311" s="111"/>
      <c r="ED311" s="111"/>
      <c r="EE311" s="111"/>
      <c r="EF311" s="6"/>
      <c r="EG311" s="6"/>
      <c r="EH311" s="6"/>
      <c r="EI311" s="6"/>
      <c r="EJ311" s="6"/>
      <c r="EK311" s="6"/>
      <c r="EL311" s="112"/>
      <c r="EM311" s="112"/>
      <c r="EN311" s="118"/>
      <c r="EO311" s="118"/>
      <c r="EP311" s="112"/>
      <c r="EQ311" s="112"/>
      <c r="ER311" s="112"/>
      <c r="ES311" s="112"/>
      <c r="ET311" s="112"/>
      <c r="EU311" s="112"/>
      <c r="EV311" s="6"/>
      <c r="EW311" s="6"/>
      <c r="EX311" s="118"/>
      <c r="EY311" s="113"/>
      <c r="EZ311" s="6"/>
      <c r="FA311" s="114"/>
      <c r="FB311" s="115"/>
      <c r="FC311" s="6"/>
    </row>
    <row r="312" spans="27:159">
      <c r="AA312" s="79" t="s">
        <v>175</v>
      </c>
      <c r="AB312" s="80" t="s">
        <v>199</v>
      </c>
      <c r="AC312" s="81">
        <v>2.74</v>
      </c>
      <c r="AD312" s="81">
        <v>6</v>
      </c>
      <c r="AE312" s="80">
        <v>273</v>
      </c>
      <c r="AF312" s="80">
        <v>6.35</v>
      </c>
      <c r="AG312" s="108" cm="1">
        <f t="array" ref="AG312">_xll.DCEPropSectPipe(AE312, AF312, "Area")/100</f>
        <v>53.19431074856206</v>
      </c>
      <c r="AH312" s="16" cm="1">
        <f t="array" ref="AH312">_xll.DCEPropSectPipe(AE312, AF312, "Ix")/10000</f>
        <v>4730.4733077169503</v>
      </c>
      <c r="AI312" s="16" cm="1">
        <f t="array" ref="AI312">_xll.DCEPropSectPipe(AE312, AF312, "Wx")/1000</f>
        <v>346.55482107816493</v>
      </c>
      <c r="AJ312" s="108">
        <f t="shared" si="129"/>
        <v>9.4301739777164251</v>
      </c>
      <c r="AK312" s="80" t="s">
        <v>211</v>
      </c>
      <c r="AL312" s="82">
        <v>-55.6771917254652</v>
      </c>
      <c r="AM312" s="82">
        <v>-8.1966303227576933</v>
      </c>
      <c r="AN312" s="82">
        <v>1.873727910645667</v>
      </c>
      <c r="AO312" s="82">
        <v>-5.1377619309904192</v>
      </c>
      <c r="AP312" s="82">
        <v>22.475160345001594</v>
      </c>
      <c r="AQ312" s="82">
        <v>-0.28235228865167</v>
      </c>
      <c r="AR312" s="72">
        <v>1</v>
      </c>
      <c r="AS312" s="116">
        <f t="shared" si="130"/>
        <v>6</v>
      </c>
      <c r="AT312" s="7">
        <v>2</v>
      </c>
      <c r="AU312" s="6">
        <f t="shared" si="131"/>
        <v>12</v>
      </c>
      <c r="AV312" s="111">
        <f t="shared" si="132"/>
        <v>4.579206128833898E-2</v>
      </c>
      <c r="AW312" s="117">
        <f t="shared" si="133"/>
        <v>105</v>
      </c>
      <c r="AX312" s="111">
        <f t="shared" si="134"/>
        <v>1</v>
      </c>
      <c r="AY312" s="111">
        <f t="shared" si="135"/>
        <v>1</v>
      </c>
      <c r="AZ312" s="111">
        <f t="shared" si="136"/>
        <v>1</v>
      </c>
      <c r="BA312" s="111">
        <f t="shared" si="137"/>
        <v>4.8202169777198926E-2</v>
      </c>
      <c r="BB312" s="111">
        <f t="shared" si="138"/>
        <v>6.8274178559148233E-2</v>
      </c>
      <c r="BC312" s="111">
        <f t="shared" si="139"/>
        <v>0.29866567021806756</v>
      </c>
      <c r="BD312" s="111">
        <v>0</v>
      </c>
      <c r="BE312" s="111">
        <f t="shared" si="140"/>
        <v>0.41514201855441468</v>
      </c>
      <c r="BF312" s="6" t="str">
        <f t="shared" si="141"/>
        <v>OK</v>
      </c>
      <c r="BG312" s="16">
        <f t="shared" si="142"/>
        <v>63.625549371390676</v>
      </c>
      <c r="BH312" s="118">
        <f t="shared" si="143"/>
        <v>2.1193803644775273</v>
      </c>
      <c r="BI312" s="108">
        <f t="shared" si="144"/>
        <v>1.4164129721696466</v>
      </c>
      <c r="BJ312" s="6">
        <f t="shared" si="145"/>
        <v>1.2032295115797174</v>
      </c>
      <c r="BK312" s="108">
        <f t="shared" si="146"/>
        <v>1.7042698886988596</v>
      </c>
      <c r="BL312" s="118" cm="1">
        <f t="array" ref="BL312">IF(AO312=0,FactorPhi7121(BH312,"a"),noisuy2chieu(BK312,BH312,Data!$A$63:$M$85))</f>
        <v>0</v>
      </c>
      <c r="BM312" s="111">
        <v>1.26</v>
      </c>
      <c r="BN312" s="118">
        <f t="shared" si="147"/>
        <v>0.97943124495682743</v>
      </c>
      <c r="BO312" s="108" t="e">
        <f t="shared" si="148"/>
        <v>#DIV/0!</v>
      </c>
      <c r="BP312" s="6" t="e">
        <f t="shared" si="149"/>
        <v>#DIV/0!</v>
      </c>
      <c r="BQ312" s="16">
        <f t="shared" si="150"/>
        <v>127.25109874278135</v>
      </c>
      <c r="BR312" s="118">
        <f t="shared" si="151"/>
        <v>4.2387607289550546</v>
      </c>
      <c r="BS312" s="108">
        <f t="shared" si="152"/>
        <v>6.1961042749437683</v>
      </c>
      <c r="BT312" s="118">
        <f t="shared" si="153"/>
        <v>1.1000000000000001</v>
      </c>
      <c r="BU312" s="108">
        <f t="shared" si="154"/>
        <v>6.8157147024381457</v>
      </c>
      <c r="BV312" s="6" cm="1">
        <f t="array" ref="BV312">IF(AP312=0,FactorPhi7121(BR312,"a"),noisuy2chieu(BU312,BR312,Data!$A$63:$M$85))</f>
        <v>0</v>
      </c>
      <c r="BW312" s="111">
        <v>1.26</v>
      </c>
      <c r="BX312" s="111">
        <f t="shared" si="155"/>
        <v>0.91772497982730949</v>
      </c>
      <c r="BY312" s="113" t="e">
        <f t="shared" si="156"/>
        <v>#DIV/0!</v>
      </c>
      <c r="BZ312" s="6" t="e">
        <f t="shared" si="157"/>
        <v>#DIV/0!</v>
      </c>
      <c r="CA312" s="114">
        <f t="shared" si="158"/>
        <v>127.25109874278135</v>
      </c>
      <c r="CB312" s="115" t="e">
        <f t="shared" si="159"/>
        <v>#DIV/0!</v>
      </c>
      <c r="CC312" s="6" t="e">
        <f t="shared" si="160"/>
        <v>#DIV/0!</v>
      </c>
      <c r="DG312" s="108"/>
      <c r="DH312" s="108"/>
      <c r="DI312" s="16"/>
      <c r="DJ312" s="108"/>
      <c r="DT312" s="6"/>
      <c r="DU312" s="6"/>
      <c r="DV312" s="111"/>
      <c r="DW312" s="111"/>
      <c r="DX312" s="111"/>
      <c r="DY312" s="111"/>
      <c r="DZ312" s="111"/>
      <c r="EA312" s="111"/>
      <c r="EB312" s="111"/>
      <c r="EC312" s="111"/>
      <c r="ED312" s="111"/>
      <c r="EE312" s="111"/>
      <c r="EF312" s="6"/>
      <c r="EG312" s="6"/>
      <c r="EH312" s="6"/>
      <c r="EI312" s="6"/>
      <c r="EJ312" s="6"/>
      <c r="EK312" s="6"/>
      <c r="EL312" s="112"/>
      <c r="EM312" s="112"/>
      <c r="EN312" s="118"/>
      <c r="EO312" s="118"/>
      <c r="EP312" s="112"/>
      <c r="EQ312" s="112"/>
      <c r="ER312" s="112"/>
      <c r="ES312" s="112"/>
      <c r="ET312" s="112"/>
      <c r="EU312" s="112"/>
      <c r="EV312" s="6"/>
      <c r="EW312" s="6"/>
      <c r="EX312" s="118"/>
      <c r="EY312" s="113"/>
      <c r="EZ312" s="6"/>
      <c r="FA312" s="114"/>
      <c r="FB312" s="115"/>
      <c r="FC312" s="6"/>
    </row>
    <row r="313" spans="27:159">
      <c r="AA313" s="79" t="s">
        <v>175</v>
      </c>
      <c r="AB313" s="80" t="s">
        <v>199</v>
      </c>
      <c r="AC313" s="81">
        <v>5.48</v>
      </c>
      <c r="AD313" s="81">
        <v>6</v>
      </c>
      <c r="AE313" s="80">
        <v>273</v>
      </c>
      <c r="AF313" s="80">
        <v>6.35</v>
      </c>
      <c r="AG313" s="108" cm="1">
        <f t="array" ref="AG313">_xll.DCEPropSectPipe(AE313, AF313, "Area")/100</f>
        <v>53.19431074856206</v>
      </c>
      <c r="AH313" s="16" cm="1">
        <f t="array" ref="AH313">_xll.DCEPropSectPipe(AE313, AF313, "Ix")/10000</f>
        <v>4730.4733077169503</v>
      </c>
      <c r="AI313" s="16" cm="1">
        <f t="array" ref="AI313">_xll.DCEPropSectPipe(AE313, AF313, "Wx")/1000</f>
        <v>346.55482107816493</v>
      </c>
      <c r="AJ313" s="108">
        <f t="shared" si="129"/>
        <v>9.4301739777164251</v>
      </c>
      <c r="AK313" s="80" t="s">
        <v>211</v>
      </c>
      <c r="AL313" s="82">
        <v>-54.329931376733164</v>
      </c>
      <c r="AM313" s="82">
        <v>-8.1966303227576933</v>
      </c>
      <c r="AN313" s="82">
        <v>1.873727910645667</v>
      </c>
      <c r="AO313" s="82">
        <v>-10.275523861980838</v>
      </c>
      <c r="AP313" s="82">
        <v>44.950320690003188</v>
      </c>
      <c r="AQ313" s="82">
        <v>-0.28235228865167</v>
      </c>
      <c r="AR313" s="72">
        <v>1</v>
      </c>
      <c r="AS313" s="116">
        <f t="shared" si="130"/>
        <v>6</v>
      </c>
      <c r="AT313" s="7">
        <v>2</v>
      </c>
      <c r="AU313" s="6">
        <f t="shared" si="131"/>
        <v>12</v>
      </c>
      <c r="AV313" s="111">
        <f t="shared" si="132"/>
        <v>4.4683998425458102E-2</v>
      </c>
      <c r="AW313" s="117">
        <f t="shared" si="133"/>
        <v>105</v>
      </c>
      <c r="AX313" s="111">
        <f t="shared" si="134"/>
        <v>1</v>
      </c>
      <c r="AY313" s="111">
        <f t="shared" si="135"/>
        <v>1</v>
      </c>
      <c r="AZ313" s="111">
        <f t="shared" si="136"/>
        <v>1</v>
      </c>
      <c r="BA313" s="111">
        <f t="shared" si="137"/>
        <v>4.7035787816271692E-2</v>
      </c>
      <c r="BB313" s="111">
        <f t="shared" si="138"/>
        <v>0.13654835711829647</v>
      </c>
      <c r="BC313" s="111">
        <f t="shared" si="139"/>
        <v>0.59733134043613512</v>
      </c>
      <c r="BD313" s="111">
        <v>0</v>
      </c>
      <c r="BE313" s="111">
        <f t="shared" si="140"/>
        <v>0.78091548537070321</v>
      </c>
      <c r="BF313" s="6" t="str">
        <f t="shared" si="141"/>
        <v>OK</v>
      </c>
      <c r="BG313" s="16">
        <f t="shared" si="142"/>
        <v>63.625549371390676</v>
      </c>
      <c r="BH313" s="118">
        <f t="shared" si="143"/>
        <v>2.1193803644775273</v>
      </c>
      <c r="BI313" s="108">
        <f t="shared" si="144"/>
        <v>2.9030736691744865</v>
      </c>
      <c r="BJ313" s="6">
        <f t="shared" si="145"/>
        <v>1.1604044716282007</v>
      </c>
      <c r="BK313" s="108">
        <f t="shared" si="146"/>
        <v>3.368739667176162</v>
      </c>
      <c r="BL313" s="118" cm="1">
        <f t="array" ref="BL313">IF(AO313=0,FactorPhi7121(BH313,"a"),noisuy2chieu(BK313,BH313,Data!$A$63:$M$85))</f>
        <v>0</v>
      </c>
      <c r="BM313" s="111">
        <v>1.26</v>
      </c>
      <c r="BN313" s="118">
        <f t="shared" si="147"/>
        <v>0.97992896165613741</v>
      </c>
      <c r="BO313" s="108" t="e">
        <f t="shared" si="148"/>
        <v>#DIV/0!</v>
      </c>
      <c r="BP313" s="6" t="e">
        <f t="shared" si="149"/>
        <v>#DIV/0!</v>
      </c>
      <c r="BQ313" s="16">
        <f t="shared" si="150"/>
        <v>127.25109874278135</v>
      </c>
      <c r="BR313" s="118">
        <f t="shared" si="151"/>
        <v>4.2387607289550546</v>
      </c>
      <c r="BS313" s="108">
        <f t="shared" si="152"/>
        <v>12.699507506271484</v>
      </c>
      <c r="BT313" s="118">
        <f t="shared" si="153"/>
        <v>1.1000000000000001</v>
      </c>
      <c r="BU313" s="108">
        <f t="shared" si="154"/>
        <v>13.969458256898633</v>
      </c>
      <c r="BV313" s="6" cm="1">
        <f t="array" ref="BV313">IF(AP313=0,FactorPhi7121(BR313,"a"),noisuy2chieu(BU313,BR313,Data!$A$63:$M$85))</f>
        <v>0</v>
      </c>
      <c r="BW313" s="111">
        <v>1.26</v>
      </c>
      <c r="BX313" s="111">
        <f t="shared" si="155"/>
        <v>0.91971584662454953</v>
      </c>
      <c r="BY313" s="113" t="e">
        <f t="shared" si="156"/>
        <v>#DIV/0!</v>
      </c>
      <c r="BZ313" s="6" t="e">
        <f t="shared" si="157"/>
        <v>#DIV/0!</v>
      </c>
      <c r="CA313" s="114">
        <f t="shared" si="158"/>
        <v>127.25109874278135</v>
      </c>
      <c r="CB313" s="115" t="e">
        <f t="shared" si="159"/>
        <v>#DIV/0!</v>
      </c>
      <c r="CC313" s="6" t="e">
        <f t="shared" si="160"/>
        <v>#DIV/0!</v>
      </c>
      <c r="DG313" s="108"/>
      <c r="DH313" s="108"/>
      <c r="DI313" s="16"/>
      <c r="DJ313" s="108"/>
      <c r="DT313" s="6"/>
      <c r="DU313" s="6"/>
      <c r="DV313" s="111"/>
      <c r="DW313" s="111"/>
      <c r="DX313" s="111"/>
      <c r="DY313" s="111"/>
      <c r="DZ313" s="111"/>
      <c r="EA313" s="111"/>
      <c r="EB313" s="111"/>
      <c r="EC313" s="111"/>
      <c r="ED313" s="111"/>
      <c r="EE313" s="111"/>
      <c r="EF313" s="6"/>
      <c r="EG313" s="6"/>
      <c r="EH313" s="6"/>
      <c r="EI313" s="6"/>
      <c r="EJ313" s="6"/>
      <c r="EK313" s="6"/>
      <c r="EL313" s="112"/>
      <c r="EM313" s="112"/>
      <c r="EN313" s="118"/>
      <c r="EO313" s="118"/>
      <c r="EP313" s="112"/>
      <c r="EQ313" s="112"/>
      <c r="ER313" s="112"/>
      <c r="ES313" s="112"/>
      <c r="ET313" s="112"/>
      <c r="EU313" s="112"/>
      <c r="EV313" s="6"/>
      <c r="EW313" s="6"/>
      <c r="EX313" s="118"/>
      <c r="EY313" s="113"/>
      <c r="EZ313" s="6"/>
      <c r="FA313" s="114"/>
      <c r="FB313" s="115"/>
      <c r="FC313" s="6"/>
    </row>
    <row r="314" spans="27:159">
      <c r="AA314" s="79" t="s">
        <v>175</v>
      </c>
      <c r="AB314" s="80" t="s">
        <v>199</v>
      </c>
      <c r="AC314" s="81">
        <v>0</v>
      </c>
      <c r="AD314" s="81">
        <v>6</v>
      </c>
      <c r="AE314" s="80">
        <v>273</v>
      </c>
      <c r="AF314" s="80">
        <v>6.35</v>
      </c>
      <c r="AG314" s="108" cm="1">
        <f t="array" ref="AG314">_xll.DCEPropSectPipe(AE314, AF314, "Area")/100</f>
        <v>53.19431074856206</v>
      </c>
      <c r="AH314" s="16" cm="1">
        <f t="array" ref="AH314">_xll.DCEPropSectPipe(AE314, AF314, "Ix")/10000</f>
        <v>4730.4733077169503</v>
      </c>
      <c r="AI314" s="16" cm="1">
        <f t="array" ref="AI314">_xll.DCEPropSectPipe(AE314, AF314, "Wx")/1000</f>
        <v>346.55482107816493</v>
      </c>
      <c r="AJ314" s="108">
        <f t="shared" si="129"/>
        <v>9.4301739777164251</v>
      </c>
      <c r="AK314" s="80" t="s">
        <v>212</v>
      </c>
      <c r="AL314" s="82">
        <v>-48.821192472296772</v>
      </c>
      <c r="AM314" s="82">
        <v>-8.2536718463603194</v>
      </c>
      <c r="AN314" s="82">
        <v>1.7969368690531029</v>
      </c>
      <c r="AO314" s="82">
        <v>0</v>
      </c>
      <c r="AP314" s="82">
        <v>0</v>
      </c>
      <c r="AQ314" s="82">
        <v>-0.2557146156009778</v>
      </c>
      <c r="AR314" s="72">
        <v>1</v>
      </c>
      <c r="AS314" s="116">
        <f t="shared" si="130"/>
        <v>6</v>
      </c>
      <c r="AT314" s="7">
        <v>2</v>
      </c>
      <c r="AU314" s="6">
        <f t="shared" si="131"/>
        <v>12</v>
      </c>
      <c r="AV314" s="111">
        <f t="shared" si="132"/>
        <v>4.015330099414291E-2</v>
      </c>
      <c r="AW314" s="117">
        <f t="shared" si="133"/>
        <v>105</v>
      </c>
      <c r="AX314" s="111">
        <f t="shared" si="134"/>
        <v>1</v>
      </c>
      <c r="AY314" s="111">
        <f t="shared" si="135"/>
        <v>1</v>
      </c>
      <c r="AZ314" s="111">
        <f t="shared" si="136"/>
        <v>1</v>
      </c>
      <c r="BA314" s="111">
        <f t="shared" si="137"/>
        <v>4.2266632625413594E-2</v>
      </c>
      <c r="BB314" s="111">
        <f t="shared" si="138"/>
        <v>0</v>
      </c>
      <c r="BC314" s="111">
        <f t="shared" si="139"/>
        <v>0</v>
      </c>
      <c r="BD314" s="111">
        <v>0</v>
      </c>
      <c r="BE314" s="111">
        <f t="shared" si="140"/>
        <v>4.2266632625413594E-2</v>
      </c>
      <c r="BF314" s="6" t="str">
        <f t="shared" si="141"/>
        <v>OK</v>
      </c>
      <c r="BG314" s="16">
        <f t="shared" si="142"/>
        <v>63.625549371390676</v>
      </c>
      <c r="BH314" s="118">
        <f t="shared" si="143"/>
        <v>2.1193803644775273</v>
      </c>
      <c r="BI314" s="108">
        <f t="shared" si="144"/>
        <v>0</v>
      </c>
      <c r="BJ314" s="6">
        <f t="shared" si="145"/>
        <v>1.2440309817761237</v>
      </c>
      <c r="BK314" s="108">
        <f t="shared" si="146"/>
        <v>0</v>
      </c>
      <c r="BL314" s="118" cm="1">
        <f t="array" ref="BL314">IF(AO314=0,FactorPhi7121(BH314,"a"),noisuy2chieu(BK314,BH314,Data!$A$63:$M$85))</f>
        <v>0.86214274110469236</v>
      </c>
      <c r="BM314" s="111">
        <v>1.26</v>
      </c>
      <c r="BN314" s="118">
        <f t="shared" si="147"/>
        <v>0.98196404815404925</v>
      </c>
      <c r="BO314" s="108">
        <f t="shared" si="148"/>
        <v>9.9922181227520349E-2</v>
      </c>
      <c r="BP314" s="6" t="str">
        <f t="shared" si="149"/>
        <v>OK</v>
      </c>
      <c r="BQ314" s="16">
        <f t="shared" si="150"/>
        <v>127.25109874278135</v>
      </c>
      <c r="BR314" s="118">
        <f t="shared" si="151"/>
        <v>4.2387607289550546</v>
      </c>
      <c r="BS314" s="108">
        <f t="shared" si="152"/>
        <v>0</v>
      </c>
      <c r="BT314" s="118">
        <f t="shared" si="153"/>
        <v>1.1380619635522473</v>
      </c>
      <c r="BU314" s="108">
        <f t="shared" si="154"/>
        <v>0</v>
      </c>
      <c r="BV314" s="6" cm="1">
        <f t="array" ref="BV314">IF(AP314=0,FactorPhi7121(BR314,"a"),noisuy2chieu(BU314,BR314,Data!$A$63:$M$85))</f>
        <v>0.42299549615688942</v>
      </c>
      <c r="BW314" s="111">
        <v>1.26</v>
      </c>
      <c r="BX314" s="111">
        <f t="shared" si="155"/>
        <v>0.92785619261619723</v>
      </c>
      <c r="BY314" s="113">
        <f t="shared" si="156"/>
        <v>4.9025098293185125E-2</v>
      </c>
      <c r="BZ314" s="6" t="str">
        <f t="shared" si="157"/>
        <v>OK</v>
      </c>
      <c r="CA314" s="114">
        <f t="shared" si="158"/>
        <v>127.25109874278135</v>
      </c>
      <c r="CB314" s="115">
        <f t="shared" si="159"/>
        <v>150</v>
      </c>
      <c r="CC314" s="6" t="str">
        <f t="shared" si="160"/>
        <v>OK</v>
      </c>
      <c r="DG314" s="108"/>
      <c r="DH314" s="108"/>
      <c r="DI314" s="16"/>
      <c r="DJ314" s="108"/>
      <c r="DT314" s="6"/>
      <c r="DU314" s="6"/>
      <c r="DV314" s="111"/>
      <c r="DW314" s="111"/>
      <c r="DX314" s="111"/>
      <c r="DY314" s="111"/>
      <c r="DZ314" s="111"/>
      <c r="EA314" s="111"/>
      <c r="EB314" s="111"/>
      <c r="EC314" s="111"/>
      <c r="ED314" s="111"/>
      <c r="EE314" s="111"/>
      <c r="EF314" s="6"/>
      <c r="EG314" s="6"/>
      <c r="EH314" s="6"/>
      <c r="EI314" s="6"/>
      <c r="EJ314" s="6"/>
      <c r="EK314" s="6"/>
      <c r="EL314" s="112"/>
      <c r="EM314" s="112"/>
      <c r="EN314" s="118"/>
      <c r="EO314" s="118"/>
      <c r="EP314" s="112"/>
      <c r="EQ314" s="112"/>
      <c r="ER314" s="112"/>
      <c r="ES314" s="112"/>
      <c r="ET314" s="112"/>
      <c r="EU314" s="112"/>
      <c r="EV314" s="6"/>
      <c r="EW314" s="6"/>
      <c r="EX314" s="118"/>
      <c r="EY314" s="113"/>
      <c r="EZ314" s="6"/>
      <c r="FA314" s="114"/>
      <c r="FB314" s="115"/>
      <c r="FC314" s="6"/>
    </row>
    <row r="315" spans="27:159">
      <c r="AA315" s="79" t="s">
        <v>175</v>
      </c>
      <c r="AB315" s="80" t="s">
        <v>199</v>
      </c>
      <c r="AC315" s="81">
        <v>2.74</v>
      </c>
      <c r="AD315" s="81">
        <v>6</v>
      </c>
      <c r="AE315" s="80">
        <v>273</v>
      </c>
      <c r="AF315" s="80">
        <v>6.35</v>
      </c>
      <c r="AG315" s="108" cm="1">
        <f t="array" ref="AG315">_xll.DCEPropSectPipe(AE315, AF315, "Area")/100</f>
        <v>53.19431074856206</v>
      </c>
      <c r="AH315" s="16" cm="1">
        <f t="array" ref="AH315">_xll.DCEPropSectPipe(AE315, AF315, "Ix")/10000</f>
        <v>4730.4733077169503</v>
      </c>
      <c r="AI315" s="16" cm="1">
        <f t="array" ref="AI315">_xll.DCEPropSectPipe(AE315, AF315, "Wx")/1000</f>
        <v>346.55482107816493</v>
      </c>
      <c r="AJ315" s="108">
        <f t="shared" si="129"/>
        <v>9.4301739777164251</v>
      </c>
      <c r="AK315" s="80" t="s">
        <v>212</v>
      </c>
      <c r="AL315" s="82">
        <v>-47.473932123564744</v>
      </c>
      <c r="AM315" s="82">
        <v>-8.2536718463603194</v>
      </c>
      <c r="AN315" s="82">
        <v>1.7969368690531029</v>
      </c>
      <c r="AO315" s="82">
        <v>-4.9272008949436081</v>
      </c>
      <c r="AP315" s="82">
        <v>22.63156820271999</v>
      </c>
      <c r="AQ315" s="82">
        <v>-0.2557146156009778</v>
      </c>
      <c r="AR315" s="72">
        <v>1</v>
      </c>
      <c r="AS315" s="116">
        <f t="shared" si="130"/>
        <v>6</v>
      </c>
      <c r="AT315" s="7">
        <v>2</v>
      </c>
      <c r="AU315" s="6">
        <f t="shared" si="131"/>
        <v>12</v>
      </c>
      <c r="AV315" s="111">
        <f t="shared" si="132"/>
        <v>3.9045238131262046E-2</v>
      </c>
      <c r="AW315" s="117">
        <f t="shared" si="133"/>
        <v>105</v>
      </c>
      <c r="AX315" s="111">
        <f t="shared" si="134"/>
        <v>1</v>
      </c>
      <c r="AY315" s="111">
        <f t="shared" si="135"/>
        <v>1</v>
      </c>
      <c r="AZ315" s="111">
        <f t="shared" si="136"/>
        <v>1</v>
      </c>
      <c r="BA315" s="111">
        <f t="shared" si="137"/>
        <v>4.110025066448636E-2</v>
      </c>
      <c r="BB315" s="111">
        <f t="shared" si="138"/>
        <v>6.5476096054401287E-2</v>
      </c>
      <c r="BC315" s="111">
        <f t="shared" si="139"/>
        <v>0.30074412736523648</v>
      </c>
      <c r="BD315" s="111">
        <v>0</v>
      </c>
      <c r="BE315" s="111">
        <f t="shared" si="140"/>
        <v>0.40732047408412414</v>
      </c>
      <c r="BF315" s="6" t="str">
        <f t="shared" si="141"/>
        <v>OK</v>
      </c>
      <c r="BG315" s="16">
        <f t="shared" si="142"/>
        <v>63.625549371390676</v>
      </c>
      <c r="BH315" s="118">
        <f t="shared" si="143"/>
        <v>2.1193803644775273</v>
      </c>
      <c r="BI315" s="108">
        <f t="shared" si="144"/>
        <v>1.593082645380979</v>
      </c>
      <c r="BJ315" s="6">
        <f t="shared" si="145"/>
        <v>1.1981403302831783</v>
      </c>
      <c r="BK315" s="108">
        <f t="shared" si="146"/>
        <v>1.9087365669051657</v>
      </c>
      <c r="BL315" s="118" cm="1">
        <f t="array" ref="BL315">IF(AO315=0,FactorPhi7121(BH315,"a"),noisuy2chieu(BK315,BH315,Data!$A$63:$M$85))</f>
        <v>0</v>
      </c>
      <c r="BM315" s="111">
        <v>1.26</v>
      </c>
      <c r="BN315" s="118">
        <f t="shared" si="147"/>
        <v>0.98246176485335934</v>
      </c>
      <c r="BO315" s="108" t="e">
        <f t="shared" si="148"/>
        <v>#DIV/0!</v>
      </c>
      <c r="BP315" s="6" t="e">
        <f t="shared" si="149"/>
        <v>#DIV/0!</v>
      </c>
      <c r="BQ315" s="16">
        <f t="shared" si="150"/>
        <v>127.25109874278135</v>
      </c>
      <c r="BR315" s="118">
        <f t="shared" si="151"/>
        <v>4.2387607289550546</v>
      </c>
      <c r="BS315" s="108">
        <f t="shared" si="152"/>
        <v>7.3173307340702323</v>
      </c>
      <c r="BT315" s="118">
        <f t="shared" si="153"/>
        <v>1.1000000000000001</v>
      </c>
      <c r="BU315" s="108">
        <f t="shared" si="154"/>
        <v>8.0490638074772569</v>
      </c>
      <c r="BV315" s="6" cm="1">
        <f t="array" ref="BV315">IF(AP315=0,FactorPhi7121(BR315,"a"),noisuy2chieu(BU315,BR315,Data!$A$63:$M$85))</f>
        <v>0</v>
      </c>
      <c r="BW315" s="111">
        <v>1.26</v>
      </c>
      <c r="BX315" s="111">
        <f t="shared" si="155"/>
        <v>0.92984705941343715</v>
      </c>
      <c r="BY315" s="113" t="e">
        <f t="shared" si="156"/>
        <v>#DIV/0!</v>
      </c>
      <c r="BZ315" s="6" t="e">
        <f t="shared" si="157"/>
        <v>#DIV/0!</v>
      </c>
      <c r="CA315" s="114">
        <f t="shared" si="158"/>
        <v>127.25109874278135</v>
      </c>
      <c r="CB315" s="115" t="e">
        <f t="shared" si="159"/>
        <v>#DIV/0!</v>
      </c>
      <c r="CC315" s="6" t="e">
        <f t="shared" si="160"/>
        <v>#DIV/0!</v>
      </c>
      <c r="DG315" s="108"/>
      <c r="DH315" s="108"/>
      <c r="DI315" s="16"/>
      <c r="DJ315" s="108"/>
      <c r="DT315" s="6"/>
      <c r="DU315" s="6"/>
      <c r="DV315" s="111"/>
      <c r="DW315" s="111"/>
      <c r="DX315" s="111"/>
      <c r="DY315" s="111"/>
      <c r="DZ315" s="111"/>
      <c r="EA315" s="111"/>
      <c r="EB315" s="111"/>
      <c r="EC315" s="111"/>
      <c r="ED315" s="111"/>
      <c r="EE315" s="111"/>
      <c r="EF315" s="6"/>
      <c r="EG315" s="6"/>
      <c r="EH315" s="6"/>
      <c r="EI315" s="6"/>
      <c r="EJ315" s="6"/>
      <c r="EK315" s="6"/>
      <c r="EL315" s="112"/>
      <c r="EM315" s="112"/>
      <c r="EN315" s="118"/>
      <c r="EO315" s="118"/>
      <c r="EP315" s="112"/>
      <c r="EQ315" s="112"/>
      <c r="ER315" s="112"/>
      <c r="ES315" s="112"/>
      <c r="ET315" s="112"/>
      <c r="EU315" s="112"/>
      <c r="EV315" s="6"/>
      <c r="EW315" s="6"/>
      <c r="EX315" s="118"/>
      <c r="EY315" s="113"/>
      <c r="EZ315" s="6"/>
      <c r="FA315" s="114"/>
      <c r="FB315" s="115"/>
      <c r="FC315" s="6"/>
    </row>
    <row r="316" spans="27:159">
      <c r="AA316" s="79" t="s">
        <v>175</v>
      </c>
      <c r="AB316" s="80" t="s">
        <v>199</v>
      </c>
      <c r="AC316" s="81">
        <v>5.48</v>
      </c>
      <c r="AD316" s="81">
        <v>6</v>
      </c>
      <c r="AE316" s="80">
        <v>273</v>
      </c>
      <c r="AF316" s="80">
        <v>6.35</v>
      </c>
      <c r="AG316" s="108" cm="1">
        <f t="array" ref="AG316">_xll.DCEPropSectPipe(AE316, AF316, "Area")/100</f>
        <v>53.19431074856206</v>
      </c>
      <c r="AH316" s="16" cm="1">
        <f t="array" ref="AH316">_xll.DCEPropSectPipe(AE316, AF316, "Ix")/10000</f>
        <v>4730.4733077169503</v>
      </c>
      <c r="AI316" s="16" cm="1">
        <f t="array" ref="AI316">_xll.DCEPropSectPipe(AE316, AF316, "Wx")/1000</f>
        <v>346.55482107816493</v>
      </c>
      <c r="AJ316" s="108">
        <f t="shared" si="129"/>
        <v>9.4301739777164251</v>
      </c>
      <c r="AK316" s="80" t="s">
        <v>212</v>
      </c>
      <c r="AL316" s="82">
        <v>-46.126671774832708</v>
      </c>
      <c r="AM316" s="82">
        <v>-8.2536718463603194</v>
      </c>
      <c r="AN316" s="82">
        <v>1.7969368690531029</v>
      </c>
      <c r="AO316" s="82">
        <v>-9.8544017898872163</v>
      </c>
      <c r="AP316" s="82">
        <v>45.26313640543998</v>
      </c>
      <c r="AQ316" s="82">
        <v>-0.2557146156009778</v>
      </c>
      <c r="AR316" s="72">
        <v>1</v>
      </c>
      <c r="AS316" s="116">
        <f t="shared" si="130"/>
        <v>6</v>
      </c>
      <c r="AT316" s="7">
        <v>2</v>
      </c>
      <c r="AU316" s="6">
        <f t="shared" si="131"/>
        <v>12</v>
      </c>
      <c r="AV316" s="111">
        <f t="shared" si="132"/>
        <v>3.7937175268381168E-2</v>
      </c>
      <c r="AW316" s="117">
        <f t="shared" si="133"/>
        <v>105</v>
      </c>
      <c r="AX316" s="111">
        <f t="shared" si="134"/>
        <v>1</v>
      </c>
      <c r="AY316" s="111">
        <f t="shared" si="135"/>
        <v>1</v>
      </c>
      <c r="AZ316" s="111">
        <f t="shared" si="136"/>
        <v>1</v>
      </c>
      <c r="BA316" s="111">
        <f t="shared" si="137"/>
        <v>3.9933868703559132E-2</v>
      </c>
      <c r="BB316" s="111">
        <f t="shared" si="138"/>
        <v>0.13095219210880257</v>
      </c>
      <c r="BC316" s="111">
        <f t="shared" si="139"/>
        <v>0.60148825473047296</v>
      </c>
      <c r="BD316" s="111">
        <v>0</v>
      </c>
      <c r="BE316" s="111">
        <f t="shared" si="140"/>
        <v>0.77237431554283464</v>
      </c>
      <c r="BF316" s="6" t="str">
        <f t="shared" si="141"/>
        <v>OK</v>
      </c>
      <c r="BG316" s="16">
        <f t="shared" si="142"/>
        <v>63.625549371390676</v>
      </c>
      <c r="BH316" s="118">
        <f t="shared" si="143"/>
        <v>2.1193803644775273</v>
      </c>
      <c r="BI316" s="108">
        <f t="shared" si="144"/>
        <v>3.2792262898668612</v>
      </c>
      <c r="BJ316" s="6">
        <f t="shared" si="145"/>
        <v>1.1495689453770039</v>
      </c>
      <c r="BK316" s="108">
        <f t="shared" si="146"/>
        <v>3.7696967076947931</v>
      </c>
      <c r="BL316" s="118" cm="1">
        <f t="array" ref="BL316">IF(AO316=0,FactorPhi7121(BH316,"a"),noisuy2chieu(BK316,BH316,Data!$A$63:$M$85))</f>
        <v>0</v>
      </c>
      <c r="BM316" s="111">
        <v>1.26</v>
      </c>
      <c r="BN316" s="118">
        <f t="shared" si="147"/>
        <v>0.98295948155266932</v>
      </c>
      <c r="BO316" s="108" t="e">
        <f t="shared" si="148"/>
        <v>#DIV/0!</v>
      </c>
      <c r="BP316" s="6" t="e">
        <f t="shared" si="149"/>
        <v>#DIV/0!</v>
      </c>
      <c r="BQ316" s="16">
        <f t="shared" si="150"/>
        <v>127.25109874278135</v>
      </c>
      <c r="BR316" s="118">
        <f t="shared" si="151"/>
        <v>4.2387607289550546</v>
      </c>
      <c r="BS316" s="108">
        <f t="shared" si="152"/>
        <v>15.062108286965572</v>
      </c>
      <c r="BT316" s="118">
        <f t="shared" si="153"/>
        <v>1.1000000000000001</v>
      </c>
      <c r="BU316" s="108">
        <f t="shared" si="154"/>
        <v>16.568319115662131</v>
      </c>
      <c r="BV316" s="6" cm="1">
        <f t="array" ref="BV316">IF(AP316=0,FactorPhi7121(BR316,"a"),noisuy2chieu(BU316,BR316,Data!$A$63:$M$85))</f>
        <v>0</v>
      </c>
      <c r="BW316" s="111">
        <v>1.26</v>
      </c>
      <c r="BX316" s="111">
        <f t="shared" si="155"/>
        <v>0.93183792621067718</v>
      </c>
      <c r="BY316" s="113" t="e">
        <f t="shared" si="156"/>
        <v>#DIV/0!</v>
      </c>
      <c r="BZ316" s="6" t="e">
        <f t="shared" si="157"/>
        <v>#DIV/0!</v>
      </c>
      <c r="CA316" s="114">
        <f t="shared" si="158"/>
        <v>127.25109874278135</v>
      </c>
      <c r="CB316" s="115" t="e">
        <f t="shared" si="159"/>
        <v>#DIV/0!</v>
      </c>
      <c r="CC316" s="6" t="e">
        <f t="shared" si="160"/>
        <v>#DIV/0!</v>
      </c>
      <c r="DG316" s="108"/>
      <c r="DH316" s="108"/>
      <c r="DI316" s="16"/>
      <c r="DJ316" s="108"/>
      <c r="DT316" s="6"/>
      <c r="DU316" s="6"/>
      <c r="DV316" s="111"/>
      <c r="DW316" s="111"/>
      <c r="DX316" s="111"/>
      <c r="DY316" s="111"/>
      <c r="DZ316" s="111"/>
      <c r="EA316" s="111"/>
      <c r="EB316" s="111"/>
      <c r="EC316" s="111"/>
      <c r="ED316" s="111"/>
      <c r="EE316" s="111"/>
      <c r="EF316" s="6"/>
      <c r="EG316" s="6"/>
      <c r="EH316" s="6"/>
      <c r="EI316" s="6"/>
      <c r="EJ316" s="6"/>
      <c r="EK316" s="6"/>
      <c r="EL316" s="112"/>
      <c r="EM316" s="112"/>
      <c r="EN316" s="118"/>
      <c r="EO316" s="118"/>
      <c r="EP316" s="112"/>
      <c r="EQ316" s="112"/>
      <c r="ER316" s="112"/>
      <c r="ES316" s="112"/>
      <c r="ET316" s="112"/>
      <c r="EU316" s="112"/>
      <c r="EV316" s="6"/>
      <c r="EW316" s="6"/>
      <c r="EX316" s="118"/>
      <c r="EY316" s="113"/>
      <c r="EZ316" s="6"/>
      <c r="FA316" s="114"/>
      <c r="FB316" s="115"/>
      <c r="FC316" s="6"/>
    </row>
    <row r="317" spans="27:159">
      <c r="AA317" s="79" t="s">
        <v>175</v>
      </c>
      <c r="AB317" s="80" t="s">
        <v>199</v>
      </c>
      <c r="AC317" s="81">
        <v>0</v>
      </c>
      <c r="AD317" s="81">
        <v>6</v>
      </c>
      <c r="AE317" s="80">
        <v>273</v>
      </c>
      <c r="AF317" s="80">
        <v>6.35</v>
      </c>
      <c r="AG317" s="108" cm="1">
        <f t="array" ref="AG317">_xll.DCEPropSectPipe(AE317, AF317, "Area")/100</f>
        <v>53.19431074856206</v>
      </c>
      <c r="AH317" s="16" cm="1">
        <f t="array" ref="AH317">_xll.DCEPropSectPipe(AE317, AF317, "Ix")/10000</f>
        <v>4730.4733077169503</v>
      </c>
      <c r="AI317" s="16" cm="1">
        <f t="array" ref="AI317">_xll.DCEPropSectPipe(AE317, AF317, "Wx")/1000</f>
        <v>346.55482107816493</v>
      </c>
      <c r="AJ317" s="108">
        <f t="shared" si="129"/>
        <v>9.4301739777164251</v>
      </c>
      <c r="AK317" s="80" t="s">
        <v>213</v>
      </c>
      <c r="AL317" s="82">
        <v>-6.4026740594263707</v>
      </c>
      <c r="AM317" s="82">
        <v>-1.1346833377598784</v>
      </c>
      <c r="AN317" s="82">
        <v>0.32363235646062644</v>
      </c>
      <c r="AO317" s="82">
        <v>0</v>
      </c>
      <c r="AP317" s="82">
        <v>0</v>
      </c>
      <c r="AQ317" s="82">
        <v>1.4426643052508731E-2</v>
      </c>
      <c r="AR317" s="72">
        <v>1</v>
      </c>
      <c r="AS317" s="116">
        <f t="shared" si="130"/>
        <v>6</v>
      </c>
      <c r="AT317" s="7">
        <v>2</v>
      </c>
      <c r="AU317" s="6">
        <f t="shared" si="131"/>
        <v>12</v>
      </c>
      <c r="AV317" s="111">
        <f t="shared" si="132"/>
        <v>5.2659200985600858E-3</v>
      </c>
      <c r="AW317" s="117">
        <f t="shared" si="133"/>
        <v>105</v>
      </c>
      <c r="AX317" s="111">
        <f t="shared" si="134"/>
        <v>1</v>
      </c>
      <c r="AY317" s="111">
        <f t="shared" si="135"/>
        <v>1</v>
      </c>
      <c r="AZ317" s="111">
        <f t="shared" si="136"/>
        <v>1</v>
      </c>
      <c r="BA317" s="111">
        <f t="shared" si="137"/>
        <v>5.5430737879579852E-3</v>
      </c>
      <c r="BB317" s="111">
        <f t="shared" si="138"/>
        <v>0</v>
      </c>
      <c r="BC317" s="111">
        <f t="shared" si="139"/>
        <v>0</v>
      </c>
      <c r="BD317" s="111">
        <v>0</v>
      </c>
      <c r="BE317" s="111">
        <f t="shared" si="140"/>
        <v>5.5430737879579852E-3</v>
      </c>
      <c r="BF317" s="6" t="str">
        <f t="shared" si="141"/>
        <v>OK</v>
      </c>
      <c r="BG317" s="16">
        <f t="shared" si="142"/>
        <v>63.625549371390676</v>
      </c>
      <c r="BH317" s="118">
        <f t="shared" si="143"/>
        <v>2.1193803644775273</v>
      </c>
      <c r="BI317" s="108">
        <f t="shared" si="144"/>
        <v>0</v>
      </c>
      <c r="BJ317" s="6">
        <f t="shared" si="145"/>
        <v>1.2440309817761237</v>
      </c>
      <c r="BK317" s="108">
        <f t="shared" si="146"/>
        <v>0</v>
      </c>
      <c r="BL317" s="118" cm="1">
        <f t="array" ref="BL317">IF(AO317=0,FactorPhi7121(BH317,"a"),noisuy2chieu(BK317,BH317,Data!$A$63:$M$85))</f>
        <v>0.86214274110469236</v>
      </c>
      <c r="BM317" s="111">
        <v>1.26</v>
      </c>
      <c r="BN317" s="118">
        <f t="shared" si="147"/>
        <v>0.99763466816000734</v>
      </c>
      <c r="BO317" s="108">
        <f t="shared" si="148"/>
        <v>1.3104332879000806E-2</v>
      </c>
      <c r="BP317" s="6" t="str">
        <f t="shared" si="149"/>
        <v>OK</v>
      </c>
      <c r="BQ317" s="16">
        <f t="shared" si="150"/>
        <v>127.25109874278135</v>
      </c>
      <c r="BR317" s="118">
        <f t="shared" si="151"/>
        <v>4.2387607289550546</v>
      </c>
      <c r="BS317" s="108">
        <f t="shared" si="152"/>
        <v>0</v>
      </c>
      <c r="BT317" s="118">
        <f t="shared" si="153"/>
        <v>1.1380619635522473</v>
      </c>
      <c r="BU317" s="108">
        <f t="shared" si="154"/>
        <v>0</v>
      </c>
      <c r="BV317" s="6" cm="1">
        <f t="array" ref="BV317">IF(AP317=0,FactorPhi7121(BR317,"a"),noisuy2chieu(BU317,BR317,Data!$A$63:$M$85))</f>
        <v>0.42299549615688942</v>
      </c>
      <c r="BW317" s="111">
        <v>1.26</v>
      </c>
      <c r="BX317" s="111">
        <f t="shared" si="155"/>
        <v>0.99053867264002948</v>
      </c>
      <c r="BY317" s="113">
        <f t="shared" si="156"/>
        <v>6.4294153667123141E-3</v>
      </c>
      <c r="BZ317" s="6" t="str">
        <f t="shared" si="157"/>
        <v>OK</v>
      </c>
      <c r="CA317" s="114">
        <f t="shared" si="158"/>
        <v>127.25109874278135</v>
      </c>
      <c r="CB317" s="115">
        <f t="shared" si="159"/>
        <v>150</v>
      </c>
      <c r="CC317" s="6" t="str">
        <f t="shared" si="160"/>
        <v>OK</v>
      </c>
      <c r="DG317" s="108"/>
      <c r="DH317" s="108"/>
      <c r="DI317" s="16"/>
      <c r="DJ317" s="108"/>
      <c r="DT317" s="6"/>
      <c r="DU317" s="6"/>
      <c r="DV317" s="111"/>
      <c r="DW317" s="111"/>
      <c r="DX317" s="111"/>
      <c r="DY317" s="111"/>
      <c r="DZ317" s="111"/>
      <c r="EA317" s="111"/>
      <c r="EB317" s="111"/>
      <c r="EC317" s="111"/>
      <c r="ED317" s="111"/>
      <c r="EE317" s="111"/>
      <c r="EF317" s="6"/>
      <c r="EG317" s="6"/>
      <c r="EH317" s="6"/>
      <c r="EI317" s="6"/>
      <c r="EJ317" s="6"/>
      <c r="EK317" s="6"/>
      <c r="EL317" s="112"/>
      <c r="EM317" s="112"/>
      <c r="EN317" s="118"/>
      <c r="EO317" s="118"/>
      <c r="EP317" s="112"/>
      <c r="EQ317" s="112"/>
      <c r="ER317" s="112"/>
      <c r="ES317" s="112"/>
      <c r="ET317" s="112"/>
      <c r="EU317" s="112"/>
      <c r="EV317" s="6"/>
      <c r="EW317" s="6"/>
      <c r="EX317" s="118"/>
      <c r="EY317" s="113"/>
      <c r="EZ317" s="6"/>
      <c r="FA317" s="114"/>
      <c r="FB317" s="115"/>
      <c r="FC317" s="6"/>
    </row>
    <row r="318" spans="27:159">
      <c r="AA318" s="79" t="s">
        <v>175</v>
      </c>
      <c r="AB318" s="80" t="s">
        <v>199</v>
      </c>
      <c r="AC318" s="81">
        <v>2.74</v>
      </c>
      <c r="AD318" s="81">
        <v>6</v>
      </c>
      <c r="AE318" s="80">
        <v>273</v>
      </c>
      <c r="AF318" s="80">
        <v>6.35</v>
      </c>
      <c r="AG318" s="108" cm="1">
        <f t="array" ref="AG318">_xll.DCEPropSectPipe(AE318, AF318, "Area")/100</f>
        <v>53.19431074856206</v>
      </c>
      <c r="AH318" s="16" cm="1">
        <f t="array" ref="AH318">_xll.DCEPropSectPipe(AE318, AF318, "Ix")/10000</f>
        <v>4730.4733077169503</v>
      </c>
      <c r="AI318" s="16" cm="1">
        <f t="array" ref="AI318">_xll.DCEPropSectPipe(AE318, AF318, "Wx")/1000</f>
        <v>346.55482107816493</v>
      </c>
      <c r="AJ318" s="108">
        <f t="shared" si="129"/>
        <v>9.4301739777164251</v>
      </c>
      <c r="AK318" s="80" t="s">
        <v>213</v>
      </c>
      <c r="AL318" s="82">
        <v>-5.0554137106943404</v>
      </c>
      <c r="AM318" s="82">
        <v>-1.1346833377598784</v>
      </c>
      <c r="AN318" s="82">
        <v>0.32363235646062644</v>
      </c>
      <c r="AO318" s="82">
        <v>-0.88739992141503843</v>
      </c>
      <c r="AP318" s="82">
        <v>3.1113017121375846</v>
      </c>
      <c r="AQ318" s="82">
        <v>1.4426643052508731E-2</v>
      </c>
      <c r="AR318" s="72">
        <v>1</v>
      </c>
      <c r="AS318" s="116">
        <f t="shared" si="130"/>
        <v>6</v>
      </c>
      <c r="AT318" s="7">
        <v>2</v>
      </c>
      <c r="AU318" s="6">
        <f t="shared" si="131"/>
        <v>12</v>
      </c>
      <c r="AV318" s="111">
        <f t="shared" si="132"/>
        <v>4.1578572356792149E-3</v>
      </c>
      <c r="AW318" s="117">
        <f t="shared" si="133"/>
        <v>105</v>
      </c>
      <c r="AX318" s="111">
        <f t="shared" si="134"/>
        <v>1</v>
      </c>
      <c r="AY318" s="111">
        <f t="shared" si="135"/>
        <v>1</v>
      </c>
      <c r="AZ318" s="111">
        <f t="shared" si="136"/>
        <v>1</v>
      </c>
      <c r="BA318" s="111">
        <f t="shared" si="137"/>
        <v>4.3766918270307532E-3</v>
      </c>
      <c r="BB318" s="111">
        <f t="shared" si="138"/>
        <v>1.1792391609781155E-2</v>
      </c>
      <c r="BC318" s="111">
        <f t="shared" si="139"/>
        <v>4.134515602300709E-2</v>
      </c>
      <c r="BD318" s="111">
        <v>0</v>
      </c>
      <c r="BE318" s="111">
        <f t="shared" si="140"/>
        <v>5.7514239459818997E-2</v>
      </c>
      <c r="BF318" s="6" t="str">
        <f t="shared" si="141"/>
        <v>OK</v>
      </c>
      <c r="BG318" s="16">
        <f t="shared" si="142"/>
        <v>63.625549371390676</v>
      </c>
      <c r="BH318" s="118">
        <f t="shared" si="143"/>
        <v>2.1193803644775273</v>
      </c>
      <c r="BI318" s="108">
        <f t="shared" si="144"/>
        <v>2.6943618778344236</v>
      </c>
      <c r="BJ318" s="6">
        <f t="shared" si="145"/>
        <v>1.1664166644711933</v>
      </c>
      <c r="BK318" s="108">
        <f t="shared" si="146"/>
        <v>3.1427485944219691</v>
      </c>
      <c r="BL318" s="118" cm="1">
        <f t="array" ref="BL318">IF(AO318=0,FactorPhi7121(BH318,"a"),noisuy2chieu(BK318,BH318,Data!$A$63:$M$85))</f>
        <v>0</v>
      </c>
      <c r="BM318" s="111">
        <v>1.26</v>
      </c>
      <c r="BN318" s="118">
        <f t="shared" si="147"/>
        <v>0.99813238485931732</v>
      </c>
      <c r="BO318" s="108" t="e">
        <f t="shared" si="148"/>
        <v>#DIV/0!</v>
      </c>
      <c r="BP318" s="6" t="e">
        <f t="shared" si="149"/>
        <v>#DIV/0!</v>
      </c>
      <c r="BQ318" s="16">
        <f t="shared" si="150"/>
        <v>127.25109874278135</v>
      </c>
      <c r="BR318" s="118">
        <f t="shared" si="151"/>
        <v>4.2387607289550546</v>
      </c>
      <c r="BS318" s="108">
        <f t="shared" si="152"/>
        <v>9.4466683186731437</v>
      </c>
      <c r="BT318" s="118">
        <f t="shared" si="153"/>
        <v>1.1000000000000001</v>
      </c>
      <c r="BU318" s="108">
        <f t="shared" si="154"/>
        <v>10.391335150540458</v>
      </c>
      <c r="BV318" s="6" cm="1">
        <f t="array" ref="BV318">IF(AP318=0,FactorPhi7121(BR318,"a"),noisuy2chieu(BU318,BR318,Data!$A$63:$M$85))</f>
        <v>0</v>
      </c>
      <c r="BW318" s="111">
        <v>1.26</v>
      </c>
      <c r="BX318" s="111">
        <f t="shared" si="155"/>
        <v>0.99252953943726951</v>
      </c>
      <c r="BY318" s="113" t="e">
        <f t="shared" si="156"/>
        <v>#DIV/0!</v>
      </c>
      <c r="BZ318" s="6" t="e">
        <f t="shared" si="157"/>
        <v>#DIV/0!</v>
      </c>
      <c r="CA318" s="114">
        <f t="shared" si="158"/>
        <v>127.25109874278135</v>
      </c>
      <c r="CB318" s="115" t="e">
        <f t="shared" si="159"/>
        <v>#DIV/0!</v>
      </c>
      <c r="CC318" s="6" t="e">
        <f t="shared" si="160"/>
        <v>#DIV/0!</v>
      </c>
      <c r="DG318" s="108"/>
      <c r="DH318" s="108"/>
      <c r="DI318" s="16"/>
      <c r="DJ318" s="108"/>
      <c r="DT318" s="6"/>
      <c r="DU318" s="6"/>
      <c r="DV318" s="111"/>
      <c r="DW318" s="111"/>
      <c r="DX318" s="111"/>
      <c r="DY318" s="111"/>
      <c r="DZ318" s="111"/>
      <c r="EA318" s="111"/>
      <c r="EB318" s="111"/>
      <c r="EC318" s="111"/>
      <c r="ED318" s="111"/>
      <c r="EE318" s="111"/>
      <c r="EF318" s="6"/>
      <c r="EG318" s="6"/>
      <c r="EH318" s="6"/>
      <c r="EI318" s="6"/>
      <c r="EJ318" s="6"/>
      <c r="EK318" s="6"/>
      <c r="EL318" s="112"/>
      <c r="EM318" s="112"/>
      <c r="EN318" s="118"/>
      <c r="EO318" s="118"/>
      <c r="EP318" s="112"/>
      <c r="EQ318" s="112"/>
      <c r="ER318" s="112"/>
      <c r="ES318" s="112"/>
      <c r="ET318" s="112"/>
      <c r="EU318" s="112"/>
      <c r="EV318" s="6"/>
      <c r="EW318" s="6"/>
      <c r="EX318" s="118"/>
      <c r="EY318" s="113"/>
      <c r="EZ318" s="6"/>
      <c r="FA318" s="114"/>
      <c r="FB318" s="115"/>
      <c r="FC318" s="6"/>
    </row>
    <row r="319" spans="27:159">
      <c r="AA319" s="79" t="s">
        <v>175</v>
      </c>
      <c r="AB319" s="80" t="s">
        <v>199</v>
      </c>
      <c r="AC319" s="81">
        <v>5.48</v>
      </c>
      <c r="AD319" s="81">
        <v>6</v>
      </c>
      <c r="AE319" s="80">
        <v>273</v>
      </c>
      <c r="AF319" s="80">
        <v>6.35</v>
      </c>
      <c r="AG319" s="108" cm="1">
        <f t="array" ref="AG319">_xll.DCEPropSectPipe(AE319, AF319, "Area")/100</f>
        <v>53.19431074856206</v>
      </c>
      <c r="AH319" s="16" cm="1">
        <f t="array" ref="AH319">_xll.DCEPropSectPipe(AE319, AF319, "Ix")/10000</f>
        <v>4730.4733077169503</v>
      </c>
      <c r="AI319" s="16" cm="1">
        <f t="array" ref="AI319">_xll.DCEPropSectPipe(AE319, AF319, "Wx")/1000</f>
        <v>346.55482107816493</v>
      </c>
      <c r="AJ319" s="108">
        <f t="shared" si="129"/>
        <v>9.4301739777164251</v>
      </c>
      <c r="AK319" s="80" t="s">
        <v>213</v>
      </c>
      <c r="AL319" s="82">
        <v>-3.7081533619623035</v>
      </c>
      <c r="AM319" s="82">
        <v>-1.1346833377598784</v>
      </c>
      <c r="AN319" s="82">
        <v>0.32363235646062644</v>
      </c>
      <c r="AO319" s="82">
        <v>-1.7747998428300769</v>
      </c>
      <c r="AP319" s="82">
        <v>6.2226034242751691</v>
      </c>
      <c r="AQ319" s="82">
        <v>1.4426643052508731E-2</v>
      </c>
      <c r="AR319" s="72">
        <v>1</v>
      </c>
      <c r="AS319" s="116">
        <f t="shared" si="130"/>
        <v>6</v>
      </c>
      <c r="AT319" s="7">
        <v>2</v>
      </c>
      <c r="AU319" s="6">
        <f t="shared" si="131"/>
        <v>12</v>
      </c>
      <c r="AV319" s="111">
        <f t="shared" si="132"/>
        <v>3.0497943727983397E-3</v>
      </c>
      <c r="AW319" s="117">
        <f t="shared" si="133"/>
        <v>105</v>
      </c>
      <c r="AX319" s="111">
        <f t="shared" si="134"/>
        <v>1</v>
      </c>
      <c r="AY319" s="111">
        <f t="shared" si="135"/>
        <v>1</v>
      </c>
      <c r="AZ319" s="111">
        <f t="shared" si="136"/>
        <v>1</v>
      </c>
      <c r="BA319" s="111">
        <f t="shared" si="137"/>
        <v>3.2103098661035155E-3</v>
      </c>
      <c r="BB319" s="111">
        <f t="shared" si="138"/>
        <v>2.3584783219562311E-2</v>
      </c>
      <c r="BC319" s="111">
        <f t="shared" si="139"/>
        <v>8.2690312046014181E-2</v>
      </c>
      <c r="BD319" s="111">
        <v>0</v>
      </c>
      <c r="BE319" s="111">
        <f t="shared" si="140"/>
        <v>0.10948540513168001</v>
      </c>
      <c r="BF319" s="6" t="str">
        <f t="shared" si="141"/>
        <v>OK</v>
      </c>
      <c r="BG319" s="16">
        <f t="shared" si="142"/>
        <v>63.625549371390676</v>
      </c>
      <c r="BH319" s="118">
        <f t="shared" si="143"/>
        <v>2.1193803644775273</v>
      </c>
      <c r="BI319" s="108">
        <f t="shared" si="144"/>
        <v>7.3465753161666383</v>
      </c>
      <c r="BJ319" s="6">
        <f t="shared" si="145"/>
        <v>1.1000000000000001</v>
      </c>
      <c r="BK319" s="108">
        <f t="shared" si="146"/>
        <v>8.0812328477833031</v>
      </c>
      <c r="BL319" s="118" cm="1">
        <f t="array" ref="BL319">IF(AO319=0,FactorPhi7121(BH319,"a"),noisuy2chieu(BK319,BH319,Data!$A$63:$M$85))</f>
        <v>0</v>
      </c>
      <c r="BM319" s="111">
        <v>1.26</v>
      </c>
      <c r="BN319" s="118">
        <f t="shared" si="147"/>
        <v>0.99863010155862741</v>
      </c>
      <c r="BO319" s="108" t="e">
        <f t="shared" si="148"/>
        <v>#DIV/0!</v>
      </c>
      <c r="BP319" s="6" t="e">
        <f t="shared" si="149"/>
        <v>#DIV/0!</v>
      </c>
      <c r="BQ319" s="16">
        <f t="shared" si="150"/>
        <v>127.25109874278135</v>
      </c>
      <c r="BR319" s="118">
        <f t="shared" si="151"/>
        <v>4.2387607289550546</v>
      </c>
      <c r="BS319" s="108">
        <f t="shared" si="152"/>
        <v>25.757735388446726</v>
      </c>
      <c r="BT319" s="118">
        <f t="shared" si="153"/>
        <v>1.1000000000000001</v>
      </c>
      <c r="BU319" s="108">
        <f t="shared" si="154"/>
        <v>28.333508927291401</v>
      </c>
      <c r="BV319" s="6" cm="1">
        <f t="array" ref="BV319">IF(AP319=0,FactorPhi7121(BR319,"a"),noisuy2chieu(BU319,BR319,Data!$A$63:$M$85))</f>
        <v>0</v>
      </c>
      <c r="BW319" s="111">
        <v>1.26</v>
      </c>
      <c r="BX319" s="111">
        <f t="shared" si="155"/>
        <v>0.99452040623450955</v>
      </c>
      <c r="BY319" s="113" t="e">
        <f t="shared" si="156"/>
        <v>#DIV/0!</v>
      </c>
      <c r="BZ319" s="6" t="e">
        <f t="shared" si="157"/>
        <v>#DIV/0!</v>
      </c>
      <c r="CA319" s="114">
        <f t="shared" si="158"/>
        <v>127.25109874278135</v>
      </c>
      <c r="CB319" s="115" t="e">
        <f t="shared" si="159"/>
        <v>#DIV/0!</v>
      </c>
      <c r="CC319" s="6" t="e">
        <f t="shared" si="160"/>
        <v>#DIV/0!</v>
      </c>
      <c r="DG319" s="108"/>
      <c r="DH319" s="108"/>
      <c r="DI319" s="16"/>
      <c r="DJ319" s="108"/>
      <c r="DT319" s="6"/>
      <c r="DU319" s="6"/>
      <c r="DV319" s="111"/>
      <c r="DW319" s="111"/>
      <c r="DX319" s="111"/>
      <c r="DY319" s="111"/>
      <c r="DZ319" s="111"/>
      <c r="EA319" s="111"/>
      <c r="EB319" s="111"/>
      <c r="EC319" s="111"/>
      <c r="ED319" s="111"/>
      <c r="EE319" s="111"/>
      <c r="EF319" s="6"/>
      <c r="EG319" s="6"/>
      <c r="EH319" s="6"/>
      <c r="EI319" s="6"/>
      <c r="EJ319" s="6"/>
      <c r="EK319" s="6"/>
      <c r="EL319" s="112"/>
      <c r="EM319" s="112"/>
      <c r="EN319" s="118"/>
      <c r="EO319" s="118"/>
      <c r="EP319" s="112"/>
      <c r="EQ319" s="112"/>
      <c r="ER319" s="112"/>
      <c r="ES319" s="112"/>
      <c r="ET319" s="112"/>
      <c r="EU319" s="112"/>
      <c r="EV319" s="6"/>
      <c r="EW319" s="6"/>
      <c r="EX319" s="118"/>
      <c r="EY319" s="113"/>
      <c r="EZ319" s="6"/>
      <c r="FA319" s="114"/>
      <c r="FB319" s="115"/>
      <c r="FC319" s="6"/>
    </row>
    <row r="320" spans="27:159">
      <c r="AA320" s="79" t="s">
        <v>175</v>
      </c>
      <c r="AB320" s="80" t="s">
        <v>199</v>
      </c>
      <c r="AC320" s="81">
        <v>0</v>
      </c>
      <c r="AD320" s="81">
        <v>6</v>
      </c>
      <c r="AE320" s="80">
        <v>273</v>
      </c>
      <c r="AF320" s="80">
        <v>6.35</v>
      </c>
      <c r="AG320" s="108" cm="1">
        <f t="array" ref="AG320">_xll.DCEPropSectPipe(AE320, AF320, "Area")/100</f>
        <v>53.19431074856206</v>
      </c>
      <c r="AH320" s="16" cm="1">
        <f t="array" ref="AH320">_xll.DCEPropSectPipe(AE320, AF320, "Ix")/10000</f>
        <v>4730.4733077169503</v>
      </c>
      <c r="AI320" s="16" cm="1">
        <f t="array" ref="AI320">_xll.DCEPropSectPipe(AE320, AF320, "Wx")/1000</f>
        <v>346.55482107816493</v>
      </c>
      <c r="AJ320" s="108">
        <f t="shared" si="129"/>
        <v>9.4301739777164251</v>
      </c>
      <c r="AK320" s="80" t="s">
        <v>214</v>
      </c>
      <c r="AL320" s="82">
        <v>-15.426259621516863</v>
      </c>
      <c r="AM320" s="82">
        <v>-1.0719376617969922</v>
      </c>
      <c r="AN320" s="82">
        <v>0.40810250221244737</v>
      </c>
      <c r="AO320" s="82">
        <v>0</v>
      </c>
      <c r="AP320" s="82">
        <v>0</v>
      </c>
      <c r="AQ320" s="82">
        <v>-1.4874797303251395E-2</v>
      </c>
      <c r="AR320" s="72">
        <v>1</v>
      </c>
      <c r="AS320" s="116">
        <f t="shared" si="130"/>
        <v>6</v>
      </c>
      <c r="AT320" s="7">
        <v>2</v>
      </c>
      <c r="AU320" s="6">
        <f t="shared" si="131"/>
        <v>12</v>
      </c>
      <c r="AV320" s="111">
        <f t="shared" si="132"/>
        <v>1.2687425571344705E-2</v>
      </c>
      <c r="AW320" s="117">
        <f t="shared" si="133"/>
        <v>105</v>
      </c>
      <c r="AX320" s="111">
        <f t="shared" si="134"/>
        <v>1</v>
      </c>
      <c r="AY320" s="111">
        <f t="shared" si="135"/>
        <v>1</v>
      </c>
      <c r="AZ320" s="111">
        <f t="shared" si="136"/>
        <v>1</v>
      </c>
      <c r="BA320" s="111">
        <f t="shared" si="137"/>
        <v>1.3355184811941798E-2</v>
      </c>
      <c r="BB320" s="111">
        <f t="shared" si="138"/>
        <v>0</v>
      </c>
      <c r="BC320" s="111">
        <f t="shared" si="139"/>
        <v>0</v>
      </c>
      <c r="BD320" s="111">
        <v>0</v>
      </c>
      <c r="BE320" s="111">
        <f t="shared" si="140"/>
        <v>1.3355184811941798E-2</v>
      </c>
      <c r="BF320" s="6" t="str">
        <f t="shared" si="141"/>
        <v>OK</v>
      </c>
      <c r="BG320" s="16">
        <f t="shared" si="142"/>
        <v>63.625549371390676</v>
      </c>
      <c r="BH320" s="118">
        <f t="shared" si="143"/>
        <v>2.1193803644775273</v>
      </c>
      <c r="BI320" s="108">
        <f t="shared" si="144"/>
        <v>0</v>
      </c>
      <c r="BJ320" s="6">
        <f t="shared" si="145"/>
        <v>1.2440309817761237</v>
      </c>
      <c r="BK320" s="108">
        <f t="shared" si="146"/>
        <v>0</v>
      </c>
      <c r="BL320" s="118" cm="1">
        <f t="array" ref="BL320">IF(AO320=0,FactorPhi7121(BH320,"a"),noisuy2chieu(BK320,BH320,Data!$A$63:$M$85))</f>
        <v>0.86214274110469236</v>
      </c>
      <c r="BM320" s="111">
        <v>1.26</v>
      </c>
      <c r="BN320" s="118">
        <f t="shared" si="147"/>
        <v>0.99430109627382224</v>
      </c>
      <c r="BO320" s="108">
        <f t="shared" si="148"/>
        <v>3.1572877095098775E-2</v>
      </c>
      <c r="BP320" s="6" t="str">
        <f t="shared" si="149"/>
        <v>OK</v>
      </c>
      <c r="BQ320" s="16">
        <f t="shared" si="150"/>
        <v>127.25109874278135</v>
      </c>
      <c r="BR320" s="118">
        <f t="shared" si="151"/>
        <v>4.2387607289550546</v>
      </c>
      <c r="BS320" s="108">
        <f t="shared" si="152"/>
        <v>0</v>
      </c>
      <c r="BT320" s="118">
        <f t="shared" si="153"/>
        <v>1.1380619635522473</v>
      </c>
      <c r="BU320" s="108">
        <f t="shared" si="154"/>
        <v>0</v>
      </c>
      <c r="BV320" s="6" cm="1">
        <f t="array" ref="BV320">IF(AP320=0,FactorPhi7121(BR320,"a"),noisuy2chieu(BU320,BR320,Data!$A$63:$M$85))</f>
        <v>0.42299549615688942</v>
      </c>
      <c r="BW320" s="111">
        <v>1.26</v>
      </c>
      <c r="BX320" s="111">
        <f t="shared" si="155"/>
        <v>0.97720438509528906</v>
      </c>
      <c r="BY320" s="113">
        <f t="shared" si="156"/>
        <v>1.5490688693648745E-2</v>
      </c>
      <c r="BZ320" s="6" t="str">
        <f t="shared" si="157"/>
        <v>OK</v>
      </c>
      <c r="CA320" s="114">
        <f t="shared" si="158"/>
        <v>127.25109874278135</v>
      </c>
      <c r="CB320" s="115">
        <f t="shared" si="159"/>
        <v>150</v>
      </c>
      <c r="CC320" s="6" t="str">
        <f t="shared" si="160"/>
        <v>OK</v>
      </c>
      <c r="DG320" s="108"/>
      <c r="DH320" s="108"/>
      <c r="DI320" s="16"/>
      <c r="DJ320" s="108"/>
      <c r="DT320" s="6"/>
      <c r="DU320" s="6"/>
      <c r="DV320" s="111"/>
      <c r="DW320" s="111"/>
      <c r="DX320" s="111"/>
      <c r="DY320" s="111"/>
      <c r="DZ320" s="111"/>
      <c r="EA320" s="111"/>
      <c r="EB320" s="111"/>
      <c r="EC320" s="111"/>
      <c r="ED320" s="111"/>
      <c r="EE320" s="111"/>
      <c r="EF320" s="6"/>
      <c r="EG320" s="6"/>
      <c r="EH320" s="6"/>
      <c r="EI320" s="6"/>
      <c r="EJ320" s="6"/>
      <c r="EK320" s="6"/>
      <c r="EL320" s="112"/>
      <c r="EM320" s="112"/>
      <c r="EN320" s="118"/>
      <c r="EO320" s="118"/>
      <c r="EP320" s="112"/>
      <c r="EQ320" s="112"/>
      <c r="ER320" s="112"/>
      <c r="ES320" s="112"/>
      <c r="ET320" s="112"/>
      <c r="EU320" s="112"/>
      <c r="EV320" s="6"/>
      <c r="EW320" s="6"/>
      <c r="EX320" s="118"/>
      <c r="EY320" s="113"/>
      <c r="EZ320" s="6"/>
      <c r="FA320" s="114"/>
      <c r="FB320" s="115"/>
      <c r="FC320" s="6"/>
    </row>
    <row r="321" spans="27:159">
      <c r="AA321" s="79" t="s">
        <v>175</v>
      </c>
      <c r="AB321" s="80" t="s">
        <v>199</v>
      </c>
      <c r="AC321" s="81">
        <v>2.74</v>
      </c>
      <c r="AD321" s="81">
        <v>6</v>
      </c>
      <c r="AE321" s="80">
        <v>273</v>
      </c>
      <c r="AF321" s="80">
        <v>6.35</v>
      </c>
      <c r="AG321" s="108" cm="1">
        <f t="array" ref="AG321">_xll.DCEPropSectPipe(AE321, AF321, "Area")/100</f>
        <v>53.19431074856206</v>
      </c>
      <c r="AH321" s="16" cm="1">
        <f t="array" ref="AH321">_xll.DCEPropSectPipe(AE321, AF321, "Ix")/10000</f>
        <v>4730.4733077169503</v>
      </c>
      <c r="AI321" s="16" cm="1">
        <f t="array" ref="AI321">_xll.DCEPropSectPipe(AE321, AF321, "Wx")/1000</f>
        <v>346.55482107816493</v>
      </c>
      <c r="AJ321" s="108">
        <f t="shared" si="129"/>
        <v>9.4301739777164251</v>
      </c>
      <c r="AK321" s="80" t="s">
        <v>214</v>
      </c>
      <c r="AL321" s="82">
        <v>-14.078999272784833</v>
      </c>
      <c r="AM321" s="82">
        <v>-1.0719376617969922</v>
      </c>
      <c r="AN321" s="82">
        <v>0.40810250221244737</v>
      </c>
      <c r="AO321" s="82">
        <v>-1.1190170610665311</v>
      </c>
      <c r="AP321" s="82">
        <v>2.9392530686473486</v>
      </c>
      <c r="AQ321" s="82">
        <v>-1.4874797303251395E-2</v>
      </c>
      <c r="AR321" s="72">
        <v>1</v>
      </c>
      <c r="AS321" s="116">
        <f t="shared" si="130"/>
        <v>6</v>
      </c>
      <c r="AT321" s="7">
        <v>2</v>
      </c>
      <c r="AU321" s="6">
        <f t="shared" si="131"/>
        <v>12</v>
      </c>
      <c r="AV321" s="111">
        <f t="shared" si="132"/>
        <v>1.1579362708463836E-2</v>
      </c>
      <c r="AW321" s="117">
        <f t="shared" si="133"/>
        <v>105</v>
      </c>
      <c r="AX321" s="111">
        <f t="shared" si="134"/>
        <v>1</v>
      </c>
      <c r="AY321" s="111">
        <f t="shared" si="135"/>
        <v>1</v>
      </c>
      <c r="AZ321" s="111">
        <f t="shared" si="136"/>
        <v>1</v>
      </c>
      <c r="BA321" s="111">
        <f t="shared" si="137"/>
        <v>1.2188802851014565E-2</v>
      </c>
      <c r="BB321" s="111">
        <f t="shared" si="138"/>
        <v>1.4870282365002815E-2</v>
      </c>
      <c r="BC321" s="111">
        <f t="shared" si="139"/>
        <v>3.9058853161121239E-2</v>
      </c>
      <c r="BD321" s="111">
        <v>0</v>
      </c>
      <c r="BE321" s="111">
        <f t="shared" si="140"/>
        <v>6.6117938377138613E-2</v>
      </c>
      <c r="BF321" s="6" t="str">
        <f t="shared" si="141"/>
        <v>OK</v>
      </c>
      <c r="BG321" s="16">
        <f t="shared" si="142"/>
        <v>63.625549371390676</v>
      </c>
      <c r="BH321" s="118">
        <f t="shared" si="143"/>
        <v>2.1193803644775273</v>
      </c>
      <c r="BI321" s="108">
        <f t="shared" si="144"/>
        <v>1.2199953142867555</v>
      </c>
      <c r="BJ321" s="6">
        <f t="shared" si="145"/>
        <v>1.2088875572003255</v>
      </c>
      <c r="BK321" s="108">
        <f t="shared" si="146"/>
        <v>1.4748371552839592</v>
      </c>
      <c r="BL321" s="118" cm="1">
        <f t="array" ref="BL321">IF(AO321=0,FactorPhi7121(BH321,"a"),noisuy2chieu(BK321,BH321,Data!$A$63:$M$85))</f>
        <v>0</v>
      </c>
      <c r="BM321" s="111">
        <v>1.26</v>
      </c>
      <c r="BN321" s="118">
        <f t="shared" si="147"/>
        <v>0.99479881297313233</v>
      </c>
      <c r="BO321" s="108" t="e">
        <f t="shared" si="148"/>
        <v>#DIV/0!</v>
      </c>
      <c r="BP321" s="6" t="e">
        <f t="shared" si="149"/>
        <v>#DIV/0!</v>
      </c>
      <c r="BQ321" s="16">
        <f t="shared" si="150"/>
        <v>127.25109874278135</v>
      </c>
      <c r="BR321" s="118">
        <f t="shared" si="151"/>
        <v>4.2387607289550546</v>
      </c>
      <c r="BS321" s="108">
        <f t="shared" si="152"/>
        <v>3.2044864158148294</v>
      </c>
      <c r="BT321" s="118">
        <f t="shared" si="153"/>
        <v>1.1136681545197642</v>
      </c>
      <c r="BU321" s="108">
        <f t="shared" si="154"/>
        <v>3.5687344728841546</v>
      </c>
      <c r="BV321" s="6" cm="1">
        <f t="array" ref="BV321">IF(AP321=0,FactorPhi7121(BR321,"a"),noisuy2chieu(BU321,BR321,Data!$A$63:$M$85))</f>
        <v>0</v>
      </c>
      <c r="BW321" s="111">
        <v>1.26</v>
      </c>
      <c r="BX321" s="111">
        <f t="shared" si="155"/>
        <v>0.97919525189252909</v>
      </c>
      <c r="BY321" s="113" t="e">
        <f t="shared" si="156"/>
        <v>#DIV/0!</v>
      </c>
      <c r="BZ321" s="6" t="e">
        <f t="shared" si="157"/>
        <v>#DIV/0!</v>
      </c>
      <c r="CA321" s="114">
        <f t="shared" si="158"/>
        <v>127.25109874278135</v>
      </c>
      <c r="CB321" s="115" t="e">
        <f t="shared" si="159"/>
        <v>#DIV/0!</v>
      </c>
      <c r="CC321" s="6" t="e">
        <f t="shared" si="160"/>
        <v>#DIV/0!</v>
      </c>
      <c r="DG321" s="108"/>
      <c r="DH321" s="108"/>
      <c r="DI321" s="16"/>
      <c r="DJ321" s="108"/>
      <c r="DT321" s="6"/>
      <c r="DU321" s="6"/>
      <c r="DV321" s="111"/>
      <c r="DW321" s="111"/>
      <c r="DX321" s="111"/>
      <c r="DY321" s="111"/>
      <c r="DZ321" s="111"/>
      <c r="EA321" s="111"/>
      <c r="EB321" s="111"/>
      <c r="EC321" s="111"/>
      <c r="ED321" s="111"/>
      <c r="EE321" s="111"/>
      <c r="EF321" s="6"/>
      <c r="EG321" s="6"/>
      <c r="EH321" s="6"/>
      <c r="EI321" s="6"/>
      <c r="EJ321" s="6"/>
      <c r="EK321" s="6"/>
      <c r="EL321" s="112"/>
      <c r="EM321" s="112"/>
      <c r="EN321" s="118"/>
      <c r="EO321" s="118"/>
      <c r="EP321" s="112"/>
      <c r="EQ321" s="112"/>
      <c r="ER321" s="112"/>
      <c r="ES321" s="112"/>
      <c r="ET321" s="112"/>
      <c r="EU321" s="112"/>
      <c r="EV321" s="6"/>
      <c r="EW321" s="6"/>
      <c r="EX321" s="118"/>
      <c r="EY321" s="113"/>
      <c r="EZ321" s="6"/>
      <c r="FA321" s="114"/>
      <c r="FB321" s="115"/>
      <c r="FC321" s="6"/>
    </row>
    <row r="322" spans="27:159">
      <c r="AA322" s="79" t="s">
        <v>175</v>
      </c>
      <c r="AB322" s="80" t="s">
        <v>199</v>
      </c>
      <c r="AC322" s="81">
        <v>5.48</v>
      </c>
      <c r="AD322" s="81">
        <v>6</v>
      </c>
      <c r="AE322" s="80">
        <v>273</v>
      </c>
      <c r="AF322" s="80">
        <v>6.35</v>
      </c>
      <c r="AG322" s="108" cm="1">
        <f t="array" ref="AG322">_xll.DCEPropSectPipe(AE322, AF322, "Area")/100</f>
        <v>53.19431074856206</v>
      </c>
      <c r="AH322" s="16" cm="1">
        <f t="array" ref="AH322">_xll.DCEPropSectPipe(AE322, AF322, "Ix")/10000</f>
        <v>4730.4733077169503</v>
      </c>
      <c r="AI322" s="16" cm="1">
        <f t="array" ref="AI322">_xll.DCEPropSectPipe(AE322, AF322, "Wx")/1000</f>
        <v>346.55482107816493</v>
      </c>
      <c r="AJ322" s="108">
        <f t="shared" si="129"/>
        <v>9.4301739777164251</v>
      </c>
      <c r="AK322" s="80" t="s">
        <v>214</v>
      </c>
      <c r="AL322" s="82">
        <v>-12.731738924052795</v>
      </c>
      <c r="AM322" s="82">
        <v>-1.0719376617969922</v>
      </c>
      <c r="AN322" s="82">
        <v>0.40810250221244737</v>
      </c>
      <c r="AO322" s="82">
        <v>-2.2380341221330622</v>
      </c>
      <c r="AP322" s="82">
        <v>5.8785061372946972</v>
      </c>
      <c r="AQ322" s="82">
        <v>-1.4874797303251395E-2</v>
      </c>
      <c r="AR322" s="72">
        <v>1</v>
      </c>
      <c r="AS322" s="116">
        <f t="shared" si="130"/>
        <v>6</v>
      </c>
      <c r="AT322" s="7">
        <v>2</v>
      </c>
      <c r="AU322" s="6">
        <f t="shared" si="131"/>
        <v>12</v>
      </c>
      <c r="AV322" s="111">
        <f t="shared" si="132"/>
        <v>1.0471299845582959E-2</v>
      </c>
      <c r="AW322" s="117">
        <f t="shared" si="133"/>
        <v>105</v>
      </c>
      <c r="AX322" s="111">
        <f t="shared" si="134"/>
        <v>1</v>
      </c>
      <c r="AY322" s="111">
        <f t="shared" si="135"/>
        <v>1</v>
      </c>
      <c r="AZ322" s="111">
        <f t="shared" si="136"/>
        <v>1</v>
      </c>
      <c r="BA322" s="111">
        <f t="shared" si="137"/>
        <v>1.1022420890087327E-2</v>
      </c>
      <c r="BB322" s="111">
        <f t="shared" si="138"/>
        <v>2.9740564730005629E-2</v>
      </c>
      <c r="BC322" s="111">
        <f t="shared" si="139"/>
        <v>7.8117706322242478E-2</v>
      </c>
      <c r="BD322" s="111">
        <v>0</v>
      </c>
      <c r="BE322" s="111">
        <f t="shared" si="140"/>
        <v>0.11888069194233544</v>
      </c>
      <c r="BF322" s="6" t="str">
        <f t="shared" si="141"/>
        <v>OK</v>
      </c>
      <c r="BG322" s="16">
        <f t="shared" si="142"/>
        <v>63.625549371390676</v>
      </c>
      <c r="BH322" s="118">
        <f t="shared" si="143"/>
        <v>2.1193803644775273</v>
      </c>
      <c r="BI322" s="108">
        <f t="shared" si="144"/>
        <v>2.6981880864984831</v>
      </c>
      <c r="BJ322" s="6">
        <f t="shared" si="145"/>
        <v>1.1663064459531203</v>
      </c>
      <c r="BK322" s="108">
        <f t="shared" si="146"/>
        <v>3.146914157677096</v>
      </c>
      <c r="BL322" s="118" cm="1">
        <f t="array" ref="BL322">IF(AO322=0,FactorPhi7121(BH322,"a"),noisuy2chieu(BK322,BH322,Data!$A$63:$M$85))</f>
        <v>0</v>
      </c>
      <c r="BM322" s="111">
        <v>1.26</v>
      </c>
      <c r="BN322" s="118">
        <f t="shared" si="147"/>
        <v>0.99529652967244231</v>
      </c>
      <c r="BO322" s="108" t="e">
        <f t="shared" si="148"/>
        <v>#DIV/0!</v>
      </c>
      <c r="BP322" s="6" t="e">
        <f t="shared" si="149"/>
        <v>#DIV/0!</v>
      </c>
      <c r="BQ322" s="16">
        <f t="shared" si="150"/>
        <v>127.25109874278135</v>
      </c>
      <c r="BR322" s="118">
        <f t="shared" si="151"/>
        <v>4.2387607289550546</v>
      </c>
      <c r="BS322" s="108">
        <f t="shared" si="152"/>
        <v>7.0871641630465421</v>
      </c>
      <c r="BT322" s="118">
        <f t="shared" si="153"/>
        <v>1.1000000000000001</v>
      </c>
      <c r="BU322" s="108">
        <f t="shared" si="154"/>
        <v>7.7958805793511967</v>
      </c>
      <c r="BV322" s="6" cm="1">
        <f t="array" ref="BV322">IF(AP322=0,FactorPhi7121(BR322,"a"),noisuy2chieu(BU322,BR322,Data!$A$63:$M$85))</f>
        <v>0</v>
      </c>
      <c r="BW322" s="111">
        <v>1.26</v>
      </c>
      <c r="BX322" s="111">
        <f t="shared" si="155"/>
        <v>0.98118611868976913</v>
      </c>
      <c r="BY322" s="113" t="e">
        <f t="shared" si="156"/>
        <v>#DIV/0!</v>
      </c>
      <c r="BZ322" s="6" t="e">
        <f t="shared" si="157"/>
        <v>#DIV/0!</v>
      </c>
      <c r="CA322" s="114">
        <f t="shared" si="158"/>
        <v>127.25109874278135</v>
      </c>
      <c r="CB322" s="115" t="e">
        <f t="shared" si="159"/>
        <v>#DIV/0!</v>
      </c>
      <c r="CC322" s="6" t="e">
        <f t="shared" si="160"/>
        <v>#DIV/0!</v>
      </c>
      <c r="DG322" s="108"/>
      <c r="DH322" s="108"/>
      <c r="DI322" s="16"/>
      <c r="DJ322" s="108"/>
      <c r="DT322" s="6"/>
      <c r="DU322" s="6"/>
      <c r="DV322" s="111"/>
      <c r="DW322" s="111"/>
      <c r="DX322" s="111"/>
      <c r="DY322" s="111"/>
      <c r="DZ322" s="111"/>
      <c r="EA322" s="111"/>
      <c r="EB322" s="111"/>
      <c r="EC322" s="111"/>
      <c r="ED322" s="111"/>
      <c r="EE322" s="111"/>
      <c r="EF322" s="6"/>
      <c r="EG322" s="6"/>
      <c r="EH322" s="6"/>
      <c r="EI322" s="6"/>
      <c r="EJ322" s="6"/>
      <c r="EK322" s="6"/>
      <c r="EL322" s="112"/>
      <c r="EM322" s="112"/>
      <c r="EN322" s="118"/>
      <c r="EO322" s="118"/>
      <c r="EP322" s="112"/>
      <c r="EQ322" s="112"/>
      <c r="ER322" s="112"/>
      <c r="ES322" s="112"/>
      <c r="ET322" s="112"/>
      <c r="EU322" s="112"/>
      <c r="EV322" s="6"/>
      <c r="EW322" s="6"/>
      <c r="EX322" s="118"/>
      <c r="EY322" s="113"/>
      <c r="EZ322" s="6"/>
      <c r="FA322" s="114"/>
      <c r="FB322" s="115"/>
      <c r="FC322" s="6"/>
    </row>
    <row r="323" spans="27:159">
      <c r="AA323" s="79" t="s">
        <v>175</v>
      </c>
      <c r="AB323" s="80" t="s">
        <v>199</v>
      </c>
      <c r="AC323" s="81">
        <v>0</v>
      </c>
      <c r="AD323" s="81">
        <v>6</v>
      </c>
      <c r="AE323" s="80">
        <v>273</v>
      </c>
      <c r="AF323" s="80">
        <v>6.35</v>
      </c>
      <c r="AG323" s="108" cm="1">
        <f t="array" ref="AG323">_xll.DCEPropSectPipe(AE323, AF323, "Area")/100</f>
        <v>53.19431074856206</v>
      </c>
      <c r="AH323" s="16" cm="1">
        <f t="array" ref="AH323">_xll.DCEPropSectPipe(AE323, AF323, "Ix")/10000</f>
        <v>4730.4733077169503</v>
      </c>
      <c r="AI323" s="16" cm="1">
        <f t="array" ref="AI323">_xll.DCEPropSectPipe(AE323, AF323, "Wx")/1000</f>
        <v>346.55482107816493</v>
      </c>
      <c r="AJ323" s="108">
        <f t="shared" si="129"/>
        <v>9.4301739777164251</v>
      </c>
      <c r="AK323" s="80" t="s">
        <v>215</v>
      </c>
      <c r="AL323" s="82">
        <v>-58.784170887165544</v>
      </c>
      <c r="AM323" s="82">
        <v>-8.4145305397030654</v>
      </c>
      <c r="AN323" s="82">
        <v>1.9236077697064393</v>
      </c>
      <c r="AO323" s="82">
        <v>0</v>
      </c>
      <c r="AP323" s="82">
        <v>0</v>
      </c>
      <c r="AQ323" s="82">
        <v>-0.29217627635281423</v>
      </c>
      <c r="AR323" s="72">
        <v>1</v>
      </c>
      <c r="AS323" s="116">
        <f t="shared" si="130"/>
        <v>6</v>
      </c>
      <c r="AT323" s="7">
        <v>2</v>
      </c>
      <c r="AU323" s="6">
        <f t="shared" si="131"/>
        <v>12</v>
      </c>
      <c r="AV323" s="111">
        <f t="shared" si="132"/>
        <v>4.834741610752074E-2</v>
      </c>
      <c r="AW323" s="117">
        <f t="shared" si="133"/>
        <v>105</v>
      </c>
      <c r="AX323" s="111">
        <f t="shared" si="134"/>
        <v>1</v>
      </c>
      <c r="AY323" s="111">
        <f t="shared" si="135"/>
        <v>1</v>
      </c>
      <c r="AZ323" s="111">
        <f t="shared" si="136"/>
        <v>1</v>
      </c>
      <c r="BA323" s="111">
        <f t="shared" si="137"/>
        <v>5.0892016955284988E-2</v>
      </c>
      <c r="BB323" s="111">
        <f t="shared" si="138"/>
        <v>0</v>
      </c>
      <c r="BC323" s="111">
        <f t="shared" si="139"/>
        <v>0</v>
      </c>
      <c r="BD323" s="111">
        <v>0</v>
      </c>
      <c r="BE323" s="111">
        <f t="shared" si="140"/>
        <v>5.0892016955284988E-2</v>
      </c>
      <c r="BF323" s="6" t="str">
        <f t="shared" si="141"/>
        <v>OK</v>
      </c>
      <c r="BG323" s="16">
        <f t="shared" si="142"/>
        <v>63.625549371390676</v>
      </c>
      <c r="BH323" s="118">
        <f t="shared" si="143"/>
        <v>2.1193803644775273</v>
      </c>
      <c r="BI323" s="108">
        <f t="shared" si="144"/>
        <v>0</v>
      </c>
      <c r="BJ323" s="6">
        <f t="shared" si="145"/>
        <v>1.2440309817761237</v>
      </c>
      <c r="BK323" s="108">
        <f t="shared" si="146"/>
        <v>0</v>
      </c>
      <c r="BL323" s="118" cm="1">
        <f t="array" ref="BL323">IF(AO323=0,FactorPhi7121(BH323,"a"),noisuy2chieu(BK323,BH323,Data!$A$63:$M$85))</f>
        <v>0.86214274110469236</v>
      </c>
      <c r="BM323" s="111">
        <v>1.26</v>
      </c>
      <c r="BN323" s="118">
        <f t="shared" si="147"/>
        <v>0.97828343754555624</v>
      </c>
      <c r="BO323" s="108">
        <f t="shared" si="148"/>
        <v>0.12031337784364751</v>
      </c>
      <c r="BP323" s="6" t="str">
        <f t="shared" si="149"/>
        <v>OK</v>
      </c>
      <c r="BQ323" s="16">
        <f t="shared" si="150"/>
        <v>127.25109874278135</v>
      </c>
      <c r="BR323" s="118">
        <f t="shared" si="151"/>
        <v>4.2387607289550546</v>
      </c>
      <c r="BS323" s="108">
        <f t="shared" si="152"/>
        <v>0</v>
      </c>
      <c r="BT323" s="118">
        <f t="shared" si="153"/>
        <v>1.1380619635522473</v>
      </c>
      <c r="BU323" s="108">
        <f t="shared" si="154"/>
        <v>0</v>
      </c>
      <c r="BV323" s="6" cm="1">
        <f t="array" ref="BV323">IF(AP323=0,FactorPhi7121(BR323,"a"),noisuy2chieu(BU323,BR323,Data!$A$63:$M$85))</f>
        <v>0.42299549615688942</v>
      </c>
      <c r="BW323" s="111">
        <v>1.26</v>
      </c>
      <c r="BX323" s="111">
        <f t="shared" si="155"/>
        <v>0.91313375018222476</v>
      </c>
      <c r="BY323" s="113">
        <f t="shared" si="156"/>
        <v>5.9029687926242171E-2</v>
      </c>
      <c r="BZ323" s="6" t="str">
        <f t="shared" si="157"/>
        <v>OK</v>
      </c>
      <c r="CA323" s="114">
        <f t="shared" si="158"/>
        <v>127.25109874278135</v>
      </c>
      <c r="CB323" s="115">
        <f t="shared" si="159"/>
        <v>150</v>
      </c>
      <c r="CC323" s="6" t="str">
        <f t="shared" si="160"/>
        <v>OK</v>
      </c>
      <c r="DG323" s="108"/>
      <c r="DH323" s="108"/>
      <c r="DI323" s="16"/>
      <c r="DJ323" s="108"/>
      <c r="DT323" s="6"/>
      <c r="DU323" s="6"/>
      <c r="DV323" s="111"/>
      <c r="DW323" s="111"/>
      <c r="DX323" s="111"/>
      <c r="DY323" s="111"/>
      <c r="DZ323" s="111"/>
      <c r="EA323" s="111"/>
      <c r="EB323" s="111"/>
      <c r="EC323" s="111"/>
      <c r="ED323" s="111"/>
      <c r="EE323" s="111"/>
      <c r="EF323" s="6"/>
      <c r="EG323" s="6"/>
      <c r="EH323" s="6"/>
      <c r="EI323" s="6"/>
      <c r="EJ323" s="6"/>
      <c r="EK323" s="6"/>
      <c r="EL323" s="112"/>
      <c r="EM323" s="112"/>
      <c r="EN323" s="118"/>
      <c r="EO323" s="118"/>
      <c r="EP323" s="112"/>
      <c r="EQ323" s="112"/>
      <c r="ER323" s="112"/>
      <c r="ES323" s="112"/>
      <c r="ET323" s="112"/>
      <c r="EU323" s="112"/>
      <c r="EV323" s="6"/>
      <c r="EW323" s="6"/>
      <c r="EX323" s="118"/>
      <c r="EY323" s="113"/>
      <c r="EZ323" s="6"/>
      <c r="FA323" s="114"/>
      <c r="FB323" s="115"/>
      <c r="FC323" s="6"/>
    </row>
    <row r="324" spans="27:159">
      <c r="AA324" s="79" t="s">
        <v>175</v>
      </c>
      <c r="AB324" s="80" t="s">
        <v>199</v>
      </c>
      <c r="AC324" s="81">
        <v>2.74</v>
      </c>
      <c r="AD324" s="81">
        <v>6</v>
      </c>
      <c r="AE324" s="80">
        <v>273</v>
      </c>
      <c r="AF324" s="80">
        <v>6.35</v>
      </c>
      <c r="AG324" s="108" cm="1">
        <f t="array" ref="AG324">_xll.DCEPropSectPipe(AE324, AF324, "Area")/100</f>
        <v>53.19431074856206</v>
      </c>
      <c r="AH324" s="16" cm="1">
        <f t="array" ref="AH324">_xll.DCEPropSectPipe(AE324, AF324, "Ix")/10000</f>
        <v>4730.4733077169503</v>
      </c>
      <c r="AI324" s="16" cm="1">
        <f t="array" ref="AI324">_xll.DCEPropSectPipe(AE324, AF324, "Wx")/1000</f>
        <v>346.55482107816493</v>
      </c>
      <c r="AJ324" s="108">
        <f t="shared" si="129"/>
        <v>9.4301739777164251</v>
      </c>
      <c r="AK324" s="80" t="s">
        <v>215</v>
      </c>
      <c r="AL324" s="82">
        <v>-57.436910538433509</v>
      </c>
      <c r="AM324" s="82">
        <v>-8.4145305397030654</v>
      </c>
      <c r="AN324" s="82">
        <v>1.9236077697064393</v>
      </c>
      <c r="AO324" s="82">
        <v>-5.2745325045350553</v>
      </c>
      <c r="AP324" s="82">
        <v>23.072642739865806</v>
      </c>
      <c r="AQ324" s="82">
        <v>-0.29217627635281423</v>
      </c>
      <c r="AR324" s="72">
        <v>1</v>
      </c>
      <c r="AS324" s="116">
        <f t="shared" si="130"/>
        <v>6</v>
      </c>
      <c r="AT324" s="7">
        <v>2</v>
      </c>
      <c r="AU324" s="6">
        <f t="shared" si="131"/>
        <v>12</v>
      </c>
      <c r="AV324" s="111">
        <f t="shared" si="132"/>
        <v>4.7239353244639862E-2</v>
      </c>
      <c r="AW324" s="117">
        <f t="shared" si="133"/>
        <v>105</v>
      </c>
      <c r="AX324" s="111">
        <f t="shared" si="134"/>
        <v>1</v>
      </c>
      <c r="AY324" s="111">
        <f t="shared" si="135"/>
        <v>1</v>
      </c>
      <c r="AZ324" s="111">
        <f t="shared" si="136"/>
        <v>1</v>
      </c>
      <c r="BA324" s="111">
        <f t="shared" si="137"/>
        <v>4.9725634994357754E-2</v>
      </c>
      <c r="BB324" s="111">
        <f t="shared" si="138"/>
        <v>7.0091681722052393E-2</v>
      </c>
      <c r="BC324" s="111">
        <f t="shared" si="139"/>
        <v>0.30660543470323187</v>
      </c>
      <c r="BD324" s="111">
        <v>0</v>
      </c>
      <c r="BE324" s="111">
        <f t="shared" si="140"/>
        <v>0.42642275141964203</v>
      </c>
      <c r="BF324" s="6" t="str">
        <f t="shared" si="141"/>
        <v>OK</v>
      </c>
      <c r="BG324" s="16">
        <f t="shared" si="142"/>
        <v>63.625549371390676</v>
      </c>
      <c r="BH324" s="118">
        <f t="shared" si="143"/>
        <v>2.1193803644775273</v>
      </c>
      <c r="BI324" s="108">
        <f t="shared" si="144"/>
        <v>1.4095683590567627</v>
      </c>
      <c r="BJ324" s="6">
        <f t="shared" si="145"/>
        <v>1.2034266788490227</v>
      </c>
      <c r="BK324" s="108">
        <f t="shared" si="146"/>
        <v>1.6963121689503466</v>
      </c>
      <c r="BL324" s="118" cm="1">
        <f t="array" ref="BL324">IF(AO324=0,FactorPhi7121(BH324,"a"),noisuy2chieu(BK324,BH324,Data!$A$63:$M$85))</f>
        <v>0</v>
      </c>
      <c r="BM324" s="111">
        <v>1.26</v>
      </c>
      <c r="BN324" s="118">
        <f t="shared" si="147"/>
        <v>0.97878115424486622</v>
      </c>
      <c r="BO324" s="108" t="e">
        <f t="shared" si="148"/>
        <v>#DIV/0!</v>
      </c>
      <c r="BP324" s="6" t="e">
        <f t="shared" si="149"/>
        <v>#DIV/0!</v>
      </c>
      <c r="BQ324" s="16">
        <f t="shared" si="150"/>
        <v>127.25109874278135</v>
      </c>
      <c r="BR324" s="118">
        <f t="shared" si="151"/>
        <v>4.2387607289550546</v>
      </c>
      <c r="BS324" s="108">
        <f t="shared" si="152"/>
        <v>6.1659430741914427</v>
      </c>
      <c r="BT324" s="118">
        <f t="shared" si="153"/>
        <v>1.1000000000000001</v>
      </c>
      <c r="BU324" s="108">
        <f t="shared" si="154"/>
        <v>6.7825373816105872</v>
      </c>
      <c r="BV324" s="6" cm="1">
        <f t="array" ref="BV324">IF(AP324=0,FactorPhi7121(BR324,"a"),noisuy2chieu(BU324,BR324,Data!$A$63:$M$85))</f>
        <v>0</v>
      </c>
      <c r="BW324" s="111">
        <v>1.26</v>
      </c>
      <c r="BX324" s="111">
        <f t="shared" si="155"/>
        <v>0.91512461697946479</v>
      </c>
      <c r="BY324" s="113" t="e">
        <f t="shared" si="156"/>
        <v>#DIV/0!</v>
      </c>
      <c r="BZ324" s="6" t="e">
        <f t="shared" si="157"/>
        <v>#DIV/0!</v>
      </c>
      <c r="CA324" s="114">
        <f t="shared" si="158"/>
        <v>127.25109874278135</v>
      </c>
      <c r="CB324" s="115" t="e">
        <f t="shared" si="159"/>
        <v>#DIV/0!</v>
      </c>
      <c r="CC324" s="6" t="e">
        <f t="shared" si="160"/>
        <v>#DIV/0!</v>
      </c>
      <c r="DG324" s="108"/>
      <c r="DH324" s="108"/>
      <c r="DI324" s="16"/>
      <c r="DJ324" s="108"/>
      <c r="DT324" s="6"/>
      <c r="DU324" s="6"/>
      <c r="DV324" s="111"/>
      <c r="DW324" s="111"/>
      <c r="DX324" s="111"/>
      <c r="DY324" s="111"/>
      <c r="DZ324" s="111"/>
      <c r="EA324" s="111"/>
      <c r="EB324" s="111"/>
      <c r="EC324" s="111"/>
      <c r="ED324" s="111"/>
      <c r="EE324" s="111"/>
      <c r="EF324" s="6"/>
      <c r="EG324" s="6"/>
      <c r="EH324" s="6"/>
      <c r="EI324" s="6"/>
      <c r="EJ324" s="6"/>
      <c r="EK324" s="6"/>
      <c r="EL324" s="112"/>
      <c r="EM324" s="112"/>
      <c r="EN324" s="118"/>
      <c r="EO324" s="118"/>
      <c r="EP324" s="112"/>
      <c r="EQ324" s="112"/>
      <c r="ER324" s="112"/>
      <c r="ES324" s="112"/>
      <c r="ET324" s="112"/>
      <c r="EU324" s="112"/>
      <c r="EV324" s="6"/>
      <c r="EW324" s="6"/>
      <c r="EX324" s="118"/>
      <c r="EY324" s="113"/>
      <c r="EZ324" s="6"/>
      <c r="FA324" s="114"/>
      <c r="FB324" s="115"/>
      <c r="FC324" s="6"/>
    </row>
    <row r="325" spans="27:159">
      <c r="AA325" s="79" t="s">
        <v>175</v>
      </c>
      <c r="AB325" s="80" t="s">
        <v>199</v>
      </c>
      <c r="AC325" s="81">
        <v>5.48</v>
      </c>
      <c r="AD325" s="81">
        <v>6</v>
      </c>
      <c r="AE325" s="80">
        <v>273</v>
      </c>
      <c r="AF325" s="80">
        <v>6.35</v>
      </c>
      <c r="AG325" s="108" cm="1">
        <f t="array" ref="AG325">_xll.DCEPropSectPipe(AE325, AF325, "Area")/100</f>
        <v>53.19431074856206</v>
      </c>
      <c r="AH325" s="16" cm="1">
        <f t="array" ref="AH325">_xll.DCEPropSectPipe(AE325, AF325, "Ix")/10000</f>
        <v>4730.4733077169503</v>
      </c>
      <c r="AI325" s="16" cm="1">
        <f t="array" ref="AI325">_xll.DCEPropSectPipe(AE325, AF325, "Wx")/1000</f>
        <v>346.55482107816493</v>
      </c>
      <c r="AJ325" s="108">
        <f t="shared" si="129"/>
        <v>9.4301739777164251</v>
      </c>
      <c r="AK325" s="80" t="s">
        <v>215</v>
      </c>
      <c r="AL325" s="82">
        <v>-56.08965018970148</v>
      </c>
      <c r="AM325" s="82">
        <v>-8.4145305397030654</v>
      </c>
      <c r="AN325" s="82">
        <v>1.9236077697064393</v>
      </c>
      <c r="AO325" s="82">
        <v>-10.549065009070111</v>
      </c>
      <c r="AP325" s="82">
        <v>46.145285479731612</v>
      </c>
      <c r="AQ325" s="82">
        <v>-0.29217627635281423</v>
      </c>
      <c r="AR325" s="72">
        <v>1</v>
      </c>
      <c r="AS325" s="116">
        <f t="shared" si="130"/>
        <v>6</v>
      </c>
      <c r="AT325" s="82">
        <v>2</v>
      </c>
      <c r="AU325" s="6">
        <f t="shared" si="131"/>
        <v>12</v>
      </c>
      <c r="AV325" s="111">
        <f t="shared" si="132"/>
        <v>4.6131290381758998E-2</v>
      </c>
      <c r="AW325" s="117">
        <f t="shared" si="133"/>
        <v>105</v>
      </c>
      <c r="AX325" s="111">
        <f t="shared" si="134"/>
        <v>1</v>
      </c>
      <c r="AY325" s="111">
        <f t="shared" si="135"/>
        <v>1</v>
      </c>
      <c r="AZ325" s="111">
        <f t="shared" si="136"/>
        <v>1</v>
      </c>
      <c r="BA325" s="111">
        <f t="shared" si="137"/>
        <v>4.8559253033430526E-2</v>
      </c>
      <c r="BB325" s="111">
        <f t="shared" si="138"/>
        <v>0.14018336344410479</v>
      </c>
      <c r="BC325" s="111">
        <f t="shared" si="139"/>
        <v>0.61321086940646374</v>
      </c>
      <c r="BD325" s="111">
        <v>0</v>
      </c>
      <c r="BE325" s="111">
        <f t="shared" si="140"/>
        <v>0.80195348588399906</v>
      </c>
      <c r="BF325" s="6" t="str">
        <f t="shared" si="141"/>
        <v>OK</v>
      </c>
      <c r="BG325" s="16">
        <f t="shared" si="142"/>
        <v>63.625549371390676</v>
      </c>
      <c r="BH325" s="118">
        <f t="shared" si="143"/>
        <v>2.1193803644775273</v>
      </c>
      <c r="BI325" s="108">
        <f t="shared" si="144"/>
        <v>2.8868517262321935</v>
      </c>
      <c r="BJ325" s="6">
        <f t="shared" si="145"/>
        <v>1.1608717641018598</v>
      </c>
      <c r="BK325" s="108">
        <f t="shared" si="146"/>
        <v>3.3512646561316655</v>
      </c>
      <c r="BL325" s="118" cm="1">
        <f t="array" ref="BL325">IF(AO325=0,FactorPhi7121(BH325,"a"),noisuy2chieu(BK325,BH325,Data!$A$63:$M$85))</f>
        <v>0</v>
      </c>
      <c r="BM325" s="111">
        <v>1.26</v>
      </c>
      <c r="BN325" s="118">
        <f t="shared" si="147"/>
        <v>0.97927887094417621</v>
      </c>
      <c r="BO325" s="108" t="e">
        <f t="shared" si="148"/>
        <v>#DIV/0!</v>
      </c>
      <c r="BP325" s="6" t="e">
        <f t="shared" si="149"/>
        <v>#DIV/0!</v>
      </c>
      <c r="BQ325" s="16">
        <f t="shared" si="150"/>
        <v>127.25109874278135</v>
      </c>
      <c r="BR325" s="118">
        <f t="shared" si="151"/>
        <v>4.2387607289550546</v>
      </c>
      <c r="BS325" s="108">
        <f t="shared" si="152"/>
        <v>12.628095184748821</v>
      </c>
      <c r="BT325" s="118">
        <f t="shared" si="153"/>
        <v>1.1000000000000001</v>
      </c>
      <c r="BU325" s="108">
        <f t="shared" si="154"/>
        <v>13.890904703223704</v>
      </c>
      <c r="BV325" s="6" cm="1">
        <f t="array" ref="BV325">IF(AP325=0,FactorPhi7121(BR325,"a"),noisuy2chieu(BU325,BR325,Data!$A$63:$M$85))</f>
        <v>0</v>
      </c>
      <c r="BW325" s="111">
        <v>1.26</v>
      </c>
      <c r="BX325" s="111">
        <f t="shared" si="155"/>
        <v>0.91711548377670471</v>
      </c>
      <c r="BY325" s="113" t="e">
        <f t="shared" si="156"/>
        <v>#DIV/0!</v>
      </c>
      <c r="BZ325" s="6" t="e">
        <f t="shared" si="157"/>
        <v>#DIV/0!</v>
      </c>
      <c r="CA325" s="114">
        <f t="shared" si="158"/>
        <v>127.25109874278135</v>
      </c>
      <c r="CB325" s="115" t="e">
        <f t="shared" si="159"/>
        <v>#DIV/0!</v>
      </c>
      <c r="CC325" s="6" t="e">
        <f t="shared" si="160"/>
        <v>#DIV/0!</v>
      </c>
    </row>
    <row r="326" spans="27:159">
      <c r="AA326" s="79" t="s">
        <v>175</v>
      </c>
      <c r="AB326" s="80" t="s">
        <v>199</v>
      </c>
      <c r="AC326" s="81">
        <v>0</v>
      </c>
      <c r="AD326" s="81">
        <v>6</v>
      </c>
      <c r="AE326" s="80">
        <v>273</v>
      </c>
      <c r="AF326" s="80">
        <v>6.35</v>
      </c>
      <c r="AG326" s="108" cm="1">
        <f t="array" ref="AG326">_xll.DCEPropSectPipe(AE326, AF326, "Area")/100</f>
        <v>53.19431074856206</v>
      </c>
      <c r="AH326" s="16" cm="1">
        <f t="array" ref="AH326">_xll.DCEPropSectPipe(AE326, AF326, "Ix")/10000</f>
        <v>4730.4733077169503</v>
      </c>
      <c r="AI326" s="16" cm="1">
        <f t="array" ref="AI326">_xll.DCEPropSectPipe(AE326, AF326, "Wx")/1000</f>
        <v>346.55482107816493</v>
      </c>
      <c r="AJ326" s="108">
        <f t="shared" si="129"/>
        <v>9.4301739777164251</v>
      </c>
      <c r="AK326" s="80" t="s">
        <v>216</v>
      </c>
      <c r="AL326" s="82">
        <v>-49.66943799616503</v>
      </c>
      <c r="AM326" s="82">
        <v>-8.4779100103726481</v>
      </c>
      <c r="AN326" s="82">
        <v>1.8382843901591457</v>
      </c>
      <c r="AO326" s="82">
        <v>0</v>
      </c>
      <c r="AP326" s="82">
        <v>0</v>
      </c>
      <c r="AQ326" s="82">
        <v>-0.26257886185204504</v>
      </c>
      <c r="AR326" s="72">
        <v>1</v>
      </c>
      <c r="AS326" s="116">
        <f t="shared" si="130"/>
        <v>6</v>
      </c>
      <c r="AT326" s="82">
        <v>2</v>
      </c>
      <c r="AU326" s="6">
        <f t="shared" si="131"/>
        <v>12</v>
      </c>
      <c r="AV326" s="111">
        <f t="shared" si="132"/>
        <v>4.0850945932990802E-2</v>
      </c>
      <c r="AW326" s="117">
        <f t="shared" si="133"/>
        <v>105</v>
      </c>
      <c r="AX326" s="111">
        <f t="shared" si="134"/>
        <v>1</v>
      </c>
      <c r="AY326" s="111">
        <f t="shared" si="135"/>
        <v>1</v>
      </c>
      <c r="AZ326" s="111">
        <f t="shared" si="136"/>
        <v>1</v>
      </c>
      <c r="BA326" s="111">
        <f t="shared" si="137"/>
        <v>4.3000995718937694E-2</v>
      </c>
      <c r="BB326" s="111">
        <f t="shared" si="138"/>
        <v>0</v>
      </c>
      <c r="BC326" s="111">
        <f t="shared" si="139"/>
        <v>0</v>
      </c>
      <c r="BD326" s="111">
        <v>0</v>
      </c>
      <c r="BE326" s="111">
        <f t="shared" si="140"/>
        <v>4.3000995718937694E-2</v>
      </c>
      <c r="BF326" s="6" t="str">
        <f t="shared" si="141"/>
        <v>OK</v>
      </c>
      <c r="BG326" s="16">
        <f t="shared" si="142"/>
        <v>63.625549371390676</v>
      </c>
      <c r="BH326" s="118">
        <f t="shared" si="143"/>
        <v>2.1193803644775273</v>
      </c>
      <c r="BI326" s="108">
        <f t="shared" si="144"/>
        <v>0</v>
      </c>
      <c r="BJ326" s="6">
        <f t="shared" si="145"/>
        <v>1.2440309817761237</v>
      </c>
      <c r="BK326" s="108">
        <f t="shared" si="146"/>
        <v>0</v>
      </c>
      <c r="BL326" s="118" cm="1">
        <f t="array" ref="BL326">IF(AO326=0,FactorPhi7121(BH326,"a"),noisuy2chieu(BK326,BH326,Data!$A$63:$M$85))</f>
        <v>0.86214274110469236</v>
      </c>
      <c r="BM326" s="111">
        <v>1.26</v>
      </c>
      <c r="BN326" s="118">
        <f t="shared" si="147"/>
        <v>0.98165068187503612</v>
      </c>
      <c r="BO326" s="108">
        <f t="shared" si="148"/>
        <v>0.10165828267587176</v>
      </c>
      <c r="BP326" s="6" t="str">
        <f t="shared" si="149"/>
        <v>OK</v>
      </c>
      <c r="BQ326" s="16">
        <f t="shared" si="150"/>
        <v>127.25109874278135</v>
      </c>
      <c r="BR326" s="118">
        <f t="shared" si="151"/>
        <v>4.2387607289550546</v>
      </c>
      <c r="BS326" s="108">
        <f t="shared" si="152"/>
        <v>0</v>
      </c>
      <c r="BT326" s="118">
        <f t="shared" si="153"/>
        <v>1.1380619635522473</v>
      </c>
      <c r="BU326" s="108">
        <f t="shared" si="154"/>
        <v>0</v>
      </c>
      <c r="BV326" s="6" cm="1">
        <f t="array" ref="BV326">IF(AP326=0,FactorPhi7121(BR326,"a"),noisuy2chieu(BU326,BR326,Data!$A$63:$M$85))</f>
        <v>0.42299549615688942</v>
      </c>
      <c r="BW326" s="111">
        <v>1.26</v>
      </c>
      <c r="BX326" s="111">
        <f t="shared" si="155"/>
        <v>0.92660272750014439</v>
      </c>
      <c r="BY326" s="113">
        <f t="shared" si="156"/>
        <v>4.9876886585902322E-2</v>
      </c>
      <c r="BZ326" s="6" t="str">
        <f t="shared" si="157"/>
        <v>OK</v>
      </c>
      <c r="CA326" s="114">
        <f t="shared" si="158"/>
        <v>127.25109874278135</v>
      </c>
      <c r="CB326" s="115">
        <f t="shared" si="159"/>
        <v>150</v>
      </c>
      <c r="CC326" s="6" t="str">
        <f t="shared" si="160"/>
        <v>OK</v>
      </c>
    </row>
    <row r="327" spans="27:159">
      <c r="AA327" s="79" t="s">
        <v>175</v>
      </c>
      <c r="AB327" s="80" t="s">
        <v>199</v>
      </c>
      <c r="AC327" s="81">
        <v>2.74</v>
      </c>
      <c r="AD327" s="81">
        <v>6</v>
      </c>
      <c r="AE327" s="80">
        <v>273</v>
      </c>
      <c r="AF327" s="80">
        <v>6.35</v>
      </c>
      <c r="AG327" s="108" cm="1">
        <f t="array" ref="AG327">_xll.DCEPropSectPipe(AE327, AF327, "Area")/100</f>
        <v>53.19431074856206</v>
      </c>
      <c r="AH327" s="16" cm="1">
        <f t="array" ref="AH327">_xll.DCEPropSectPipe(AE327, AF327, "Ix")/10000</f>
        <v>4730.4733077169503</v>
      </c>
      <c r="AI327" s="16" cm="1">
        <f t="array" ref="AI327">_xll.DCEPropSectPipe(AE327, AF327, "Wx")/1000</f>
        <v>346.55482107816493</v>
      </c>
      <c r="AJ327" s="108">
        <f t="shared" si="129"/>
        <v>9.4301739777164251</v>
      </c>
      <c r="AK327" s="80" t="s">
        <v>216</v>
      </c>
      <c r="AL327" s="82">
        <v>-48.322177647433001</v>
      </c>
      <c r="AM327" s="82">
        <v>-8.4779100103726481</v>
      </c>
      <c r="AN327" s="82">
        <v>1.8382843901591457</v>
      </c>
      <c r="AO327" s="82">
        <v>-5.040575797816377</v>
      </c>
      <c r="AP327" s="82">
        <v>23.246429248441803</v>
      </c>
      <c r="AQ327" s="82">
        <v>-0.26257886185204504</v>
      </c>
      <c r="AR327" s="72">
        <v>1</v>
      </c>
      <c r="AS327" s="116">
        <f t="shared" si="130"/>
        <v>6</v>
      </c>
      <c r="AT327" s="82">
        <v>2</v>
      </c>
      <c r="AU327" s="6">
        <f t="shared" si="131"/>
        <v>12</v>
      </c>
      <c r="AV327" s="111">
        <f t="shared" si="132"/>
        <v>3.9742883070109931E-2</v>
      </c>
      <c r="AW327" s="117">
        <f t="shared" si="133"/>
        <v>105</v>
      </c>
      <c r="AX327" s="111">
        <f t="shared" si="134"/>
        <v>1</v>
      </c>
      <c r="AY327" s="111">
        <f t="shared" si="135"/>
        <v>1</v>
      </c>
      <c r="AZ327" s="111">
        <f t="shared" si="136"/>
        <v>1</v>
      </c>
      <c r="BA327" s="111">
        <f t="shared" si="137"/>
        <v>4.183461375801046E-2</v>
      </c>
      <c r="BB327" s="111">
        <f t="shared" si="138"/>
        <v>6.6982701161222444E-2</v>
      </c>
      <c r="BC327" s="111">
        <f t="shared" si="139"/>
        <v>0.30891483153341959</v>
      </c>
      <c r="BD327" s="111">
        <v>0</v>
      </c>
      <c r="BE327" s="111">
        <f t="shared" si="140"/>
        <v>0.4177321464526525</v>
      </c>
      <c r="BF327" s="6" t="str">
        <f t="shared" si="141"/>
        <v>OK</v>
      </c>
      <c r="BG327" s="16">
        <f t="shared" si="142"/>
        <v>63.625549371390676</v>
      </c>
      <c r="BH327" s="118">
        <f t="shared" si="143"/>
        <v>2.1193803644775273</v>
      </c>
      <c r="BI327" s="108">
        <f t="shared" si="144"/>
        <v>1.6011311004011994</v>
      </c>
      <c r="BJ327" s="6">
        <f t="shared" si="145"/>
        <v>1.1979084849075097</v>
      </c>
      <c r="BK327" s="108">
        <f t="shared" si="146"/>
        <v>1.9180085306198946</v>
      </c>
      <c r="BL327" s="118" cm="1">
        <f t="array" ref="BL327">IF(AO327=0,FactorPhi7121(BH327,"a"),noisuy2chieu(BK327,BH327,Data!$A$63:$M$85))</f>
        <v>0</v>
      </c>
      <c r="BM327" s="111">
        <v>1.26</v>
      </c>
      <c r="BN327" s="118">
        <f t="shared" si="147"/>
        <v>0.9821483985743461</v>
      </c>
      <c r="BO327" s="108" t="e">
        <f t="shared" si="148"/>
        <v>#DIV/0!</v>
      </c>
      <c r="BP327" s="6" t="e">
        <f t="shared" si="149"/>
        <v>#DIV/0!</v>
      </c>
      <c r="BQ327" s="16">
        <f t="shared" si="150"/>
        <v>127.25109874278135</v>
      </c>
      <c r="BR327" s="118">
        <f t="shared" si="151"/>
        <v>4.2387607289550546</v>
      </c>
      <c r="BS327" s="108">
        <f t="shared" si="152"/>
        <v>7.3841922700736973</v>
      </c>
      <c r="BT327" s="118">
        <f t="shared" si="153"/>
        <v>1.1000000000000001</v>
      </c>
      <c r="BU327" s="108">
        <f t="shared" si="154"/>
        <v>8.122611497081067</v>
      </c>
      <c r="BV327" s="6" cm="1">
        <f t="array" ref="BV327">IF(AP327=0,FactorPhi7121(BR327,"a"),noisuy2chieu(BU327,BR327,Data!$A$63:$M$85))</f>
        <v>0</v>
      </c>
      <c r="BW327" s="111">
        <v>1.26</v>
      </c>
      <c r="BX327" s="111">
        <f t="shared" si="155"/>
        <v>0.92859359429738431</v>
      </c>
      <c r="BY327" s="113" t="e">
        <f t="shared" si="156"/>
        <v>#DIV/0!</v>
      </c>
      <c r="BZ327" s="6" t="e">
        <f t="shared" si="157"/>
        <v>#DIV/0!</v>
      </c>
      <c r="CA327" s="114">
        <f t="shared" si="158"/>
        <v>127.25109874278135</v>
      </c>
      <c r="CB327" s="115" t="e">
        <f t="shared" si="159"/>
        <v>#DIV/0!</v>
      </c>
      <c r="CC327" s="6" t="e">
        <f t="shared" si="160"/>
        <v>#DIV/0!</v>
      </c>
    </row>
    <row r="328" spans="27:159">
      <c r="AA328" s="79" t="s">
        <v>175</v>
      </c>
      <c r="AB328" s="80" t="s">
        <v>199</v>
      </c>
      <c r="AC328" s="81">
        <v>5.48</v>
      </c>
      <c r="AD328" s="81">
        <v>6</v>
      </c>
      <c r="AE328" s="80">
        <v>273</v>
      </c>
      <c r="AF328" s="80">
        <v>6.35</v>
      </c>
      <c r="AG328" s="108" cm="1">
        <f t="array" ref="AG328">_xll.DCEPropSectPipe(AE328, AF328, "Area")/100</f>
        <v>53.19431074856206</v>
      </c>
      <c r="AH328" s="16" cm="1">
        <f t="array" ref="AH328">_xll.DCEPropSectPipe(AE328, AF328, "Ix")/10000</f>
        <v>4730.4733077169503</v>
      </c>
      <c r="AI328" s="16" cm="1">
        <f t="array" ref="AI328">_xll.DCEPropSectPipe(AE328, AF328, "Wx")/1000</f>
        <v>346.55482107816493</v>
      </c>
      <c r="AJ328" s="108">
        <f t="shared" si="129"/>
        <v>9.4301739777164251</v>
      </c>
      <c r="AK328" s="80" t="s">
        <v>216</v>
      </c>
      <c r="AL328" s="82">
        <v>-46.974917298700973</v>
      </c>
      <c r="AM328" s="82">
        <v>-8.4779100103726481</v>
      </c>
      <c r="AN328" s="82">
        <v>1.8382843901591457</v>
      </c>
      <c r="AO328" s="82">
        <v>-10.081151595632754</v>
      </c>
      <c r="AP328" s="82">
        <v>46.492858496883606</v>
      </c>
      <c r="AQ328" s="82">
        <v>-0.26257886185204504</v>
      </c>
      <c r="AR328" s="72">
        <v>1</v>
      </c>
      <c r="AS328" s="116">
        <f t="shared" si="130"/>
        <v>6</v>
      </c>
      <c r="AT328" s="82">
        <v>2</v>
      </c>
      <c r="AU328" s="6">
        <f t="shared" si="131"/>
        <v>12</v>
      </c>
      <c r="AV328" s="111">
        <f t="shared" si="132"/>
        <v>3.8634820207229068E-2</v>
      </c>
      <c r="AW328" s="117">
        <f t="shared" si="133"/>
        <v>105</v>
      </c>
      <c r="AX328" s="111">
        <f t="shared" si="134"/>
        <v>1</v>
      </c>
      <c r="AY328" s="111">
        <f t="shared" si="135"/>
        <v>1</v>
      </c>
      <c r="AZ328" s="111">
        <f t="shared" si="136"/>
        <v>1</v>
      </c>
      <c r="BA328" s="111">
        <f t="shared" si="137"/>
        <v>4.0668231797083225E-2</v>
      </c>
      <c r="BB328" s="111">
        <f t="shared" si="138"/>
        <v>0.13396540232244489</v>
      </c>
      <c r="BC328" s="111">
        <f t="shared" si="139"/>
        <v>0.61782966306683917</v>
      </c>
      <c r="BD328" s="111">
        <v>0</v>
      </c>
      <c r="BE328" s="111">
        <f t="shared" si="140"/>
        <v>0.79246329718636732</v>
      </c>
      <c r="BF328" s="6" t="str">
        <f t="shared" si="141"/>
        <v>OK</v>
      </c>
      <c r="BG328" s="16">
        <f t="shared" si="142"/>
        <v>63.625549371390676</v>
      </c>
      <c r="BH328" s="118">
        <f t="shared" si="143"/>
        <v>2.1193803644775273</v>
      </c>
      <c r="BI328" s="108">
        <f t="shared" si="144"/>
        <v>3.2941044250675549</v>
      </c>
      <c r="BJ328" s="6">
        <f t="shared" si="145"/>
        <v>1.149140362893013</v>
      </c>
      <c r="BK328" s="108">
        <f t="shared" si="146"/>
        <v>3.7853883544296099</v>
      </c>
      <c r="BL328" s="118" cm="1">
        <f t="array" ref="BL328">IF(AO328=0,FactorPhi7121(BH328,"a"),noisuy2chieu(BK328,BH328,Data!$A$63:$M$85))</f>
        <v>0</v>
      </c>
      <c r="BM328" s="111">
        <v>1.26</v>
      </c>
      <c r="BN328" s="118">
        <f t="shared" si="147"/>
        <v>0.98264611527365608</v>
      </c>
      <c r="BO328" s="108" t="e">
        <f t="shared" si="148"/>
        <v>#DIV/0!</v>
      </c>
      <c r="BP328" s="6" t="e">
        <f t="shared" si="149"/>
        <v>#DIV/0!</v>
      </c>
      <c r="BQ328" s="16">
        <f t="shared" si="150"/>
        <v>127.25109874278135</v>
      </c>
      <c r="BR328" s="118">
        <f t="shared" si="151"/>
        <v>4.2387607289550546</v>
      </c>
      <c r="BS328" s="108">
        <f t="shared" si="152"/>
        <v>15.191948008694853</v>
      </c>
      <c r="BT328" s="118">
        <f t="shared" si="153"/>
        <v>1.1000000000000001</v>
      </c>
      <c r="BU328" s="108">
        <f t="shared" si="154"/>
        <v>16.71114280956434</v>
      </c>
      <c r="BV328" s="6" cm="1">
        <f t="array" ref="BV328">IF(AP328=0,FactorPhi7121(BR328,"a"),noisuy2chieu(BU328,BR328,Data!$A$63:$M$85))</f>
        <v>0</v>
      </c>
      <c r="BW328" s="111">
        <v>1.26</v>
      </c>
      <c r="BX328" s="111">
        <f t="shared" si="155"/>
        <v>0.93058446109462434</v>
      </c>
      <c r="BY328" s="113" t="e">
        <f t="shared" si="156"/>
        <v>#DIV/0!</v>
      </c>
      <c r="BZ328" s="6" t="e">
        <f t="shared" si="157"/>
        <v>#DIV/0!</v>
      </c>
      <c r="CA328" s="114">
        <f t="shared" si="158"/>
        <v>127.25109874278135</v>
      </c>
      <c r="CB328" s="115" t="e">
        <f t="shared" si="159"/>
        <v>#DIV/0!</v>
      </c>
      <c r="CC328" s="6" t="e">
        <f t="shared" si="160"/>
        <v>#DIV/0!</v>
      </c>
    </row>
    <row r="329" spans="27:159">
      <c r="AA329" s="79" t="s">
        <v>175</v>
      </c>
      <c r="AB329" s="80" t="s">
        <v>199</v>
      </c>
      <c r="AC329" s="81">
        <v>0</v>
      </c>
      <c r="AD329" s="81">
        <v>6</v>
      </c>
      <c r="AE329" s="80">
        <v>273</v>
      </c>
      <c r="AF329" s="80">
        <v>6.35</v>
      </c>
      <c r="AG329" s="108" cm="1">
        <f t="array" ref="AG329">_xll.DCEPropSectPipe(AE329, AF329, "Area")/100</f>
        <v>53.19431074856206</v>
      </c>
      <c r="AH329" s="16" cm="1">
        <f t="array" ref="AH329">_xll.DCEPropSectPipe(AE329, AF329, "Ix")/10000</f>
        <v>4730.4733077169503</v>
      </c>
      <c r="AI329" s="16" cm="1">
        <f t="array" ref="AI329">_xll.DCEPropSectPipe(AE329, AF329, "Wx")/1000</f>
        <v>346.55482107816493</v>
      </c>
      <c r="AJ329" s="108">
        <f t="shared" si="129"/>
        <v>9.4301739777164251</v>
      </c>
      <c r="AK329" s="80" t="s">
        <v>217</v>
      </c>
      <c r="AL329" s="82">
        <v>-2.5377508707534684</v>
      </c>
      <c r="AM329" s="82">
        <v>-0.56792277859438112</v>
      </c>
      <c r="AN329" s="82">
        <v>0.20127937616750508</v>
      </c>
      <c r="AO329" s="82">
        <v>0</v>
      </c>
      <c r="AP329" s="82">
        <v>0</v>
      </c>
      <c r="AQ329" s="82">
        <v>3.7578092207384443E-2</v>
      </c>
      <c r="AR329" s="72">
        <v>1</v>
      </c>
      <c r="AS329" s="116">
        <f t="shared" si="130"/>
        <v>6</v>
      </c>
      <c r="AT329" s="82">
        <v>2</v>
      </c>
      <c r="AU329" s="6">
        <f t="shared" si="131"/>
        <v>12</v>
      </c>
      <c r="AV329" s="111">
        <f t="shared" si="132"/>
        <v>2.0871893823432145E-3</v>
      </c>
      <c r="AW329" s="117">
        <f t="shared" si="133"/>
        <v>105</v>
      </c>
      <c r="AX329" s="111">
        <f t="shared" si="134"/>
        <v>1</v>
      </c>
      <c r="AY329" s="111">
        <f t="shared" si="135"/>
        <v>1</v>
      </c>
      <c r="AZ329" s="111">
        <f t="shared" si="136"/>
        <v>1</v>
      </c>
      <c r="BA329" s="111">
        <f t="shared" si="137"/>
        <v>2.1970414550981205E-3</v>
      </c>
      <c r="BB329" s="111">
        <f t="shared" si="138"/>
        <v>0</v>
      </c>
      <c r="BC329" s="111">
        <f t="shared" si="139"/>
        <v>0</v>
      </c>
      <c r="BD329" s="111">
        <v>0</v>
      </c>
      <c r="BE329" s="111">
        <f t="shared" si="140"/>
        <v>2.1970414550981205E-3</v>
      </c>
      <c r="BF329" s="6" t="str">
        <f t="shared" si="141"/>
        <v>OK</v>
      </c>
      <c r="BG329" s="16">
        <f t="shared" si="142"/>
        <v>63.625549371390676</v>
      </c>
      <c r="BH329" s="118">
        <f t="shared" si="143"/>
        <v>2.1193803644775273</v>
      </c>
      <c r="BI329" s="108">
        <f t="shared" si="144"/>
        <v>0</v>
      </c>
      <c r="BJ329" s="6">
        <f t="shared" si="145"/>
        <v>1.2440309817761237</v>
      </c>
      <c r="BK329" s="108">
        <f t="shared" si="146"/>
        <v>0</v>
      </c>
      <c r="BL329" s="118" cm="1">
        <f t="array" ref="BL329">IF(AO329=0,FactorPhi7121(BH329,"a"),noisuy2chieu(BK329,BH329,Data!$A$63:$M$85))</f>
        <v>0.86214274110469236</v>
      </c>
      <c r="BM329" s="111">
        <v>1.26</v>
      </c>
      <c r="BN329" s="118">
        <f t="shared" si="147"/>
        <v>0.99906248188165614</v>
      </c>
      <c r="BO329" s="108">
        <f t="shared" si="148"/>
        <v>5.1940067330722489E-3</v>
      </c>
      <c r="BP329" s="6" t="str">
        <f t="shared" si="149"/>
        <v>OK</v>
      </c>
      <c r="BQ329" s="16">
        <f t="shared" si="150"/>
        <v>127.25109874278135</v>
      </c>
      <c r="BR329" s="118">
        <f t="shared" si="151"/>
        <v>4.2387607289550546</v>
      </c>
      <c r="BS329" s="108">
        <f t="shared" si="152"/>
        <v>0</v>
      </c>
      <c r="BT329" s="118">
        <f t="shared" si="153"/>
        <v>1.1380619635522473</v>
      </c>
      <c r="BU329" s="108">
        <f t="shared" si="154"/>
        <v>0</v>
      </c>
      <c r="BV329" s="6" cm="1">
        <f t="array" ref="BV329">IF(AP329=0,FactorPhi7121(BR329,"a"),noisuy2chieu(BU329,BR329,Data!$A$63:$M$85))</f>
        <v>0.42299549615688942</v>
      </c>
      <c r="BW329" s="111">
        <v>1.26</v>
      </c>
      <c r="BX329" s="111">
        <f t="shared" si="155"/>
        <v>0.99624992752662478</v>
      </c>
      <c r="BY329" s="113">
        <f t="shared" si="156"/>
        <v>2.5483500009325344E-3</v>
      </c>
      <c r="BZ329" s="6" t="str">
        <f t="shared" si="157"/>
        <v>OK</v>
      </c>
      <c r="CA329" s="114">
        <f t="shared" si="158"/>
        <v>127.25109874278135</v>
      </c>
      <c r="CB329" s="115">
        <f t="shared" si="159"/>
        <v>150</v>
      </c>
      <c r="CC329" s="6" t="str">
        <f t="shared" si="160"/>
        <v>OK</v>
      </c>
    </row>
    <row r="330" spans="27:159">
      <c r="AA330" s="79" t="s">
        <v>175</v>
      </c>
      <c r="AB330" s="80" t="s">
        <v>199</v>
      </c>
      <c r="AC330" s="81">
        <v>2.74</v>
      </c>
      <c r="AD330" s="81">
        <v>6</v>
      </c>
      <c r="AE330" s="80">
        <v>273</v>
      </c>
      <c r="AF330" s="80">
        <v>6.35</v>
      </c>
      <c r="AG330" s="108" cm="1">
        <f t="array" ref="AG330">_xll.DCEPropSectPipe(AE330, AF330, "Area")/100</f>
        <v>53.19431074856206</v>
      </c>
      <c r="AH330" s="16" cm="1">
        <f t="array" ref="AH330">_xll.DCEPropSectPipe(AE330, AF330, "Ix")/10000</f>
        <v>4730.4733077169503</v>
      </c>
      <c r="AI330" s="16" cm="1">
        <f t="array" ref="AI330">_xll.DCEPropSectPipe(AE330, AF330, "Wx")/1000</f>
        <v>346.55482107816493</v>
      </c>
      <c r="AJ330" s="108">
        <f t="shared" si="129"/>
        <v>9.4301739777164251</v>
      </c>
      <c r="AK330" s="80" t="s">
        <v>217</v>
      </c>
      <c r="AL330" s="82">
        <v>-1.1904905220214348</v>
      </c>
      <c r="AM330" s="82">
        <v>-0.56792277859438112</v>
      </c>
      <c r="AN330" s="82">
        <v>0.20127937616750508</v>
      </c>
      <c r="AO330" s="82">
        <v>-0.55190804945129845</v>
      </c>
      <c r="AP330" s="82">
        <v>1.557244258905796</v>
      </c>
      <c r="AQ330" s="82">
        <v>3.7578092207384443E-2</v>
      </c>
      <c r="AR330" s="72">
        <v>1</v>
      </c>
      <c r="AS330" s="116">
        <f t="shared" si="130"/>
        <v>6</v>
      </c>
      <c r="AT330" s="82">
        <v>2</v>
      </c>
      <c r="AU330" s="6">
        <f t="shared" si="131"/>
        <v>12</v>
      </c>
      <c r="AV330" s="111">
        <f t="shared" si="132"/>
        <v>9.7912651946234128E-4</v>
      </c>
      <c r="AW330" s="117">
        <f t="shared" si="133"/>
        <v>105</v>
      </c>
      <c r="AX330" s="111">
        <f t="shared" si="134"/>
        <v>1</v>
      </c>
      <c r="AY330" s="111">
        <f t="shared" si="135"/>
        <v>1</v>
      </c>
      <c r="AZ330" s="111">
        <f t="shared" si="136"/>
        <v>1</v>
      </c>
      <c r="BA330" s="111">
        <f t="shared" si="137"/>
        <v>1.0306594941708856E-3</v>
      </c>
      <c r="BB330" s="111">
        <f t="shared" si="138"/>
        <v>7.3341406672000646E-3</v>
      </c>
      <c r="BC330" s="111">
        <f t="shared" si="139"/>
        <v>2.0693752264275757E-2</v>
      </c>
      <c r="BD330" s="111">
        <v>0</v>
      </c>
      <c r="BE330" s="111">
        <f t="shared" si="140"/>
        <v>2.9058552425646707E-2</v>
      </c>
      <c r="BF330" s="6" t="str">
        <f t="shared" si="141"/>
        <v>OK</v>
      </c>
      <c r="BG330" s="16">
        <f t="shared" si="142"/>
        <v>63.625549371390676</v>
      </c>
      <c r="BH330" s="118">
        <f t="shared" si="143"/>
        <v>2.1193803644775273</v>
      </c>
      <c r="BI330" s="108">
        <f t="shared" si="144"/>
        <v>7.1159686673240383</v>
      </c>
      <c r="BJ330" s="6">
        <f t="shared" si="145"/>
        <v>1.1000000000000001</v>
      </c>
      <c r="BK330" s="108">
        <f t="shared" si="146"/>
        <v>7.8275655340564425</v>
      </c>
      <c r="BL330" s="118" cm="1">
        <f t="array" ref="BL330">IF(AO330=0,FactorPhi7121(BH330,"a"),noisuy2chieu(BK330,BH330,Data!$A$63:$M$85))</f>
        <v>0</v>
      </c>
      <c r="BM330" s="111">
        <v>1.26</v>
      </c>
      <c r="BN330" s="118">
        <f t="shared" si="147"/>
        <v>0.99956019858096623</v>
      </c>
      <c r="BO330" s="108" t="e">
        <f t="shared" si="148"/>
        <v>#DIV/0!</v>
      </c>
      <c r="BP330" s="6" t="e">
        <f t="shared" si="149"/>
        <v>#DIV/0!</v>
      </c>
      <c r="BQ330" s="16">
        <f t="shared" si="150"/>
        <v>127.25109874278135</v>
      </c>
      <c r="BR330" s="118">
        <f t="shared" si="151"/>
        <v>4.2387607289550546</v>
      </c>
      <c r="BS330" s="108">
        <f t="shared" si="152"/>
        <v>20.078165855273912</v>
      </c>
      <c r="BT330" s="118">
        <f t="shared" si="153"/>
        <v>1.1000000000000001</v>
      </c>
      <c r="BU330" s="108">
        <f t="shared" si="154"/>
        <v>22.085982440801306</v>
      </c>
      <c r="BV330" s="6" cm="1">
        <f t="array" ref="BV330">IF(AP330=0,FactorPhi7121(BR330,"a"),noisuy2chieu(BU330,BR330,Data!$A$63:$M$85))</f>
        <v>0</v>
      </c>
      <c r="BW330" s="111">
        <v>1.26</v>
      </c>
      <c r="BX330" s="111">
        <f t="shared" si="155"/>
        <v>0.9982407943238647</v>
      </c>
      <c r="BY330" s="113" t="e">
        <f t="shared" si="156"/>
        <v>#DIV/0!</v>
      </c>
      <c r="BZ330" s="6" t="e">
        <f t="shared" si="157"/>
        <v>#DIV/0!</v>
      </c>
      <c r="CA330" s="114">
        <f t="shared" si="158"/>
        <v>127.25109874278135</v>
      </c>
      <c r="CB330" s="115" t="e">
        <f t="shared" si="159"/>
        <v>#DIV/0!</v>
      </c>
      <c r="CC330" s="6" t="e">
        <f t="shared" si="160"/>
        <v>#DIV/0!</v>
      </c>
    </row>
    <row r="331" spans="27:159">
      <c r="AA331" s="79" t="s">
        <v>175</v>
      </c>
      <c r="AB331" s="80" t="s">
        <v>199</v>
      </c>
      <c r="AC331" s="81">
        <v>5.48</v>
      </c>
      <c r="AD331" s="81">
        <v>6</v>
      </c>
      <c r="AE331" s="80">
        <v>273</v>
      </c>
      <c r="AF331" s="80">
        <v>6.35</v>
      </c>
      <c r="AG331" s="108" cm="1">
        <f t="array" ref="AG331">_xll.DCEPropSectPipe(AE331, AF331, "Area")/100</f>
        <v>53.19431074856206</v>
      </c>
      <c r="AH331" s="16" cm="1">
        <f t="array" ref="AH331">_xll.DCEPropSectPipe(AE331, AF331, "Ix")/10000</f>
        <v>4730.4733077169503</v>
      </c>
      <c r="AI331" s="16" cm="1">
        <f t="array" ref="AI331">_xll.DCEPropSectPipe(AE331, AF331, "Wx")/1000</f>
        <v>346.55482107816493</v>
      </c>
      <c r="AJ331" s="108">
        <f t="shared" si="129"/>
        <v>9.4301739777164251</v>
      </c>
      <c r="AK331" s="80" t="s">
        <v>217</v>
      </c>
      <c r="AL331" s="82">
        <v>0.15676982671059519</v>
      </c>
      <c r="AM331" s="82">
        <v>-0.56792277859438112</v>
      </c>
      <c r="AN331" s="82">
        <v>0.20127937616750508</v>
      </c>
      <c r="AO331" s="82">
        <v>-1.1038160989025969</v>
      </c>
      <c r="AP331" s="82">
        <v>3.114488517811592</v>
      </c>
      <c r="AQ331" s="82">
        <v>3.7578092207384443E-2</v>
      </c>
      <c r="AR331" s="72">
        <v>1</v>
      </c>
      <c r="AS331" s="116">
        <f t="shared" si="130"/>
        <v>6</v>
      </c>
      <c r="AT331" s="82">
        <v>2</v>
      </c>
      <c r="AU331" s="6">
        <f t="shared" si="131"/>
        <v>12</v>
      </c>
      <c r="AV331" s="111">
        <f t="shared" si="132"/>
        <v>1.289363434185289E-4</v>
      </c>
      <c r="AW331" s="117">
        <f t="shared" si="133"/>
        <v>105</v>
      </c>
      <c r="AX331" s="111">
        <f t="shared" si="134"/>
        <v>1</v>
      </c>
      <c r="AY331" s="111">
        <f t="shared" si="135"/>
        <v>1</v>
      </c>
      <c r="AZ331" s="111">
        <f t="shared" si="136"/>
        <v>1</v>
      </c>
      <c r="BA331" s="111">
        <f t="shared" si="137"/>
        <v>1.3572246675634621E-4</v>
      </c>
      <c r="BB331" s="111">
        <f t="shared" si="138"/>
        <v>1.4668281334400129E-2</v>
      </c>
      <c r="BC331" s="111">
        <f t="shared" si="139"/>
        <v>4.1387504528551514E-2</v>
      </c>
      <c r="BD331" s="111">
        <v>0</v>
      </c>
      <c r="BE331" s="111">
        <f t="shared" si="140"/>
        <v>5.6191508329707991E-2</v>
      </c>
      <c r="BF331" s="6" t="str">
        <f t="shared" si="141"/>
        <v>OK</v>
      </c>
      <c r="BG331" s="16">
        <f t="shared" si="142"/>
        <v>63.625549371390676</v>
      </c>
      <c r="BH331" s="118">
        <f t="shared" si="143"/>
        <v>2.1193803644775273</v>
      </c>
      <c r="BI331" s="108">
        <f t="shared" si="144"/>
        <v>108.07555804841911</v>
      </c>
      <c r="BJ331" s="6">
        <f t="shared" si="145"/>
        <v>1.1000000000000001</v>
      </c>
      <c r="BK331" s="108">
        <f t="shared" si="146"/>
        <v>118.88311385326104</v>
      </c>
      <c r="BL331" s="118" cm="1">
        <f t="array" ref="BL331">IF(AO331=0,FactorPhi7121(BH331,"a"),noisuy2chieu(BK331,BH331,Data!$A$63:$M$85))</f>
        <v>0</v>
      </c>
      <c r="BM331" s="111">
        <v>1.26</v>
      </c>
      <c r="BN331" s="118">
        <f t="shared" si="147"/>
        <v>0.99994208471972379</v>
      </c>
      <c r="BO331" s="108" t="e">
        <f t="shared" si="148"/>
        <v>#DIV/0!</v>
      </c>
      <c r="BP331" s="6" t="e">
        <f t="shared" si="149"/>
        <v>#DIV/0!</v>
      </c>
      <c r="BQ331" s="16">
        <f t="shared" si="150"/>
        <v>127.25109874278135</v>
      </c>
      <c r="BR331" s="118">
        <f t="shared" si="151"/>
        <v>4.2387607289550546</v>
      </c>
      <c r="BS331" s="108">
        <f t="shared" si="152"/>
        <v>304.94217735411365</v>
      </c>
      <c r="BT331" s="118">
        <f t="shared" si="153"/>
        <v>1.1000000000000001</v>
      </c>
      <c r="BU331" s="108">
        <f t="shared" si="154"/>
        <v>335.43639508952504</v>
      </c>
      <c r="BV331" s="6" cm="1">
        <f t="array" ref="BV331">IF(AP331=0,FactorPhi7121(BR331,"a"),noisuy2chieu(BU331,BR331,Data!$A$63:$M$85))</f>
        <v>0</v>
      </c>
      <c r="BW331" s="111">
        <v>1.26</v>
      </c>
      <c r="BX331" s="111">
        <f t="shared" si="155"/>
        <v>0.99976833887889527</v>
      </c>
      <c r="BY331" s="113" t="e">
        <f t="shared" si="156"/>
        <v>#DIV/0!</v>
      </c>
      <c r="BZ331" s="6" t="e">
        <f t="shared" si="157"/>
        <v>#DIV/0!</v>
      </c>
      <c r="CA331" s="114">
        <f t="shared" si="158"/>
        <v>127.25109874278135</v>
      </c>
      <c r="CB331" s="115" t="e">
        <f t="shared" si="159"/>
        <v>#DIV/0!</v>
      </c>
      <c r="CC331" s="6" t="e">
        <f t="shared" si="160"/>
        <v>#DIV/0!</v>
      </c>
    </row>
    <row r="332" spans="27:159">
      <c r="AA332" s="79" t="s">
        <v>175</v>
      </c>
      <c r="AB332" s="80" t="s">
        <v>199</v>
      </c>
      <c r="AC332" s="81">
        <v>0</v>
      </c>
      <c r="AD332" s="81">
        <v>6</v>
      </c>
      <c r="AE332" s="80">
        <v>273</v>
      </c>
      <c r="AF332" s="80">
        <v>6.35</v>
      </c>
      <c r="AG332" s="108" cm="1">
        <f t="array" ref="AG332">_xll.DCEPropSectPipe(AE332, AF332, "Area")/100</f>
        <v>53.19431074856206</v>
      </c>
      <c r="AH332" s="16" cm="1">
        <f t="array" ref="AH332">_xll.DCEPropSectPipe(AE332, AF332, "Ix")/10000</f>
        <v>4730.4733077169503</v>
      </c>
      <c r="AI332" s="16" cm="1">
        <f t="array" ref="AI332">_xll.DCEPropSectPipe(AE332, AF332, "Wx")/1000</f>
        <v>346.55482107816493</v>
      </c>
      <c r="AJ332" s="108">
        <f t="shared" si="129"/>
        <v>9.4301739777164251</v>
      </c>
      <c r="AK332" s="80" t="s">
        <v>218</v>
      </c>
      <c r="AL332" s="82">
        <v>-12.563957050854018</v>
      </c>
      <c r="AM332" s="82">
        <v>-0.49820536085784067</v>
      </c>
      <c r="AN332" s="82">
        <v>0.29513509366952834</v>
      </c>
      <c r="AO332" s="82">
        <v>0</v>
      </c>
      <c r="AP332" s="82">
        <v>0</v>
      </c>
      <c r="AQ332" s="82">
        <v>5.0209362565398754E-3</v>
      </c>
      <c r="AR332" s="72">
        <v>1</v>
      </c>
      <c r="AS332" s="116">
        <f t="shared" si="130"/>
        <v>6</v>
      </c>
      <c r="AT332" s="82">
        <v>2</v>
      </c>
      <c r="AU332" s="6">
        <f t="shared" si="131"/>
        <v>12</v>
      </c>
      <c r="AV332" s="111">
        <f t="shared" si="132"/>
        <v>1.0333306574326127E-2</v>
      </c>
      <c r="AW332" s="117">
        <f t="shared" si="133"/>
        <v>105</v>
      </c>
      <c r="AX332" s="111">
        <f t="shared" si="134"/>
        <v>1</v>
      </c>
      <c r="AY332" s="111">
        <f t="shared" si="135"/>
        <v>1</v>
      </c>
      <c r="AZ332" s="111">
        <f t="shared" si="136"/>
        <v>1</v>
      </c>
      <c r="BA332" s="111">
        <f t="shared" si="137"/>
        <v>1.0877164815080137E-2</v>
      </c>
      <c r="BB332" s="111">
        <f t="shared" si="138"/>
        <v>0</v>
      </c>
      <c r="BC332" s="111">
        <f t="shared" si="139"/>
        <v>0</v>
      </c>
      <c r="BD332" s="111">
        <v>0</v>
      </c>
      <c r="BE332" s="111">
        <f t="shared" si="140"/>
        <v>1.0877164815080137E-2</v>
      </c>
      <c r="BF332" s="6" t="str">
        <f t="shared" si="141"/>
        <v>OK</v>
      </c>
      <c r="BG332" s="16">
        <f t="shared" si="142"/>
        <v>63.625549371390676</v>
      </c>
      <c r="BH332" s="118">
        <f t="shared" si="143"/>
        <v>2.1193803644775273</v>
      </c>
      <c r="BI332" s="108">
        <f t="shared" si="144"/>
        <v>0</v>
      </c>
      <c r="BJ332" s="6">
        <f t="shared" si="145"/>
        <v>1.2440309817761237</v>
      </c>
      <c r="BK332" s="108">
        <f t="shared" si="146"/>
        <v>0</v>
      </c>
      <c r="BL332" s="118" cm="1">
        <f t="array" ref="BL332">IF(AO332=0,FactorPhi7121(BH332,"a"),noisuy2chieu(BK332,BH332,Data!$A$63:$M$85))</f>
        <v>0.86214274110469236</v>
      </c>
      <c r="BM332" s="111">
        <v>1.26</v>
      </c>
      <c r="BN332" s="118">
        <f t="shared" si="147"/>
        <v>0.99535851311922829</v>
      </c>
      <c r="BO332" s="108">
        <f t="shared" si="148"/>
        <v>2.5714611417625554E-2</v>
      </c>
      <c r="BP332" s="6" t="str">
        <f t="shared" si="149"/>
        <v>OK</v>
      </c>
      <c r="BQ332" s="16">
        <f t="shared" si="150"/>
        <v>127.25109874278135</v>
      </c>
      <c r="BR332" s="118">
        <f t="shared" si="151"/>
        <v>4.2387607289550546</v>
      </c>
      <c r="BS332" s="108">
        <f t="shared" si="152"/>
        <v>0</v>
      </c>
      <c r="BT332" s="118">
        <f t="shared" si="153"/>
        <v>1.1380619635522473</v>
      </c>
      <c r="BU332" s="108">
        <f t="shared" si="154"/>
        <v>0</v>
      </c>
      <c r="BV332" s="6" cm="1">
        <f t="array" ref="BV332">IF(AP332=0,FactorPhi7121(BR332,"a"),noisuy2chieu(BU332,BR332,Data!$A$63:$M$85))</f>
        <v>0.42299549615688942</v>
      </c>
      <c r="BW332" s="111">
        <v>1.26</v>
      </c>
      <c r="BX332" s="111">
        <f t="shared" si="155"/>
        <v>0.98143405247691318</v>
      </c>
      <c r="BY332" s="113">
        <f t="shared" si="156"/>
        <v>1.2616431475306351E-2</v>
      </c>
      <c r="BZ332" s="6" t="str">
        <f t="shared" si="157"/>
        <v>OK</v>
      </c>
      <c r="CA332" s="114">
        <f t="shared" si="158"/>
        <v>127.25109874278135</v>
      </c>
      <c r="CB332" s="115">
        <f t="shared" si="159"/>
        <v>150</v>
      </c>
      <c r="CC332" s="6" t="str">
        <f t="shared" si="160"/>
        <v>OK</v>
      </c>
    </row>
    <row r="333" spans="27:159">
      <c r="AA333" s="79" t="s">
        <v>175</v>
      </c>
      <c r="AB333" s="80" t="s">
        <v>199</v>
      </c>
      <c r="AC333" s="81">
        <v>2.74</v>
      </c>
      <c r="AD333" s="81">
        <v>6</v>
      </c>
      <c r="AE333" s="80">
        <v>273</v>
      </c>
      <c r="AF333" s="80">
        <v>6.35</v>
      </c>
      <c r="AG333" s="108" cm="1">
        <f t="array" ref="AG333">_xll.DCEPropSectPipe(AE333, AF333, "Area")/100</f>
        <v>53.19431074856206</v>
      </c>
      <c r="AH333" s="16" cm="1">
        <f t="array" ref="AH333">_xll.DCEPropSectPipe(AE333, AF333, "Ix")/10000</f>
        <v>4730.4733077169503</v>
      </c>
      <c r="AI333" s="16" cm="1">
        <f t="array" ref="AI333">_xll.DCEPropSectPipe(AE333, AF333, "Wx")/1000</f>
        <v>346.55482107816493</v>
      </c>
      <c r="AJ333" s="108">
        <f t="shared" si="129"/>
        <v>9.4301739777164251</v>
      </c>
      <c r="AK333" s="80" t="s">
        <v>218</v>
      </c>
      <c r="AL333" s="82">
        <v>-11.216696702121984</v>
      </c>
      <c r="AM333" s="82">
        <v>-0.49820536085784067</v>
      </c>
      <c r="AN333" s="82">
        <v>0.29513509366952834</v>
      </c>
      <c r="AO333" s="82">
        <v>-0.80926042684184596</v>
      </c>
      <c r="AP333" s="82">
        <v>1.3660790994722001</v>
      </c>
      <c r="AQ333" s="82">
        <v>5.0209362565398754E-3</v>
      </c>
      <c r="AR333" s="72">
        <v>1</v>
      </c>
      <c r="AS333" s="116">
        <f t="shared" si="130"/>
        <v>6</v>
      </c>
      <c r="AT333" s="82">
        <v>2</v>
      </c>
      <c r="AU333" s="6">
        <f t="shared" si="131"/>
        <v>12</v>
      </c>
      <c r="AV333" s="111">
        <f t="shared" si="132"/>
        <v>9.2252437114452544E-3</v>
      </c>
      <c r="AW333" s="117">
        <f t="shared" si="133"/>
        <v>105</v>
      </c>
      <c r="AX333" s="111">
        <f t="shared" si="134"/>
        <v>1</v>
      </c>
      <c r="AY333" s="111">
        <f t="shared" si="135"/>
        <v>1</v>
      </c>
      <c r="AZ333" s="111">
        <f t="shared" si="136"/>
        <v>1</v>
      </c>
      <c r="BA333" s="111">
        <f t="shared" si="137"/>
        <v>9.7107828541529006E-3</v>
      </c>
      <c r="BB333" s="111">
        <f t="shared" si="138"/>
        <v>1.0754019284113018E-2</v>
      </c>
      <c r="BC333" s="111">
        <f t="shared" si="139"/>
        <v>1.8153415751069248E-2</v>
      </c>
      <c r="BD333" s="111">
        <v>0</v>
      </c>
      <c r="BE333" s="111">
        <f t="shared" si="140"/>
        <v>3.8618217889335164E-2</v>
      </c>
      <c r="BF333" s="6" t="str">
        <f t="shared" si="141"/>
        <v>OK</v>
      </c>
      <c r="BG333" s="16">
        <f t="shared" si="142"/>
        <v>63.625549371390676</v>
      </c>
      <c r="BH333" s="118">
        <f t="shared" si="143"/>
        <v>2.1193803644775273</v>
      </c>
      <c r="BI333" s="108">
        <f t="shared" si="144"/>
        <v>1.1074307237252214</v>
      </c>
      <c r="BJ333" s="6">
        <f t="shared" si="145"/>
        <v>1.2121301148986865</v>
      </c>
      <c r="BK333" s="108">
        <f t="shared" si="146"/>
        <v>1.3423501303913883</v>
      </c>
      <c r="BL333" s="118" cm="1">
        <f t="array" ref="BL333">IF(AO333=0,FactorPhi7121(BH333,"a"),noisuy2chieu(BK333,BH333,Data!$A$63:$M$85))</f>
        <v>0</v>
      </c>
      <c r="BM333" s="111">
        <v>1.26</v>
      </c>
      <c r="BN333" s="118">
        <f t="shared" si="147"/>
        <v>0.99585622981853827</v>
      </c>
      <c r="BO333" s="108" t="e">
        <f t="shared" si="148"/>
        <v>#DIV/0!</v>
      </c>
      <c r="BP333" s="6" t="e">
        <f t="shared" si="149"/>
        <v>#DIV/0!</v>
      </c>
      <c r="BQ333" s="16">
        <f t="shared" si="150"/>
        <v>127.25109874278135</v>
      </c>
      <c r="BR333" s="118">
        <f t="shared" si="151"/>
        <v>4.2387607289550546</v>
      </c>
      <c r="BS333" s="108">
        <f t="shared" si="152"/>
        <v>1.869408061504102</v>
      </c>
      <c r="BT333" s="118">
        <f t="shared" si="153"/>
        <v>1.123831295251998</v>
      </c>
      <c r="BU333" s="108">
        <f t="shared" si="154"/>
        <v>2.1008992831146815</v>
      </c>
      <c r="BV333" s="6" cm="1">
        <f t="array" ref="BV333">IF(AP333=0,FactorPhi7121(BR333,"a"),noisuy2chieu(BU333,BR333,Data!$A$63:$M$85))</f>
        <v>0</v>
      </c>
      <c r="BW333" s="111">
        <v>1.26</v>
      </c>
      <c r="BX333" s="111">
        <f t="shared" si="155"/>
        <v>0.98342491927415321</v>
      </c>
      <c r="BY333" s="113" t="e">
        <f t="shared" si="156"/>
        <v>#DIV/0!</v>
      </c>
      <c r="BZ333" s="6" t="e">
        <f t="shared" si="157"/>
        <v>#DIV/0!</v>
      </c>
      <c r="CA333" s="114">
        <f t="shared" si="158"/>
        <v>127.25109874278135</v>
      </c>
      <c r="CB333" s="115" t="e">
        <f t="shared" si="159"/>
        <v>#DIV/0!</v>
      </c>
      <c r="CC333" s="6" t="e">
        <f t="shared" si="160"/>
        <v>#DIV/0!</v>
      </c>
    </row>
    <row r="334" spans="27:159">
      <c r="AA334" s="79" t="s">
        <v>175</v>
      </c>
      <c r="AB334" s="80" t="s">
        <v>199</v>
      </c>
      <c r="AC334" s="81">
        <v>5.48</v>
      </c>
      <c r="AD334" s="81">
        <v>6</v>
      </c>
      <c r="AE334" s="80">
        <v>273</v>
      </c>
      <c r="AF334" s="80">
        <v>6.35</v>
      </c>
      <c r="AG334" s="108" cm="1">
        <f t="array" ref="AG334">_xll.DCEPropSectPipe(AE334, AF334, "Area")/100</f>
        <v>53.19431074856206</v>
      </c>
      <c r="AH334" s="16" cm="1">
        <f t="array" ref="AH334">_xll.DCEPropSectPipe(AE334, AF334, "Ix")/10000</f>
        <v>4730.4733077169503</v>
      </c>
      <c r="AI334" s="16" cm="1">
        <f t="array" ref="AI334">_xll.DCEPropSectPipe(AE334, AF334, "Wx")/1000</f>
        <v>346.55482107816493</v>
      </c>
      <c r="AJ334" s="108">
        <f t="shared" si="129"/>
        <v>9.4301739777164251</v>
      </c>
      <c r="AK334" s="80" t="s">
        <v>218</v>
      </c>
      <c r="AL334" s="82">
        <v>-9.8694363533899541</v>
      </c>
      <c r="AM334" s="82">
        <v>-0.49820536085784067</v>
      </c>
      <c r="AN334" s="82">
        <v>0.29513509366952834</v>
      </c>
      <c r="AO334" s="82">
        <v>-1.6185208536836919</v>
      </c>
      <c r="AP334" s="82">
        <v>2.7321581989444002</v>
      </c>
      <c r="AQ334" s="82">
        <v>5.0209362565398754E-3</v>
      </c>
      <c r="AR334" s="72">
        <v>1</v>
      </c>
      <c r="AS334" s="116">
        <f t="shared" si="130"/>
        <v>6</v>
      </c>
      <c r="AT334" s="82">
        <v>2</v>
      </c>
      <c r="AU334" s="6">
        <f t="shared" si="131"/>
        <v>12</v>
      </c>
      <c r="AV334" s="111">
        <f t="shared" si="132"/>
        <v>8.1171808485643836E-3</v>
      </c>
      <c r="AW334" s="117">
        <f t="shared" si="133"/>
        <v>105</v>
      </c>
      <c r="AX334" s="111">
        <f t="shared" si="134"/>
        <v>1</v>
      </c>
      <c r="AY334" s="111">
        <f t="shared" si="135"/>
        <v>1</v>
      </c>
      <c r="AZ334" s="111">
        <f t="shared" si="136"/>
        <v>1</v>
      </c>
      <c r="BA334" s="111">
        <f t="shared" si="137"/>
        <v>8.5444008932256676E-3</v>
      </c>
      <c r="BB334" s="111">
        <f t="shared" si="138"/>
        <v>2.1508038568226036E-2</v>
      </c>
      <c r="BC334" s="111">
        <f t="shared" si="139"/>
        <v>3.6306831502138495E-2</v>
      </c>
      <c r="BD334" s="111">
        <v>0</v>
      </c>
      <c r="BE334" s="111">
        <f t="shared" si="140"/>
        <v>6.6359270963590206E-2</v>
      </c>
      <c r="BF334" s="6" t="str">
        <f t="shared" si="141"/>
        <v>OK</v>
      </c>
      <c r="BG334" s="16">
        <f t="shared" si="142"/>
        <v>63.625549371390676</v>
      </c>
      <c r="BH334" s="118">
        <f t="shared" si="143"/>
        <v>2.1193803644775273</v>
      </c>
      <c r="BI334" s="108">
        <f t="shared" si="144"/>
        <v>2.5172085014501655</v>
      </c>
      <c r="BJ334" s="6">
        <f t="shared" si="145"/>
        <v>1.1715197794163095</v>
      </c>
      <c r="BK334" s="108">
        <f t="shared" si="146"/>
        <v>2.948959548363757</v>
      </c>
      <c r="BL334" s="118" cm="1">
        <f t="array" ref="BL334">IF(AO334=0,FactorPhi7121(BH334,"a"),noisuy2chieu(BK334,BH334,Data!$A$63:$M$85))</f>
        <v>0</v>
      </c>
      <c r="BM334" s="111">
        <v>1.26</v>
      </c>
      <c r="BN334" s="118">
        <f t="shared" si="147"/>
        <v>0.99635394651784825</v>
      </c>
      <c r="BO334" s="108" t="e">
        <f t="shared" si="148"/>
        <v>#DIV/0!</v>
      </c>
      <c r="BP334" s="6" t="e">
        <f t="shared" si="149"/>
        <v>#DIV/0!</v>
      </c>
      <c r="BQ334" s="16">
        <f t="shared" si="150"/>
        <v>127.25109874278135</v>
      </c>
      <c r="BR334" s="118">
        <f t="shared" si="151"/>
        <v>4.2387607289550546</v>
      </c>
      <c r="BS334" s="108">
        <f t="shared" si="152"/>
        <v>4.2491956962042776</v>
      </c>
      <c r="BT334" s="118">
        <f t="shared" si="153"/>
        <v>1.1057154172091888</v>
      </c>
      <c r="BU334" s="108">
        <f t="shared" si="154"/>
        <v>4.6984011920320023</v>
      </c>
      <c r="BV334" s="6" cm="1">
        <f t="array" ref="BV334">IF(AP334=0,FactorPhi7121(BR334,"a"),noisuy2chieu(BU334,BR334,Data!$A$63:$M$85))</f>
        <v>0</v>
      </c>
      <c r="BW334" s="111">
        <v>1.26</v>
      </c>
      <c r="BX334" s="111">
        <f t="shared" si="155"/>
        <v>0.98541578607139313</v>
      </c>
      <c r="BY334" s="113" t="e">
        <f t="shared" si="156"/>
        <v>#DIV/0!</v>
      </c>
      <c r="BZ334" s="6" t="e">
        <f t="shared" si="157"/>
        <v>#DIV/0!</v>
      </c>
      <c r="CA334" s="114">
        <f t="shared" si="158"/>
        <v>127.25109874278135</v>
      </c>
      <c r="CB334" s="115" t="e">
        <f t="shared" si="159"/>
        <v>#DIV/0!</v>
      </c>
      <c r="CC334" s="6" t="e">
        <f t="shared" si="160"/>
        <v>#DIV/0!</v>
      </c>
    </row>
    <row r="335" spans="27:159">
      <c r="AA335" s="79" t="s">
        <v>175</v>
      </c>
      <c r="AB335" s="80" t="s">
        <v>200</v>
      </c>
      <c r="AC335" s="81">
        <v>0</v>
      </c>
      <c r="AD335" s="81">
        <v>6</v>
      </c>
      <c r="AE335" s="80">
        <v>273</v>
      </c>
      <c r="AF335" s="80">
        <v>6.35</v>
      </c>
      <c r="AG335" s="108" cm="1">
        <f t="array" ref="AG335">_xll.DCEPropSectPipe(AE335, AF335, "Area")/100</f>
        <v>53.19431074856206</v>
      </c>
      <c r="AH335" s="16" cm="1">
        <f t="array" ref="AH335">_xll.DCEPropSectPipe(AE335, AF335, "Ix")/10000</f>
        <v>4730.4733077169503</v>
      </c>
      <c r="AI335" s="16" cm="1">
        <f t="array" ref="AI335">_xll.DCEPropSectPipe(AE335, AF335, "Wx")/1000</f>
        <v>346.55482107816493</v>
      </c>
      <c r="AJ335" s="108">
        <f t="shared" si="129"/>
        <v>9.4301739777164251</v>
      </c>
      <c r="AK335" s="80" t="s">
        <v>206</v>
      </c>
      <c r="AL335" s="82">
        <v>-44.218663484971742</v>
      </c>
      <c r="AM335" s="82">
        <v>-4.9302670954668466</v>
      </c>
      <c r="AN335" s="82">
        <v>1.5653413718398668</v>
      </c>
      <c r="AO335" s="82">
        <v>0</v>
      </c>
      <c r="AP335" s="82">
        <v>0</v>
      </c>
      <c r="AQ335" s="82">
        <v>-9.5625068535559118E-2</v>
      </c>
      <c r="AR335" s="72">
        <v>1</v>
      </c>
      <c r="AS335" s="116">
        <f t="shared" si="130"/>
        <v>6</v>
      </c>
      <c r="AT335" s="82">
        <v>2</v>
      </c>
      <c r="AU335" s="6">
        <f t="shared" si="131"/>
        <v>12</v>
      </c>
      <c r="AV335" s="111">
        <f t="shared" si="132"/>
        <v>3.6367921686433519E-2</v>
      </c>
      <c r="AW335" s="117">
        <f t="shared" si="133"/>
        <v>105</v>
      </c>
      <c r="AX335" s="111">
        <f t="shared" si="134"/>
        <v>1</v>
      </c>
      <c r="AY335" s="111">
        <f t="shared" si="135"/>
        <v>1</v>
      </c>
      <c r="AZ335" s="111">
        <f t="shared" si="136"/>
        <v>1</v>
      </c>
      <c r="BA335" s="111">
        <f t="shared" si="137"/>
        <v>3.8282022827824766E-2</v>
      </c>
      <c r="BB335" s="111">
        <f t="shared" si="138"/>
        <v>0</v>
      </c>
      <c r="BC335" s="111">
        <f t="shared" si="139"/>
        <v>0</v>
      </c>
      <c r="BD335" s="111">
        <v>0</v>
      </c>
      <c r="BE335" s="111">
        <f t="shared" si="140"/>
        <v>3.8282022827824766E-2</v>
      </c>
      <c r="BF335" s="6" t="str">
        <f t="shared" si="141"/>
        <v>OK</v>
      </c>
      <c r="BG335" s="16">
        <f t="shared" si="142"/>
        <v>63.625549371390676</v>
      </c>
      <c r="BH335" s="118">
        <f t="shared" si="143"/>
        <v>2.1193803644775273</v>
      </c>
      <c r="BI335" s="108">
        <f t="shared" si="144"/>
        <v>0</v>
      </c>
      <c r="BJ335" s="6">
        <f t="shared" si="145"/>
        <v>1.2440309817761237</v>
      </c>
      <c r="BK335" s="108">
        <f t="shared" si="146"/>
        <v>0</v>
      </c>
      <c r="BL335" s="118" cm="1">
        <f t="array" ref="BL335">IF(AO335=0,FactorPhi7121(BH335,"a"),noisuy2chieu(BK335,BH335,Data!$A$63:$M$85))</f>
        <v>0.86214274110469236</v>
      </c>
      <c r="BM335" s="111">
        <v>1.26</v>
      </c>
      <c r="BN335" s="118">
        <f t="shared" si="147"/>
        <v>0.98366435465991953</v>
      </c>
      <c r="BO335" s="108">
        <f t="shared" si="148"/>
        <v>9.0502199611189063E-2</v>
      </c>
      <c r="BP335" s="6" t="str">
        <f t="shared" si="149"/>
        <v>OK</v>
      </c>
      <c r="BQ335" s="16">
        <f t="shared" si="150"/>
        <v>127.25109874278135</v>
      </c>
      <c r="BR335" s="118">
        <f t="shared" si="151"/>
        <v>4.2387607289550546</v>
      </c>
      <c r="BS335" s="108">
        <f t="shared" si="152"/>
        <v>0</v>
      </c>
      <c r="BT335" s="118">
        <f t="shared" si="153"/>
        <v>1.1380619635522473</v>
      </c>
      <c r="BU335" s="108">
        <f t="shared" si="154"/>
        <v>0</v>
      </c>
      <c r="BV335" s="6" cm="1">
        <f t="array" ref="BV335">IF(AP335=0,FactorPhi7121(BR335,"a"),noisuy2chieu(BU335,BR335,Data!$A$63:$M$85))</f>
        <v>0.42299549615688942</v>
      </c>
      <c r="BW335" s="111">
        <v>1.26</v>
      </c>
      <c r="BX335" s="111">
        <f t="shared" si="155"/>
        <v>0.93465741863967788</v>
      </c>
      <c r="BY335" s="113">
        <f t="shared" si="156"/>
        <v>4.4403346456032007E-2</v>
      </c>
      <c r="BZ335" s="6" t="str">
        <f t="shared" si="157"/>
        <v>OK</v>
      </c>
      <c r="CA335" s="114">
        <f t="shared" si="158"/>
        <v>127.25109874278135</v>
      </c>
      <c r="CB335" s="115">
        <f t="shared" si="159"/>
        <v>150</v>
      </c>
      <c r="CC335" s="6" t="str">
        <f t="shared" si="160"/>
        <v>OK</v>
      </c>
    </row>
    <row r="336" spans="27:159">
      <c r="AA336" s="79" t="s">
        <v>175</v>
      </c>
      <c r="AB336" s="80" t="s">
        <v>200</v>
      </c>
      <c r="AC336" s="81">
        <v>2.74</v>
      </c>
      <c r="AD336" s="81">
        <v>6</v>
      </c>
      <c r="AE336" s="80">
        <v>273</v>
      </c>
      <c r="AF336" s="80">
        <v>6.35</v>
      </c>
      <c r="AG336" s="108" cm="1">
        <f t="array" ref="AG336">_xll.DCEPropSectPipe(AE336, AF336, "Area")/100</f>
        <v>53.19431074856206</v>
      </c>
      <c r="AH336" s="16" cm="1">
        <f t="array" ref="AH336">_xll.DCEPropSectPipe(AE336, AF336, "Ix")/10000</f>
        <v>4730.4733077169503</v>
      </c>
      <c r="AI336" s="16" cm="1">
        <f t="array" ref="AI336">_xll.DCEPropSectPipe(AE336, AF336, "Wx")/1000</f>
        <v>346.55482107816493</v>
      </c>
      <c r="AJ336" s="108">
        <f t="shared" si="129"/>
        <v>9.4301739777164251</v>
      </c>
      <c r="AK336" s="80" t="s">
        <v>206</v>
      </c>
      <c r="AL336" s="82">
        <v>-42.871403136239714</v>
      </c>
      <c r="AM336" s="82">
        <v>-4.9302670954668466</v>
      </c>
      <c r="AN336" s="82">
        <v>1.5653413718398668</v>
      </c>
      <c r="AO336" s="82">
        <v>-4.2921660415849141</v>
      </c>
      <c r="AP336" s="82">
        <v>13.518792375770092</v>
      </c>
      <c r="AQ336" s="82">
        <v>-9.5625068535559118E-2</v>
      </c>
      <c r="AR336" s="72">
        <v>1</v>
      </c>
      <c r="AS336" s="116">
        <f t="shared" si="130"/>
        <v>6</v>
      </c>
      <c r="AT336" s="82">
        <v>2</v>
      </c>
      <c r="AU336" s="6">
        <f t="shared" si="131"/>
        <v>12</v>
      </c>
      <c r="AV336" s="111">
        <f t="shared" si="132"/>
        <v>3.5259858823552655E-2</v>
      </c>
      <c r="AW336" s="117">
        <f t="shared" si="133"/>
        <v>105</v>
      </c>
      <c r="AX336" s="111">
        <f t="shared" si="134"/>
        <v>1</v>
      </c>
      <c r="AY336" s="111">
        <f t="shared" si="135"/>
        <v>1</v>
      </c>
      <c r="AZ336" s="111">
        <f t="shared" si="136"/>
        <v>1</v>
      </c>
      <c r="BA336" s="111">
        <f t="shared" si="137"/>
        <v>3.7115640866897531E-2</v>
      </c>
      <c r="BB336" s="111">
        <f t="shared" si="138"/>
        <v>5.7037308202443328E-2</v>
      </c>
      <c r="BC336" s="111">
        <f t="shared" si="139"/>
        <v>0.17964718041916999</v>
      </c>
      <c r="BD336" s="111">
        <v>0</v>
      </c>
      <c r="BE336" s="111">
        <f t="shared" si="140"/>
        <v>0.27380012948851085</v>
      </c>
      <c r="BF336" s="6" t="str">
        <f t="shared" si="141"/>
        <v>OK</v>
      </c>
      <c r="BG336" s="16">
        <f t="shared" si="142"/>
        <v>63.625549371390676</v>
      </c>
      <c r="BH336" s="118">
        <f t="shared" si="143"/>
        <v>2.1193803644775273</v>
      </c>
      <c r="BI336" s="108">
        <f t="shared" si="144"/>
        <v>1.5367458804493772</v>
      </c>
      <c r="BJ336" s="6">
        <f t="shared" si="145"/>
        <v>1.1997631781958162</v>
      </c>
      <c r="BK336" s="108">
        <f t="shared" si="146"/>
        <v>1.8437311216072727</v>
      </c>
      <c r="BL336" s="118" cm="1">
        <f t="array" ref="BL336">IF(AO336=0,FactorPhi7121(BH336,"a"),noisuy2chieu(BK336,BH336,Data!$A$63:$M$85))</f>
        <v>0</v>
      </c>
      <c r="BM336" s="111">
        <v>1.26</v>
      </c>
      <c r="BN336" s="118">
        <f t="shared" si="147"/>
        <v>0.98416207135922951</v>
      </c>
      <c r="BO336" s="108" t="e">
        <f t="shared" si="148"/>
        <v>#DIV/0!</v>
      </c>
      <c r="BP336" s="6" t="e">
        <f t="shared" si="149"/>
        <v>#DIV/0!</v>
      </c>
      <c r="BQ336" s="16">
        <f t="shared" si="150"/>
        <v>127.25109874278135</v>
      </c>
      <c r="BR336" s="118">
        <f t="shared" si="151"/>
        <v>4.2387607289550546</v>
      </c>
      <c r="BS336" s="108">
        <f t="shared" si="152"/>
        <v>4.8402014951974772</v>
      </c>
      <c r="BT336" s="118">
        <f t="shared" si="153"/>
        <v>1.1012164489730996</v>
      </c>
      <c r="BU336" s="108">
        <f t="shared" si="154"/>
        <v>5.3301095028556524</v>
      </c>
      <c r="BV336" s="6" cm="1">
        <f t="array" ref="BV336">IF(AP336=0,FactorPhi7121(BR336,"a"),noisuy2chieu(BU336,BR336,Data!$A$63:$M$85))</f>
        <v>0</v>
      </c>
      <c r="BW336" s="111">
        <v>1.26</v>
      </c>
      <c r="BX336" s="111">
        <f t="shared" si="155"/>
        <v>0.93664828543691792</v>
      </c>
      <c r="BY336" s="113" t="e">
        <f t="shared" si="156"/>
        <v>#DIV/0!</v>
      </c>
      <c r="BZ336" s="6" t="e">
        <f t="shared" si="157"/>
        <v>#DIV/0!</v>
      </c>
      <c r="CA336" s="114">
        <f t="shared" si="158"/>
        <v>127.25109874278135</v>
      </c>
      <c r="CB336" s="115" t="e">
        <f t="shared" si="159"/>
        <v>#DIV/0!</v>
      </c>
      <c r="CC336" s="6" t="e">
        <f t="shared" si="160"/>
        <v>#DIV/0!</v>
      </c>
    </row>
    <row r="337" spans="27:81">
      <c r="AA337" s="79" t="s">
        <v>175</v>
      </c>
      <c r="AB337" s="80" t="s">
        <v>200</v>
      </c>
      <c r="AC337" s="81">
        <v>5.48</v>
      </c>
      <c r="AD337" s="81">
        <v>6</v>
      </c>
      <c r="AE337" s="80">
        <v>273</v>
      </c>
      <c r="AF337" s="80">
        <v>6.35</v>
      </c>
      <c r="AG337" s="108" cm="1">
        <f t="array" ref="AG337">_xll.DCEPropSectPipe(AE337, AF337, "Area")/100</f>
        <v>53.19431074856206</v>
      </c>
      <c r="AH337" s="16" cm="1">
        <f t="array" ref="AH337">_xll.DCEPropSectPipe(AE337, AF337, "Ix")/10000</f>
        <v>4730.4733077169503</v>
      </c>
      <c r="AI337" s="16" cm="1">
        <f t="array" ref="AI337">_xll.DCEPropSectPipe(AE337, AF337, "Wx")/1000</f>
        <v>346.55482107816493</v>
      </c>
      <c r="AJ337" s="108">
        <f t="shared" si="129"/>
        <v>9.4301739777164251</v>
      </c>
      <c r="AK337" s="80" t="s">
        <v>206</v>
      </c>
      <c r="AL337" s="82">
        <v>-41.524142787507685</v>
      </c>
      <c r="AM337" s="82">
        <v>-4.9302670954668466</v>
      </c>
      <c r="AN337" s="82">
        <v>1.5653413718398668</v>
      </c>
      <c r="AO337" s="82">
        <v>-8.5843320831698282</v>
      </c>
      <c r="AP337" s="82">
        <v>27.037584751540184</v>
      </c>
      <c r="AQ337" s="82">
        <v>-9.5625068535559118E-2</v>
      </c>
      <c r="AR337" s="72">
        <v>1</v>
      </c>
      <c r="AS337" s="116">
        <f t="shared" si="130"/>
        <v>6</v>
      </c>
      <c r="AT337" s="82">
        <v>2</v>
      </c>
      <c r="AU337" s="6">
        <f t="shared" si="131"/>
        <v>12</v>
      </c>
      <c r="AV337" s="111">
        <f t="shared" si="132"/>
        <v>3.4151795960671784E-2</v>
      </c>
      <c r="AW337" s="117">
        <f t="shared" si="133"/>
        <v>105</v>
      </c>
      <c r="AX337" s="111">
        <f t="shared" si="134"/>
        <v>1</v>
      </c>
      <c r="AY337" s="111">
        <f t="shared" si="135"/>
        <v>1</v>
      </c>
      <c r="AZ337" s="111">
        <f t="shared" si="136"/>
        <v>1</v>
      </c>
      <c r="BA337" s="111">
        <f t="shared" si="137"/>
        <v>3.5949258905970304E-2</v>
      </c>
      <c r="BB337" s="111">
        <f t="shared" si="138"/>
        <v>0.11407461640488666</v>
      </c>
      <c r="BC337" s="111">
        <f t="shared" si="139"/>
        <v>0.35929436083833999</v>
      </c>
      <c r="BD337" s="111">
        <v>0</v>
      </c>
      <c r="BE337" s="111">
        <f t="shared" si="140"/>
        <v>0.50931823614919691</v>
      </c>
      <c r="BF337" s="6" t="str">
        <f t="shared" si="141"/>
        <v>OK</v>
      </c>
      <c r="BG337" s="16">
        <f t="shared" si="142"/>
        <v>63.625549371390676</v>
      </c>
      <c r="BH337" s="118">
        <f t="shared" si="143"/>
        <v>2.1193803644775273</v>
      </c>
      <c r="BI337" s="108">
        <f t="shared" si="144"/>
        <v>3.1732119069064209</v>
      </c>
      <c r="BJ337" s="6">
        <f t="shared" si="145"/>
        <v>1.1526228165090402</v>
      </c>
      <c r="BK337" s="108">
        <f t="shared" si="146"/>
        <v>3.657516445518501</v>
      </c>
      <c r="BL337" s="118" cm="1">
        <f t="array" ref="BL337">IF(AO337=0,FactorPhi7121(BH337,"a"),noisuy2chieu(BK337,BH337,Data!$A$63:$M$85))</f>
        <v>0</v>
      </c>
      <c r="BM337" s="111">
        <v>1.26</v>
      </c>
      <c r="BN337" s="118">
        <f t="shared" si="147"/>
        <v>0.98465978805853949</v>
      </c>
      <c r="BO337" s="108" t="e">
        <f t="shared" si="148"/>
        <v>#DIV/0!</v>
      </c>
      <c r="BP337" s="6" t="e">
        <f t="shared" si="149"/>
        <v>#DIV/0!</v>
      </c>
      <c r="BQ337" s="16">
        <f t="shared" si="150"/>
        <v>127.25109874278135</v>
      </c>
      <c r="BR337" s="118">
        <f t="shared" si="151"/>
        <v>4.2387607289550546</v>
      </c>
      <c r="BS337" s="108">
        <f t="shared" si="152"/>
        <v>9.9944858885163264</v>
      </c>
      <c r="BT337" s="118">
        <f t="shared" si="153"/>
        <v>1.1000000000000001</v>
      </c>
      <c r="BU337" s="108">
        <f t="shared" si="154"/>
        <v>10.99393447736796</v>
      </c>
      <c r="BV337" s="6" cm="1">
        <f t="array" ref="BV337">IF(AP337=0,FactorPhi7121(BR337,"a"),noisuy2chieu(BU337,BR337,Data!$A$63:$M$85))</f>
        <v>0</v>
      </c>
      <c r="BW337" s="111">
        <v>1.26</v>
      </c>
      <c r="BX337" s="111">
        <f t="shared" si="155"/>
        <v>0.93863915223415795</v>
      </c>
      <c r="BY337" s="113" t="e">
        <f t="shared" si="156"/>
        <v>#DIV/0!</v>
      </c>
      <c r="BZ337" s="6" t="e">
        <f t="shared" si="157"/>
        <v>#DIV/0!</v>
      </c>
      <c r="CA337" s="114">
        <f t="shared" si="158"/>
        <v>127.25109874278135</v>
      </c>
      <c r="CB337" s="115" t="e">
        <f t="shared" si="159"/>
        <v>#DIV/0!</v>
      </c>
      <c r="CC337" s="6" t="e">
        <f t="shared" si="160"/>
        <v>#DIV/0!</v>
      </c>
    </row>
    <row r="338" spans="27:81">
      <c r="AA338" s="79" t="s">
        <v>175</v>
      </c>
      <c r="AB338" s="80" t="s">
        <v>200</v>
      </c>
      <c r="AC338" s="81">
        <v>0</v>
      </c>
      <c r="AD338" s="81">
        <v>6</v>
      </c>
      <c r="AE338" s="80">
        <v>273</v>
      </c>
      <c r="AF338" s="80">
        <v>6.35</v>
      </c>
      <c r="AG338" s="108" cm="1">
        <f t="array" ref="AG338">_xll.DCEPropSectPipe(AE338, AF338, "Area")/100</f>
        <v>53.19431074856206</v>
      </c>
      <c r="AH338" s="16" cm="1">
        <f t="array" ref="AH338">_xll.DCEPropSectPipe(AE338, AF338, "Ix")/10000</f>
        <v>4730.4733077169503</v>
      </c>
      <c r="AI338" s="16" cm="1">
        <f t="array" ref="AI338">_xll.DCEPropSectPipe(AE338, AF338, "Wx")/1000</f>
        <v>346.55482107816493</v>
      </c>
      <c r="AJ338" s="108">
        <f t="shared" si="129"/>
        <v>9.4301739777164251</v>
      </c>
      <c r="AK338" s="80" t="s">
        <v>207</v>
      </c>
      <c r="AL338" s="82">
        <v>-73.040712126759189</v>
      </c>
      <c r="AM338" s="82">
        <v>-7.6530719450493638</v>
      </c>
      <c r="AN338" s="82">
        <v>2.5287764830618276</v>
      </c>
      <c r="AO338" s="82">
        <v>0</v>
      </c>
      <c r="AP338" s="82">
        <v>0</v>
      </c>
      <c r="AQ338" s="82">
        <v>-0.14162867962842535</v>
      </c>
      <c r="AR338" s="72">
        <v>1</v>
      </c>
      <c r="AS338" s="116">
        <f t="shared" si="130"/>
        <v>6</v>
      </c>
      <c r="AT338" s="82">
        <v>2</v>
      </c>
      <c r="AU338" s="6">
        <f t="shared" si="131"/>
        <v>12</v>
      </c>
      <c r="AV338" s="111">
        <f t="shared" si="132"/>
        <v>6.0072799338453609E-2</v>
      </c>
      <c r="AW338" s="117">
        <f t="shared" si="133"/>
        <v>105</v>
      </c>
      <c r="AX338" s="111">
        <f t="shared" si="134"/>
        <v>1</v>
      </c>
      <c r="AY338" s="111">
        <f t="shared" si="135"/>
        <v>1</v>
      </c>
      <c r="AZ338" s="111">
        <f t="shared" si="136"/>
        <v>1</v>
      </c>
      <c r="BA338" s="111">
        <f t="shared" si="137"/>
        <v>6.3234525619424858E-2</v>
      </c>
      <c r="BB338" s="111">
        <f t="shared" si="138"/>
        <v>0</v>
      </c>
      <c r="BC338" s="111">
        <f t="shared" si="139"/>
        <v>0</v>
      </c>
      <c r="BD338" s="111">
        <v>0</v>
      </c>
      <c r="BE338" s="111">
        <f t="shared" si="140"/>
        <v>6.3234525619424858E-2</v>
      </c>
      <c r="BF338" s="6" t="str">
        <f t="shared" si="141"/>
        <v>OK</v>
      </c>
      <c r="BG338" s="16">
        <f t="shared" si="142"/>
        <v>63.625549371390676</v>
      </c>
      <c r="BH338" s="118">
        <f t="shared" si="143"/>
        <v>2.1193803644775273</v>
      </c>
      <c r="BI338" s="108">
        <f t="shared" si="144"/>
        <v>0</v>
      </c>
      <c r="BJ338" s="6">
        <f t="shared" si="145"/>
        <v>1.2440309817761237</v>
      </c>
      <c r="BK338" s="108">
        <f t="shared" si="146"/>
        <v>0</v>
      </c>
      <c r="BL338" s="118" cm="1">
        <f t="array" ref="BL338">IF(AO338=0,FactorPhi7121(BH338,"a"),noisuy2chieu(BK338,BH338,Data!$A$63:$M$85))</f>
        <v>0.86214274110469236</v>
      </c>
      <c r="BM338" s="111">
        <v>1.26</v>
      </c>
      <c r="BN338" s="118">
        <f t="shared" si="147"/>
        <v>0.97301666141277265</v>
      </c>
      <c r="BO338" s="108">
        <f t="shared" si="148"/>
        <v>0.14949219600194302</v>
      </c>
      <c r="BP338" s="6" t="str">
        <f t="shared" si="149"/>
        <v>OK</v>
      </c>
      <c r="BQ338" s="16">
        <f t="shared" si="150"/>
        <v>127.25109874278135</v>
      </c>
      <c r="BR338" s="118">
        <f t="shared" si="151"/>
        <v>4.2387607289550546</v>
      </c>
      <c r="BS338" s="108">
        <f t="shared" si="152"/>
        <v>0</v>
      </c>
      <c r="BT338" s="118">
        <f t="shared" si="153"/>
        <v>1.1380619635522473</v>
      </c>
      <c r="BU338" s="108">
        <f t="shared" si="154"/>
        <v>0</v>
      </c>
      <c r="BV338" s="6" cm="1">
        <f t="array" ref="BV338">IF(AP338=0,FactorPhi7121(BR338,"a"),noisuy2chieu(BU338,BR338,Data!$A$63:$M$85))</f>
        <v>0.42299549615688942</v>
      </c>
      <c r="BW338" s="111">
        <v>1.26</v>
      </c>
      <c r="BX338" s="111">
        <f t="shared" si="155"/>
        <v>0.89206664565109084</v>
      </c>
      <c r="BY338" s="113">
        <f t="shared" si="156"/>
        <v>7.3345772810660501E-2</v>
      </c>
      <c r="BZ338" s="6" t="str">
        <f t="shared" si="157"/>
        <v>OK</v>
      </c>
      <c r="CA338" s="114">
        <f t="shared" si="158"/>
        <v>127.25109874278135</v>
      </c>
      <c r="CB338" s="115">
        <f t="shared" si="159"/>
        <v>150</v>
      </c>
      <c r="CC338" s="6" t="str">
        <f t="shared" si="160"/>
        <v>OK</v>
      </c>
    </row>
    <row r="339" spans="27:81">
      <c r="AA339" s="79" t="s">
        <v>175</v>
      </c>
      <c r="AB339" s="80" t="s">
        <v>200</v>
      </c>
      <c r="AC339" s="81">
        <v>2.74</v>
      </c>
      <c r="AD339" s="81">
        <v>6</v>
      </c>
      <c r="AE339" s="80">
        <v>273</v>
      </c>
      <c r="AF339" s="80">
        <v>6.35</v>
      </c>
      <c r="AG339" s="108" cm="1">
        <f t="array" ref="AG339">_xll.DCEPropSectPipe(AE339, AF339, "Area")/100</f>
        <v>53.19431074856206</v>
      </c>
      <c r="AH339" s="16" cm="1">
        <f t="array" ref="AH339">_xll.DCEPropSectPipe(AE339, AF339, "Ix")/10000</f>
        <v>4730.4733077169503</v>
      </c>
      <c r="AI339" s="16" cm="1">
        <f t="array" ref="AI339">_xll.DCEPropSectPipe(AE339, AF339, "Wx")/1000</f>
        <v>346.55482107816493</v>
      </c>
      <c r="AJ339" s="108">
        <f t="shared" si="129"/>
        <v>9.4301739777164251</v>
      </c>
      <c r="AK339" s="80" t="s">
        <v>207</v>
      </c>
      <c r="AL339" s="82">
        <v>-71.693451778027153</v>
      </c>
      <c r="AM339" s="82">
        <v>-7.6530719450493638</v>
      </c>
      <c r="AN339" s="82">
        <v>2.5287764830618276</v>
      </c>
      <c r="AO339" s="82">
        <v>-6.9339051165555299</v>
      </c>
      <c r="AP339" s="82">
        <v>20.984723273325351</v>
      </c>
      <c r="AQ339" s="82">
        <v>-0.14162867962842535</v>
      </c>
      <c r="AR339" s="72">
        <v>1</v>
      </c>
      <c r="AS339" s="116">
        <f t="shared" si="130"/>
        <v>6</v>
      </c>
      <c r="AT339" s="82">
        <v>2</v>
      </c>
      <c r="AU339" s="6">
        <f t="shared" si="131"/>
        <v>12</v>
      </c>
      <c r="AV339" s="111">
        <f t="shared" si="132"/>
        <v>5.8964736475572738E-2</v>
      </c>
      <c r="AW339" s="117">
        <f t="shared" si="133"/>
        <v>105</v>
      </c>
      <c r="AX339" s="111">
        <f t="shared" si="134"/>
        <v>1</v>
      </c>
      <c r="AY339" s="111">
        <f t="shared" si="135"/>
        <v>1</v>
      </c>
      <c r="AZ339" s="111">
        <f t="shared" si="136"/>
        <v>1</v>
      </c>
      <c r="BA339" s="111">
        <f t="shared" si="137"/>
        <v>6.2068143658497624E-2</v>
      </c>
      <c r="BB339" s="111">
        <f t="shared" si="138"/>
        <v>9.2142587063905476E-2</v>
      </c>
      <c r="BC339" s="111">
        <f t="shared" si="139"/>
        <v>0.27885969864336252</v>
      </c>
      <c r="BD339" s="111">
        <v>0</v>
      </c>
      <c r="BE339" s="111">
        <f t="shared" si="140"/>
        <v>0.43307042936576562</v>
      </c>
      <c r="BF339" s="6" t="str">
        <f t="shared" si="141"/>
        <v>OK</v>
      </c>
      <c r="BG339" s="16">
        <f t="shared" si="142"/>
        <v>63.625549371390676</v>
      </c>
      <c r="BH339" s="118">
        <f t="shared" si="143"/>
        <v>2.1193803644775273</v>
      </c>
      <c r="BI339" s="108">
        <f t="shared" si="144"/>
        <v>1.4845391151196514</v>
      </c>
      <c r="BJ339" s="6">
        <f t="shared" si="145"/>
        <v>1.2012670565289756</v>
      </c>
      <c r="BK339" s="108">
        <f t="shared" si="146"/>
        <v>1.7833279331219136</v>
      </c>
      <c r="BL339" s="118" cm="1">
        <f t="array" ref="BL339">IF(AO339=0,FactorPhi7121(BH339,"a"),noisuy2chieu(BK339,BH339,Data!$A$63:$M$85))</f>
        <v>0</v>
      </c>
      <c r="BM339" s="111">
        <v>1.26</v>
      </c>
      <c r="BN339" s="118">
        <f t="shared" si="147"/>
        <v>0.97351437811208275</v>
      </c>
      <c r="BO339" s="108" t="e">
        <f t="shared" si="148"/>
        <v>#DIV/0!</v>
      </c>
      <c r="BP339" s="6" t="e">
        <f t="shared" si="149"/>
        <v>#DIV/0!</v>
      </c>
      <c r="BQ339" s="16">
        <f t="shared" si="150"/>
        <v>127.25109874278135</v>
      </c>
      <c r="BR339" s="118">
        <f t="shared" si="151"/>
        <v>4.2387607289550546</v>
      </c>
      <c r="BS339" s="108">
        <f t="shared" si="152"/>
        <v>4.4927990786652829</v>
      </c>
      <c r="BT339" s="118">
        <f t="shared" si="153"/>
        <v>1.1038610125963018</v>
      </c>
      <c r="BU339" s="108">
        <f t="shared" si="154"/>
        <v>4.9594257403671911</v>
      </c>
      <c r="BV339" s="6" cm="1">
        <f t="array" ref="BV339">IF(AP339=0,FactorPhi7121(BR339,"a"),noisuy2chieu(BU339,BR339,Data!$A$63:$M$85))</f>
        <v>0</v>
      </c>
      <c r="BW339" s="111">
        <v>1.26</v>
      </c>
      <c r="BX339" s="111">
        <f t="shared" si="155"/>
        <v>0.89405751244833076</v>
      </c>
      <c r="BY339" s="113" t="e">
        <f t="shared" si="156"/>
        <v>#DIV/0!</v>
      </c>
      <c r="BZ339" s="6" t="e">
        <f t="shared" si="157"/>
        <v>#DIV/0!</v>
      </c>
      <c r="CA339" s="114">
        <f t="shared" si="158"/>
        <v>127.25109874278135</v>
      </c>
      <c r="CB339" s="115" t="e">
        <f t="shared" si="159"/>
        <v>#DIV/0!</v>
      </c>
      <c r="CC339" s="6" t="e">
        <f t="shared" si="160"/>
        <v>#DIV/0!</v>
      </c>
    </row>
    <row r="340" spans="27:81">
      <c r="AA340" s="79" t="s">
        <v>175</v>
      </c>
      <c r="AB340" s="80" t="s">
        <v>200</v>
      </c>
      <c r="AC340" s="81">
        <v>5.48</v>
      </c>
      <c r="AD340" s="81">
        <v>6</v>
      </c>
      <c r="AE340" s="80">
        <v>273</v>
      </c>
      <c r="AF340" s="80">
        <v>6.35</v>
      </c>
      <c r="AG340" s="108" cm="1">
        <f t="array" ref="AG340">_xll.DCEPropSectPipe(AE340, AF340, "Area")/100</f>
        <v>53.19431074856206</v>
      </c>
      <c r="AH340" s="16" cm="1">
        <f t="array" ref="AH340">_xll.DCEPropSectPipe(AE340, AF340, "Ix")/10000</f>
        <v>4730.4733077169503</v>
      </c>
      <c r="AI340" s="16" cm="1">
        <f t="array" ref="AI340">_xll.DCEPropSectPipe(AE340, AF340, "Wx")/1000</f>
        <v>346.55482107816493</v>
      </c>
      <c r="AJ340" s="108">
        <f t="shared" si="129"/>
        <v>9.4301739777164251</v>
      </c>
      <c r="AK340" s="80" t="s">
        <v>207</v>
      </c>
      <c r="AL340" s="82">
        <v>-70.346191429295118</v>
      </c>
      <c r="AM340" s="82">
        <v>-7.6530719450493638</v>
      </c>
      <c r="AN340" s="82">
        <v>2.5287764830618276</v>
      </c>
      <c r="AO340" s="82">
        <v>-13.86781023311106</v>
      </c>
      <c r="AP340" s="82">
        <v>41.969446546650701</v>
      </c>
      <c r="AQ340" s="82">
        <v>-0.14162867962842535</v>
      </c>
      <c r="AR340" s="72">
        <v>1</v>
      </c>
      <c r="AS340" s="116">
        <f t="shared" si="130"/>
        <v>6</v>
      </c>
      <c r="AT340" s="82">
        <v>2</v>
      </c>
      <c r="AU340" s="6">
        <f t="shared" si="131"/>
        <v>12</v>
      </c>
      <c r="AV340" s="111">
        <f t="shared" si="132"/>
        <v>5.785667361269186E-2</v>
      </c>
      <c r="AW340" s="117">
        <f t="shared" si="133"/>
        <v>105</v>
      </c>
      <c r="AX340" s="111">
        <f t="shared" si="134"/>
        <v>1</v>
      </c>
      <c r="AY340" s="111">
        <f t="shared" si="135"/>
        <v>1</v>
      </c>
      <c r="AZ340" s="111">
        <f t="shared" si="136"/>
        <v>1</v>
      </c>
      <c r="BA340" s="111">
        <f t="shared" si="137"/>
        <v>6.0901761697570382E-2</v>
      </c>
      <c r="BB340" s="111">
        <f t="shared" si="138"/>
        <v>0.18428517412781095</v>
      </c>
      <c r="BC340" s="111">
        <f t="shared" si="139"/>
        <v>0.55771939728672504</v>
      </c>
      <c r="BD340" s="111">
        <v>0</v>
      </c>
      <c r="BE340" s="111">
        <f t="shared" si="140"/>
        <v>0.80290633311210635</v>
      </c>
      <c r="BF340" s="6" t="str">
        <f t="shared" si="141"/>
        <v>OK</v>
      </c>
      <c r="BG340" s="16">
        <f t="shared" si="142"/>
        <v>63.625549371390676</v>
      </c>
      <c r="BH340" s="118">
        <f t="shared" si="143"/>
        <v>2.1193803644775273</v>
      </c>
      <c r="BI340" s="108">
        <f t="shared" si="144"/>
        <v>3.0259415982569653</v>
      </c>
      <c r="BJ340" s="6">
        <f t="shared" si="145"/>
        <v>1.156865113937291</v>
      </c>
      <c r="BK340" s="108">
        <f t="shared" si="146"/>
        <v>3.5006062718351325</v>
      </c>
      <c r="BL340" s="118" cm="1">
        <f t="array" ref="BL340">IF(AO340=0,FactorPhi7121(BH340,"a"),noisuy2chieu(BK340,BH340,Data!$A$63:$M$85))</f>
        <v>0</v>
      </c>
      <c r="BM340" s="111">
        <v>1.26</v>
      </c>
      <c r="BN340" s="118">
        <f t="shared" si="147"/>
        <v>0.97401209481139273</v>
      </c>
      <c r="BO340" s="108" t="e">
        <f t="shared" si="148"/>
        <v>#DIV/0!</v>
      </c>
      <c r="BP340" s="6" t="e">
        <f t="shared" si="149"/>
        <v>#DIV/0!</v>
      </c>
      <c r="BQ340" s="16">
        <f t="shared" si="150"/>
        <v>127.25109874278135</v>
      </c>
      <c r="BR340" s="118">
        <f t="shared" si="151"/>
        <v>4.2387607289550546</v>
      </c>
      <c r="BS340" s="108">
        <f t="shared" si="152"/>
        <v>9.157689067457218</v>
      </c>
      <c r="BT340" s="118">
        <f t="shared" si="153"/>
        <v>1.1000000000000001</v>
      </c>
      <c r="BU340" s="108">
        <f t="shared" si="154"/>
        <v>10.07345797420294</v>
      </c>
      <c r="BV340" s="6" cm="1">
        <f t="array" ref="BV340">IF(AP340=0,FactorPhi7121(BR340,"a"),noisuy2chieu(BU340,BR340,Data!$A$63:$M$85))</f>
        <v>0</v>
      </c>
      <c r="BW340" s="111">
        <v>1.26</v>
      </c>
      <c r="BX340" s="111">
        <f t="shared" si="155"/>
        <v>0.89604837924557079</v>
      </c>
      <c r="BY340" s="113" t="e">
        <f t="shared" si="156"/>
        <v>#DIV/0!</v>
      </c>
      <c r="BZ340" s="6" t="e">
        <f t="shared" si="157"/>
        <v>#DIV/0!</v>
      </c>
      <c r="CA340" s="114">
        <f t="shared" si="158"/>
        <v>127.25109874278135</v>
      </c>
      <c r="CB340" s="115" t="e">
        <f t="shared" si="159"/>
        <v>#DIV/0!</v>
      </c>
      <c r="CC340" s="6" t="e">
        <f t="shared" si="160"/>
        <v>#DIV/0!</v>
      </c>
    </row>
    <row r="341" spans="27:81">
      <c r="AA341" s="79" t="s">
        <v>175</v>
      </c>
      <c r="AB341" s="80" t="s">
        <v>200</v>
      </c>
      <c r="AC341" s="81">
        <v>0</v>
      </c>
      <c r="AD341" s="81">
        <v>6</v>
      </c>
      <c r="AE341" s="80">
        <v>273</v>
      </c>
      <c r="AF341" s="80">
        <v>6.35</v>
      </c>
      <c r="AG341" s="108" cm="1">
        <f t="array" ref="AG341">_xll.DCEPropSectPipe(AE341, AF341, "Area")/100</f>
        <v>53.19431074856206</v>
      </c>
      <c r="AH341" s="16" cm="1">
        <f t="array" ref="AH341">_xll.DCEPropSectPipe(AE341, AF341, "Ix")/10000</f>
        <v>4730.4733077169503</v>
      </c>
      <c r="AI341" s="16" cm="1">
        <f t="array" ref="AI341">_xll.DCEPropSectPipe(AE341, AF341, "Wx")/1000</f>
        <v>346.55482107816493</v>
      </c>
      <c r="AJ341" s="108">
        <f t="shared" si="129"/>
        <v>9.4301739777164251</v>
      </c>
      <c r="AK341" s="80" t="s">
        <v>208</v>
      </c>
      <c r="AL341" s="82">
        <v>-57.804737519684323</v>
      </c>
      <c r="AM341" s="82">
        <v>-7.6566662505022327</v>
      </c>
      <c r="AN341" s="82">
        <v>2.3645106102217546</v>
      </c>
      <c r="AO341" s="82">
        <v>0</v>
      </c>
      <c r="AP341" s="82">
        <v>0</v>
      </c>
      <c r="AQ341" s="82">
        <v>-0.18226310606919188</v>
      </c>
      <c r="AR341" s="72">
        <v>1</v>
      </c>
      <c r="AS341" s="116">
        <f t="shared" si="130"/>
        <v>6</v>
      </c>
      <c r="AT341" s="82">
        <v>2</v>
      </c>
      <c r="AU341" s="6">
        <f t="shared" si="131"/>
        <v>12</v>
      </c>
      <c r="AV341" s="111">
        <f t="shared" si="132"/>
        <v>4.754187489034345E-2</v>
      </c>
      <c r="AW341" s="117">
        <f t="shared" si="133"/>
        <v>105</v>
      </c>
      <c r="AX341" s="111">
        <f t="shared" si="134"/>
        <v>1</v>
      </c>
      <c r="AY341" s="111">
        <f t="shared" si="135"/>
        <v>1</v>
      </c>
      <c r="AZ341" s="111">
        <f t="shared" si="136"/>
        <v>1</v>
      </c>
      <c r="BA341" s="111">
        <f t="shared" si="137"/>
        <v>5.0044078831940481E-2</v>
      </c>
      <c r="BB341" s="111">
        <f t="shared" si="138"/>
        <v>0</v>
      </c>
      <c r="BC341" s="111">
        <f t="shared" si="139"/>
        <v>0</v>
      </c>
      <c r="BD341" s="111">
        <v>0</v>
      </c>
      <c r="BE341" s="111">
        <f t="shared" si="140"/>
        <v>5.0044078831940481E-2</v>
      </c>
      <c r="BF341" s="6" t="str">
        <f t="shared" si="141"/>
        <v>OK</v>
      </c>
      <c r="BG341" s="16">
        <f t="shared" si="142"/>
        <v>63.625549371390676</v>
      </c>
      <c r="BH341" s="118">
        <f t="shared" si="143"/>
        <v>2.1193803644775273</v>
      </c>
      <c r="BI341" s="108">
        <f t="shared" si="144"/>
        <v>0</v>
      </c>
      <c r="BJ341" s="6">
        <f t="shared" si="145"/>
        <v>1.2440309817761237</v>
      </c>
      <c r="BK341" s="108">
        <f t="shared" si="146"/>
        <v>0</v>
      </c>
      <c r="BL341" s="118" cm="1">
        <f t="array" ref="BL341">IF(AO341=0,FactorPhi7121(BH341,"a"),noisuy2chieu(BK341,BH341,Data!$A$63:$M$85))</f>
        <v>0.86214274110469236</v>
      </c>
      <c r="BM341" s="111">
        <v>1.26</v>
      </c>
      <c r="BN341" s="118">
        <f t="shared" si="147"/>
        <v>0.97864526838494492</v>
      </c>
      <c r="BO341" s="108">
        <f t="shared" si="148"/>
        <v>0.11830877464799078</v>
      </c>
      <c r="BP341" s="6" t="str">
        <f t="shared" si="149"/>
        <v>OK</v>
      </c>
      <c r="BQ341" s="16">
        <f t="shared" si="150"/>
        <v>127.25109874278135</v>
      </c>
      <c r="BR341" s="118">
        <f t="shared" si="151"/>
        <v>4.2387607289550546</v>
      </c>
      <c r="BS341" s="108">
        <f t="shared" si="152"/>
        <v>0</v>
      </c>
      <c r="BT341" s="118">
        <f t="shared" si="153"/>
        <v>1.1380619635522473</v>
      </c>
      <c r="BU341" s="108">
        <f t="shared" si="154"/>
        <v>0</v>
      </c>
      <c r="BV341" s="6" cm="1">
        <f t="array" ref="BV341">IF(AP341=0,FactorPhi7121(BR341,"a"),noisuy2chieu(BU341,BR341,Data!$A$63:$M$85))</f>
        <v>0.42299549615688942</v>
      </c>
      <c r="BW341" s="111">
        <v>1.26</v>
      </c>
      <c r="BX341" s="111">
        <f t="shared" si="155"/>
        <v>0.91458107353977958</v>
      </c>
      <c r="BY341" s="113">
        <f t="shared" si="156"/>
        <v>5.8046163872837724E-2</v>
      </c>
      <c r="BZ341" s="6" t="str">
        <f t="shared" si="157"/>
        <v>OK</v>
      </c>
      <c r="CA341" s="114">
        <f t="shared" si="158"/>
        <v>127.25109874278135</v>
      </c>
      <c r="CB341" s="115">
        <f t="shared" si="159"/>
        <v>150</v>
      </c>
      <c r="CC341" s="6" t="str">
        <f t="shared" si="160"/>
        <v>OK</v>
      </c>
    </row>
    <row r="342" spans="27:81">
      <c r="AA342" s="79" t="s">
        <v>175</v>
      </c>
      <c r="AB342" s="80" t="s">
        <v>200</v>
      </c>
      <c r="AC342" s="81">
        <v>2.74</v>
      </c>
      <c r="AD342" s="81">
        <v>6</v>
      </c>
      <c r="AE342" s="80">
        <v>273</v>
      </c>
      <c r="AF342" s="80">
        <v>6.35</v>
      </c>
      <c r="AG342" s="108" cm="1">
        <f t="array" ref="AG342">_xll.DCEPropSectPipe(AE342, AF342, "Area")/100</f>
        <v>53.19431074856206</v>
      </c>
      <c r="AH342" s="16" cm="1">
        <f t="array" ref="AH342">_xll.DCEPropSectPipe(AE342, AF342, "Ix")/10000</f>
        <v>4730.4733077169503</v>
      </c>
      <c r="AI342" s="16" cm="1">
        <f t="array" ref="AI342">_xll.DCEPropSectPipe(AE342, AF342, "Wx")/1000</f>
        <v>346.55482107816493</v>
      </c>
      <c r="AJ342" s="108">
        <f t="shared" si="129"/>
        <v>9.4301739777164251</v>
      </c>
      <c r="AK342" s="80" t="s">
        <v>208</v>
      </c>
      <c r="AL342" s="82">
        <v>-56.457477170952295</v>
      </c>
      <c r="AM342" s="82">
        <v>-7.6566662505022327</v>
      </c>
      <c r="AN342" s="82">
        <v>2.3645106102217546</v>
      </c>
      <c r="AO342" s="82">
        <v>-6.4834880932280505</v>
      </c>
      <c r="AP342" s="82">
        <v>20.994578858877119</v>
      </c>
      <c r="AQ342" s="82">
        <v>-0.18226310606919188</v>
      </c>
      <c r="AR342" s="72">
        <v>1</v>
      </c>
      <c r="AS342" s="116">
        <f t="shared" si="130"/>
        <v>6</v>
      </c>
      <c r="AT342" s="82">
        <v>2</v>
      </c>
      <c r="AU342" s="6">
        <f t="shared" si="131"/>
        <v>12</v>
      </c>
      <c r="AV342" s="111">
        <f t="shared" si="132"/>
        <v>4.6433812027462586E-2</v>
      </c>
      <c r="AW342" s="117">
        <f t="shared" si="133"/>
        <v>105</v>
      </c>
      <c r="AX342" s="111">
        <f t="shared" si="134"/>
        <v>1</v>
      </c>
      <c r="AY342" s="111">
        <f t="shared" si="135"/>
        <v>1</v>
      </c>
      <c r="AZ342" s="111">
        <f t="shared" si="136"/>
        <v>1</v>
      </c>
      <c r="BA342" s="111">
        <f t="shared" si="137"/>
        <v>4.8877696871013246E-2</v>
      </c>
      <c r="BB342" s="111">
        <f t="shared" si="138"/>
        <v>8.6157130226902467E-2</v>
      </c>
      <c r="BC342" s="111">
        <f t="shared" si="139"/>
        <v>0.2789906665661282</v>
      </c>
      <c r="BD342" s="111">
        <v>0</v>
      </c>
      <c r="BE342" s="111">
        <f t="shared" si="140"/>
        <v>0.4140254936640439</v>
      </c>
      <c r="BF342" s="6" t="str">
        <f t="shared" si="141"/>
        <v>OK</v>
      </c>
      <c r="BG342" s="16">
        <f t="shared" si="142"/>
        <v>63.625549371390676</v>
      </c>
      <c r="BH342" s="118">
        <f t="shared" si="143"/>
        <v>2.1193803644775273</v>
      </c>
      <c r="BI342" s="108">
        <f t="shared" si="144"/>
        <v>1.7627084691463373</v>
      </c>
      <c r="BJ342" s="6">
        <f t="shared" si="145"/>
        <v>1.1932540554968767</v>
      </c>
      <c r="BK342" s="108">
        <f t="shared" si="146"/>
        <v>2.1033590294675579</v>
      </c>
      <c r="BL342" s="118" cm="1">
        <f t="array" ref="BL342">IF(AO342=0,FactorPhi7121(BH342,"a"),noisuy2chieu(BK342,BH342,Data!$A$63:$M$85))</f>
        <v>0</v>
      </c>
      <c r="BM342" s="111">
        <v>1.26</v>
      </c>
      <c r="BN342" s="118">
        <f t="shared" si="147"/>
        <v>0.9791429850842549</v>
      </c>
      <c r="BO342" s="108" t="e">
        <f t="shared" si="148"/>
        <v>#DIV/0!</v>
      </c>
      <c r="BP342" s="6" t="e">
        <f t="shared" si="149"/>
        <v>#DIV/0!</v>
      </c>
      <c r="BQ342" s="16">
        <f t="shared" si="150"/>
        <v>127.25109874278135</v>
      </c>
      <c r="BR342" s="118">
        <f t="shared" si="151"/>
        <v>4.2387607289550546</v>
      </c>
      <c r="BS342" s="108">
        <f t="shared" si="152"/>
        <v>5.7079339745155355</v>
      </c>
      <c r="BT342" s="118">
        <f t="shared" si="153"/>
        <v>1.1000000000000001</v>
      </c>
      <c r="BU342" s="108">
        <f t="shared" si="154"/>
        <v>6.27872737196709</v>
      </c>
      <c r="BV342" s="6" cm="1">
        <f t="array" ref="BV342">IF(AP342=0,FactorPhi7121(BR342,"a"),noisuy2chieu(BU342,BR342,Data!$A$63:$M$85))</f>
        <v>0</v>
      </c>
      <c r="BW342" s="111">
        <v>1.26</v>
      </c>
      <c r="BX342" s="111">
        <f t="shared" si="155"/>
        <v>0.91657194033701961</v>
      </c>
      <c r="BY342" s="113" t="e">
        <f t="shared" si="156"/>
        <v>#DIV/0!</v>
      </c>
      <c r="BZ342" s="6" t="e">
        <f t="shared" si="157"/>
        <v>#DIV/0!</v>
      </c>
      <c r="CA342" s="114">
        <f t="shared" si="158"/>
        <v>127.25109874278135</v>
      </c>
      <c r="CB342" s="115" t="e">
        <f t="shared" si="159"/>
        <v>#DIV/0!</v>
      </c>
      <c r="CC342" s="6" t="e">
        <f t="shared" si="160"/>
        <v>#DIV/0!</v>
      </c>
    </row>
    <row r="343" spans="27:81">
      <c r="AA343" s="79" t="s">
        <v>175</v>
      </c>
      <c r="AB343" s="80" t="s">
        <v>200</v>
      </c>
      <c r="AC343" s="81">
        <v>5.48</v>
      </c>
      <c r="AD343" s="81">
        <v>6</v>
      </c>
      <c r="AE343" s="80">
        <v>273</v>
      </c>
      <c r="AF343" s="80">
        <v>6.35</v>
      </c>
      <c r="AG343" s="108" cm="1">
        <f t="array" ref="AG343">_xll.DCEPropSectPipe(AE343, AF343, "Area")/100</f>
        <v>53.19431074856206</v>
      </c>
      <c r="AH343" s="16" cm="1">
        <f t="array" ref="AH343">_xll.DCEPropSectPipe(AE343, AF343, "Ix")/10000</f>
        <v>4730.4733077169503</v>
      </c>
      <c r="AI343" s="16" cm="1">
        <f t="array" ref="AI343">_xll.DCEPropSectPipe(AE343, AF343, "Wx")/1000</f>
        <v>346.55482107816493</v>
      </c>
      <c r="AJ343" s="108">
        <f t="shared" si="129"/>
        <v>9.4301739777164251</v>
      </c>
      <c r="AK343" s="80" t="s">
        <v>208</v>
      </c>
      <c r="AL343" s="82">
        <v>-55.110216822220266</v>
      </c>
      <c r="AM343" s="82">
        <v>-7.6566662505022327</v>
      </c>
      <c r="AN343" s="82">
        <v>2.3645106102217546</v>
      </c>
      <c r="AO343" s="82">
        <v>-12.966976186456101</v>
      </c>
      <c r="AP343" s="82">
        <v>41.989157717754239</v>
      </c>
      <c r="AQ343" s="82">
        <v>-0.18226310606919188</v>
      </c>
      <c r="AR343" s="72">
        <v>1</v>
      </c>
      <c r="AS343" s="116">
        <f t="shared" si="130"/>
        <v>6</v>
      </c>
      <c r="AT343" s="82">
        <v>2</v>
      </c>
      <c r="AU343" s="6">
        <f t="shared" si="131"/>
        <v>12</v>
      </c>
      <c r="AV343" s="111">
        <f t="shared" si="132"/>
        <v>4.5325749164581715E-2</v>
      </c>
      <c r="AW343" s="117">
        <f t="shared" si="133"/>
        <v>105</v>
      </c>
      <c r="AX343" s="111">
        <f t="shared" si="134"/>
        <v>1</v>
      </c>
      <c r="AY343" s="111">
        <f t="shared" si="135"/>
        <v>1</v>
      </c>
      <c r="AZ343" s="111">
        <f t="shared" si="136"/>
        <v>1</v>
      </c>
      <c r="BA343" s="111">
        <f t="shared" si="137"/>
        <v>4.7711314910086025E-2</v>
      </c>
      <c r="BB343" s="111">
        <f t="shared" si="138"/>
        <v>0.17231426045380493</v>
      </c>
      <c r="BC343" s="111">
        <f t="shared" si="139"/>
        <v>0.5579813331322564</v>
      </c>
      <c r="BD343" s="111">
        <v>0</v>
      </c>
      <c r="BE343" s="111">
        <f t="shared" si="140"/>
        <v>0.7780069084961474</v>
      </c>
      <c r="BF343" s="6" t="str">
        <f t="shared" si="141"/>
        <v>OK</v>
      </c>
      <c r="BG343" s="16">
        <f t="shared" si="142"/>
        <v>63.625549371390676</v>
      </c>
      <c r="BH343" s="118">
        <f t="shared" si="143"/>
        <v>2.1193803644775273</v>
      </c>
      <c r="BI343" s="108">
        <f t="shared" si="144"/>
        <v>3.6116015829481634</v>
      </c>
      <c r="BJ343" s="6">
        <f t="shared" si="145"/>
        <v>1.1399944774208786</v>
      </c>
      <c r="BK343" s="108">
        <f t="shared" si="146"/>
        <v>4.1172058592054093</v>
      </c>
      <c r="BL343" s="118" cm="1">
        <f t="array" ref="BL343">IF(AO343=0,FactorPhi7121(BH343,"a"),noisuy2chieu(BK343,BH343,Data!$A$63:$M$85))</f>
        <v>0</v>
      </c>
      <c r="BM343" s="111">
        <v>1.26</v>
      </c>
      <c r="BN343" s="118">
        <f t="shared" si="147"/>
        <v>0.97964070178356488</v>
      </c>
      <c r="BO343" s="108" t="e">
        <f t="shared" si="148"/>
        <v>#DIV/0!</v>
      </c>
      <c r="BP343" s="6" t="e">
        <f t="shared" si="149"/>
        <v>#DIV/0!</v>
      </c>
      <c r="BQ343" s="16">
        <f t="shared" si="150"/>
        <v>127.25109874278135</v>
      </c>
      <c r="BR343" s="118">
        <f t="shared" si="151"/>
        <v>4.2387607289550546</v>
      </c>
      <c r="BS343" s="108">
        <f t="shared" si="152"/>
        <v>11.69494771174921</v>
      </c>
      <c r="BT343" s="118">
        <f t="shared" si="153"/>
        <v>1.1000000000000001</v>
      </c>
      <c r="BU343" s="108">
        <f t="shared" si="154"/>
        <v>12.864442482924131</v>
      </c>
      <c r="BV343" s="6" cm="1">
        <f t="array" ref="BV343">IF(AP343=0,FactorPhi7121(BR343,"a"),noisuy2chieu(BU343,BR343,Data!$A$63:$M$85))</f>
        <v>0</v>
      </c>
      <c r="BW343" s="111">
        <v>1.26</v>
      </c>
      <c r="BX343" s="111">
        <f t="shared" si="155"/>
        <v>0.91856280713425953</v>
      </c>
      <c r="BY343" s="113" t="e">
        <f t="shared" si="156"/>
        <v>#DIV/0!</v>
      </c>
      <c r="BZ343" s="6" t="e">
        <f t="shared" si="157"/>
        <v>#DIV/0!</v>
      </c>
      <c r="CA343" s="114">
        <f t="shared" si="158"/>
        <v>127.25109874278135</v>
      </c>
      <c r="CB343" s="115" t="e">
        <f t="shared" si="159"/>
        <v>#DIV/0!</v>
      </c>
      <c r="CC343" s="6" t="e">
        <f t="shared" si="160"/>
        <v>#DIV/0!</v>
      </c>
    </row>
    <row r="344" spans="27:81">
      <c r="AA344" s="79" t="s">
        <v>175</v>
      </c>
      <c r="AB344" s="80" t="s">
        <v>200</v>
      </c>
      <c r="AC344" s="81">
        <v>0</v>
      </c>
      <c r="AD344" s="81">
        <v>6</v>
      </c>
      <c r="AE344" s="80">
        <v>273</v>
      </c>
      <c r="AF344" s="80">
        <v>6.35</v>
      </c>
      <c r="AG344" s="108" cm="1">
        <f t="array" ref="AG344">_xll.DCEPropSectPipe(AE344, AF344, "Area")/100</f>
        <v>53.19431074856206</v>
      </c>
      <c r="AH344" s="16" cm="1">
        <f t="array" ref="AH344">_xll.DCEPropSectPipe(AE344, AF344, "Ix")/10000</f>
        <v>4730.4733077169503</v>
      </c>
      <c r="AI344" s="16" cm="1">
        <f t="array" ref="AI344">_xll.DCEPropSectPipe(AE344, AF344, "Wx")/1000</f>
        <v>346.55482107816493</v>
      </c>
      <c r="AJ344" s="108">
        <f t="shared" ref="AJ344:AJ407" si="161">SQRT(AH344/AG344)</f>
        <v>9.4301739777164251</v>
      </c>
      <c r="AK344" s="80" t="s">
        <v>209</v>
      </c>
      <c r="AL344" s="82">
        <v>18.856850409307576</v>
      </c>
      <c r="AM344" s="82">
        <v>2.095847837859623</v>
      </c>
      <c r="AN344" s="82">
        <v>-0.79831765178497938</v>
      </c>
      <c r="AO344" s="82">
        <v>0</v>
      </c>
      <c r="AP344" s="82">
        <v>0</v>
      </c>
      <c r="AQ344" s="82">
        <v>5.3100099201213204E-2</v>
      </c>
      <c r="AR344" s="72">
        <v>1</v>
      </c>
      <c r="AS344" s="116">
        <f t="shared" ref="AS344:AS407" si="162">AR344*AD344</f>
        <v>6</v>
      </c>
      <c r="AT344" s="82">
        <v>2</v>
      </c>
      <c r="AU344" s="6">
        <f t="shared" ref="AU344:AU407" si="163">AT344*AD344</f>
        <v>12</v>
      </c>
      <c r="AV344" s="111">
        <f t="shared" ref="AV344:AV407" si="164">ABS(AL344)/(AG344*$F$23)*10</f>
        <v>1.5508936835496218E-2</v>
      </c>
      <c r="AW344" s="117">
        <f t="shared" ref="AW344:AW407" si="165">IF(AV344&gt;0.1,104,105)</f>
        <v>105</v>
      </c>
      <c r="AX344" s="111">
        <f t="shared" ref="AX344:AX407" si="166">IF(AW344=104,1.5,1)</f>
        <v>1</v>
      </c>
      <c r="AY344" s="111">
        <f t="shared" ref="AY344:AY407" si="167">IF(AW344=104,1.26,1)</f>
        <v>1</v>
      </c>
      <c r="AZ344" s="111">
        <f t="shared" ref="AZ344:AZ407" si="168">IF(AW344=104,1.26,1)</f>
        <v>1</v>
      </c>
      <c r="BA344" s="111">
        <f t="shared" ref="BA344:BA407" si="169">(ABS(AL344)/(AG344*$F$23*$I$23)*10)^AX344</f>
        <v>1.6325196668943387E-2</v>
      </c>
      <c r="BB344" s="111">
        <f t="shared" ref="BB344:BB407" si="170">ABS(AO344)/(AY344*AI344*$F$23*$I$23)*1000</f>
        <v>0</v>
      </c>
      <c r="BC344" s="111">
        <f t="shared" ref="BC344:BC407" si="171">ABS(AP344)/(AZ344*AI344*$F$23*$I$23)*1000</f>
        <v>0</v>
      </c>
      <c r="BD344" s="111">
        <v>0</v>
      </c>
      <c r="BE344" s="111">
        <f t="shared" ref="BE344:BE407" si="172">BA344+BB344+BC344+BD344</f>
        <v>1.6325196668943387E-2</v>
      </c>
      <c r="BF344" s="6" t="str">
        <f t="shared" ref="BF344:BF407" si="173">IF(BE344&lt;=1,"OK","Check")</f>
        <v>OK</v>
      </c>
      <c r="BG344" s="16">
        <f t="shared" ref="BG344:BG407" si="174">AS344*100/AJ344</f>
        <v>63.625549371390676</v>
      </c>
      <c r="BH344" s="118">
        <f t="shared" ref="BH344:BH407" si="175">BG344*SQRT($F$23/$D$23)</f>
        <v>2.1193803644775273</v>
      </c>
      <c r="BI344" s="108">
        <f t="shared" ref="BI344:BI407" si="176">ABS((AO344/AL344)*100*AG344/AI344)</f>
        <v>0</v>
      </c>
      <c r="BJ344" s="6">
        <f t="shared" ref="BJ344:BJ407" si="177">IF(AND(BH344&lt;=5,BI344&lt;=5),(1.35-0.05*BI344)-0.01*(5-BI344)*BH344,1.1)</f>
        <v>1.2440309817761237</v>
      </c>
      <c r="BK344" s="108">
        <f t="shared" ref="BK344:BK407" si="178">BI344*BJ344</f>
        <v>0</v>
      </c>
      <c r="BL344" s="118" cm="1">
        <f t="array" ref="BL344">IF(AO344=0,FactorPhi7121(BH344,"a"),noisuy2chieu(BK344,BH344,Data!$A$63:$M$85))</f>
        <v>0.86214274110469236</v>
      </c>
      <c r="BM344" s="111">
        <v>1.26</v>
      </c>
      <c r="BN344" s="118">
        <f t="shared" ref="BN344:BN407" si="179">IF(BH344&lt;=1,1,1-0.1*ABS(AL344)*BH344^2/(AG344*$F$23)*10)</f>
        <v>0.99303373742577972</v>
      </c>
      <c r="BO344" s="108">
        <f t="shared" ref="BO344:BO407" si="180">ABS(AL344)/(BV344*AG344*$F$23*$I$23)*10+ABS(AO344)*1000/(BM344*BN344*AI344*$F$23*$I$23)</f>
        <v>3.8594256480897274E-2</v>
      </c>
      <c r="BP344" s="6" t="str">
        <f t="shared" ref="BP344:BP407" si="181">IF(BO344&lt;=1,"OK","Check")</f>
        <v>OK</v>
      </c>
      <c r="BQ344" s="16">
        <f t="shared" ref="BQ344:BQ407" si="182">AU344*100/AJ344</f>
        <v>127.25109874278135</v>
      </c>
      <c r="BR344" s="118">
        <f t="shared" ref="BR344:BR407" si="183">BQ344*SQRT($F$23/$D$23)</f>
        <v>4.2387607289550546</v>
      </c>
      <c r="BS344" s="108">
        <f t="shared" ref="BS344:BS407" si="184">ABS((AP344/AL344)*100*AG344/AI344)</f>
        <v>0</v>
      </c>
      <c r="BT344" s="118">
        <f t="shared" ref="BT344:BT407" si="185">IF(AND(BR344&lt;=5,BS344&lt;=5),(1.35-0.05*BS344)-0.01*(5-BS344)*BR344,1.1)</f>
        <v>1.1380619635522473</v>
      </c>
      <c r="BU344" s="108">
        <f t="shared" ref="BU344:BU407" si="186">BS344*BT344</f>
        <v>0</v>
      </c>
      <c r="BV344" s="6" cm="1">
        <f t="array" ref="BV344">IF(AP344=0,FactorPhi7121(BR344,"a"),noisuy2chieu(BU344,BR344,Data!$A$63:$M$85))</f>
        <v>0.42299549615688942</v>
      </c>
      <c r="BW344" s="111">
        <v>1.26</v>
      </c>
      <c r="BX344" s="111">
        <f t="shared" ref="BX344:BX407" si="187">IF(BR344&lt;=1,1,1-0.1*ABS(AL344)*BR344^2/(AG344*$F$23)*10)</f>
        <v>0.97213494970311876</v>
      </c>
      <c r="BY344" s="113">
        <f t="shared" ref="BY344:BY407" si="188">ABS(AL344)/(BL344*AG344*$F$23*$I$23)*10+ABS(AP344)*1000/(BW344*BX344*AI344*$F$23*$I$23)</f>
        <v>1.893560763270519E-2</v>
      </c>
      <c r="BZ344" s="6" t="str">
        <f t="shared" ref="BZ344:BZ407" si="189">IF(BY344&lt;=1,"OK","Check")</f>
        <v>OK</v>
      </c>
      <c r="CA344" s="114">
        <f t="shared" ref="CA344:CA407" si="190">MAX(BG344,BQ344)</f>
        <v>127.25109874278135</v>
      </c>
      <c r="CB344" s="115">
        <f t="shared" ref="CB344:CB407" si="191">180-60*MAX(ABS(AL344)/(BV344*AG344*$F$23*$I$23)*10,ABS(AL344)/(BL344*AG344*$F$23*$I$23)*10,0.5)</f>
        <v>150</v>
      </c>
      <c r="CC344" s="6" t="str">
        <f t="shared" ref="CC344:CC407" si="192">IF(CA344&lt;=CB344,"OK","Check")</f>
        <v>OK</v>
      </c>
    </row>
    <row r="345" spans="27:81">
      <c r="AA345" s="79" t="s">
        <v>175</v>
      </c>
      <c r="AB345" s="80" t="s">
        <v>200</v>
      </c>
      <c r="AC345" s="81">
        <v>2.74</v>
      </c>
      <c r="AD345" s="81">
        <v>6</v>
      </c>
      <c r="AE345" s="80">
        <v>273</v>
      </c>
      <c r="AF345" s="80">
        <v>6.35</v>
      </c>
      <c r="AG345" s="108" cm="1">
        <f t="array" ref="AG345">_xll.DCEPropSectPipe(AE345, AF345, "Area")/100</f>
        <v>53.19431074856206</v>
      </c>
      <c r="AH345" s="16" cm="1">
        <f t="array" ref="AH345">_xll.DCEPropSectPipe(AE345, AF345, "Ix")/10000</f>
        <v>4730.4733077169503</v>
      </c>
      <c r="AI345" s="16" cm="1">
        <f t="array" ref="AI345">_xll.DCEPropSectPipe(AE345, AF345, "Wx")/1000</f>
        <v>346.55482107816493</v>
      </c>
      <c r="AJ345" s="108">
        <f t="shared" si="161"/>
        <v>9.4301739777164251</v>
      </c>
      <c r="AK345" s="80" t="s">
        <v>209</v>
      </c>
      <c r="AL345" s="82">
        <v>20.204110758039608</v>
      </c>
      <c r="AM345" s="82">
        <v>2.095847837859623</v>
      </c>
      <c r="AN345" s="82">
        <v>-0.79831765178497938</v>
      </c>
      <c r="AO345" s="82">
        <v>2.188987001194413</v>
      </c>
      <c r="AP345" s="82">
        <v>-5.7468147714110884</v>
      </c>
      <c r="AQ345" s="82">
        <v>5.3100099201213204E-2</v>
      </c>
      <c r="AR345" s="72">
        <v>1</v>
      </c>
      <c r="AS345" s="116">
        <f t="shared" si="162"/>
        <v>6</v>
      </c>
      <c r="AT345" s="82">
        <v>2</v>
      </c>
      <c r="AU345" s="6">
        <f t="shared" si="163"/>
        <v>12</v>
      </c>
      <c r="AV345" s="111">
        <f t="shared" si="164"/>
        <v>1.6616999698377089E-2</v>
      </c>
      <c r="AW345" s="117">
        <f t="shared" si="165"/>
        <v>105</v>
      </c>
      <c r="AX345" s="111">
        <f t="shared" si="166"/>
        <v>1</v>
      </c>
      <c r="AY345" s="111">
        <f t="shared" si="167"/>
        <v>1</v>
      </c>
      <c r="AZ345" s="111">
        <f t="shared" si="168"/>
        <v>1</v>
      </c>
      <c r="BA345" s="111">
        <f t="shared" si="169"/>
        <v>1.7491578629870622E-2</v>
      </c>
      <c r="BB345" s="111">
        <f t="shared" si="170"/>
        <v>2.9088792238840016E-2</v>
      </c>
      <c r="BC345" s="111">
        <f t="shared" si="171"/>
        <v>7.636769922775212E-2</v>
      </c>
      <c r="BD345" s="111">
        <v>0</v>
      </c>
      <c r="BE345" s="111">
        <f t="shared" si="172"/>
        <v>0.12294807009646276</v>
      </c>
      <c r="BF345" s="6" t="str">
        <f t="shared" si="173"/>
        <v>OK</v>
      </c>
      <c r="BG345" s="16">
        <f t="shared" si="174"/>
        <v>63.625549371390676</v>
      </c>
      <c r="BH345" s="118">
        <f t="shared" si="175"/>
        <v>2.1193803644775273</v>
      </c>
      <c r="BI345" s="108">
        <f t="shared" si="176"/>
        <v>1.6630169783054727</v>
      </c>
      <c r="BJ345" s="6">
        <f t="shared" si="177"/>
        <v>1.1961257881569838</v>
      </c>
      <c r="BK345" s="108">
        <f t="shared" si="178"/>
        <v>1.9891774938940792</v>
      </c>
      <c r="BL345" s="118" cm="1">
        <f t="array" ref="BL345">IF(AO345=0,FactorPhi7121(BH345,"a"),noisuy2chieu(BK345,BH345,Data!$A$63:$M$85))</f>
        <v>0</v>
      </c>
      <c r="BM345" s="111">
        <v>1.26</v>
      </c>
      <c r="BN345" s="118">
        <f t="shared" si="179"/>
        <v>0.99253602072646974</v>
      </c>
      <c r="BO345" s="108" t="e">
        <f t="shared" si="180"/>
        <v>#DIV/0!</v>
      </c>
      <c r="BP345" s="6" t="e">
        <f t="shared" si="181"/>
        <v>#DIV/0!</v>
      </c>
      <c r="BQ345" s="16">
        <f t="shared" si="182"/>
        <v>127.25109874278135</v>
      </c>
      <c r="BR345" s="118">
        <f t="shared" si="183"/>
        <v>4.2387607289550546</v>
      </c>
      <c r="BS345" s="108">
        <f t="shared" si="184"/>
        <v>4.3659695241765029</v>
      </c>
      <c r="BT345" s="118">
        <f t="shared" si="185"/>
        <v>1.1048264889723616</v>
      </c>
      <c r="BU345" s="108">
        <f t="shared" si="186"/>
        <v>4.8236387803562577</v>
      </c>
      <c r="BV345" s="6" cm="1">
        <f t="array" ref="BV345">IF(AP345=0,FactorPhi7121(BR345,"a"),noisuy2chieu(BU345,BR345,Data!$A$63:$M$85))</f>
        <v>0</v>
      </c>
      <c r="BW345" s="111">
        <v>1.26</v>
      </c>
      <c r="BX345" s="111">
        <f t="shared" si="187"/>
        <v>0.97014408290587872</v>
      </c>
      <c r="BY345" s="113" t="e">
        <f t="shared" si="188"/>
        <v>#DIV/0!</v>
      </c>
      <c r="BZ345" s="6" t="e">
        <f t="shared" si="189"/>
        <v>#DIV/0!</v>
      </c>
      <c r="CA345" s="114">
        <f t="shared" si="190"/>
        <v>127.25109874278135</v>
      </c>
      <c r="CB345" s="115" t="e">
        <f t="shared" si="191"/>
        <v>#DIV/0!</v>
      </c>
      <c r="CC345" s="6" t="e">
        <f t="shared" si="192"/>
        <v>#DIV/0!</v>
      </c>
    </row>
    <row r="346" spans="27:81">
      <c r="AA346" s="79" t="s">
        <v>175</v>
      </c>
      <c r="AB346" s="80" t="s">
        <v>200</v>
      </c>
      <c r="AC346" s="81">
        <v>5.48</v>
      </c>
      <c r="AD346" s="81">
        <v>6</v>
      </c>
      <c r="AE346" s="80">
        <v>273</v>
      </c>
      <c r="AF346" s="80">
        <v>6.35</v>
      </c>
      <c r="AG346" s="108" cm="1">
        <f t="array" ref="AG346">_xll.DCEPropSectPipe(AE346, AF346, "Area")/100</f>
        <v>53.19431074856206</v>
      </c>
      <c r="AH346" s="16" cm="1">
        <f t="array" ref="AH346">_xll.DCEPropSectPipe(AE346, AF346, "Ix")/10000</f>
        <v>4730.4733077169503</v>
      </c>
      <c r="AI346" s="16" cm="1">
        <f t="array" ref="AI346">_xll.DCEPropSectPipe(AE346, AF346, "Wx")/1000</f>
        <v>346.55482107816493</v>
      </c>
      <c r="AJ346" s="108">
        <f t="shared" si="161"/>
        <v>9.4301739777164251</v>
      </c>
      <c r="AK346" s="80" t="s">
        <v>209</v>
      </c>
      <c r="AL346" s="82">
        <v>21.551371106771644</v>
      </c>
      <c r="AM346" s="82">
        <v>2.095847837859623</v>
      </c>
      <c r="AN346" s="82">
        <v>-0.79831765178497938</v>
      </c>
      <c r="AO346" s="82">
        <v>4.3779740023888261</v>
      </c>
      <c r="AP346" s="82">
        <v>-11.493629542822177</v>
      </c>
      <c r="AQ346" s="82">
        <v>5.3100099201213204E-2</v>
      </c>
      <c r="AR346" s="72">
        <v>1</v>
      </c>
      <c r="AS346" s="116">
        <f t="shared" si="162"/>
        <v>6</v>
      </c>
      <c r="AT346" s="82">
        <v>2</v>
      </c>
      <c r="AU346" s="6">
        <f t="shared" si="163"/>
        <v>12</v>
      </c>
      <c r="AV346" s="111">
        <f t="shared" si="164"/>
        <v>1.7725062561257963E-2</v>
      </c>
      <c r="AW346" s="117">
        <f t="shared" si="165"/>
        <v>105</v>
      </c>
      <c r="AX346" s="111">
        <f t="shared" si="166"/>
        <v>1</v>
      </c>
      <c r="AY346" s="111">
        <f t="shared" si="167"/>
        <v>1</v>
      </c>
      <c r="AZ346" s="111">
        <f t="shared" si="168"/>
        <v>1</v>
      </c>
      <c r="BA346" s="111">
        <f t="shared" si="169"/>
        <v>1.865796059079786E-2</v>
      </c>
      <c r="BB346" s="111">
        <f t="shared" si="170"/>
        <v>5.8177584477680032E-2</v>
      </c>
      <c r="BC346" s="111">
        <f t="shared" si="171"/>
        <v>0.15273539845550424</v>
      </c>
      <c r="BD346" s="111">
        <v>0</v>
      </c>
      <c r="BE346" s="111">
        <f t="shared" si="172"/>
        <v>0.22957094352398213</v>
      </c>
      <c r="BF346" s="6" t="str">
        <f t="shared" si="173"/>
        <v>OK</v>
      </c>
      <c r="BG346" s="16">
        <f t="shared" si="174"/>
        <v>63.625549371390676</v>
      </c>
      <c r="BH346" s="118">
        <f t="shared" si="175"/>
        <v>2.1193803644775273</v>
      </c>
      <c r="BI346" s="108">
        <f t="shared" si="176"/>
        <v>3.1181105884837872</v>
      </c>
      <c r="BJ346" s="6">
        <f t="shared" si="177"/>
        <v>1.1542100759069545</v>
      </c>
      <c r="BK346" s="108">
        <f t="shared" si="178"/>
        <v>3.5989546590201504</v>
      </c>
      <c r="BL346" s="118" cm="1">
        <f t="array" ref="BL346">IF(AO346=0,FactorPhi7121(BH346,"a"),noisuy2chieu(BK346,BH346,Data!$A$63:$M$85))</f>
        <v>0</v>
      </c>
      <c r="BM346" s="111">
        <v>1.26</v>
      </c>
      <c r="BN346" s="118">
        <f t="shared" si="179"/>
        <v>0.99203830402715965</v>
      </c>
      <c r="BO346" s="108" t="e">
        <f t="shared" si="180"/>
        <v>#DIV/0!</v>
      </c>
      <c r="BP346" s="6" t="e">
        <f t="shared" si="181"/>
        <v>#DIV/0!</v>
      </c>
      <c r="BQ346" s="16">
        <f t="shared" si="182"/>
        <v>127.25109874278135</v>
      </c>
      <c r="BR346" s="118">
        <f t="shared" si="183"/>
        <v>4.2387607289550546</v>
      </c>
      <c r="BS346" s="108">
        <f t="shared" si="184"/>
        <v>8.1860714472102405</v>
      </c>
      <c r="BT346" s="118">
        <f t="shared" si="185"/>
        <v>1.1000000000000001</v>
      </c>
      <c r="BU346" s="108">
        <f t="shared" si="186"/>
        <v>9.0046785919312651</v>
      </c>
      <c r="BV346" s="6" cm="1">
        <f t="array" ref="BV346">IF(AP346=0,FactorPhi7121(BR346,"a"),noisuy2chieu(BU346,BR346,Data!$A$63:$M$85))</f>
        <v>0</v>
      </c>
      <c r="BW346" s="111">
        <v>1.26</v>
      </c>
      <c r="BX346" s="111">
        <f t="shared" si="187"/>
        <v>0.9681532161086388</v>
      </c>
      <c r="BY346" s="113" t="e">
        <f t="shared" si="188"/>
        <v>#DIV/0!</v>
      </c>
      <c r="BZ346" s="6" t="e">
        <f t="shared" si="189"/>
        <v>#DIV/0!</v>
      </c>
      <c r="CA346" s="114">
        <f t="shared" si="190"/>
        <v>127.25109874278135</v>
      </c>
      <c r="CB346" s="115" t="e">
        <f t="shared" si="191"/>
        <v>#DIV/0!</v>
      </c>
      <c r="CC346" s="6" t="e">
        <f t="shared" si="192"/>
        <v>#DIV/0!</v>
      </c>
    </row>
    <row r="347" spans="27:81">
      <c r="AA347" s="79" t="s">
        <v>175</v>
      </c>
      <c r="AB347" s="80" t="s">
        <v>200</v>
      </c>
      <c r="AC347" s="81">
        <v>0</v>
      </c>
      <c r="AD347" s="81">
        <v>6</v>
      </c>
      <c r="AE347" s="80">
        <v>273</v>
      </c>
      <c r="AF347" s="80">
        <v>6.35</v>
      </c>
      <c r="AG347" s="108" cm="1">
        <f t="array" ref="AG347">_xll.DCEPropSectPipe(AE347, AF347, "Area")/100</f>
        <v>53.19431074856206</v>
      </c>
      <c r="AH347" s="16" cm="1">
        <f t="array" ref="AH347">_xll.DCEPropSectPipe(AE347, AF347, "Ix")/10000</f>
        <v>4730.4733077169503</v>
      </c>
      <c r="AI347" s="16" cm="1">
        <f t="array" ref="AI347">_xll.DCEPropSectPipe(AE347, AF347, "Wx")/1000</f>
        <v>346.55482107816493</v>
      </c>
      <c r="AJ347" s="108">
        <f t="shared" si="161"/>
        <v>9.4301739777164251</v>
      </c>
      <c r="AK347" s="80" t="s">
        <v>210</v>
      </c>
      <c r="AL347" s="82">
        <v>2.0972783415252159</v>
      </c>
      <c r="AM347" s="82">
        <v>2.0998015738577753</v>
      </c>
      <c r="AN347" s="82">
        <v>-0.61762519166089958</v>
      </c>
      <c r="AO347" s="82">
        <v>0</v>
      </c>
      <c r="AP347" s="82">
        <v>0</v>
      </c>
      <c r="AQ347" s="82">
        <v>9.7797968286056955E-2</v>
      </c>
      <c r="AR347" s="72">
        <v>1</v>
      </c>
      <c r="AS347" s="116">
        <f t="shared" si="162"/>
        <v>6</v>
      </c>
      <c r="AT347" s="82">
        <v>2</v>
      </c>
      <c r="AU347" s="6">
        <f t="shared" si="163"/>
        <v>12</v>
      </c>
      <c r="AV347" s="111">
        <f t="shared" si="164"/>
        <v>1.7249199425750344E-3</v>
      </c>
      <c r="AW347" s="117">
        <f t="shared" si="165"/>
        <v>105</v>
      </c>
      <c r="AX347" s="111">
        <f t="shared" si="166"/>
        <v>1</v>
      </c>
      <c r="AY347" s="111">
        <f t="shared" si="167"/>
        <v>1</v>
      </c>
      <c r="AZ347" s="111">
        <f t="shared" si="168"/>
        <v>1</v>
      </c>
      <c r="BA347" s="111">
        <f t="shared" si="169"/>
        <v>1.8157052027105627E-3</v>
      </c>
      <c r="BB347" s="111">
        <f t="shared" si="170"/>
        <v>0</v>
      </c>
      <c r="BC347" s="111">
        <f t="shared" si="171"/>
        <v>0</v>
      </c>
      <c r="BD347" s="111">
        <v>0</v>
      </c>
      <c r="BE347" s="111">
        <f t="shared" si="172"/>
        <v>1.8157052027105627E-3</v>
      </c>
      <c r="BF347" s="6" t="str">
        <f t="shared" si="173"/>
        <v>OK</v>
      </c>
      <c r="BG347" s="16">
        <f t="shared" si="174"/>
        <v>63.625549371390676</v>
      </c>
      <c r="BH347" s="118">
        <f t="shared" si="175"/>
        <v>2.1193803644775273</v>
      </c>
      <c r="BI347" s="108">
        <f t="shared" si="176"/>
        <v>0</v>
      </c>
      <c r="BJ347" s="6">
        <f t="shared" si="177"/>
        <v>1.2440309817761237</v>
      </c>
      <c r="BK347" s="108">
        <f t="shared" si="178"/>
        <v>0</v>
      </c>
      <c r="BL347" s="118" cm="1">
        <f t="array" ref="BL347">IF(AO347=0,FactorPhi7121(BH347,"a"),noisuy2chieu(BK347,BH347,Data!$A$63:$M$85))</f>
        <v>0.86214274110469236</v>
      </c>
      <c r="BM347" s="111">
        <v>1.26</v>
      </c>
      <c r="BN347" s="118">
        <f t="shared" si="179"/>
        <v>0.9992252050951691</v>
      </c>
      <c r="BO347" s="108">
        <f t="shared" si="180"/>
        <v>4.2924929915497635E-3</v>
      </c>
      <c r="BP347" s="6" t="str">
        <f t="shared" si="181"/>
        <v>OK</v>
      </c>
      <c r="BQ347" s="16">
        <f t="shared" si="182"/>
        <v>127.25109874278135</v>
      </c>
      <c r="BR347" s="118">
        <f t="shared" si="183"/>
        <v>4.2387607289550546</v>
      </c>
      <c r="BS347" s="108">
        <f t="shared" si="184"/>
        <v>0</v>
      </c>
      <c r="BT347" s="118">
        <f t="shared" si="185"/>
        <v>1.1380619635522473</v>
      </c>
      <c r="BU347" s="108">
        <f t="shared" si="186"/>
        <v>0</v>
      </c>
      <c r="BV347" s="6" cm="1">
        <f t="array" ref="BV347">IF(AP347=0,FactorPhi7121(BR347,"a"),noisuy2chieu(BU347,BR347,Data!$A$63:$M$85))</f>
        <v>0.42299549615688942</v>
      </c>
      <c r="BW347" s="111">
        <v>1.26</v>
      </c>
      <c r="BX347" s="111">
        <f t="shared" si="187"/>
        <v>0.9969008203806764</v>
      </c>
      <c r="BY347" s="113">
        <f t="shared" si="188"/>
        <v>2.1060378011001275E-3</v>
      </c>
      <c r="BZ347" s="6" t="str">
        <f t="shared" si="189"/>
        <v>OK</v>
      </c>
      <c r="CA347" s="114">
        <f t="shared" si="190"/>
        <v>127.25109874278135</v>
      </c>
      <c r="CB347" s="115">
        <f t="shared" si="191"/>
        <v>150</v>
      </c>
      <c r="CC347" s="6" t="str">
        <f t="shared" si="192"/>
        <v>OK</v>
      </c>
    </row>
    <row r="348" spans="27:81">
      <c r="AA348" s="79" t="s">
        <v>175</v>
      </c>
      <c r="AB348" s="80" t="s">
        <v>200</v>
      </c>
      <c r="AC348" s="81">
        <v>2.74</v>
      </c>
      <c r="AD348" s="81">
        <v>6</v>
      </c>
      <c r="AE348" s="80">
        <v>273</v>
      </c>
      <c r="AF348" s="80">
        <v>6.35</v>
      </c>
      <c r="AG348" s="108" cm="1">
        <f t="array" ref="AG348">_xll.DCEPropSectPipe(AE348, AF348, "Area")/100</f>
        <v>53.19431074856206</v>
      </c>
      <c r="AH348" s="16" cm="1">
        <f t="array" ref="AH348">_xll.DCEPropSectPipe(AE348, AF348, "Ix")/10000</f>
        <v>4730.4733077169503</v>
      </c>
      <c r="AI348" s="16" cm="1">
        <f t="array" ref="AI348">_xll.DCEPropSectPipe(AE348, AF348, "Wx")/1000</f>
        <v>346.55482107816493</v>
      </c>
      <c r="AJ348" s="108">
        <f t="shared" si="161"/>
        <v>9.4301739777164251</v>
      </c>
      <c r="AK348" s="80" t="s">
        <v>210</v>
      </c>
      <c r="AL348" s="82">
        <v>3.4445386902572492</v>
      </c>
      <c r="AM348" s="82">
        <v>2.0998015738577753</v>
      </c>
      <c r="AN348" s="82">
        <v>-0.61762519166089958</v>
      </c>
      <c r="AO348" s="82">
        <v>1.6935282755341869</v>
      </c>
      <c r="AP348" s="82">
        <v>-5.7576559155180203</v>
      </c>
      <c r="AQ348" s="82">
        <v>9.7797968286056955E-2</v>
      </c>
      <c r="AR348" s="72">
        <v>1</v>
      </c>
      <c r="AS348" s="116">
        <f t="shared" si="162"/>
        <v>6</v>
      </c>
      <c r="AT348" s="82">
        <v>2</v>
      </c>
      <c r="AU348" s="6">
        <f t="shared" si="163"/>
        <v>12</v>
      </c>
      <c r="AV348" s="111">
        <f t="shared" si="164"/>
        <v>2.8329828054559072E-3</v>
      </c>
      <c r="AW348" s="117">
        <f t="shared" si="165"/>
        <v>105</v>
      </c>
      <c r="AX348" s="111">
        <f t="shared" si="166"/>
        <v>1</v>
      </c>
      <c r="AY348" s="111">
        <f t="shared" si="167"/>
        <v>1</v>
      </c>
      <c r="AZ348" s="111">
        <f t="shared" si="168"/>
        <v>1</v>
      </c>
      <c r="BA348" s="111">
        <f t="shared" si="169"/>
        <v>2.9820871636377978E-3</v>
      </c>
      <c r="BB348" s="111">
        <f t="shared" si="170"/>
        <v>2.2504789718136728E-2</v>
      </c>
      <c r="BC348" s="111">
        <f t="shared" si="171"/>
        <v>7.65117639427942E-2</v>
      </c>
      <c r="BD348" s="111">
        <v>0</v>
      </c>
      <c r="BE348" s="111">
        <f t="shared" si="172"/>
        <v>0.10199864082456872</v>
      </c>
      <c r="BF348" s="6" t="str">
        <f t="shared" si="173"/>
        <v>OK</v>
      </c>
      <c r="BG348" s="16">
        <f t="shared" si="174"/>
        <v>63.625549371390676</v>
      </c>
      <c r="BH348" s="118">
        <f t="shared" si="175"/>
        <v>2.1193803644775273</v>
      </c>
      <c r="BI348" s="108">
        <f t="shared" si="176"/>
        <v>7.546657251521621</v>
      </c>
      <c r="BJ348" s="6">
        <f t="shared" si="177"/>
        <v>1.1000000000000001</v>
      </c>
      <c r="BK348" s="108">
        <f t="shared" si="178"/>
        <v>8.3013229766737844</v>
      </c>
      <c r="BL348" s="118" cm="1">
        <f t="array" ref="BL348">IF(AO348=0,FactorPhi7121(BH348,"a"),noisuy2chieu(BK348,BH348,Data!$A$63:$M$85))</f>
        <v>0</v>
      </c>
      <c r="BM348" s="111">
        <v>1.26</v>
      </c>
      <c r="BN348" s="118">
        <f t="shared" si="179"/>
        <v>0.99872748839585912</v>
      </c>
      <c r="BO348" s="108" t="e">
        <f t="shared" si="180"/>
        <v>#DIV/0!</v>
      </c>
      <c r="BP348" s="6" t="e">
        <f t="shared" si="181"/>
        <v>#DIV/0!</v>
      </c>
      <c r="BQ348" s="16">
        <f t="shared" si="182"/>
        <v>127.25109874278135</v>
      </c>
      <c r="BR348" s="118">
        <f t="shared" si="183"/>
        <v>4.2387607289550546</v>
      </c>
      <c r="BS348" s="108">
        <f t="shared" si="184"/>
        <v>25.657118569753273</v>
      </c>
      <c r="BT348" s="118">
        <f t="shared" si="185"/>
        <v>1.1000000000000001</v>
      </c>
      <c r="BU348" s="108">
        <f t="shared" si="186"/>
        <v>28.222830426728603</v>
      </c>
      <c r="BV348" s="6" cm="1">
        <f t="array" ref="BV348">IF(AP348=0,FactorPhi7121(BR348,"a"),noisuy2chieu(BU348,BR348,Data!$A$63:$M$85))</f>
        <v>0</v>
      </c>
      <c r="BW348" s="111">
        <v>1.26</v>
      </c>
      <c r="BX348" s="111">
        <f t="shared" si="187"/>
        <v>0.99490995358343637</v>
      </c>
      <c r="BY348" s="113" t="e">
        <f t="shared" si="188"/>
        <v>#DIV/0!</v>
      </c>
      <c r="BZ348" s="6" t="e">
        <f t="shared" si="189"/>
        <v>#DIV/0!</v>
      </c>
      <c r="CA348" s="114">
        <f t="shared" si="190"/>
        <v>127.25109874278135</v>
      </c>
      <c r="CB348" s="115" t="e">
        <f t="shared" si="191"/>
        <v>#DIV/0!</v>
      </c>
      <c r="CC348" s="6" t="e">
        <f t="shared" si="192"/>
        <v>#DIV/0!</v>
      </c>
    </row>
    <row r="349" spans="27:81">
      <c r="AA349" s="79" t="s">
        <v>175</v>
      </c>
      <c r="AB349" s="80" t="s">
        <v>200</v>
      </c>
      <c r="AC349" s="81">
        <v>5.48</v>
      </c>
      <c r="AD349" s="81">
        <v>6</v>
      </c>
      <c r="AE349" s="80">
        <v>273</v>
      </c>
      <c r="AF349" s="80">
        <v>6.35</v>
      </c>
      <c r="AG349" s="108" cm="1">
        <f t="array" ref="AG349">_xll.DCEPropSectPipe(AE349, AF349, "Area")/100</f>
        <v>53.19431074856206</v>
      </c>
      <c r="AH349" s="16" cm="1">
        <f t="array" ref="AH349">_xll.DCEPropSectPipe(AE349, AF349, "Ix")/10000</f>
        <v>4730.4733077169503</v>
      </c>
      <c r="AI349" s="16" cm="1">
        <f t="array" ref="AI349">_xll.DCEPropSectPipe(AE349, AF349, "Wx")/1000</f>
        <v>346.55482107816493</v>
      </c>
      <c r="AJ349" s="108">
        <f t="shared" si="161"/>
        <v>9.4301739777164251</v>
      </c>
      <c r="AK349" s="80" t="s">
        <v>210</v>
      </c>
      <c r="AL349" s="82">
        <v>4.7917990389892831</v>
      </c>
      <c r="AM349" s="82">
        <v>2.0998015738577753</v>
      </c>
      <c r="AN349" s="82">
        <v>-0.61762519166089958</v>
      </c>
      <c r="AO349" s="82">
        <v>3.3870565510683739</v>
      </c>
      <c r="AP349" s="82">
        <v>-11.515311831036041</v>
      </c>
      <c r="AQ349" s="82">
        <v>9.7797968286056955E-2</v>
      </c>
      <c r="AR349" s="72">
        <v>1</v>
      </c>
      <c r="AS349" s="116">
        <f t="shared" si="162"/>
        <v>6</v>
      </c>
      <c r="AT349" s="82">
        <v>2</v>
      </c>
      <c r="AU349" s="6">
        <f t="shared" si="163"/>
        <v>12</v>
      </c>
      <c r="AV349" s="111">
        <f t="shared" si="164"/>
        <v>3.9410456683367807E-3</v>
      </c>
      <c r="AW349" s="117">
        <f t="shared" si="165"/>
        <v>105</v>
      </c>
      <c r="AX349" s="111">
        <f t="shared" si="166"/>
        <v>1</v>
      </c>
      <c r="AY349" s="111">
        <f t="shared" si="167"/>
        <v>1</v>
      </c>
      <c r="AZ349" s="111">
        <f t="shared" si="168"/>
        <v>1</v>
      </c>
      <c r="BA349" s="111">
        <f t="shared" si="169"/>
        <v>4.1484691245650329E-3</v>
      </c>
      <c r="BB349" s="111">
        <f t="shared" si="170"/>
        <v>4.5009579436273456E-2</v>
      </c>
      <c r="BC349" s="111">
        <f t="shared" si="171"/>
        <v>0.1530235278855884</v>
      </c>
      <c r="BD349" s="111">
        <v>0</v>
      </c>
      <c r="BE349" s="111">
        <f t="shared" si="172"/>
        <v>0.2021815764464269</v>
      </c>
      <c r="BF349" s="6" t="str">
        <f t="shared" si="173"/>
        <v>OK</v>
      </c>
      <c r="BG349" s="16">
        <f t="shared" si="174"/>
        <v>63.625549371390676</v>
      </c>
      <c r="BH349" s="118">
        <f t="shared" si="175"/>
        <v>2.1193803644775273</v>
      </c>
      <c r="BI349" s="108">
        <f t="shared" si="176"/>
        <v>10.849684084606201</v>
      </c>
      <c r="BJ349" s="6">
        <f t="shared" si="177"/>
        <v>1.1000000000000001</v>
      </c>
      <c r="BK349" s="108">
        <f t="shared" si="178"/>
        <v>11.934652493066823</v>
      </c>
      <c r="BL349" s="118" cm="1">
        <f t="array" ref="BL349">IF(AO349=0,FactorPhi7121(BH349,"a"),noisuy2chieu(BK349,BH349,Data!$A$63:$M$85))</f>
        <v>0</v>
      </c>
      <c r="BM349" s="111">
        <v>1.26</v>
      </c>
      <c r="BN349" s="118">
        <f t="shared" si="179"/>
        <v>0.99822977169654914</v>
      </c>
      <c r="BO349" s="108" t="e">
        <f t="shared" si="180"/>
        <v>#DIV/0!</v>
      </c>
      <c r="BP349" s="6" t="e">
        <f t="shared" si="181"/>
        <v>#DIV/0!</v>
      </c>
      <c r="BQ349" s="16">
        <f t="shared" si="182"/>
        <v>127.25109874278135</v>
      </c>
      <c r="BR349" s="118">
        <f t="shared" si="183"/>
        <v>4.2387607289550546</v>
      </c>
      <c r="BS349" s="108">
        <f t="shared" si="184"/>
        <v>36.886746240791403</v>
      </c>
      <c r="BT349" s="118">
        <f t="shared" si="185"/>
        <v>1.1000000000000001</v>
      </c>
      <c r="BU349" s="108">
        <f t="shared" si="186"/>
        <v>40.575420864870544</v>
      </c>
      <c r="BV349" s="6" cm="1">
        <f t="array" ref="BV349">IF(AP349=0,FactorPhi7121(BR349,"a"),noisuy2chieu(BU349,BR349,Data!$A$63:$M$85))</f>
        <v>0</v>
      </c>
      <c r="BW349" s="111">
        <v>1.26</v>
      </c>
      <c r="BX349" s="111">
        <f t="shared" si="187"/>
        <v>0.99291908678619645</v>
      </c>
      <c r="BY349" s="113" t="e">
        <f t="shared" si="188"/>
        <v>#DIV/0!</v>
      </c>
      <c r="BZ349" s="6" t="e">
        <f t="shared" si="189"/>
        <v>#DIV/0!</v>
      </c>
      <c r="CA349" s="114">
        <f t="shared" si="190"/>
        <v>127.25109874278135</v>
      </c>
      <c r="CB349" s="115" t="e">
        <f t="shared" si="191"/>
        <v>#DIV/0!</v>
      </c>
      <c r="CC349" s="6" t="e">
        <f t="shared" si="192"/>
        <v>#DIV/0!</v>
      </c>
    </row>
    <row r="350" spans="27:81">
      <c r="AA350" s="79" t="s">
        <v>175</v>
      </c>
      <c r="AB350" s="80" t="s">
        <v>200</v>
      </c>
      <c r="AC350" s="81">
        <v>0</v>
      </c>
      <c r="AD350" s="81">
        <v>6</v>
      </c>
      <c r="AE350" s="80">
        <v>273</v>
      </c>
      <c r="AF350" s="80">
        <v>6.35</v>
      </c>
      <c r="AG350" s="108" cm="1">
        <f t="array" ref="AG350">_xll.DCEPropSectPipe(AE350, AF350, "Area")/100</f>
        <v>53.19431074856206</v>
      </c>
      <c r="AH350" s="16" cm="1">
        <f t="array" ref="AH350">_xll.DCEPropSectPipe(AE350, AF350, "Ix")/10000</f>
        <v>4730.4733077169503</v>
      </c>
      <c r="AI350" s="16" cm="1">
        <f t="array" ref="AI350">_xll.DCEPropSectPipe(AE350, AF350, "Wx")/1000</f>
        <v>346.55482107816493</v>
      </c>
      <c r="AJ350" s="108">
        <f t="shared" si="161"/>
        <v>9.4301739777164251</v>
      </c>
      <c r="AK350" s="80" t="s">
        <v>211</v>
      </c>
      <c r="AL350" s="82">
        <v>-88.334748573850504</v>
      </c>
      <c r="AM350" s="82">
        <v>-9.7163357070699909</v>
      </c>
      <c r="AN350" s="82">
        <v>3.1878901809060403</v>
      </c>
      <c r="AO350" s="82">
        <v>0</v>
      </c>
      <c r="AP350" s="82">
        <v>0</v>
      </c>
      <c r="AQ350" s="82">
        <v>-0.19387890423714138</v>
      </c>
      <c r="AR350" s="72">
        <v>1</v>
      </c>
      <c r="AS350" s="116">
        <f t="shared" si="162"/>
        <v>6</v>
      </c>
      <c r="AT350" s="82">
        <v>2</v>
      </c>
      <c r="AU350" s="6">
        <f t="shared" si="163"/>
        <v>12</v>
      </c>
      <c r="AV350" s="111">
        <f t="shared" si="164"/>
        <v>7.265147711704166E-2</v>
      </c>
      <c r="AW350" s="117">
        <f t="shared" si="165"/>
        <v>105</v>
      </c>
      <c r="AX350" s="111">
        <f t="shared" si="166"/>
        <v>1</v>
      </c>
      <c r="AY350" s="111">
        <f t="shared" si="167"/>
        <v>1</v>
      </c>
      <c r="AZ350" s="111">
        <f t="shared" si="168"/>
        <v>1</v>
      </c>
      <c r="BA350" s="111">
        <f t="shared" si="169"/>
        <v>7.6475239070570175E-2</v>
      </c>
      <c r="BB350" s="111">
        <f t="shared" si="170"/>
        <v>0</v>
      </c>
      <c r="BC350" s="111">
        <f t="shared" si="171"/>
        <v>0</v>
      </c>
      <c r="BD350" s="111">
        <v>0</v>
      </c>
      <c r="BE350" s="111">
        <f t="shared" si="172"/>
        <v>7.6475239070570175E-2</v>
      </c>
      <c r="BF350" s="6" t="str">
        <f t="shared" si="173"/>
        <v>OK</v>
      </c>
      <c r="BG350" s="16">
        <f t="shared" si="174"/>
        <v>63.625549371390676</v>
      </c>
      <c r="BH350" s="118">
        <f t="shared" si="175"/>
        <v>2.1193803644775273</v>
      </c>
      <c r="BI350" s="108">
        <f t="shared" si="176"/>
        <v>0</v>
      </c>
      <c r="BJ350" s="6">
        <f t="shared" si="177"/>
        <v>1.2440309817761237</v>
      </c>
      <c r="BK350" s="108">
        <f t="shared" si="178"/>
        <v>0</v>
      </c>
      <c r="BL350" s="118" cm="1">
        <f t="array" ref="BL350">IF(AO350=0,FactorPhi7121(BH350,"a"),noisuy2chieu(BK350,BH350,Data!$A$63:$M$85))</f>
        <v>0.86214274110469236</v>
      </c>
      <c r="BM350" s="111">
        <v>1.26</v>
      </c>
      <c r="BN350" s="118">
        <f t="shared" si="179"/>
        <v>0.96736660472793279</v>
      </c>
      <c r="BO350" s="108">
        <f t="shared" si="180"/>
        <v>0.18079445234141556</v>
      </c>
      <c r="BP350" s="6" t="str">
        <f t="shared" si="181"/>
        <v>OK</v>
      </c>
      <c r="BQ350" s="16">
        <f t="shared" si="182"/>
        <v>127.25109874278135</v>
      </c>
      <c r="BR350" s="118">
        <f t="shared" si="183"/>
        <v>4.2387607289550546</v>
      </c>
      <c r="BS350" s="108">
        <f t="shared" si="184"/>
        <v>0</v>
      </c>
      <c r="BT350" s="118">
        <f t="shared" si="185"/>
        <v>1.1380619635522473</v>
      </c>
      <c r="BU350" s="108">
        <f t="shared" si="186"/>
        <v>0</v>
      </c>
      <c r="BV350" s="6" cm="1">
        <f t="array" ref="BV350">IF(AP350=0,FactorPhi7121(BR350,"a"),noisuy2chieu(BU350,BR350,Data!$A$63:$M$85))</f>
        <v>0.42299549615688942</v>
      </c>
      <c r="BW350" s="111">
        <v>1.26</v>
      </c>
      <c r="BX350" s="111">
        <f t="shared" si="187"/>
        <v>0.86946641891173138</v>
      </c>
      <c r="BY350" s="113">
        <f t="shared" si="188"/>
        <v>8.8703686088663108E-2</v>
      </c>
      <c r="BZ350" s="6" t="str">
        <f t="shared" si="189"/>
        <v>OK</v>
      </c>
      <c r="CA350" s="114">
        <f t="shared" si="190"/>
        <v>127.25109874278135</v>
      </c>
      <c r="CB350" s="115">
        <f t="shared" si="191"/>
        <v>150</v>
      </c>
      <c r="CC350" s="6" t="str">
        <f t="shared" si="192"/>
        <v>OK</v>
      </c>
    </row>
    <row r="351" spans="27:81">
      <c r="AA351" s="79" t="s">
        <v>175</v>
      </c>
      <c r="AB351" s="80" t="s">
        <v>200</v>
      </c>
      <c r="AC351" s="81">
        <v>2.74</v>
      </c>
      <c r="AD351" s="81">
        <v>6</v>
      </c>
      <c r="AE351" s="80">
        <v>273</v>
      </c>
      <c r="AF351" s="80">
        <v>6.35</v>
      </c>
      <c r="AG351" s="108" cm="1">
        <f t="array" ref="AG351">_xll.DCEPropSectPipe(AE351, AF351, "Area")/100</f>
        <v>53.19431074856206</v>
      </c>
      <c r="AH351" s="16" cm="1">
        <f t="array" ref="AH351">_xll.DCEPropSectPipe(AE351, AF351, "Ix")/10000</f>
        <v>4730.4733077169503</v>
      </c>
      <c r="AI351" s="16" cm="1">
        <f t="array" ref="AI351">_xll.DCEPropSectPipe(AE351, AF351, "Wx")/1000</f>
        <v>346.55482107816493</v>
      </c>
      <c r="AJ351" s="108">
        <f t="shared" si="161"/>
        <v>9.4301739777164251</v>
      </c>
      <c r="AK351" s="80" t="s">
        <v>211</v>
      </c>
      <c r="AL351" s="82">
        <v>-86.987488225118469</v>
      </c>
      <c r="AM351" s="82">
        <v>-9.7163357070699909</v>
      </c>
      <c r="AN351" s="82">
        <v>3.1878901809060403</v>
      </c>
      <c r="AO351" s="82">
        <v>-8.7411948760443607</v>
      </c>
      <c r="AP351" s="82">
        <v>26.642192508785911</v>
      </c>
      <c r="AQ351" s="82">
        <v>-0.19387890423714138</v>
      </c>
      <c r="AR351" s="72">
        <v>1</v>
      </c>
      <c r="AS351" s="116">
        <f t="shared" si="162"/>
        <v>6</v>
      </c>
      <c r="AT351" s="82">
        <v>2</v>
      </c>
      <c r="AU351" s="6">
        <f t="shared" si="163"/>
        <v>12</v>
      </c>
      <c r="AV351" s="111">
        <f t="shared" si="164"/>
        <v>7.1543414254160789E-2</v>
      </c>
      <c r="AW351" s="117">
        <f t="shared" si="165"/>
        <v>105</v>
      </c>
      <c r="AX351" s="111">
        <f t="shared" si="166"/>
        <v>1</v>
      </c>
      <c r="AY351" s="111">
        <f t="shared" si="167"/>
        <v>1</v>
      </c>
      <c r="AZ351" s="111">
        <f t="shared" si="168"/>
        <v>1</v>
      </c>
      <c r="BA351" s="111">
        <f t="shared" si="169"/>
        <v>7.530885710964294E-2</v>
      </c>
      <c r="BB351" s="111">
        <f t="shared" si="170"/>
        <v>0.11615911904900547</v>
      </c>
      <c r="BC351" s="111">
        <f t="shared" si="171"/>
        <v>0.3540401118199345</v>
      </c>
      <c r="BD351" s="111">
        <v>0</v>
      </c>
      <c r="BE351" s="111">
        <f t="shared" si="172"/>
        <v>0.54550808797858297</v>
      </c>
      <c r="BF351" s="6" t="str">
        <f t="shared" si="173"/>
        <v>OK</v>
      </c>
      <c r="BG351" s="16">
        <f t="shared" si="174"/>
        <v>63.625549371390676</v>
      </c>
      <c r="BH351" s="118">
        <f t="shared" si="175"/>
        <v>2.1193803644775273</v>
      </c>
      <c r="BI351" s="108">
        <f t="shared" si="176"/>
        <v>1.5424363548617956</v>
      </c>
      <c r="BJ351" s="6">
        <f t="shared" si="177"/>
        <v>1.1995992572725378</v>
      </c>
      <c r="BK351" s="108">
        <f t="shared" si="178"/>
        <v>1.8503055056823705</v>
      </c>
      <c r="BL351" s="118" cm="1">
        <f t="array" ref="BL351">IF(AO351=0,FactorPhi7121(BH351,"a"),noisuy2chieu(BK351,BH351,Data!$A$63:$M$85))</f>
        <v>0</v>
      </c>
      <c r="BM351" s="111">
        <v>1.26</v>
      </c>
      <c r="BN351" s="118">
        <f t="shared" si="179"/>
        <v>0.96786432142724288</v>
      </c>
      <c r="BO351" s="108" t="e">
        <f t="shared" si="180"/>
        <v>#DIV/0!</v>
      </c>
      <c r="BP351" s="6" t="e">
        <f t="shared" si="181"/>
        <v>#DIV/0!</v>
      </c>
      <c r="BQ351" s="16">
        <f t="shared" si="182"/>
        <v>127.25109874278135</v>
      </c>
      <c r="BR351" s="118">
        <f t="shared" si="183"/>
        <v>4.2387607289550546</v>
      </c>
      <c r="BS351" s="108">
        <f t="shared" si="184"/>
        <v>4.7011749402129945</v>
      </c>
      <c r="BT351" s="118">
        <f t="shared" si="185"/>
        <v>1.1022747737068224</v>
      </c>
      <c r="BU351" s="108">
        <f t="shared" si="186"/>
        <v>5.1819865433794625</v>
      </c>
      <c r="BV351" s="6" cm="1">
        <f t="array" ref="BV351">IF(AP351=0,FactorPhi7121(BR351,"a"),noisuy2chieu(BU351,BR351,Data!$A$63:$M$85))</f>
        <v>0</v>
      </c>
      <c r="BW351" s="111">
        <v>1.26</v>
      </c>
      <c r="BX351" s="111">
        <f t="shared" si="187"/>
        <v>0.87145728570897141</v>
      </c>
      <c r="BY351" s="113" t="e">
        <f t="shared" si="188"/>
        <v>#DIV/0!</v>
      </c>
      <c r="BZ351" s="6" t="e">
        <f t="shared" si="189"/>
        <v>#DIV/0!</v>
      </c>
      <c r="CA351" s="114">
        <f t="shared" si="190"/>
        <v>127.25109874278135</v>
      </c>
      <c r="CB351" s="115" t="e">
        <f t="shared" si="191"/>
        <v>#DIV/0!</v>
      </c>
      <c r="CC351" s="6" t="e">
        <f t="shared" si="192"/>
        <v>#DIV/0!</v>
      </c>
    </row>
    <row r="352" spans="27:81">
      <c r="AA352" s="79" t="s">
        <v>175</v>
      </c>
      <c r="AB352" s="80" t="s">
        <v>200</v>
      </c>
      <c r="AC352" s="81">
        <v>5.48</v>
      </c>
      <c r="AD352" s="81">
        <v>6</v>
      </c>
      <c r="AE352" s="80">
        <v>273</v>
      </c>
      <c r="AF352" s="80">
        <v>6.35</v>
      </c>
      <c r="AG352" s="108" cm="1">
        <f t="array" ref="AG352">_xll.DCEPropSectPipe(AE352, AF352, "Area")/100</f>
        <v>53.19431074856206</v>
      </c>
      <c r="AH352" s="16" cm="1">
        <f t="array" ref="AH352">_xll.DCEPropSectPipe(AE352, AF352, "Ix")/10000</f>
        <v>4730.4733077169503</v>
      </c>
      <c r="AI352" s="16" cm="1">
        <f t="array" ref="AI352">_xll.DCEPropSectPipe(AE352, AF352, "Wx")/1000</f>
        <v>346.55482107816493</v>
      </c>
      <c r="AJ352" s="108">
        <f t="shared" si="161"/>
        <v>9.4301739777164251</v>
      </c>
      <c r="AK352" s="80" t="s">
        <v>211</v>
      </c>
      <c r="AL352" s="82">
        <v>-85.640227876386447</v>
      </c>
      <c r="AM352" s="82">
        <v>-9.7163357070699909</v>
      </c>
      <c r="AN352" s="82">
        <v>3.1878901809060403</v>
      </c>
      <c r="AO352" s="82">
        <v>-17.482389752088721</v>
      </c>
      <c r="AP352" s="82">
        <v>53.284385017571822</v>
      </c>
      <c r="AQ352" s="82">
        <v>-0.19387890423714138</v>
      </c>
      <c r="AR352" s="72">
        <v>1</v>
      </c>
      <c r="AS352" s="116">
        <f t="shared" si="162"/>
        <v>6</v>
      </c>
      <c r="AT352" s="82">
        <v>2</v>
      </c>
      <c r="AU352" s="6">
        <f t="shared" si="163"/>
        <v>12</v>
      </c>
      <c r="AV352" s="111">
        <f t="shared" si="164"/>
        <v>7.0435351391279932E-2</v>
      </c>
      <c r="AW352" s="117">
        <f t="shared" si="165"/>
        <v>105</v>
      </c>
      <c r="AX352" s="111">
        <f t="shared" si="166"/>
        <v>1</v>
      </c>
      <c r="AY352" s="111">
        <f t="shared" si="167"/>
        <v>1</v>
      </c>
      <c r="AZ352" s="111">
        <f t="shared" si="168"/>
        <v>1</v>
      </c>
      <c r="BA352" s="111">
        <f t="shared" si="169"/>
        <v>7.414247514871572E-2</v>
      </c>
      <c r="BB352" s="111">
        <f t="shared" si="170"/>
        <v>0.23231823809801094</v>
      </c>
      <c r="BC352" s="111">
        <f t="shared" si="171"/>
        <v>0.708080223639869</v>
      </c>
      <c r="BD352" s="111">
        <v>0</v>
      </c>
      <c r="BE352" s="111">
        <f t="shared" si="172"/>
        <v>1.0145409368865956</v>
      </c>
      <c r="BF352" s="6" t="str">
        <f t="shared" si="173"/>
        <v>Check</v>
      </c>
      <c r="BG352" s="16">
        <f t="shared" si="174"/>
        <v>63.625549371390676</v>
      </c>
      <c r="BH352" s="118">
        <f t="shared" si="175"/>
        <v>2.1193803644775273</v>
      </c>
      <c r="BI352" s="108">
        <f t="shared" si="176"/>
        <v>3.1334027847333754</v>
      </c>
      <c r="BJ352" s="6">
        <f t="shared" si="177"/>
        <v>1.1537695658990863</v>
      </c>
      <c r="BK352" s="108">
        <f t="shared" si="178"/>
        <v>3.6152247707288145</v>
      </c>
      <c r="BL352" s="118" cm="1">
        <f t="array" ref="BL352">IF(AO352=0,FactorPhi7121(BH352,"a"),noisuy2chieu(BK352,BH352,Data!$A$63:$M$85))</f>
        <v>0</v>
      </c>
      <c r="BM352" s="111">
        <v>1.26</v>
      </c>
      <c r="BN352" s="118">
        <f t="shared" si="179"/>
        <v>0.96836203812655286</v>
      </c>
      <c r="BO352" s="108" t="e">
        <f t="shared" si="180"/>
        <v>#DIV/0!</v>
      </c>
      <c r="BP352" s="6" t="e">
        <f t="shared" si="181"/>
        <v>#DIV/0!</v>
      </c>
      <c r="BQ352" s="16">
        <f t="shared" si="182"/>
        <v>127.25109874278135</v>
      </c>
      <c r="BR352" s="118">
        <f t="shared" si="183"/>
        <v>4.2387607289550546</v>
      </c>
      <c r="BS352" s="108">
        <f t="shared" si="184"/>
        <v>9.5502641666547383</v>
      </c>
      <c r="BT352" s="118">
        <f t="shared" si="185"/>
        <v>1.1000000000000001</v>
      </c>
      <c r="BU352" s="108">
        <f t="shared" si="186"/>
        <v>10.505290583320212</v>
      </c>
      <c r="BV352" s="6" cm="1">
        <f t="array" ref="BV352">IF(AP352=0,FactorPhi7121(BR352,"a"),noisuy2chieu(BU352,BR352,Data!$A$63:$M$85))</f>
        <v>0</v>
      </c>
      <c r="BW352" s="111">
        <v>1.26</v>
      </c>
      <c r="BX352" s="111">
        <f t="shared" si="187"/>
        <v>0.87344815250621133</v>
      </c>
      <c r="BY352" s="113" t="e">
        <f t="shared" si="188"/>
        <v>#DIV/0!</v>
      </c>
      <c r="BZ352" s="6" t="e">
        <f t="shared" si="189"/>
        <v>#DIV/0!</v>
      </c>
      <c r="CA352" s="114">
        <f t="shared" si="190"/>
        <v>127.25109874278135</v>
      </c>
      <c r="CB352" s="115" t="e">
        <f t="shared" si="191"/>
        <v>#DIV/0!</v>
      </c>
      <c r="CC352" s="6" t="e">
        <f t="shared" si="192"/>
        <v>#DIV/0!</v>
      </c>
    </row>
    <row r="353" spans="27:81">
      <c r="AA353" s="79" t="s">
        <v>175</v>
      </c>
      <c r="AB353" s="80" t="s">
        <v>200</v>
      </c>
      <c r="AC353" s="81">
        <v>0</v>
      </c>
      <c r="AD353" s="81">
        <v>6</v>
      </c>
      <c r="AE353" s="80">
        <v>273</v>
      </c>
      <c r="AF353" s="80">
        <v>6.35</v>
      </c>
      <c r="AG353" s="108" cm="1">
        <f t="array" ref="AG353">_xll.DCEPropSectPipe(AE353, AF353, "Area")/100</f>
        <v>53.19431074856206</v>
      </c>
      <c r="AH353" s="16" cm="1">
        <f t="array" ref="AH353">_xll.DCEPropSectPipe(AE353, AF353, "Ix")/10000</f>
        <v>4730.4733077169503</v>
      </c>
      <c r="AI353" s="16" cm="1">
        <f t="array" ref="AI353">_xll.DCEPropSectPipe(AE353, AF353, "Wx")/1000</f>
        <v>346.55482107816493</v>
      </c>
      <c r="AJ353" s="108">
        <f t="shared" si="161"/>
        <v>9.4301739777164251</v>
      </c>
      <c r="AK353" s="80" t="s">
        <v>212</v>
      </c>
      <c r="AL353" s="82">
        <v>-74.622371427483145</v>
      </c>
      <c r="AM353" s="82">
        <v>-9.7195705819775746</v>
      </c>
      <c r="AN353" s="82">
        <v>3.0400508953499745</v>
      </c>
      <c r="AO353" s="82">
        <v>0</v>
      </c>
      <c r="AP353" s="82">
        <v>0</v>
      </c>
      <c r="AQ353" s="82">
        <v>-0.23044988803383123</v>
      </c>
      <c r="AR353" s="72">
        <v>1</v>
      </c>
      <c r="AS353" s="116">
        <f t="shared" si="162"/>
        <v>6</v>
      </c>
      <c r="AT353" s="82">
        <v>2</v>
      </c>
      <c r="AU353" s="6">
        <f t="shared" si="163"/>
        <v>12</v>
      </c>
      <c r="AV353" s="111">
        <f t="shared" si="164"/>
        <v>6.1373645113742541E-2</v>
      </c>
      <c r="AW353" s="117">
        <f t="shared" si="165"/>
        <v>105</v>
      </c>
      <c r="AX353" s="111">
        <f t="shared" si="166"/>
        <v>1</v>
      </c>
      <c r="AY353" s="111">
        <f t="shared" si="167"/>
        <v>1</v>
      </c>
      <c r="AZ353" s="111">
        <f t="shared" si="168"/>
        <v>1</v>
      </c>
      <c r="BA353" s="111">
        <f t="shared" si="169"/>
        <v>6.4603836961834249E-2</v>
      </c>
      <c r="BB353" s="111">
        <f t="shared" si="170"/>
        <v>0</v>
      </c>
      <c r="BC353" s="111">
        <f t="shared" si="171"/>
        <v>0</v>
      </c>
      <c r="BD353" s="111">
        <v>0</v>
      </c>
      <c r="BE353" s="111">
        <f t="shared" si="172"/>
        <v>6.4603836961834249E-2</v>
      </c>
      <c r="BF353" s="6" t="str">
        <f t="shared" si="173"/>
        <v>OK</v>
      </c>
      <c r="BG353" s="16">
        <f t="shared" si="174"/>
        <v>63.625549371390676</v>
      </c>
      <c r="BH353" s="118">
        <f t="shared" si="175"/>
        <v>2.1193803644775273</v>
      </c>
      <c r="BI353" s="108">
        <f t="shared" si="176"/>
        <v>0</v>
      </c>
      <c r="BJ353" s="6">
        <f t="shared" si="177"/>
        <v>1.2440309817761237</v>
      </c>
      <c r="BK353" s="108">
        <f t="shared" si="178"/>
        <v>0</v>
      </c>
      <c r="BL353" s="118" cm="1">
        <f t="array" ref="BL353">IF(AO353=0,FactorPhi7121(BH353,"a"),noisuy2chieu(BK353,BH353,Data!$A$63:$M$85))</f>
        <v>0.86214274110469236</v>
      </c>
      <c r="BM353" s="111">
        <v>1.26</v>
      </c>
      <c r="BN353" s="118">
        <f t="shared" si="179"/>
        <v>0.97243235100288783</v>
      </c>
      <c r="BO353" s="108">
        <f t="shared" si="180"/>
        <v>0.15272937312285856</v>
      </c>
      <c r="BP353" s="6" t="str">
        <f t="shared" si="181"/>
        <v>OK</v>
      </c>
      <c r="BQ353" s="16">
        <f t="shared" si="182"/>
        <v>127.25109874278135</v>
      </c>
      <c r="BR353" s="118">
        <f t="shared" si="183"/>
        <v>4.2387607289550546</v>
      </c>
      <c r="BS353" s="108">
        <f t="shared" si="184"/>
        <v>0</v>
      </c>
      <c r="BT353" s="118">
        <f t="shared" si="185"/>
        <v>1.1380619635522473</v>
      </c>
      <c r="BU353" s="108">
        <f t="shared" si="186"/>
        <v>0</v>
      </c>
      <c r="BV353" s="6" cm="1">
        <f t="array" ref="BV353">IF(AP353=0,FactorPhi7121(BR353,"a"),noisuy2chieu(BU353,BR353,Data!$A$63:$M$85))</f>
        <v>0.42299549615688942</v>
      </c>
      <c r="BW353" s="111">
        <v>1.26</v>
      </c>
      <c r="BX353" s="111">
        <f t="shared" si="187"/>
        <v>0.88972940401155121</v>
      </c>
      <c r="BY353" s="113">
        <f t="shared" si="188"/>
        <v>7.493403804462262E-2</v>
      </c>
      <c r="BZ353" s="6" t="str">
        <f t="shared" si="189"/>
        <v>OK</v>
      </c>
      <c r="CA353" s="114">
        <f t="shared" si="190"/>
        <v>127.25109874278135</v>
      </c>
      <c r="CB353" s="115">
        <f t="shared" si="191"/>
        <v>150</v>
      </c>
      <c r="CC353" s="6" t="str">
        <f t="shared" si="192"/>
        <v>OK</v>
      </c>
    </row>
    <row r="354" spans="27:81">
      <c r="AA354" s="79" t="s">
        <v>175</v>
      </c>
      <c r="AB354" s="80" t="s">
        <v>200</v>
      </c>
      <c r="AC354" s="81">
        <v>2.74</v>
      </c>
      <c r="AD354" s="81">
        <v>6</v>
      </c>
      <c r="AE354" s="80">
        <v>273</v>
      </c>
      <c r="AF354" s="80">
        <v>6.35</v>
      </c>
      <c r="AG354" s="108" cm="1">
        <f t="array" ref="AG354">_xll.DCEPropSectPipe(AE354, AF354, "Area")/100</f>
        <v>53.19431074856206</v>
      </c>
      <c r="AH354" s="16" cm="1">
        <f t="array" ref="AH354">_xll.DCEPropSectPipe(AE354, AF354, "Ix")/10000</f>
        <v>4730.4733077169503</v>
      </c>
      <c r="AI354" s="16" cm="1">
        <f t="array" ref="AI354">_xll.DCEPropSectPipe(AE354, AF354, "Wx")/1000</f>
        <v>346.55482107816493</v>
      </c>
      <c r="AJ354" s="108">
        <f t="shared" si="161"/>
        <v>9.4301739777164251</v>
      </c>
      <c r="AK354" s="80" t="s">
        <v>212</v>
      </c>
      <c r="AL354" s="82">
        <v>-73.27511107875111</v>
      </c>
      <c r="AM354" s="82">
        <v>-9.7195705819775746</v>
      </c>
      <c r="AN354" s="82">
        <v>3.0400508953499745</v>
      </c>
      <c r="AO354" s="82">
        <v>-8.3358195550496301</v>
      </c>
      <c r="AP354" s="82">
        <v>26.651062535782501</v>
      </c>
      <c r="AQ354" s="82">
        <v>-0.23044988803383123</v>
      </c>
      <c r="AR354" s="72">
        <v>1</v>
      </c>
      <c r="AS354" s="116">
        <f t="shared" si="162"/>
        <v>6</v>
      </c>
      <c r="AT354" s="82">
        <v>2</v>
      </c>
      <c r="AU354" s="6">
        <f t="shared" si="163"/>
        <v>12</v>
      </c>
      <c r="AV354" s="111">
        <f t="shared" si="164"/>
        <v>6.0265582250861663E-2</v>
      </c>
      <c r="AW354" s="117">
        <f t="shared" si="165"/>
        <v>105</v>
      </c>
      <c r="AX354" s="111">
        <f t="shared" si="166"/>
        <v>1</v>
      </c>
      <c r="AY354" s="111">
        <f t="shared" si="167"/>
        <v>1</v>
      </c>
      <c r="AZ354" s="111">
        <f t="shared" si="168"/>
        <v>1</v>
      </c>
      <c r="BA354" s="111">
        <f t="shared" si="169"/>
        <v>6.3437455000907014E-2</v>
      </c>
      <c r="BB354" s="111">
        <f t="shared" si="170"/>
        <v>0.11077220789570277</v>
      </c>
      <c r="BC354" s="111">
        <f t="shared" si="171"/>
        <v>0.35415798295042361</v>
      </c>
      <c r="BD354" s="111">
        <v>0</v>
      </c>
      <c r="BE354" s="111">
        <f t="shared" si="172"/>
        <v>0.52836764584703344</v>
      </c>
      <c r="BF354" s="6" t="str">
        <f t="shared" si="173"/>
        <v>OK</v>
      </c>
      <c r="BG354" s="16">
        <f t="shared" si="174"/>
        <v>63.625549371390676</v>
      </c>
      <c r="BH354" s="118">
        <f t="shared" si="175"/>
        <v>2.1193803644775273</v>
      </c>
      <c r="BI354" s="108">
        <f t="shared" si="176"/>
        <v>1.7461641217182968</v>
      </c>
      <c r="BJ354" s="6">
        <f t="shared" si="177"/>
        <v>1.1937306352174579</v>
      </c>
      <c r="BK354" s="108">
        <f t="shared" si="178"/>
        <v>2.0844496062127171</v>
      </c>
      <c r="BL354" s="118" cm="1">
        <f t="array" ref="BL354">IF(AO354=0,FactorPhi7121(BH354,"a"),noisuy2chieu(BK354,BH354,Data!$A$63:$M$85))</f>
        <v>0</v>
      </c>
      <c r="BM354" s="111">
        <v>1.26</v>
      </c>
      <c r="BN354" s="118">
        <f t="shared" si="179"/>
        <v>0.97293006770219781</v>
      </c>
      <c r="BO354" s="108" t="e">
        <f t="shared" si="180"/>
        <v>#DIV/0!</v>
      </c>
      <c r="BP354" s="6" t="e">
        <f t="shared" si="181"/>
        <v>#DIV/0!</v>
      </c>
      <c r="BQ354" s="16">
        <f t="shared" si="182"/>
        <v>127.25109874278135</v>
      </c>
      <c r="BR354" s="118">
        <f t="shared" si="183"/>
        <v>4.2387607289550546</v>
      </c>
      <c r="BS354" s="108">
        <f t="shared" si="184"/>
        <v>5.582789898260577</v>
      </c>
      <c r="BT354" s="118">
        <f t="shared" si="185"/>
        <v>1.1000000000000001</v>
      </c>
      <c r="BU354" s="108">
        <f t="shared" si="186"/>
        <v>6.1410688880866351</v>
      </c>
      <c r="BV354" s="6" cm="1">
        <f t="array" ref="BV354">IF(AP354=0,FactorPhi7121(BR354,"a"),noisuy2chieu(BU354,BR354,Data!$A$63:$M$85))</f>
        <v>0</v>
      </c>
      <c r="BW354" s="111">
        <v>1.26</v>
      </c>
      <c r="BX354" s="111">
        <f t="shared" si="187"/>
        <v>0.89172027080879124</v>
      </c>
      <c r="BY354" s="113" t="e">
        <f t="shared" si="188"/>
        <v>#DIV/0!</v>
      </c>
      <c r="BZ354" s="6" t="e">
        <f t="shared" si="189"/>
        <v>#DIV/0!</v>
      </c>
      <c r="CA354" s="114">
        <f t="shared" si="190"/>
        <v>127.25109874278135</v>
      </c>
      <c r="CB354" s="115" t="e">
        <f t="shared" si="191"/>
        <v>#DIV/0!</v>
      </c>
      <c r="CC354" s="6" t="e">
        <f t="shared" si="192"/>
        <v>#DIV/0!</v>
      </c>
    </row>
    <row r="355" spans="27:81">
      <c r="AA355" s="79" t="s">
        <v>175</v>
      </c>
      <c r="AB355" s="80" t="s">
        <v>200</v>
      </c>
      <c r="AC355" s="81">
        <v>5.48</v>
      </c>
      <c r="AD355" s="81">
        <v>6</v>
      </c>
      <c r="AE355" s="80">
        <v>273</v>
      </c>
      <c r="AF355" s="80">
        <v>6.35</v>
      </c>
      <c r="AG355" s="108" cm="1">
        <f t="array" ref="AG355">_xll.DCEPropSectPipe(AE355, AF355, "Area")/100</f>
        <v>53.19431074856206</v>
      </c>
      <c r="AH355" s="16" cm="1">
        <f t="array" ref="AH355">_xll.DCEPropSectPipe(AE355, AF355, "Ix")/10000</f>
        <v>4730.4733077169503</v>
      </c>
      <c r="AI355" s="16" cm="1">
        <f t="array" ref="AI355">_xll.DCEPropSectPipe(AE355, AF355, "Wx")/1000</f>
        <v>346.55482107816493</v>
      </c>
      <c r="AJ355" s="108">
        <f t="shared" si="161"/>
        <v>9.4301739777164251</v>
      </c>
      <c r="AK355" s="80" t="s">
        <v>212</v>
      </c>
      <c r="AL355" s="82">
        <v>-71.927850730019088</v>
      </c>
      <c r="AM355" s="82">
        <v>-9.7195705819775746</v>
      </c>
      <c r="AN355" s="82">
        <v>3.0400508953499745</v>
      </c>
      <c r="AO355" s="82">
        <v>-16.67163911009926</v>
      </c>
      <c r="AP355" s="82">
        <v>53.302125071565001</v>
      </c>
      <c r="AQ355" s="82">
        <v>-0.23044988803383123</v>
      </c>
      <c r="AR355" s="72">
        <v>1</v>
      </c>
      <c r="AS355" s="116">
        <f t="shared" si="162"/>
        <v>6</v>
      </c>
      <c r="AT355" s="82">
        <v>2</v>
      </c>
      <c r="AU355" s="6">
        <f t="shared" si="163"/>
        <v>12</v>
      </c>
      <c r="AV355" s="111">
        <f t="shared" si="164"/>
        <v>5.9157519387980792E-2</v>
      </c>
      <c r="AW355" s="117">
        <f t="shared" si="165"/>
        <v>105</v>
      </c>
      <c r="AX355" s="111">
        <f t="shared" si="166"/>
        <v>1</v>
      </c>
      <c r="AY355" s="111">
        <f t="shared" si="167"/>
        <v>1</v>
      </c>
      <c r="AZ355" s="111">
        <f t="shared" si="168"/>
        <v>1</v>
      </c>
      <c r="BA355" s="111">
        <f t="shared" si="169"/>
        <v>6.2271073039979793E-2</v>
      </c>
      <c r="BB355" s="111">
        <f t="shared" si="170"/>
        <v>0.22154441579140555</v>
      </c>
      <c r="BC355" s="111">
        <f t="shared" si="171"/>
        <v>0.70831596590084722</v>
      </c>
      <c r="BD355" s="111">
        <v>0</v>
      </c>
      <c r="BE355" s="111">
        <f t="shared" si="172"/>
        <v>0.99213145473223263</v>
      </c>
      <c r="BF355" s="6" t="str">
        <f t="shared" si="173"/>
        <v>OK</v>
      </c>
      <c r="BG355" s="16">
        <f t="shared" si="174"/>
        <v>63.625549371390676</v>
      </c>
      <c r="BH355" s="118">
        <f t="shared" si="175"/>
        <v>2.1193803644775273</v>
      </c>
      <c r="BI355" s="108">
        <f t="shared" si="176"/>
        <v>3.5577420618586064</v>
      </c>
      <c r="BJ355" s="6">
        <f t="shared" si="177"/>
        <v>1.1415459653609825</v>
      </c>
      <c r="BK355" s="108">
        <f t="shared" si="178"/>
        <v>4.0613260965097551</v>
      </c>
      <c r="BL355" s="118" cm="1">
        <f t="array" ref="BL355">IF(AO355=0,FactorPhi7121(BH355,"a"),noisuy2chieu(BK355,BH355,Data!$A$63:$M$85))</f>
        <v>0</v>
      </c>
      <c r="BM355" s="111">
        <v>1.26</v>
      </c>
      <c r="BN355" s="118">
        <f t="shared" si="179"/>
        <v>0.97342778440150779</v>
      </c>
      <c r="BO355" s="108" t="e">
        <f t="shared" si="180"/>
        <v>#DIV/0!</v>
      </c>
      <c r="BP355" s="6" t="e">
        <f t="shared" si="181"/>
        <v>#DIV/0!</v>
      </c>
      <c r="BQ355" s="16">
        <f t="shared" si="182"/>
        <v>127.25109874278135</v>
      </c>
      <c r="BR355" s="118">
        <f t="shared" si="183"/>
        <v>4.2387607289550546</v>
      </c>
      <c r="BS355" s="108">
        <f t="shared" si="184"/>
        <v>11.374719132366458</v>
      </c>
      <c r="BT355" s="118">
        <f t="shared" si="185"/>
        <v>1.1000000000000001</v>
      </c>
      <c r="BU355" s="108">
        <f t="shared" si="186"/>
        <v>12.512191045603105</v>
      </c>
      <c r="BV355" s="6" cm="1">
        <f t="array" ref="BV355">IF(AP355=0,FactorPhi7121(BR355,"a"),noisuy2chieu(BU355,BR355,Data!$A$63:$M$85))</f>
        <v>0</v>
      </c>
      <c r="BW355" s="111">
        <v>1.26</v>
      </c>
      <c r="BX355" s="111">
        <f t="shared" si="187"/>
        <v>0.89371113760603116</v>
      </c>
      <c r="BY355" s="113" t="e">
        <f t="shared" si="188"/>
        <v>#DIV/0!</v>
      </c>
      <c r="BZ355" s="6" t="e">
        <f t="shared" si="189"/>
        <v>#DIV/0!</v>
      </c>
      <c r="CA355" s="114">
        <f t="shared" si="190"/>
        <v>127.25109874278135</v>
      </c>
      <c r="CB355" s="115" t="e">
        <f t="shared" si="191"/>
        <v>#DIV/0!</v>
      </c>
      <c r="CC355" s="6" t="e">
        <f t="shared" si="192"/>
        <v>#DIV/0!</v>
      </c>
    </row>
    <row r="356" spans="27:81">
      <c r="AA356" s="79" t="s">
        <v>175</v>
      </c>
      <c r="AB356" s="80" t="s">
        <v>200</v>
      </c>
      <c r="AC356" s="81">
        <v>0</v>
      </c>
      <c r="AD356" s="81">
        <v>6</v>
      </c>
      <c r="AE356" s="80">
        <v>273</v>
      </c>
      <c r="AF356" s="80">
        <v>6.35</v>
      </c>
      <c r="AG356" s="108" cm="1">
        <f t="array" ref="AG356">_xll.DCEPropSectPipe(AE356, AF356, "Area")/100</f>
        <v>53.19431074856206</v>
      </c>
      <c r="AH356" s="16" cm="1">
        <f t="array" ref="AH356">_xll.DCEPropSectPipe(AE356, AF356, "Ix")/10000</f>
        <v>4730.4733077169503</v>
      </c>
      <c r="AI356" s="16" cm="1">
        <f t="array" ref="AI356">_xll.DCEPropSectPipe(AE356, AF356, "Wx")/1000</f>
        <v>346.55482107816493</v>
      </c>
      <c r="AJ356" s="108">
        <f t="shared" si="161"/>
        <v>9.4301739777164251</v>
      </c>
      <c r="AK356" s="80" t="s">
        <v>213</v>
      </c>
      <c r="AL356" s="82">
        <v>-5.6269422913904332</v>
      </c>
      <c r="AM356" s="82">
        <v>-0.94230790245190277</v>
      </c>
      <c r="AN356" s="82">
        <v>0.19350545954391438</v>
      </c>
      <c r="AO356" s="82">
        <v>0</v>
      </c>
      <c r="AP356" s="82">
        <v>0</v>
      </c>
      <c r="AQ356" s="82">
        <v>-1.8623003290466667E-2</v>
      </c>
      <c r="AR356" s="72">
        <v>1</v>
      </c>
      <c r="AS356" s="116">
        <f t="shared" si="162"/>
        <v>6</v>
      </c>
      <c r="AT356" s="82">
        <v>2</v>
      </c>
      <c r="AU356" s="6">
        <f t="shared" si="163"/>
        <v>12</v>
      </c>
      <c r="AV356" s="111">
        <f t="shared" si="164"/>
        <v>4.6279145604868309E-3</v>
      </c>
      <c r="AW356" s="117">
        <f t="shared" si="165"/>
        <v>105</v>
      </c>
      <c r="AX356" s="111">
        <f t="shared" si="166"/>
        <v>1</v>
      </c>
      <c r="AY356" s="111">
        <f t="shared" si="167"/>
        <v>1</v>
      </c>
      <c r="AZ356" s="111">
        <f t="shared" si="168"/>
        <v>1</v>
      </c>
      <c r="BA356" s="111">
        <f t="shared" si="169"/>
        <v>4.8714890110387694E-3</v>
      </c>
      <c r="BB356" s="111">
        <f t="shared" si="170"/>
        <v>0</v>
      </c>
      <c r="BC356" s="111">
        <f t="shared" si="171"/>
        <v>0</v>
      </c>
      <c r="BD356" s="111">
        <v>0</v>
      </c>
      <c r="BE356" s="111">
        <f t="shared" si="172"/>
        <v>4.8714890110387694E-3</v>
      </c>
      <c r="BF356" s="6" t="str">
        <f t="shared" si="173"/>
        <v>OK</v>
      </c>
      <c r="BG356" s="16">
        <f t="shared" si="174"/>
        <v>63.625549371390676</v>
      </c>
      <c r="BH356" s="118">
        <f t="shared" si="175"/>
        <v>2.1193803644775273</v>
      </c>
      <c r="BI356" s="108">
        <f t="shared" si="176"/>
        <v>0</v>
      </c>
      <c r="BJ356" s="6">
        <f t="shared" si="177"/>
        <v>1.2440309817761237</v>
      </c>
      <c r="BK356" s="108">
        <f t="shared" si="178"/>
        <v>0</v>
      </c>
      <c r="BL356" s="118" cm="1">
        <f t="array" ref="BL356">IF(AO356=0,FactorPhi7121(BH356,"a"),noisuy2chieu(BK356,BH356,Data!$A$63:$M$85))</f>
        <v>0.86214274110469236</v>
      </c>
      <c r="BM356" s="111">
        <v>1.26</v>
      </c>
      <c r="BN356" s="118">
        <f t="shared" si="179"/>
        <v>0.99792124577323571</v>
      </c>
      <c r="BO356" s="108">
        <f t="shared" si="180"/>
        <v>1.1516645106859316E-2</v>
      </c>
      <c r="BP356" s="6" t="str">
        <f t="shared" si="181"/>
        <v>OK</v>
      </c>
      <c r="BQ356" s="16">
        <f t="shared" si="182"/>
        <v>127.25109874278135</v>
      </c>
      <c r="BR356" s="118">
        <f t="shared" si="183"/>
        <v>4.2387607289550546</v>
      </c>
      <c r="BS356" s="108">
        <f t="shared" si="184"/>
        <v>0</v>
      </c>
      <c r="BT356" s="118">
        <f t="shared" si="185"/>
        <v>1.1380619635522473</v>
      </c>
      <c r="BU356" s="108">
        <f t="shared" si="186"/>
        <v>0</v>
      </c>
      <c r="BV356" s="6" cm="1">
        <f t="array" ref="BV356">IF(AP356=0,FactorPhi7121(BR356,"a"),noisuy2chieu(BU356,BR356,Data!$A$63:$M$85))</f>
        <v>0.42299549615688942</v>
      </c>
      <c r="BW356" s="111">
        <v>1.26</v>
      </c>
      <c r="BX356" s="111">
        <f t="shared" si="187"/>
        <v>0.99168498309294273</v>
      </c>
      <c r="BY356" s="113">
        <f t="shared" si="188"/>
        <v>5.6504436896340007E-3</v>
      </c>
      <c r="BZ356" s="6" t="str">
        <f t="shared" si="189"/>
        <v>OK</v>
      </c>
      <c r="CA356" s="114">
        <f t="shared" si="190"/>
        <v>127.25109874278135</v>
      </c>
      <c r="CB356" s="115">
        <f t="shared" si="191"/>
        <v>150</v>
      </c>
      <c r="CC356" s="6" t="str">
        <f t="shared" si="192"/>
        <v>OK</v>
      </c>
    </row>
    <row r="357" spans="27:81">
      <c r="AA357" s="79" t="s">
        <v>175</v>
      </c>
      <c r="AB357" s="80" t="s">
        <v>200</v>
      </c>
      <c r="AC357" s="81">
        <v>2.74</v>
      </c>
      <c r="AD357" s="81">
        <v>6</v>
      </c>
      <c r="AE357" s="80">
        <v>273</v>
      </c>
      <c r="AF357" s="80">
        <v>6.35</v>
      </c>
      <c r="AG357" s="108" cm="1">
        <f t="array" ref="AG357">_xll.DCEPropSectPipe(AE357, AF357, "Area")/100</f>
        <v>53.19431074856206</v>
      </c>
      <c r="AH357" s="16" cm="1">
        <f t="array" ref="AH357">_xll.DCEPropSectPipe(AE357, AF357, "Ix")/10000</f>
        <v>4730.4733077169503</v>
      </c>
      <c r="AI357" s="16" cm="1">
        <f t="array" ref="AI357">_xll.DCEPropSectPipe(AE357, AF357, "Wx")/1000</f>
        <v>346.55482107816493</v>
      </c>
      <c r="AJ357" s="108">
        <f t="shared" si="161"/>
        <v>9.4301739777164251</v>
      </c>
      <c r="AK357" s="80" t="s">
        <v>213</v>
      </c>
      <c r="AL357" s="82">
        <v>-4.2796819426584038</v>
      </c>
      <c r="AM357" s="82">
        <v>-0.94230790245190277</v>
      </c>
      <c r="AN357" s="82">
        <v>0.19350545954391438</v>
      </c>
      <c r="AO357" s="82">
        <v>-0.5305919700694125</v>
      </c>
      <c r="AP357" s="82">
        <v>2.583808268523117</v>
      </c>
      <c r="AQ357" s="82">
        <v>-1.8623003290466667E-2</v>
      </c>
      <c r="AR357" s="72">
        <v>1</v>
      </c>
      <c r="AS357" s="116">
        <f t="shared" si="162"/>
        <v>6</v>
      </c>
      <c r="AT357" s="82">
        <v>2</v>
      </c>
      <c r="AU357" s="6">
        <f t="shared" si="163"/>
        <v>12</v>
      </c>
      <c r="AV357" s="111">
        <f t="shared" si="164"/>
        <v>3.5198516976059613E-3</v>
      </c>
      <c r="AW357" s="117">
        <f t="shared" si="165"/>
        <v>105</v>
      </c>
      <c r="AX357" s="111">
        <f t="shared" si="166"/>
        <v>1</v>
      </c>
      <c r="AY357" s="111">
        <f t="shared" si="167"/>
        <v>1</v>
      </c>
      <c r="AZ357" s="111">
        <f t="shared" si="168"/>
        <v>1</v>
      </c>
      <c r="BA357" s="111">
        <f t="shared" si="169"/>
        <v>3.7051070501115382E-3</v>
      </c>
      <c r="BB357" s="111">
        <f t="shared" si="170"/>
        <v>7.0508776765345329E-3</v>
      </c>
      <c r="BC357" s="111">
        <f t="shared" si="171"/>
        <v>3.4335453735931366E-2</v>
      </c>
      <c r="BD357" s="111">
        <v>0</v>
      </c>
      <c r="BE357" s="111">
        <f t="shared" si="172"/>
        <v>4.5091438462577439E-2</v>
      </c>
      <c r="BF357" s="6" t="str">
        <f t="shared" si="173"/>
        <v>OK</v>
      </c>
      <c r="BG357" s="16">
        <f t="shared" si="174"/>
        <v>63.625549371390676</v>
      </c>
      <c r="BH357" s="118">
        <f t="shared" si="175"/>
        <v>2.1193803644775273</v>
      </c>
      <c r="BI357" s="108">
        <f t="shared" si="176"/>
        <v>1.9030159132169409</v>
      </c>
      <c r="BJ357" s="6">
        <f t="shared" si="177"/>
        <v>1.1892123317128793</v>
      </c>
      <c r="BK357" s="108">
        <f t="shared" si="178"/>
        <v>2.2630899914434326</v>
      </c>
      <c r="BL357" s="118" cm="1">
        <f t="array" ref="BL357">IF(AO357=0,FactorPhi7121(BH357,"a"),noisuy2chieu(BK357,BH357,Data!$A$63:$M$85))</f>
        <v>0</v>
      </c>
      <c r="BM357" s="111">
        <v>1.26</v>
      </c>
      <c r="BN357" s="118">
        <f t="shared" si="179"/>
        <v>0.99841896247254569</v>
      </c>
      <c r="BO357" s="108" t="e">
        <f t="shared" si="180"/>
        <v>#DIV/0!</v>
      </c>
      <c r="BP357" s="6" t="e">
        <f t="shared" si="181"/>
        <v>#DIV/0!</v>
      </c>
      <c r="BQ357" s="16">
        <f t="shared" si="182"/>
        <v>127.25109874278135</v>
      </c>
      <c r="BR357" s="118">
        <f t="shared" si="183"/>
        <v>4.2387607289550546</v>
      </c>
      <c r="BS357" s="108">
        <f t="shared" si="184"/>
        <v>9.2670611865041064</v>
      </c>
      <c r="BT357" s="118">
        <f t="shared" si="185"/>
        <v>1.1000000000000001</v>
      </c>
      <c r="BU357" s="108">
        <f t="shared" si="186"/>
        <v>10.193767305154518</v>
      </c>
      <c r="BV357" s="6" cm="1">
        <f t="array" ref="BV357">IF(AP357=0,FactorPhi7121(BR357,"a"),noisuy2chieu(BU357,BR357,Data!$A$63:$M$85))</f>
        <v>0</v>
      </c>
      <c r="BW357" s="111">
        <v>1.26</v>
      </c>
      <c r="BX357" s="111">
        <f t="shared" si="187"/>
        <v>0.99367584989018276</v>
      </c>
      <c r="BY357" s="113" t="e">
        <f t="shared" si="188"/>
        <v>#DIV/0!</v>
      </c>
      <c r="BZ357" s="6" t="e">
        <f t="shared" si="189"/>
        <v>#DIV/0!</v>
      </c>
      <c r="CA357" s="114">
        <f t="shared" si="190"/>
        <v>127.25109874278135</v>
      </c>
      <c r="CB357" s="115" t="e">
        <f t="shared" si="191"/>
        <v>#DIV/0!</v>
      </c>
      <c r="CC357" s="6" t="e">
        <f t="shared" si="192"/>
        <v>#DIV/0!</v>
      </c>
    </row>
    <row r="358" spans="27:81">
      <c r="AA358" s="79" t="s">
        <v>175</v>
      </c>
      <c r="AB358" s="80" t="s">
        <v>200</v>
      </c>
      <c r="AC358" s="81">
        <v>5.48</v>
      </c>
      <c r="AD358" s="81">
        <v>6</v>
      </c>
      <c r="AE358" s="80">
        <v>273</v>
      </c>
      <c r="AF358" s="80">
        <v>6.35</v>
      </c>
      <c r="AG358" s="108" cm="1">
        <f t="array" ref="AG358">_xll.DCEPropSectPipe(AE358, AF358, "Area")/100</f>
        <v>53.19431074856206</v>
      </c>
      <c r="AH358" s="16" cm="1">
        <f t="array" ref="AH358">_xll.DCEPropSectPipe(AE358, AF358, "Ix")/10000</f>
        <v>4730.4733077169503</v>
      </c>
      <c r="AI358" s="16" cm="1">
        <f t="array" ref="AI358">_xll.DCEPropSectPipe(AE358, AF358, "Wx")/1000</f>
        <v>346.55482107816493</v>
      </c>
      <c r="AJ358" s="108">
        <f t="shared" si="161"/>
        <v>9.4301739777164251</v>
      </c>
      <c r="AK358" s="80" t="s">
        <v>213</v>
      </c>
      <c r="AL358" s="82">
        <v>-2.9324215939263736</v>
      </c>
      <c r="AM358" s="82">
        <v>-0.94230790245190277</v>
      </c>
      <c r="AN358" s="82">
        <v>0.19350545954391438</v>
      </c>
      <c r="AO358" s="82">
        <v>-1.061183940138825</v>
      </c>
      <c r="AP358" s="82">
        <v>5.1676165370462339</v>
      </c>
      <c r="AQ358" s="82">
        <v>-1.8623003290466667E-2</v>
      </c>
      <c r="AR358" s="72">
        <v>1</v>
      </c>
      <c r="AS358" s="116">
        <f t="shared" si="162"/>
        <v>6</v>
      </c>
      <c r="AT358" s="82">
        <v>2</v>
      </c>
      <c r="AU358" s="6">
        <f t="shared" si="163"/>
        <v>12</v>
      </c>
      <c r="AV358" s="111">
        <f t="shared" si="164"/>
        <v>2.4117888347250905E-3</v>
      </c>
      <c r="AW358" s="117">
        <f t="shared" si="165"/>
        <v>105</v>
      </c>
      <c r="AX358" s="111">
        <f t="shared" si="166"/>
        <v>1</v>
      </c>
      <c r="AY358" s="111">
        <f t="shared" si="167"/>
        <v>1</v>
      </c>
      <c r="AZ358" s="111">
        <f t="shared" si="168"/>
        <v>1</v>
      </c>
      <c r="BA358" s="111">
        <f t="shared" si="169"/>
        <v>2.5387250891843061E-3</v>
      </c>
      <c r="BB358" s="111">
        <f t="shared" si="170"/>
        <v>1.4101755353069066E-2</v>
      </c>
      <c r="BC358" s="111">
        <f t="shared" si="171"/>
        <v>6.8670907471862733E-2</v>
      </c>
      <c r="BD358" s="111">
        <v>0</v>
      </c>
      <c r="BE358" s="111">
        <f t="shared" si="172"/>
        <v>8.5311387914116105E-2</v>
      </c>
      <c r="BF358" s="6" t="str">
        <f t="shared" si="173"/>
        <v>OK</v>
      </c>
      <c r="BG358" s="16">
        <f t="shared" si="174"/>
        <v>63.625549371390676</v>
      </c>
      <c r="BH358" s="118">
        <f t="shared" si="175"/>
        <v>2.1193803644775273</v>
      </c>
      <c r="BI358" s="108">
        <f t="shared" si="176"/>
        <v>5.5546602557112514</v>
      </c>
      <c r="BJ358" s="6">
        <f t="shared" si="177"/>
        <v>1.1000000000000001</v>
      </c>
      <c r="BK358" s="108">
        <f t="shared" si="178"/>
        <v>6.1101262812823771</v>
      </c>
      <c r="BL358" s="118" cm="1">
        <f t="array" ref="BL358">IF(AO358=0,FactorPhi7121(BH358,"a"),noisuy2chieu(BK358,BH358,Data!$A$63:$M$85))</f>
        <v>0</v>
      </c>
      <c r="BM358" s="111">
        <v>1.26</v>
      </c>
      <c r="BN358" s="118">
        <f t="shared" si="179"/>
        <v>0.99891667917185567</v>
      </c>
      <c r="BO358" s="108" t="e">
        <f t="shared" si="180"/>
        <v>#DIV/0!</v>
      </c>
      <c r="BP358" s="6" t="e">
        <f t="shared" si="181"/>
        <v>#DIV/0!</v>
      </c>
      <c r="BQ358" s="16">
        <f t="shared" si="182"/>
        <v>127.25109874278135</v>
      </c>
      <c r="BR358" s="118">
        <f t="shared" si="183"/>
        <v>4.2387607289550546</v>
      </c>
      <c r="BS358" s="108">
        <f t="shared" si="184"/>
        <v>27.049367323945553</v>
      </c>
      <c r="BT358" s="118">
        <f t="shared" si="185"/>
        <v>1.1000000000000001</v>
      </c>
      <c r="BU358" s="108">
        <f t="shared" si="186"/>
        <v>29.754304056340111</v>
      </c>
      <c r="BV358" s="6" cm="1">
        <f t="array" ref="BV358">IF(AP358=0,FactorPhi7121(BR358,"a"),noisuy2chieu(BU358,BR358,Data!$A$63:$M$85))</f>
        <v>0</v>
      </c>
      <c r="BW358" s="111">
        <v>1.26</v>
      </c>
      <c r="BX358" s="111">
        <f t="shared" si="187"/>
        <v>0.99566671668742268</v>
      </c>
      <c r="BY358" s="113" t="e">
        <f t="shared" si="188"/>
        <v>#DIV/0!</v>
      </c>
      <c r="BZ358" s="6" t="e">
        <f t="shared" si="189"/>
        <v>#DIV/0!</v>
      </c>
      <c r="CA358" s="114">
        <f t="shared" si="190"/>
        <v>127.25109874278135</v>
      </c>
      <c r="CB358" s="115" t="e">
        <f t="shared" si="191"/>
        <v>#DIV/0!</v>
      </c>
      <c r="CC358" s="6" t="e">
        <f t="shared" si="192"/>
        <v>#DIV/0!</v>
      </c>
    </row>
    <row r="359" spans="27:81">
      <c r="AA359" s="79" t="s">
        <v>175</v>
      </c>
      <c r="AB359" s="80" t="s">
        <v>200</v>
      </c>
      <c r="AC359" s="81">
        <v>0</v>
      </c>
      <c r="AD359" s="81">
        <v>6</v>
      </c>
      <c r="AE359" s="80">
        <v>273</v>
      </c>
      <c r="AF359" s="80">
        <v>6.35</v>
      </c>
      <c r="AG359" s="108" cm="1">
        <f t="array" ref="AG359">_xll.DCEPropSectPipe(AE359, AF359, "Area")/100</f>
        <v>53.19431074856206</v>
      </c>
      <c r="AH359" s="16" cm="1">
        <f t="array" ref="AH359">_xll.DCEPropSectPipe(AE359, AF359, "Ix")/10000</f>
        <v>4730.4733077169503</v>
      </c>
      <c r="AI359" s="16" cm="1">
        <f t="array" ref="AI359">_xll.DCEPropSectPipe(AE359, AF359, "Wx")/1000</f>
        <v>346.55482107816493</v>
      </c>
      <c r="AJ359" s="108">
        <f t="shared" si="161"/>
        <v>9.4301739777164251</v>
      </c>
      <c r="AK359" s="80" t="s">
        <v>214</v>
      </c>
      <c r="AL359" s="82">
        <v>-20.710557152394557</v>
      </c>
      <c r="AM359" s="82">
        <v>-0.93874954005356614</v>
      </c>
      <c r="AN359" s="82">
        <v>0.35612867365558593</v>
      </c>
      <c r="AO359" s="82">
        <v>0</v>
      </c>
      <c r="AP359" s="82">
        <v>0</v>
      </c>
      <c r="AQ359" s="82">
        <v>2.1605078885892706E-2</v>
      </c>
      <c r="AR359" s="72">
        <v>1</v>
      </c>
      <c r="AS359" s="116">
        <f t="shared" si="162"/>
        <v>6</v>
      </c>
      <c r="AT359" s="82">
        <v>2</v>
      </c>
      <c r="AU359" s="6">
        <f t="shared" si="163"/>
        <v>12</v>
      </c>
      <c r="AV359" s="111">
        <f t="shared" si="164"/>
        <v>1.7033529764115894E-2</v>
      </c>
      <c r="AW359" s="117">
        <f t="shared" si="165"/>
        <v>105</v>
      </c>
      <c r="AX359" s="111">
        <f t="shared" si="166"/>
        <v>1</v>
      </c>
      <c r="AY359" s="111">
        <f t="shared" si="167"/>
        <v>1</v>
      </c>
      <c r="AZ359" s="111">
        <f t="shared" si="168"/>
        <v>1</v>
      </c>
      <c r="BA359" s="111">
        <f t="shared" si="169"/>
        <v>1.7930031330648313E-2</v>
      </c>
      <c r="BB359" s="111">
        <f t="shared" si="170"/>
        <v>0</v>
      </c>
      <c r="BC359" s="111">
        <f t="shared" si="171"/>
        <v>0</v>
      </c>
      <c r="BD359" s="111">
        <v>0</v>
      </c>
      <c r="BE359" s="111">
        <f t="shared" si="172"/>
        <v>1.7930031330648313E-2</v>
      </c>
      <c r="BF359" s="6" t="str">
        <f t="shared" si="173"/>
        <v>OK</v>
      </c>
      <c r="BG359" s="16">
        <f t="shared" si="174"/>
        <v>63.625549371390676</v>
      </c>
      <c r="BH359" s="118">
        <f t="shared" si="175"/>
        <v>2.1193803644775273</v>
      </c>
      <c r="BI359" s="108">
        <f t="shared" si="176"/>
        <v>0</v>
      </c>
      <c r="BJ359" s="6">
        <f t="shared" si="177"/>
        <v>1.2440309817761237</v>
      </c>
      <c r="BK359" s="108">
        <f t="shared" si="178"/>
        <v>0</v>
      </c>
      <c r="BL359" s="118" cm="1">
        <f t="array" ref="BL359">IF(AO359=0,FactorPhi7121(BH359,"a"),noisuy2chieu(BK359,BH359,Data!$A$63:$M$85))</f>
        <v>0.86214274110469236</v>
      </c>
      <c r="BM359" s="111">
        <v>1.26</v>
      </c>
      <c r="BN359" s="118">
        <f t="shared" si="179"/>
        <v>0.99234892487078519</v>
      </c>
      <c r="BO359" s="108">
        <f t="shared" si="180"/>
        <v>4.2388232247272076E-2</v>
      </c>
      <c r="BP359" s="6" t="str">
        <f t="shared" si="181"/>
        <v>OK</v>
      </c>
      <c r="BQ359" s="16">
        <f t="shared" si="182"/>
        <v>127.25109874278135</v>
      </c>
      <c r="BR359" s="118">
        <f t="shared" si="183"/>
        <v>4.2387607289550546</v>
      </c>
      <c r="BS359" s="108">
        <f t="shared" si="184"/>
        <v>0</v>
      </c>
      <c r="BT359" s="118">
        <f t="shared" si="185"/>
        <v>1.1380619635522473</v>
      </c>
      <c r="BU359" s="108">
        <f t="shared" si="186"/>
        <v>0</v>
      </c>
      <c r="BV359" s="6" cm="1">
        <f t="array" ref="BV359">IF(AP359=0,FactorPhi7121(BR359,"a"),noisuy2chieu(BU359,BR359,Data!$A$63:$M$85))</f>
        <v>0.42299549615688942</v>
      </c>
      <c r="BW359" s="111">
        <v>1.26</v>
      </c>
      <c r="BX359" s="111">
        <f t="shared" si="187"/>
        <v>0.96939569948314086</v>
      </c>
      <c r="BY359" s="113">
        <f t="shared" si="188"/>
        <v>2.0797056538078559E-2</v>
      </c>
      <c r="BZ359" s="6" t="str">
        <f t="shared" si="189"/>
        <v>OK</v>
      </c>
      <c r="CA359" s="114">
        <f t="shared" si="190"/>
        <v>127.25109874278135</v>
      </c>
      <c r="CB359" s="115">
        <f t="shared" si="191"/>
        <v>150</v>
      </c>
      <c r="CC359" s="6" t="str">
        <f t="shared" si="192"/>
        <v>OK</v>
      </c>
    </row>
    <row r="360" spans="27:81">
      <c r="AA360" s="79" t="s">
        <v>175</v>
      </c>
      <c r="AB360" s="80" t="s">
        <v>200</v>
      </c>
      <c r="AC360" s="81">
        <v>2.74</v>
      </c>
      <c r="AD360" s="81">
        <v>6</v>
      </c>
      <c r="AE360" s="80">
        <v>273</v>
      </c>
      <c r="AF360" s="80">
        <v>6.35</v>
      </c>
      <c r="AG360" s="108" cm="1">
        <f t="array" ref="AG360">_xll.DCEPropSectPipe(AE360, AF360, "Area")/100</f>
        <v>53.19431074856206</v>
      </c>
      <c r="AH360" s="16" cm="1">
        <f t="array" ref="AH360">_xll.DCEPropSectPipe(AE360, AF360, "Ix")/10000</f>
        <v>4730.4733077169503</v>
      </c>
      <c r="AI360" s="16" cm="1">
        <f t="array" ref="AI360">_xll.DCEPropSectPipe(AE360, AF360, "Wx")/1000</f>
        <v>346.55482107816493</v>
      </c>
      <c r="AJ360" s="108">
        <f t="shared" si="161"/>
        <v>9.4301739777164251</v>
      </c>
      <c r="AK360" s="80" t="s">
        <v>214</v>
      </c>
      <c r="AL360" s="82">
        <v>-19.363296803662529</v>
      </c>
      <c r="AM360" s="82">
        <v>-0.93874954005356614</v>
      </c>
      <c r="AN360" s="82">
        <v>0.35612867365558593</v>
      </c>
      <c r="AO360" s="82">
        <v>-0.9765048231636162</v>
      </c>
      <c r="AP360" s="82">
        <v>2.5740512388268795</v>
      </c>
      <c r="AQ360" s="82">
        <v>2.1605078885892706E-2</v>
      </c>
      <c r="AR360" s="72">
        <v>1</v>
      </c>
      <c r="AS360" s="116">
        <f t="shared" si="162"/>
        <v>6</v>
      </c>
      <c r="AT360" s="82">
        <v>2</v>
      </c>
      <c r="AU360" s="6">
        <f t="shared" si="163"/>
        <v>12</v>
      </c>
      <c r="AV360" s="111">
        <f t="shared" si="164"/>
        <v>1.5925466901235027E-2</v>
      </c>
      <c r="AW360" s="117">
        <f t="shared" si="165"/>
        <v>105</v>
      </c>
      <c r="AX360" s="111">
        <f t="shared" si="166"/>
        <v>1</v>
      </c>
      <c r="AY360" s="111">
        <f t="shared" si="167"/>
        <v>1</v>
      </c>
      <c r="AZ360" s="111">
        <f t="shared" si="168"/>
        <v>1</v>
      </c>
      <c r="BA360" s="111">
        <f t="shared" si="169"/>
        <v>1.6763649369721082E-2</v>
      </c>
      <c r="BB360" s="111">
        <f t="shared" si="170"/>
        <v>1.2976479945167497E-2</v>
      </c>
      <c r="BC360" s="111">
        <f t="shared" si="171"/>
        <v>3.4205795492393519E-2</v>
      </c>
      <c r="BD360" s="111">
        <v>0</v>
      </c>
      <c r="BE360" s="111">
        <f t="shared" si="172"/>
        <v>6.394592480728209E-2</v>
      </c>
      <c r="BF360" s="6" t="str">
        <f t="shared" si="173"/>
        <v>OK</v>
      </c>
      <c r="BG360" s="16">
        <f t="shared" si="174"/>
        <v>63.625549371390676</v>
      </c>
      <c r="BH360" s="118">
        <f t="shared" si="175"/>
        <v>2.1193803644775273</v>
      </c>
      <c r="BI360" s="108">
        <f t="shared" si="176"/>
        <v>0.77408442869283201</v>
      </c>
      <c r="BJ360" s="6">
        <f t="shared" si="177"/>
        <v>1.221732553727676</v>
      </c>
      <c r="BK360" s="108">
        <f t="shared" si="178"/>
        <v>0.94572414586772269</v>
      </c>
      <c r="BL360" s="118" cm="1">
        <f t="array" ref="BL360">IF(AO360=0,FactorPhi7121(BH360,"a"),noisuy2chieu(BK360,BH360,Data!$A$63:$M$85))</f>
        <v>0</v>
      </c>
      <c r="BM360" s="111">
        <v>1.26</v>
      </c>
      <c r="BN360" s="118">
        <f t="shared" si="179"/>
        <v>0.99284664157009517</v>
      </c>
      <c r="BO360" s="108" t="e">
        <f t="shared" si="180"/>
        <v>#DIV/0!</v>
      </c>
      <c r="BP360" s="6" t="e">
        <f t="shared" si="181"/>
        <v>#DIV/0!</v>
      </c>
      <c r="BQ360" s="16">
        <f t="shared" si="182"/>
        <v>127.25109874278135</v>
      </c>
      <c r="BR360" s="118">
        <f t="shared" si="183"/>
        <v>4.2387607289550546</v>
      </c>
      <c r="BS360" s="108">
        <f t="shared" si="184"/>
        <v>2.040474286832608</v>
      </c>
      <c r="BT360" s="118">
        <f t="shared" si="185"/>
        <v>1.1225290719653032</v>
      </c>
      <c r="BU360" s="108">
        <f t="shared" si="186"/>
        <v>2.2904917075672713</v>
      </c>
      <c r="BV360" s="6" cm="1">
        <f t="array" ref="BV360">IF(AP360=0,FactorPhi7121(BR360,"a"),noisuy2chieu(BU360,BR360,Data!$A$63:$M$85))</f>
        <v>0</v>
      </c>
      <c r="BW360" s="111">
        <v>1.26</v>
      </c>
      <c r="BX360" s="111">
        <f t="shared" si="187"/>
        <v>0.97138656628038078</v>
      </c>
      <c r="BY360" s="113" t="e">
        <f t="shared" si="188"/>
        <v>#DIV/0!</v>
      </c>
      <c r="BZ360" s="6" t="e">
        <f t="shared" si="189"/>
        <v>#DIV/0!</v>
      </c>
      <c r="CA360" s="114">
        <f t="shared" si="190"/>
        <v>127.25109874278135</v>
      </c>
      <c r="CB360" s="115" t="e">
        <f t="shared" si="191"/>
        <v>#DIV/0!</v>
      </c>
      <c r="CC360" s="6" t="e">
        <f t="shared" si="192"/>
        <v>#DIV/0!</v>
      </c>
    </row>
    <row r="361" spans="27:81">
      <c r="AA361" s="79" t="s">
        <v>175</v>
      </c>
      <c r="AB361" s="80" t="s">
        <v>200</v>
      </c>
      <c r="AC361" s="81">
        <v>5.48</v>
      </c>
      <c r="AD361" s="81">
        <v>6</v>
      </c>
      <c r="AE361" s="80">
        <v>273</v>
      </c>
      <c r="AF361" s="80">
        <v>6.35</v>
      </c>
      <c r="AG361" s="108" cm="1">
        <f t="array" ref="AG361">_xll.DCEPropSectPipe(AE361, AF361, "Area")/100</f>
        <v>53.19431074856206</v>
      </c>
      <c r="AH361" s="16" cm="1">
        <f t="array" ref="AH361">_xll.DCEPropSectPipe(AE361, AF361, "Ix")/10000</f>
        <v>4730.4733077169503</v>
      </c>
      <c r="AI361" s="16" cm="1">
        <f t="array" ref="AI361">_xll.DCEPropSectPipe(AE361, AF361, "Wx")/1000</f>
        <v>346.55482107816493</v>
      </c>
      <c r="AJ361" s="108">
        <f t="shared" si="161"/>
        <v>9.4301739777164251</v>
      </c>
      <c r="AK361" s="80" t="s">
        <v>214</v>
      </c>
      <c r="AL361" s="82">
        <v>-18.016036454930497</v>
      </c>
      <c r="AM361" s="82">
        <v>-0.93874954005356614</v>
      </c>
      <c r="AN361" s="82">
        <v>0.35612867365558593</v>
      </c>
      <c r="AO361" s="82">
        <v>-1.9530096463272324</v>
      </c>
      <c r="AP361" s="82">
        <v>5.1481024776537589</v>
      </c>
      <c r="AQ361" s="82">
        <v>2.1605078885892706E-2</v>
      </c>
      <c r="AR361" s="72">
        <v>1</v>
      </c>
      <c r="AS361" s="116">
        <f t="shared" si="162"/>
        <v>6</v>
      </c>
      <c r="AT361" s="82">
        <v>2</v>
      </c>
      <c r="AU361" s="6">
        <f t="shared" si="163"/>
        <v>12</v>
      </c>
      <c r="AV361" s="111">
        <f t="shared" si="164"/>
        <v>1.4817404038354154E-2</v>
      </c>
      <c r="AW361" s="117">
        <f t="shared" si="165"/>
        <v>105</v>
      </c>
      <c r="AX361" s="111">
        <f t="shared" si="166"/>
        <v>1</v>
      </c>
      <c r="AY361" s="111">
        <f t="shared" si="167"/>
        <v>1</v>
      </c>
      <c r="AZ361" s="111">
        <f t="shared" si="168"/>
        <v>1</v>
      </c>
      <c r="BA361" s="111">
        <f t="shared" si="169"/>
        <v>1.5597267408793849E-2</v>
      </c>
      <c r="BB361" s="111">
        <f t="shared" si="170"/>
        <v>2.5952959890334994E-2</v>
      </c>
      <c r="BC361" s="111">
        <f t="shared" si="171"/>
        <v>6.8411590984787038E-2</v>
      </c>
      <c r="BD361" s="111">
        <v>0</v>
      </c>
      <c r="BE361" s="111">
        <f t="shared" si="172"/>
        <v>0.10996181828391588</v>
      </c>
      <c r="BF361" s="6" t="str">
        <f t="shared" si="173"/>
        <v>OK</v>
      </c>
      <c r="BG361" s="16">
        <f t="shared" si="174"/>
        <v>63.625549371390676</v>
      </c>
      <c r="BH361" s="118">
        <f t="shared" si="175"/>
        <v>2.1193803644775273</v>
      </c>
      <c r="BI361" s="108">
        <f t="shared" si="176"/>
        <v>1.6639427413870291</v>
      </c>
      <c r="BJ361" s="6">
        <f t="shared" si="177"/>
        <v>1.196099120443878</v>
      </c>
      <c r="BK361" s="108">
        <f t="shared" si="178"/>
        <v>1.9902404494420007</v>
      </c>
      <c r="BL361" s="118" cm="1">
        <f t="array" ref="BL361">IF(AO361=0,FactorPhi7121(BH361,"a"),noisuy2chieu(BK361,BH361,Data!$A$63:$M$85))</f>
        <v>0</v>
      </c>
      <c r="BM361" s="111">
        <v>1.26</v>
      </c>
      <c r="BN361" s="118">
        <f t="shared" si="179"/>
        <v>0.99334435826940526</v>
      </c>
      <c r="BO361" s="108" t="e">
        <f t="shared" si="180"/>
        <v>#DIV/0!</v>
      </c>
      <c r="BP361" s="6" t="e">
        <f t="shared" si="181"/>
        <v>#DIV/0!</v>
      </c>
      <c r="BQ361" s="16">
        <f t="shared" si="182"/>
        <v>127.25109874278135</v>
      </c>
      <c r="BR361" s="118">
        <f t="shared" si="183"/>
        <v>4.2387607289550546</v>
      </c>
      <c r="BS361" s="108">
        <f t="shared" si="184"/>
        <v>4.3861266971813349</v>
      </c>
      <c r="BT361" s="118">
        <f t="shared" si="185"/>
        <v>1.1046730446555164</v>
      </c>
      <c r="BU361" s="108">
        <f t="shared" si="186"/>
        <v>4.8452359328201497</v>
      </c>
      <c r="BV361" s="6" cm="1">
        <f t="array" ref="BV361">IF(AP361=0,FactorPhi7121(BR361,"a"),noisuy2chieu(BU361,BR361,Data!$A$63:$M$85))</f>
        <v>0</v>
      </c>
      <c r="BW361" s="111">
        <v>1.26</v>
      </c>
      <c r="BX361" s="111">
        <f t="shared" si="187"/>
        <v>0.97337743307762081</v>
      </c>
      <c r="BY361" s="113" t="e">
        <f t="shared" si="188"/>
        <v>#DIV/0!</v>
      </c>
      <c r="BZ361" s="6" t="e">
        <f t="shared" si="189"/>
        <v>#DIV/0!</v>
      </c>
      <c r="CA361" s="114">
        <f t="shared" si="190"/>
        <v>127.25109874278135</v>
      </c>
      <c r="CB361" s="115" t="e">
        <f t="shared" si="191"/>
        <v>#DIV/0!</v>
      </c>
      <c r="CC361" s="6" t="e">
        <f t="shared" si="192"/>
        <v>#DIV/0!</v>
      </c>
    </row>
    <row r="362" spans="27:81">
      <c r="AA362" s="79" t="s">
        <v>175</v>
      </c>
      <c r="AB362" s="80" t="s">
        <v>200</v>
      </c>
      <c r="AC362" s="81">
        <v>0</v>
      </c>
      <c r="AD362" s="81">
        <v>6</v>
      </c>
      <c r="AE362" s="80">
        <v>273</v>
      </c>
      <c r="AF362" s="80">
        <v>6.35</v>
      </c>
      <c r="AG362" s="108" cm="1">
        <f t="array" ref="AG362">_xll.DCEPropSectPipe(AE362, AF362, "Area")/100</f>
        <v>53.19431074856206</v>
      </c>
      <c r="AH362" s="16" cm="1">
        <f t="array" ref="AH362">_xll.DCEPropSectPipe(AE362, AF362, "Ix")/10000</f>
        <v>4730.4733077169503</v>
      </c>
      <c r="AI362" s="16" cm="1">
        <f t="array" ref="AI362">_xll.DCEPropSectPipe(AE362, AF362, "Wx")/1000</f>
        <v>346.55482107816493</v>
      </c>
      <c r="AJ362" s="108">
        <f t="shared" si="161"/>
        <v>9.4301739777164251</v>
      </c>
      <c r="AK362" s="80" t="s">
        <v>215</v>
      </c>
      <c r="AL362" s="82">
        <v>-91.21695343802925</v>
      </c>
      <c r="AM362" s="82">
        <v>-9.9886161920282426</v>
      </c>
      <c r="AN362" s="82">
        <v>3.2842336920282365</v>
      </c>
      <c r="AO362" s="82">
        <v>0</v>
      </c>
      <c r="AP362" s="82">
        <v>0</v>
      </c>
      <c r="AQ362" s="82">
        <v>-0.19847926534642801</v>
      </c>
      <c r="AR362" s="72">
        <v>1</v>
      </c>
      <c r="AS362" s="116">
        <f t="shared" si="162"/>
        <v>6</v>
      </c>
      <c r="AT362" s="82">
        <v>2</v>
      </c>
      <c r="AU362" s="6">
        <f t="shared" si="163"/>
        <v>12</v>
      </c>
      <c r="AV362" s="111">
        <f t="shared" si="164"/>
        <v>7.5021964882243677E-2</v>
      </c>
      <c r="AW362" s="117">
        <f t="shared" si="165"/>
        <v>105</v>
      </c>
      <c r="AX362" s="111">
        <f t="shared" si="166"/>
        <v>1</v>
      </c>
      <c r="AY362" s="111">
        <f t="shared" si="167"/>
        <v>1</v>
      </c>
      <c r="AZ362" s="111">
        <f t="shared" si="168"/>
        <v>1</v>
      </c>
      <c r="BA362" s="111">
        <f t="shared" si="169"/>
        <v>7.8970489349730194E-2</v>
      </c>
      <c r="BB362" s="111">
        <f t="shared" si="170"/>
        <v>0</v>
      </c>
      <c r="BC362" s="111">
        <f t="shared" si="171"/>
        <v>0</v>
      </c>
      <c r="BD362" s="111">
        <v>0</v>
      </c>
      <c r="BE362" s="111">
        <f t="shared" si="172"/>
        <v>7.8970489349730194E-2</v>
      </c>
      <c r="BF362" s="6" t="str">
        <f t="shared" si="173"/>
        <v>OK</v>
      </c>
      <c r="BG362" s="16">
        <f t="shared" si="174"/>
        <v>63.625549371390676</v>
      </c>
      <c r="BH362" s="118">
        <f t="shared" si="175"/>
        <v>2.1193803644775273</v>
      </c>
      <c r="BI362" s="108">
        <f t="shared" si="176"/>
        <v>0</v>
      </c>
      <c r="BJ362" s="6">
        <f t="shared" si="177"/>
        <v>1.2440309817761237</v>
      </c>
      <c r="BK362" s="108">
        <f t="shared" si="178"/>
        <v>0</v>
      </c>
      <c r="BL362" s="118" cm="1">
        <f t="array" ref="BL362">IF(AO362=0,FactorPhi7121(BH362,"a"),noisuy2chieu(BK362,BH362,Data!$A$63:$M$85))</f>
        <v>0.86214274110469236</v>
      </c>
      <c r="BM362" s="111">
        <v>1.26</v>
      </c>
      <c r="BN362" s="118">
        <f t="shared" si="179"/>
        <v>0.96630183540321812</v>
      </c>
      <c r="BO362" s="108">
        <f t="shared" si="180"/>
        <v>0.18669345198049098</v>
      </c>
      <c r="BP362" s="6" t="str">
        <f t="shared" si="181"/>
        <v>OK</v>
      </c>
      <c r="BQ362" s="16">
        <f t="shared" si="182"/>
        <v>127.25109874278135</v>
      </c>
      <c r="BR362" s="118">
        <f t="shared" si="183"/>
        <v>4.2387607289550546</v>
      </c>
      <c r="BS362" s="108">
        <f t="shared" si="184"/>
        <v>0</v>
      </c>
      <c r="BT362" s="118">
        <f t="shared" si="185"/>
        <v>1.1380619635522473</v>
      </c>
      <c r="BU362" s="108">
        <f t="shared" si="186"/>
        <v>0</v>
      </c>
      <c r="BV362" s="6" cm="1">
        <f t="array" ref="BV362">IF(AP362=0,FactorPhi7121(BR362,"a"),noisuy2chieu(BU362,BR362,Data!$A$63:$M$85))</f>
        <v>0.42299549615688942</v>
      </c>
      <c r="BW362" s="111">
        <v>1.26</v>
      </c>
      <c r="BX362" s="111">
        <f t="shared" si="187"/>
        <v>0.86520734161287272</v>
      </c>
      <c r="BY362" s="113">
        <f t="shared" si="188"/>
        <v>9.1597928724125949E-2</v>
      </c>
      <c r="BZ362" s="6" t="str">
        <f t="shared" si="189"/>
        <v>OK</v>
      </c>
      <c r="CA362" s="114">
        <f t="shared" si="190"/>
        <v>127.25109874278135</v>
      </c>
      <c r="CB362" s="115">
        <f t="shared" si="191"/>
        <v>150</v>
      </c>
      <c r="CC362" s="6" t="str">
        <f t="shared" si="192"/>
        <v>OK</v>
      </c>
    </row>
    <row r="363" spans="27:81">
      <c r="AA363" s="79" t="s">
        <v>175</v>
      </c>
      <c r="AB363" s="80" t="s">
        <v>200</v>
      </c>
      <c r="AC363" s="81">
        <v>2.74</v>
      </c>
      <c r="AD363" s="81">
        <v>6</v>
      </c>
      <c r="AE363" s="80">
        <v>273</v>
      </c>
      <c r="AF363" s="80">
        <v>6.35</v>
      </c>
      <c r="AG363" s="108" cm="1">
        <f t="array" ref="AG363">_xll.DCEPropSectPipe(AE363, AF363, "Area")/100</f>
        <v>53.19431074856206</v>
      </c>
      <c r="AH363" s="16" cm="1">
        <f t="array" ref="AH363">_xll.DCEPropSectPipe(AE363, AF363, "Ix")/10000</f>
        <v>4730.4733077169503</v>
      </c>
      <c r="AI363" s="16" cm="1">
        <f t="array" ref="AI363">_xll.DCEPropSectPipe(AE363, AF363, "Wx")/1000</f>
        <v>346.55482107816493</v>
      </c>
      <c r="AJ363" s="108">
        <f t="shared" si="161"/>
        <v>9.4301739777164251</v>
      </c>
      <c r="AK363" s="80" t="s">
        <v>215</v>
      </c>
      <c r="AL363" s="82">
        <v>-89.869693089297229</v>
      </c>
      <c r="AM363" s="82">
        <v>-9.9886161920282426</v>
      </c>
      <c r="AN363" s="82">
        <v>3.2842336920282365</v>
      </c>
      <c r="AO363" s="82">
        <v>-9.0053687835414227</v>
      </c>
      <c r="AP363" s="82">
        <v>27.388785598541439</v>
      </c>
      <c r="AQ363" s="82">
        <v>-0.19847926534642801</v>
      </c>
      <c r="AR363" s="72">
        <v>1</v>
      </c>
      <c r="AS363" s="116">
        <f t="shared" si="162"/>
        <v>6</v>
      </c>
      <c r="AT363" s="82">
        <v>2</v>
      </c>
      <c r="AU363" s="6">
        <f t="shared" si="163"/>
        <v>12</v>
      </c>
      <c r="AV363" s="111">
        <f t="shared" si="164"/>
        <v>7.391390201936282E-2</v>
      </c>
      <c r="AW363" s="117">
        <f t="shared" si="165"/>
        <v>105</v>
      </c>
      <c r="AX363" s="111">
        <f t="shared" si="166"/>
        <v>1</v>
      </c>
      <c r="AY363" s="111">
        <f t="shared" si="167"/>
        <v>1</v>
      </c>
      <c r="AZ363" s="111">
        <f t="shared" si="168"/>
        <v>1</v>
      </c>
      <c r="BA363" s="111">
        <f t="shared" si="169"/>
        <v>7.7804107388802973E-2</v>
      </c>
      <c r="BB363" s="111">
        <f t="shared" si="170"/>
        <v>0.11966964693515168</v>
      </c>
      <c r="BC363" s="111">
        <f t="shared" si="171"/>
        <v>0.36396136364235382</v>
      </c>
      <c r="BD363" s="111">
        <v>0</v>
      </c>
      <c r="BE363" s="111">
        <f t="shared" si="172"/>
        <v>0.56143511796630841</v>
      </c>
      <c r="BF363" s="6" t="str">
        <f t="shared" si="173"/>
        <v>OK</v>
      </c>
      <c r="BG363" s="16">
        <f t="shared" si="174"/>
        <v>63.625549371390676</v>
      </c>
      <c r="BH363" s="118">
        <f t="shared" si="175"/>
        <v>2.1193803644775273</v>
      </c>
      <c r="BI363" s="108">
        <f t="shared" si="176"/>
        <v>1.5380890669066878</v>
      </c>
      <c r="BJ363" s="6">
        <f t="shared" si="177"/>
        <v>1.1997244861029852</v>
      </c>
      <c r="BK363" s="108">
        <f t="shared" si="178"/>
        <v>1.845283115375246</v>
      </c>
      <c r="BL363" s="118" cm="1">
        <f t="array" ref="BL363">IF(AO363=0,FactorPhi7121(BH363,"a"),noisuy2chieu(BK363,BH363,Data!$A$63:$M$85))</f>
        <v>0</v>
      </c>
      <c r="BM363" s="111">
        <v>1.26</v>
      </c>
      <c r="BN363" s="118">
        <f t="shared" si="179"/>
        <v>0.9667995521025281</v>
      </c>
      <c r="BO363" s="108" t="e">
        <f t="shared" si="180"/>
        <v>#DIV/0!</v>
      </c>
      <c r="BP363" s="6" t="e">
        <f t="shared" si="181"/>
        <v>#DIV/0!</v>
      </c>
      <c r="BQ363" s="16">
        <f t="shared" si="182"/>
        <v>127.25109874278135</v>
      </c>
      <c r="BR363" s="118">
        <f t="shared" si="183"/>
        <v>4.2387607289550546</v>
      </c>
      <c r="BS363" s="108">
        <f t="shared" si="184"/>
        <v>4.6779196607650135</v>
      </c>
      <c r="BT363" s="118">
        <f t="shared" si="185"/>
        <v>1.1024518020265714</v>
      </c>
      <c r="BU363" s="108">
        <f t="shared" si="186"/>
        <v>5.1571809597459168</v>
      </c>
      <c r="BV363" s="6" cm="1">
        <f t="array" ref="BV363">IF(AP363=0,FactorPhi7121(BR363,"a"),noisuy2chieu(BU363,BR363,Data!$A$63:$M$85))</f>
        <v>0</v>
      </c>
      <c r="BW363" s="111">
        <v>1.26</v>
      </c>
      <c r="BX363" s="111">
        <f t="shared" si="187"/>
        <v>0.86719820841011264</v>
      </c>
      <c r="BY363" s="113" t="e">
        <f t="shared" si="188"/>
        <v>#DIV/0!</v>
      </c>
      <c r="BZ363" s="6" t="e">
        <f t="shared" si="189"/>
        <v>#DIV/0!</v>
      </c>
      <c r="CA363" s="114">
        <f t="shared" si="190"/>
        <v>127.25109874278135</v>
      </c>
      <c r="CB363" s="115" t="e">
        <f t="shared" si="191"/>
        <v>#DIV/0!</v>
      </c>
      <c r="CC363" s="6" t="e">
        <f t="shared" si="192"/>
        <v>#DIV/0!</v>
      </c>
    </row>
    <row r="364" spans="27:81">
      <c r="AA364" s="79" t="s">
        <v>175</v>
      </c>
      <c r="AB364" s="80" t="s">
        <v>200</v>
      </c>
      <c r="AC364" s="81">
        <v>5.48</v>
      </c>
      <c r="AD364" s="81">
        <v>6</v>
      </c>
      <c r="AE364" s="80">
        <v>273</v>
      </c>
      <c r="AF364" s="80">
        <v>6.35</v>
      </c>
      <c r="AG364" s="108" cm="1">
        <f t="array" ref="AG364">_xll.DCEPropSectPipe(AE364, AF364, "Area")/100</f>
        <v>53.19431074856206</v>
      </c>
      <c r="AH364" s="16" cm="1">
        <f t="array" ref="AH364">_xll.DCEPropSectPipe(AE364, AF364, "Ix")/10000</f>
        <v>4730.4733077169503</v>
      </c>
      <c r="AI364" s="16" cm="1">
        <f t="array" ref="AI364">_xll.DCEPropSectPipe(AE364, AF364, "Wx")/1000</f>
        <v>346.55482107816493</v>
      </c>
      <c r="AJ364" s="108">
        <f t="shared" si="161"/>
        <v>9.4301739777164251</v>
      </c>
      <c r="AK364" s="80" t="s">
        <v>215</v>
      </c>
      <c r="AL364" s="82">
        <v>-88.522432740565193</v>
      </c>
      <c r="AM364" s="82">
        <v>-9.9886161920282426</v>
      </c>
      <c r="AN364" s="82">
        <v>3.2842336920282365</v>
      </c>
      <c r="AO364" s="82">
        <v>-18.010737567082845</v>
      </c>
      <c r="AP364" s="82">
        <v>54.777571197082878</v>
      </c>
      <c r="AQ364" s="82">
        <v>-0.19847926534642801</v>
      </c>
      <c r="AR364" s="72">
        <v>1</v>
      </c>
      <c r="AS364" s="116">
        <f t="shared" si="162"/>
        <v>6</v>
      </c>
      <c r="AT364" s="82">
        <v>2</v>
      </c>
      <c r="AU364" s="6">
        <f t="shared" si="163"/>
        <v>12</v>
      </c>
      <c r="AV364" s="111">
        <f t="shared" si="164"/>
        <v>7.2805839156481936E-2</v>
      </c>
      <c r="AW364" s="117">
        <f t="shared" si="165"/>
        <v>105</v>
      </c>
      <c r="AX364" s="111">
        <f t="shared" si="166"/>
        <v>1</v>
      </c>
      <c r="AY364" s="111">
        <f t="shared" si="167"/>
        <v>1</v>
      </c>
      <c r="AZ364" s="111">
        <f t="shared" si="168"/>
        <v>1</v>
      </c>
      <c r="BA364" s="111">
        <f t="shared" si="169"/>
        <v>7.6637725427875725E-2</v>
      </c>
      <c r="BB364" s="111">
        <f t="shared" si="170"/>
        <v>0.23933929387030337</v>
      </c>
      <c r="BC364" s="111">
        <f t="shared" si="171"/>
        <v>0.72792272728470764</v>
      </c>
      <c r="BD364" s="111">
        <v>0</v>
      </c>
      <c r="BE364" s="111">
        <f t="shared" si="172"/>
        <v>1.0438997465828868</v>
      </c>
      <c r="BF364" s="6" t="str">
        <f t="shared" si="173"/>
        <v>Check</v>
      </c>
      <c r="BG364" s="16">
        <f t="shared" si="174"/>
        <v>63.625549371390676</v>
      </c>
      <c r="BH364" s="118">
        <f t="shared" si="175"/>
        <v>2.1193803644775273</v>
      </c>
      <c r="BI364" s="108">
        <f t="shared" si="176"/>
        <v>3.1229957900505179</v>
      </c>
      <c r="BJ364" s="6">
        <f t="shared" si="177"/>
        <v>1.1540693518313883</v>
      </c>
      <c r="BK364" s="108">
        <f t="shared" si="178"/>
        <v>3.6041537271957553</v>
      </c>
      <c r="BL364" s="118" cm="1">
        <f t="array" ref="BL364">IF(AO364=0,FactorPhi7121(BH364,"a"),noisuy2chieu(BK364,BH364,Data!$A$63:$M$85))</f>
        <v>0</v>
      </c>
      <c r="BM364" s="111">
        <v>1.26</v>
      </c>
      <c r="BN364" s="118">
        <f t="shared" si="179"/>
        <v>0.96729726880183819</v>
      </c>
      <c r="BO364" s="108" t="e">
        <f t="shared" si="180"/>
        <v>#DIV/0!</v>
      </c>
      <c r="BP364" s="6" t="e">
        <f t="shared" si="181"/>
        <v>#DIV/0!</v>
      </c>
      <c r="BQ364" s="16">
        <f t="shared" si="182"/>
        <v>127.25109874278135</v>
      </c>
      <c r="BR364" s="118">
        <f t="shared" si="183"/>
        <v>4.2387607289550546</v>
      </c>
      <c r="BS364" s="108">
        <f t="shared" si="184"/>
        <v>9.4982297976700867</v>
      </c>
      <c r="BT364" s="118">
        <f t="shared" si="185"/>
        <v>1.1000000000000001</v>
      </c>
      <c r="BU364" s="108">
        <f t="shared" si="186"/>
        <v>10.448052777437097</v>
      </c>
      <c r="BV364" s="6" cm="1">
        <f t="array" ref="BV364">IF(AP364=0,FactorPhi7121(BR364,"a"),noisuy2chieu(BU364,BR364,Data!$A$63:$M$85))</f>
        <v>0</v>
      </c>
      <c r="BW364" s="111">
        <v>1.26</v>
      </c>
      <c r="BX364" s="111">
        <f t="shared" si="187"/>
        <v>0.86918907520735256</v>
      </c>
      <c r="BY364" s="113" t="e">
        <f t="shared" si="188"/>
        <v>#DIV/0!</v>
      </c>
      <c r="BZ364" s="6" t="e">
        <f t="shared" si="189"/>
        <v>#DIV/0!</v>
      </c>
      <c r="CA364" s="114">
        <f t="shared" si="190"/>
        <v>127.25109874278135</v>
      </c>
      <c r="CB364" s="115" t="e">
        <f t="shared" si="191"/>
        <v>#DIV/0!</v>
      </c>
      <c r="CC364" s="6" t="e">
        <f t="shared" si="192"/>
        <v>#DIV/0!</v>
      </c>
    </row>
    <row r="365" spans="27:81">
      <c r="AA365" s="79" t="s">
        <v>175</v>
      </c>
      <c r="AB365" s="80" t="s">
        <v>200</v>
      </c>
      <c r="AC365" s="81">
        <v>0</v>
      </c>
      <c r="AD365" s="81">
        <v>6</v>
      </c>
      <c r="AE365" s="80">
        <v>273</v>
      </c>
      <c r="AF365" s="80">
        <v>6.35</v>
      </c>
      <c r="AG365" s="108" cm="1">
        <f t="array" ref="AG365">_xll.DCEPropSectPipe(AE365, AF365, "Area")/100</f>
        <v>53.19431074856206</v>
      </c>
      <c r="AH365" s="16" cm="1">
        <f t="array" ref="AH365">_xll.DCEPropSectPipe(AE365, AF365, "Ix")/10000</f>
        <v>4730.4733077169503</v>
      </c>
      <c r="AI365" s="16" cm="1">
        <f t="array" ref="AI365">_xll.DCEPropSectPipe(AE365, AF365, "Wx")/1000</f>
        <v>346.55482107816493</v>
      </c>
      <c r="AJ365" s="108">
        <f t="shared" si="161"/>
        <v>9.4301739777164251</v>
      </c>
      <c r="AK365" s="80" t="s">
        <v>216</v>
      </c>
      <c r="AL365" s="82">
        <v>-75.980978830954399</v>
      </c>
      <c r="AM365" s="82">
        <v>-9.9922104974811123</v>
      </c>
      <c r="AN365" s="82">
        <v>3.1199678191881635</v>
      </c>
      <c r="AO365" s="82">
        <v>0</v>
      </c>
      <c r="AP365" s="82">
        <v>0</v>
      </c>
      <c r="AQ365" s="82">
        <v>-0.23911369178719452</v>
      </c>
      <c r="AR365" s="72">
        <v>1</v>
      </c>
      <c r="AS365" s="116">
        <f t="shared" si="162"/>
        <v>6</v>
      </c>
      <c r="AT365" s="82">
        <v>2</v>
      </c>
      <c r="AU365" s="6">
        <f t="shared" si="163"/>
        <v>12</v>
      </c>
      <c r="AV365" s="111">
        <f t="shared" si="164"/>
        <v>6.2491040434133532E-2</v>
      </c>
      <c r="AW365" s="117">
        <f t="shared" si="165"/>
        <v>105</v>
      </c>
      <c r="AX365" s="111">
        <f t="shared" si="166"/>
        <v>1</v>
      </c>
      <c r="AY365" s="111">
        <f t="shared" si="167"/>
        <v>1</v>
      </c>
      <c r="AZ365" s="111">
        <f t="shared" si="168"/>
        <v>1</v>
      </c>
      <c r="BA365" s="111">
        <f t="shared" si="169"/>
        <v>6.578004256224583E-2</v>
      </c>
      <c r="BB365" s="111">
        <f t="shared" si="170"/>
        <v>0</v>
      </c>
      <c r="BC365" s="111">
        <f t="shared" si="171"/>
        <v>0</v>
      </c>
      <c r="BD365" s="111">
        <v>0</v>
      </c>
      <c r="BE365" s="111">
        <f t="shared" si="172"/>
        <v>6.578004256224583E-2</v>
      </c>
      <c r="BF365" s="6" t="str">
        <f t="shared" si="173"/>
        <v>OK</v>
      </c>
      <c r="BG365" s="16">
        <f t="shared" si="174"/>
        <v>63.625549371390676</v>
      </c>
      <c r="BH365" s="118">
        <f t="shared" si="175"/>
        <v>2.1193803644775273</v>
      </c>
      <c r="BI365" s="108">
        <f t="shared" si="176"/>
        <v>0</v>
      </c>
      <c r="BJ365" s="6">
        <f t="shared" si="177"/>
        <v>1.2440309817761237</v>
      </c>
      <c r="BK365" s="108">
        <f t="shared" si="178"/>
        <v>0</v>
      </c>
      <c r="BL365" s="118" cm="1">
        <f t="array" ref="BL365">IF(AO365=0,FactorPhi7121(BH365,"a"),noisuy2chieu(BK365,BH365,Data!$A$63:$M$85))</f>
        <v>0.86214274110469236</v>
      </c>
      <c r="BM365" s="111">
        <v>1.26</v>
      </c>
      <c r="BN365" s="118">
        <f t="shared" si="179"/>
        <v>0.97193044237539039</v>
      </c>
      <c r="BO365" s="108">
        <f t="shared" si="180"/>
        <v>0.15551003062653873</v>
      </c>
      <c r="BP365" s="6" t="str">
        <f t="shared" si="181"/>
        <v>OK</v>
      </c>
      <c r="BQ365" s="16">
        <f t="shared" si="182"/>
        <v>127.25109874278135</v>
      </c>
      <c r="BR365" s="118">
        <f t="shared" si="183"/>
        <v>4.2387607289550546</v>
      </c>
      <c r="BS365" s="108">
        <f t="shared" si="184"/>
        <v>0</v>
      </c>
      <c r="BT365" s="118">
        <f t="shared" si="185"/>
        <v>1.1380619635522473</v>
      </c>
      <c r="BU365" s="108">
        <f t="shared" si="186"/>
        <v>0</v>
      </c>
      <c r="BV365" s="6" cm="1">
        <f t="array" ref="BV365">IF(AP365=0,FactorPhi7121(BR365,"a"),noisuy2chieu(BU365,BR365,Data!$A$63:$M$85))</f>
        <v>0.42299549615688942</v>
      </c>
      <c r="BW365" s="111">
        <v>1.26</v>
      </c>
      <c r="BX365" s="111">
        <f t="shared" si="187"/>
        <v>0.88772176950156134</v>
      </c>
      <c r="BY365" s="113">
        <f t="shared" si="188"/>
        <v>7.6298319786303193E-2</v>
      </c>
      <c r="BZ365" s="6" t="str">
        <f t="shared" si="189"/>
        <v>OK</v>
      </c>
      <c r="CA365" s="114">
        <f t="shared" si="190"/>
        <v>127.25109874278135</v>
      </c>
      <c r="CB365" s="115">
        <f t="shared" si="191"/>
        <v>150</v>
      </c>
      <c r="CC365" s="6" t="str">
        <f t="shared" si="192"/>
        <v>OK</v>
      </c>
    </row>
    <row r="366" spans="27:81">
      <c r="AA366" s="79" t="s">
        <v>175</v>
      </c>
      <c r="AB366" s="80" t="s">
        <v>200</v>
      </c>
      <c r="AC366" s="81">
        <v>2.74</v>
      </c>
      <c r="AD366" s="81">
        <v>6</v>
      </c>
      <c r="AE366" s="80">
        <v>273</v>
      </c>
      <c r="AF366" s="80">
        <v>6.35</v>
      </c>
      <c r="AG366" s="108" cm="1">
        <f t="array" ref="AG366">_xll.DCEPropSectPipe(AE366, AF366, "Area")/100</f>
        <v>53.19431074856206</v>
      </c>
      <c r="AH366" s="16" cm="1">
        <f t="array" ref="AH366">_xll.DCEPropSectPipe(AE366, AF366, "Ix")/10000</f>
        <v>4730.4733077169503</v>
      </c>
      <c r="AI366" s="16" cm="1">
        <f t="array" ref="AI366">_xll.DCEPropSectPipe(AE366, AF366, "Wx")/1000</f>
        <v>346.55482107816493</v>
      </c>
      <c r="AJ366" s="108">
        <f t="shared" si="161"/>
        <v>9.4301739777164251</v>
      </c>
      <c r="AK366" s="80" t="s">
        <v>216</v>
      </c>
      <c r="AL366" s="82">
        <v>-74.633718482222363</v>
      </c>
      <c r="AM366" s="82">
        <v>-9.9922104974811123</v>
      </c>
      <c r="AN366" s="82">
        <v>3.1199678191881635</v>
      </c>
      <c r="AO366" s="82">
        <v>-8.5549517602139424</v>
      </c>
      <c r="AP366" s="82">
        <v>27.398641184093208</v>
      </c>
      <c r="AQ366" s="82">
        <v>-0.23911369178719452</v>
      </c>
      <c r="AR366" s="72">
        <v>1</v>
      </c>
      <c r="AS366" s="116">
        <f t="shared" si="162"/>
        <v>6</v>
      </c>
      <c r="AT366" s="82">
        <v>2</v>
      </c>
      <c r="AU366" s="6">
        <f t="shared" si="163"/>
        <v>12</v>
      </c>
      <c r="AV366" s="111">
        <f t="shared" si="164"/>
        <v>6.1382977571252655E-2</v>
      </c>
      <c r="AW366" s="117">
        <f t="shared" si="165"/>
        <v>105</v>
      </c>
      <c r="AX366" s="111">
        <f t="shared" si="166"/>
        <v>1</v>
      </c>
      <c r="AY366" s="111">
        <f t="shared" si="167"/>
        <v>1</v>
      </c>
      <c r="AZ366" s="111">
        <f t="shared" si="168"/>
        <v>1</v>
      </c>
      <c r="BA366" s="111">
        <f t="shared" si="169"/>
        <v>6.4613660601318582E-2</v>
      </c>
      <c r="BB366" s="111">
        <f t="shared" si="170"/>
        <v>0.11368419009814866</v>
      </c>
      <c r="BC366" s="111">
        <f t="shared" si="171"/>
        <v>0.3640923315651195</v>
      </c>
      <c r="BD366" s="111">
        <v>0</v>
      </c>
      <c r="BE366" s="111">
        <f t="shared" si="172"/>
        <v>0.54239018226458668</v>
      </c>
      <c r="BF366" s="6" t="str">
        <f t="shared" si="173"/>
        <v>OK</v>
      </c>
      <c r="BG366" s="16">
        <f t="shared" si="174"/>
        <v>63.625549371390676</v>
      </c>
      <c r="BH366" s="118">
        <f t="shared" si="175"/>
        <v>2.1193803644775273</v>
      </c>
      <c r="BI366" s="108">
        <f t="shared" si="176"/>
        <v>1.7594451241449813</v>
      </c>
      <c r="BJ366" s="6">
        <f t="shared" si="177"/>
        <v>1.1933480600537605</v>
      </c>
      <c r="BK366" s="108">
        <f t="shared" si="178"/>
        <v>2.0996304256694613</v>
      </c>
      <c r="BL366" s="118" cm="1">
        <f t="array" ref="BL366">IF(AO366=0,FactorPhi7121(BH366,"a"),noisuy2chieu(BK366,BH366,Data!$A$63:$M$85))</f>
        <v>0</v>
      </c>
      <c r="BM366" s="111">
        <v>1.26</v>
      </c>
      <c r="BN366" s="118">
        <f t="shared" si="179"/>
        <v>0.97242815907470037</v>
      </c>
      <c r="BO366" s="108" t="e">
        <f t="shared" si="180"/>
        <v>#DIV/0!</v>
      </c>
      <c r="BP366" s="6" t="e">
        <f t="shared" si="181"/>
        <v>#DIV/0!</v>
      </c>
      <c r="BQ366" s="16">
        <f t="shared" si="182"/>
        <v>127.25109874278135</v>
      </c>
      <c r="BR366" s="118">
        <f t="shared" si="183"/>
        <v>4.2387607289550546</v>
      </c>
      <c r="BS366" s="108">
        <f t="shared" si="184"/>
        <v>5.6349126202840365</v>
      </c>
      <c r="BT366" s="118">
        <f t="shared" si="185"/>
        <v>1.1000000000000001</v>
      </c>
      <c r="BU366" s="108">
        <f t="shared" si="186"/>
        <v>6.1984038823124408</v>
      </c>
      <c r="BV366" s="6" cm="1">
        <f t="array" ref="BV366">IF(AP366=0,FactorPhi7121(BR366,"a"),noisuy2chieu(BU366,BR366,Data!$A$63:$M$85))</f>
        <v>0</v>
      </c>
      <c r="BW366" s="111">
        <v>1.26</v>
      </c>
      <c r="BX366" s="111">
        <f t="shared" si="187"/>
        <v>0.88971263629880137</v>
      </c>
      <c r="BY366" s="113" t="e">
        <f t="shared" si="188"/>
        <v>#DIV/0!</v>
      </c>
      <c r="BZ366" s="6" t="e">
        <f t="shared" si="189"/>
        <v>#DIV/0!</v>
      </c>
      <c r="CA366" s="114">
        <f t="shared" si="190"/>
        <v>127.25109874278135</v>
      </c>
      <c r="CB366" s="115" t="e">
        <f t="shared" si="191"/>
        <v>#DIV/0!</v>
      </c>
      <c r="CC366" s="6" t="e">
        <f t="shared" si="192"/>
        <v>#DIV/0!</v>
      </c>
    </row>
    <row r="367" spans="27:81">
      <c r="AA367" s="79" t="s">
        <v>175</v>
      </c>
      <c r="AB367" s="80" t="s">
        <v>200</v>
      </c>
      <c r="AC367" s="81">
        <v>5.48</v>
      </c>
      <c r="AD367" s="81">
        <v>6</v>
      </c>
      <c r="AE367" s="80">
        <v>273</v>
      </c>
      <c r="AF367" s="80">
        <v>6.35</v>
      </c>
      <c r="AG367" s="108" cm="1">
        <f t="array" ref="AG367">_xll.DCEPropSectPipe(AE367, AF367, "Area")/100</f>
        <v>53.19431074856206</v>
      </c>
      <c r="AH367" s="16" cm="1">
        <f t="array" ref="AH367">_xll.DCEPropSectPipe(AE367, AF367, "Ix")/10000</f>
        <v>4730.4733077169503</v>
      </c>
      <c r="AI367" s="16" cm="1">
        <f t="array" ref="AI367">_xll.DCEPropSectPipe(AE367, AF367, "Wx")/1000</f>
        <v>346.55482107816493</v>
      </c>
      <c r="AJ367" s="108">
        <f t="shared" si="161"/>
        <v>9.4301739777164251</v>
      </c>
      <c r="AK367" s="80" t="s">
        <v>216</v>
      </c>
      <c r="AL367" s="82">
        <v>-73.286458133490328</v>
      </c>
      <c r="AM367" s="82">
        <v>-9.9922104974811123</v>
      </c>
      <c r="AN367" s="82">
        <v>3.1199678191881635</v>
      </c>
      <c r="AO367" s="82">
        <v>-17.109903520427885</v>
      </c>
      <c r="AP367" s="82">
        <v>54.797282368186416</v>
      </c>
      <c r="AQ367" s="82">
        <v>-0.23911369178719452</v>
      </c>
      <c r="AR367" s="72">
        <v>1</v>
      </c>
      <c r="AS367" s="116">
        <f t="shared" si="162"/>
        <v>6</v>
      </c>
      <c r="AT367" s="82">
        <v>2</v>
      </c>
      <c r="AU367" s="6">
        <f t="shared" si="163"/>
        <v>12</v>
      </c>
      <c r="AV367" s="111">
        <f t="shared" si="164"/>
        <v>6.0274914708371777E-2</v>
      </c>
      <c r="AW367" s="117">
        <f t="shared" si="165"/>
        <v>105</v>
      </c>
      <c r="AX367" s="111">
        <f t="shared" si="166"/>
        <v>1</v>
      </c>
      <c r="AY367" s="111">
        <f t="shared" si="167"/>
        <v>1</v>
      </c>
      <c r="AZ367" s="111">
        <f t="shared" si="168"/>
        <v>1</v>
      </c>
      <c r="BA367" s="111">
        <f t="shared" si="169"/>
        <v>6.3447278640391347E-2</v>
      </c>
      <c r="BB367" s="111">
        <f t="shared" si="170"/>
        <v>0.22736838019629732</v>
      </c>
      <c r="BC367" s="111">
        <f t="shared" si="171"/>
        <v>0.728184663130239</v>
      </c>
      <c r="BD367" s="111">
        <v>0</v>
      </c>
      <c r="BE367" s="111">
        <f t="shared" si="172"/>
        <v>1.0190003219669277</v>
      </c>
      <c r="BF367" s="6" t="str">
        <f t="shared" si="173"/>
        <v>Check</v>
      </c>
      <c r="BG367" s="16">
        <f t="shared" si="174"/>
        <v>63.625549371390676</v>
      </c>
      <c r="BH367" s="118">
        <f t="shared" si="175"/>
        <v>2.1193803644775273</v>
      </c>
      <c r="BI367" s="108">
        <f t="shared" si="176"/>
        <v>3.5835797069403661</v>
      </c>
      <c r="BJ367" s="6">
        <f t="shared" si="177"/>
        <v>1.140801681083401</v>
      </c>
      <c r="BK367" s="108">
        <f t="shared" si="178"/>
        <v>4.0881537539739314</v>
      </c>
      <c r="BL367" s="118" cm="1">
        <f t="array" ref="BL367">IF(AO367=0,FactorPhi7121(BH367,"a"),noisuy2chieu(BK367,BH367,Data!$A$63:$M$85))</f>
        <v>0</v>
      </c>
      <c r="BM367" s="111">
        <v>1.26</v>
      </c>
      <c r="BN367" s="118">
        <f t="shared" si="179"/>
        <v>0.97292587577401035</v>
      </c>
      <c r="BO367" s="108" t="e">
        <f t="shared" si="180"/>
        <v>#DIV/0!</v>
      </c>
      <c r="BP367" s="6" t="e">
        <f t="shared" si="181"/>
        <v>#DIV/0!</v>
      </c>
      <c r="BQ367" s="16">
        <f t="shared" si="182"/>
        <v>127.25109874278135</v>
      </c>
      <c r="BR367" s="118">
        <f t="shared" si="183"/>
        <v>4.2387607289550546</v>
      </c>
      <c r="BS367" s="108">
        <f t="shared" si="184"/>
        <v>11.477003879984654</v>
      </c>
      <c r="BT367" s="118">
        <f t="shared" si="185"/>
        <v>1.1000000000000001</v>
      </c>
      <c r="BU367" s="108">
        <f t="shared" si="186"/>
        <v>12.62470426798312</v>
      </c>
      <c r="BV367" s="6" cm="1">
        <f t="array" ref="BV367">IF(AP367=0,FactorPhi7121(BR367,"a"),noisuy2chieu(BU367,BR367,Data!$A$63:$M$85))</f>
        <v>0</v>
      </c>
      <c r="BW367" s="111">
        <v>1.26</v>
      </c>
      <c r="BX367" s="111">
        <f t="shared" si="187"/>
        <v>0.89170350309604141</v>
      </c>
      <c r="BY367" s="113" t="e">
        <f t="shared" si="188"/>
        <v>#DIV/0!</v>
      </c>
      <c r="BZ367" s="6" t="e">
        <f t="shared" si="189"/>
        <v>#DIV/0!</v>
      </c>
      <c r="CA367" s="114">
        <f t="shared" si="190"/>
        <v>127.25109874278135</v>
      </c>
      <c r="CB367" s="115" t="e">
        <f t="shared" si="191"/>
        <v>#DIV/0!</v>
      </c>
      <c r="CC367" s="6" t="e">
        <f t="shared" si="192"/>
        <v>#DIV/0!</v>
      </c>
    </row>
    <row r="368" spans="27:81">
      <c r="AA368" s="79" t="s">
        <v>175</v>
      </c>
      <c r="AB368" s="80" t="s">
        <v>200</v>
      </c>
      <c r="AC368" s="81">
        <v>0</v>
      </c>
      <c r="AD368" s="81">
        <v>6</v>
      </c>
      <c r="AE368" s="80">
        <v>273</v>
      </c>
      <c r="AF368" s="80">
        <v>6.35</v>
      </c>
      <c r="AG368" s="108" cm="1">
        <f t="array" ref="AG368">_xll.DCEPropSectPipe(AE368, AF368, "Area")/100</f>
        <v>53.19431074856206</v>
      </c>
      <c r="AH368" s="16" cm="1">
        <f t="array" ref="AH368">_xll.DCEPropSectPipe(AE368, AF368, "Ix")/10000</f>
        <v>4730.4733077169503</v>
      </c>
      <c r="AI368" s="16" cm="1">
        <f t="array" ref="AI368">_xll.DCEPropSectPipe(AE368, AF368, "Wx")/1000</f>
        <v>346.55482107816493</v>
      </c>
      <c r="AJ368" s="108">
        <f t="shared" si="161"/>
        <v>9.4301739777164251</v>
      </c>
      <c r="AK368" s="80" t="s">
        <v>217</v>
      </c>
      <c r="AL368" s="82">
        <v>0.68060909803750091</v>
      </c>
      <c r="AM368" s="82">
        <v>-0.23969640911925577</v>
      </c>
      <c r="AN368" s="82">
        <v>-4.2860442818570613E-2</v>
      </c>
      <c r="AO368" s="82">
        <v>0</v>
      </c>
      <c r="AP368" s="82">
        <v>0</v>
      </c>
      <c r="AQ368" s="82">
        <v>-3.7504865167894302E-3</v>
      </c>
      <c r="AR368" s="72">
        <v>1</v>
      </c>
      <c r="AS368" s="116">
        <f t="shared" si="162"/>
        <v>6</v>
      </c>
      <c r="AT368" s="82">
        <v>2</v>
      </c>
      <c r="AU368" s="6">
        <f t="shared" si="163"/>
        <v>12</v>
      </c>
      <c r="AV368" s="111">
        <f t="shared" si="164"/>
        <v>5.5977129170614527E-4</v>
      </c>
      <c r="AW368" s="117">
        <f t="shared" si="165"/>
        <v>105</v>
      </c>
      <c r="AX368" s="111">
        <f t="shared" si="166"/>
        <v>1</v>
      </c>
      <c r="AY368" s="111">
        <f t="shared" si="167"/>
        <v>1</v>
      </c>
      <c r="AZ368" s="111">
        <f t="shared" si="168"/>
        <v>1</v>
      </c>
      <c r="BA368" s="111">
        <f t="shared" si="169"/>
        <v>5.8923293863804758E-4</v>
      </c>
      <c r="BB368" s="111">
        <f t="shared" si="170"/>
        <v>0</v>
      </c>
      <c r="BC368" s="111">
        <f t="shared" si="171"/>
        <v>0</v>
      </c>
      <c r="BD368" s="111">
        <v>0</v>
      </c>
      <c r="BE368" s="111">
        <f t="shared" si="172"/>
        <v>5.8923293863804758E-4</v>
      </c>
      <c r="BF368" s="6" t="str">
        <f t="shared" si="173"/>
        <v>OK</v>
      </c>
      <c r="BG368" s="16">
        <f t="shared" si="174"/>
        <v>63.625549371390676</v>
      </c>
      <c r="BH368" s="118">
        <f t="shared" si="175"/>
        <v>2.1193803644775273</v>
      </c>
      <c r="BI368" s="108">
        <f t="shared" si="176"/>
        <v>0</v>
      </c>
      <c r="BJ368" s="6">
        <f t="shared" si="177"/>
        <v>1.2440309817761237</v>
      </c>
      <c r="BK368" s="108">
        <f t="shared" si="178"/>
        <v>0</v>
      </c>
      <c r="BL368" s="118" cm="1">
        <f t="array" ref="BL368">IF(AO368=0,FactorPhi7121(BH368,"a"),noisuy2chieu(BK368,BH368,Data!$A$63:$M$85))</f>
        <v>0.86214274110469236</v>
      </c>
      <c r="BM368" s="111">
        <v>1.26</v>
      </c>
      <c r="BN368" s="118">
        <f t="shared" si="179"/>
        <v>0.99974856343533425</v>
      </c>
      <c r="BO368" s="108">
        <f t="shared" si="180"/>
        <v>1.3930005023493218E-3</v>
      </c>
      <c r="BP368" s="6" t="str">
        <f t="shared" si="181"/>
        <v>OK</v>
      </c>
      <c r="BQ368" s="16">
        <f t="shared" si="182"/>
        <v>127.25109874278135</v>
      </c>
      <c r="BR368" s="118">
        <f t="shared" si="183"/>
        <v>4.2387607289550546</v>
      </c>
      <c r="BS368" s="108">
        <f t="shared" si="184"/>
        <v>0</v>
      </c>
      <c r="BT368" s="118">
        <f t="shared" si="185"/>
        <v>1.1380619635522473</v>
      </c>
      <c r="BU368" s="108">
        <f t="shared" si="186"/>
        <v>0</v>
      </c>
      <c r="BV368" s="6" cm="1">
        <f t="array" ref="BV368">IF(AP368=0,FactorPhi7121(BR368,"a"),noisuy2chieu(BU368,BR368,Data!$A$63:$M$85))</f>
        <v>0.42299549615688942</v>
      </c>
      <c r="BW368" s="111">
        <v>1.26</v>
      </c>
      <c r="BX368" s="111">
        <f t="shared" si="187"/>
        <v>0.99899425374133699</v>
      </c>
      <c r="BY368" s="113">
        <f t="shared" si="188"/>
        <v>6.8345171923972102E-4</v>
      </c>
      <c r="BZ368" s="6" t="str">
        <f t="shared" si="189"/>
        <v>OK</v>
      </c>
      <c r="CA368" s="114">
        <f t="shared" si="190"/>
        <v>127.25109874278135</v>
      </c>
      <c r="CB368" s="115">
        <f t="shared" si="191"/>
        <v>150</v>
      </c>
      <c r="CC368" s="6" t="str">
        <f t="shared" si="192"/>
        <v>OK</v>
      </c>
    </row>
    <row r="369" spans="27:81">
      <c r="AA369" s="79" t="s">
        <v>175</v>
      </c>
      <c r="AB369" s="80" t="s">
        <v>200</v>
      </c>
      <c r="AC369" s="81">
        <v>2.74</v>
      </c>
      <c r="AD369" s="81">
        <v>6</v>
      </c>
      <c r="AE369" s="80">
        <v>273</v>
      </c>
      <c r="AF369" s="80">
        <v>6.35</v>
      </c>
      <c r="AG369" s="108" cm="1">
        <f t="array" ref="AG369">_xll.DCEPropSectPipe(AE369, AF369, "Area")/100</f>
        <v>53.19431074856206</v>
      </c>
      <c r="AH369" s="16" cm="1">
        <f t="array" ref="AH369">_xll.DCEPropSectPipe(AE369, AF369, "Ix")/10000</f>
        <v>4730.4733077169503</v>
      </c>
      <c r="AI369" s="16" cm="1">
        <f t="array" ref="AI369">_xll.DCEPropSectPipe(AE369, AF369, "Wx")/1000</f>
        <v>346.55482107816493</v>
      </c>
      <c r="AJ369" s="108">
        <f t="shared" si="161"/>
        <v>9.4301739777164251</v>
      </c>
      <c r="AK369" s="80" t="s">
        <v>217</v>
      </c>
      <c r="AL369" s="82">
        <v>2.0278694467695382</v>
      </c>
      <c r="AM369" s="82">
        <v>-0.23969640911925577</v>
      </c>
      <c r="AN369" s="82">
        <v>-4.2860442818570613E-2</v>
      </c>
      <c r="AO369" s="82">
        <v>0.11752333420852057</v>
      </c>
      <c r="AP369" s="82">
        <v>0.65724755380499722</v>
      </c>
      <c r="AQ369" s="82">
        <v>-3.7504865167894302E-3</v>
      </c>
      <c r="AR369" s="72">
        <v>1</v>
      </c>
      <c r="AS369" s="116">
        <f t="shared" si="162"/>
        <v>6</v>
      </c>
      <c r="AT369" s="82">
        <v>2</v>
      </c>
      <c r="AU369" s="6">
        <f t="shared" si="163"/>
        <v>12</v>
      </c>
      <c r="AV369" s="111">
        <f t="shared" si="164"/>
        <v>1.6678341545870213E-3</v>
      </c>
      <c r="AW369" s="117">
        <f t="shared" si="165"/>
        <v>105</v>
      </c>
      <c r="AX369" s="111">
        <f t="shared" si="166"/>
        <v>1</v>
      </c>
      <c r="AY369" s="111">
        <f t="shared" si="167"/>
        <v>1</v>
      </c>
      <c r="AZ369" s="111">
        <f t="shared" si="168"/>
        <v>1</v>
      </c>
      <c r="BA369" s="111">
        <f t="shared" si="169"/>
        <v>1.7556148995652857E-3</v>
      </c>
      <c r="BB369" s="111">
        <f t="shared" si="170"/>
        <v>1.5617323675938054E-3</v>
      </c>
      <c r="BC369" s="111">
        <f t="shared" si="171"/>
        <v>8.7339657712391279E-3</v>
      </c>
      <c r="BD369" s="111">
        <v>0</v>
      </c>
      <c r="BE369" s="111">
        <f t="shared" si="172"/>
        <v>1.205131303839822E-2</v>
      </c>
      <c r="BF369" s="6" t="str">
        <f t="shared" si="173"/>
        <v>OK</v>
      </c>
      <c r="BG369" s="16">
        <f t="shared" si="174"/>
        <v>63.625549371390676</v>
      </c>
      <c r="BH369" s="118">
        <f t="shared" si="175"/>
        <v>2.1193803644775273</v>
      </c>
      <c r="BI369" s="108">
        <f t="shared" si="176"/>
        <v>0.88956431617236309</v>
      </c>
      <c r="BJ369" s="6">
        <f t="shared" si="177"/>
        <v>1.2184060174138616</v>
      </c>
      <c r="BK369" s="108">
        <f t="shared" si="178"/>
        <v>1.0838505157010541</v>
      </c>
      <c r="BL369" s="118" cm="1">
        <f t="array" ref="BL369">IF(AO369=0,FactorPhi7121(BH369,"a"),noisuy2chieu(BK369,BH369,Data!$A$63:$M$85))</f>
        <v>0</v>
      </c>
      <c r="BM369" s="111">
        <v>1.26</v>
      </c>
      <c r="BN369" s="118">
        <f t="shared" si="179"/>
        <v>0.99925084673602427</v>
      </c>
      <c r="BO369" s="108" t="e">
        <f t="shared" si="180"/>
        <v>#DIV/0!</v>
      </c>
      <c r="BP369" s="6" t="e">
        <f t="shared" si="181"/>
        <v>#DIV/0!</v>
      </c>
      <c r="BQ369" s="16">
        <f t="shared" si="182"/>
        <v>127.25109874278135</v>
      </c>
      <c r="BR369" s="118">
        <f t="shared" si="183"/>
        <v>4.2387607289550546</v>
      </c>
      <c r="BS369" s="108">
        <f t="shared" si="184"/>
        <v>4.9748756252876287</v>
      </c>
      <c r="BT369" s="118">
        <f t="shared" si="185"/>
        <v>1.1001912566069152</v>
      </c>
      <c r="BU369" s="108">
        <f t="shared" si="186"/>
        <v>5.4733146656483092</v>
      </c>
      <c r="BV369" s="6" cm="1">
        <f t="array" ref="BV369">IF(AP369=0,FactorPhi7121(BR369,"a"),noisuy2chieu(BU369,BR369,Data!$A$63:$M$85))</f>
        <v>0</v>
      </c>
      <c r="BW369" s="111">
        <v>1.26</v>
      </c>
      <c r="BX369" s="111">
        <f t="shared" si="187"/>
        <v>0.99700338694409696</v>
      </c>
      <c r="BY369" s="113" t="e">
        <f t="shared" si="188"/>
        <v>#DIV/0!</v>
      </c>
      <c r="BZ369" s="6" t="e">
        <f t="shared" si="189"/>
        <v>#DIV/0!</v>
      </c>
      <c r="CA369" s="114">
        <f t="shared" si="190"/>
        <v>127.25109874278135</v>
      </c>
      <c r="CB369" s="115" t="e">
        <f t="shared" si="191"/>
        <v>#DIV/0!</v>
      </c>
      <c r="CC369" s="6" t="e">
        <f t="shared" si="192"/>
        <v>#DIV/0!</v>
      </c>
    </row>
    <row r="370" spans="27:81">
      <c r="AA370" s="79" t="s">
        <v>175</v>
      </c>
      <c r="AB370" s="80" t="s">
        <v>200</v>
      </c>
      <c r="AC370" s="81">
        <v>5.48</v>
      </c>
      <c r="AD370" s="81">
        <v>6</v>
      </c>
      <c r="AE370" s="80">
        <v>273</v>
      </c>
      <c r="AF370" s="80">
        <v>6.35</v>
      </c>
      <c r="AG370" s="108" cm="1">
        <f t="array" ref="AG370">_xll.DCEPropSectPipe(AE370, AF370, "Area")/100</f>
        <v>53.19431074856206</v>
      </c>
      <c r="AH370" s="16" cm="1">
        <f t="array" ref="AH370">_xll.DCEPropSectPipe(AE370, AF370, "Ix")/10000</f>
        <v>4730.4733077169503</v>
      </c>
      <c r="AI370" s="16" cm="1">
        <f t="array" ref="AI370">_xll.DCEPropSectPipe(AE370, AF370, "Wx")/1000</f>
        <v>346.55482107816493</v>
      </c>
      <c r="AJ370" s="108">
        <f t="shared" si="161"/>
        <v>9.4301739777164251</v>
      </c>
      <c r="AK370" s="80" t="s">
        <v>217</v>
      </c>
      <c r="AL370" s="82">
        <v>3.375129795501568</v>
      </c>
      <c r="AM370" s="82">
        <v>-0.23969640911925577</v>
      </c>
      <c r="AN370" s="82">
        <v>-4.2860442818570613E-2</v>
      </c>
      <c r="AO370" s="82">
        <v>0.23504666841704114</v>
      </c>
      <c r="AP370" s="82">
        <v>1.3144951076099944</v>
      </c>
      <c r="AQ370" s="82">
        <v>-3.7504865167894302E-3</v>
      </c>
      <c r="AR370" s="72">
        <v>1</v>
      </c>
      <c r="AS370" s="116">
        <f t="shared" si="162"/>
        <v>6</v>
      </c>
      <c r="AT370" s="82">
        <v>2</v>
      </c>
      <c r="AU370" s="6">
        <f t="shared" si="163"/>
        <v>12</v>
      </c>
      <c r="AV370" s="111">
        <f t="shared" si="164"/>
        <v>2.7758970174678911E-3</v>
      </c>
      <c r="AW370" s="117">
        <f t="shared" si="165"/>
        <v>105</v>
      </c>
      <c r="AX370" s="111">
        <f t="shared" si="166"/>
        <v>1</v>
      </c>
      <c r="AY370" s="111">
        <f t="shared" si="167"/>
        <v>1</v>
      </c>
      <c r="AZ370" s="111">
        <f t="shared" si="168"/>
        <v>1</v>
      </c>
      <c r="BA370" s="111">
        <f t="shared" si="169"/>
        <v>2.9219968604925171E-3</v>
      </c>
      <c r="BB370" s="111">
        <f t="shared" si="170"/>
        <v>3.1234647351876107E-3</v>
      </c>
      <c r="BC370" s="111">
        <f t="shared" si="171"/>
        <v>1.7467931542478256E-2</v>
      </c>
      <c r="BD370" s="111">
        <v>0</v>
      </c>
      <c r="BE370" s="111">
        <f t="shared" si="172"/>
        <v>2.3513393138158385E-2</v>
      </c>
      <c r="BF370" s="6" t="str">
        <f t="shared" si="173"/>
        <v>OK</v>
      </c>
      <c r="BG370" s="16">
        <f t="shared" si="174"/>
        <v>63.625549371390676</v>
      </c>
      <c r="BH370" s="118">
        <f t="shared" si="175"/>
        <v>2.1193803644775273</v>
      </c>
      <c r="BI370" s="108">
        <f t="shared" si="176"/>
        <v>1.068948696495565</v>
      </c>
      <c r="BJ370" s="6">
        <f t="shared" si="177"/>
        <v>1.213238635731211</v>
      </c>
      <c r="BK370" s="108">
        <f t="shared" si="178"/>
        <v>1.2968898582029356</v>
      </c>
      <c r="BL370" s="118" cm="1">
        <f t="array" ref="BL370">IF(AO370=0,FactorPhi7121(BH370,"a"),noisuy2chieu(BK370,BH370,Data!$A$63:$M$85))</f>
        <v>0</v>
      </c>
      <c r="BM370" s="111">
        <v>1.26</v>
      </c>
      <c r="BN370" s="118">
        <f t="shared" si="179"/>
        <v>0.99875313003671429</v>
      </c>
      <c r="BO370" s="108" t="e">
        <f t="shared" si="180"/>
        <v>#DIV/0!</v>
      </c>
      <c r="BP370" s="6" t="e">
        <f t="shared" si="181"/>
        <v>#DIV/0!</v>
      </c>
      <c r="BQ370" s="16">
        <f t="shared" si="182"/>
        <v>127.25109874278135</v>
      </c>
      <c r="BR370" s="118">
        <f t="shared" si="183"/>
        <v>4.2387607289550546</v>
      </c>
      <c r="BS370" s="108">
        <f t="shared" si="184"/>
        <v>5.9780801884687689</v>
      </c>
      <c r="BT370" s="118">
        <f t="shared" si="185"/>
        <v>1.1000000000000001</v>
      </c>
      <c r="BU370" s="108">
        <f t="shared" si="186"/>
        <v>6.5758882073156464</v>
      </c>
      <c r="BV370" s="6" cm="1">
        <f t="array" ref="BV370">IF(AP370=0,FactorPhi7121(BR370,"a"),noisuy2chieu(BU370,BR370,Data!$A$63:$M$85))</f>
        <v>0</v>
      </c>
      <c r="BW370" s="111">
        <v>1.26</v>
      </c>
      <c r="BX370" s="111">
        <f t="shared" si="187"/>
        <v>0.99501252014685693</v>
      </c>
      <c r="BY370" s="113" t="e">
        <f t="shared" si="188"/>
        <v>#DIV/0!</v>
      </c>
      <c r="BZ370" s="6" t="e">
        <f t="shared" si="189"/>
        <v>#DIV/0!</v>
      </c>
      <c r="CA370" s="114">
        <f t="shared" si="190"/>
        <v>127.25109874278135</v>
      </c>
      <c r="CB370" s="115" t="e">
        <f t="shared" si="191"/>
        <v>#DIV/0!</v>
      </c>
      <c r="CC370" s="6" t="e">
        <f t="shared" si="192"/>
        <v>#DIV/0!</v>
      </c>
    </row>
    <row r="371" spans="27:81">
      <c r="AA371" s="79" t="s">
        <v>175</v>
      </c>
      <c r="AB371" s="80" t="s">
        <v>200</v>
      </c>
      <c r="AC371" s="81">
        <v>0</v>
      </c>
      <c r="AD371" s="81">
        <v>6</v>
      </c>
      <c r="AE371" s="80">
        <v>273</v>
      </c>
      <c r="AF371" s="80">
        <v>6.35</v>
      </c>
      <c r="AG371" s="108" cm="1">
        <f t="array" ref="AG371">_xll.DCEPropSectPipe(AE371, AF371, "Area")/100</f>
        <v>53.19431074856206</v>
      </c>
      <c r="AH371" s="16" cm="1">
        <f t="array" ref="AH371">_xll.DCEPropSectPipe(AE371, AF371, "Ix")/10000</f>
        <v>4730.4733077169503</v>
      </c>
      <c r="AI371" s="16" cm="1">
        <f t="array" ref="AI371">_xll.DCEPropSectPipe(AE371, AF371, "Wx")/1000</f>
        <v>346.55482107816493</v>
      </c>
      <c r="AJ371" s="108">
        <f t="shared" si="161"/>
        <v>9.4301739777164251</v>
      </c>
      <c r="AK371" s="80" t="s">
        <v>218</v>
      </c>
      <c r="AL371" s="82">
        <v>-16.078962969744858</v>
      </c>
      <c r="AM371" s="82">
        <v>-0.23574267312110347</v>
      </c>
      <c r="AN371" s="82">
        <v>0.1378320173055092</v>
      </c>
      <c r="AO371" s="82">
        <v>0</v>
      </c>
      <c r="AP371" s="82">
        <v>0</v>
      </c>
      <c r="AQ371" s="82">
        <v>4.0947382568054309E-2</v>
      </c>
      <c r="AR371" s="72">
        <v>1</v>
      </c>
      <c r="AS371" s="116">
        <f t="shared" si="162"/>
        <v>6</v>
      </c>
      <c r="AT371" s="82">
        <v>2</v>
      </c>
      <c r="AU371" s="6">
        <f t="shared" si="163"/>
        <v>12</v>
      </c>
      <c r="AV371" s="111">
        <f t="shared" si="164"/>
        <v>1.3224245601215037E-2</v>
      </c>
      <c r="AW371" s="117">
        <f t="shared" si="165"/>
        <v>105</v>
      </c>
      <c r="AX371" s="111">
        <f t="shared" si="166"/>
        <v>1</v>
      </c>
      <c r="AY371" s="111">
        <f t="shared" si="167"/>
        <v>1</v>
      </c>
      <c r="AZ371" s="111">
        <f t="shared" si="168"/>
        <v>1</v>
      </c>
      <c r="BA371" s="111">
        <f t="shared" si="169"/>
        <v>1.3920258527594776E-2</v>
      </c>
      <c r="BB371" s="111">
        <f t="shared" si="170"/>
        <v>0</v>
      </c>
      <c r="BC371" s="111">
        <f t="shared" si="171"/>
        <v>0</v>
      </c>
      <c r="BD371" s="111">
        <v>0</v>
      </c>
      <c r="BE371" s="111">
        <f t="shared" si="172"/>
        <v>1.3920258527594776E-2</v>
      </c>
      <c r="BF371" s="6" t="str">
        <f t="shared" si="173"/>
        <v>OK</v>
      </c>
      <c r="BG371" s="16">
        <f t="shared" si="174"/>
        <v>63.625549371390676</v>
      </c>
      <c r="BH371" s="118">
        <f t="shared" si="175"/>
        <v>2.1193803644775273</v>
      </c>
      <c r="BI371" s="108">
        <f t="shared" si="176"/>
        <v>0</v>
      </c>
      <c r="BJ371" s="6">
        <f t="shared" si="177"/>
        <v>1.2440309817761237</v>
      </c>
      <c r="BK371" s="108">
        <f t="shared" si="178"/>
        <v>0</v>
      </c>
      <c r="BL371" s="118" cm="1">
        <f t="array" ref="BL371">IF(AO371=0,FactorPhi7121(BH371,"a"),noisuy2chieu(BK371,BH371,Data!$A$63:$M$85))</f>
        <v>0.86214274110469236</v>
      </c>
      <c r="BM371" s="111">
        <v>1.26</v>
      </c>
      <c r="BN371" s="118">
        <f t="shared" si="179"/>
        <v>0.99405996889527637</v>
      </c>
      <c r="BO371" s="108">
        <f t="shared" si="180"/>
        <v>3.2908762986998186E-2</v>
      </c>
      <c r="BP371" s="6" t="str">
        <f t="shared" si="181"/>
        <v>OK</v>
      </c>
      <c r="BQ371" s="16">
        <f t="shared" si="182"/>
        <v>127.25109874278135</v>
      </c>
      <c r="BR371" s="118">
        <f t="shared" si="183"/>
        <v>4.2387607289550546</v>
      </c>
      <c r="BS371" s="108">
        <f t="shared" si="184"/>
        <v>0</v>
      </c>
      <c r="BT371" s="118">
        <f t="shared" si="185"/>
        <v>1.1380619635522473</v>
      </c>
      <c r="BU371" s="108">
        <f t="shared" si="186"/>
        <v>0</v>
      </c>
      <c r="BV371" s="6" cm="1">
        <f t="array" ref="BV371">IF(AP371=0,FactorPhi7121(BR371,"a"),noisuy2chieu(BU371,BR371,Data!$A$63:$M$85))</f>
        <v>0.42299549615688942</v>
      </c>
      <c r="BW371" s="111">
        <v>1.26</v>
      </c>
      <c r="BX371" s="111">
        <f t="shared" si="187"/>
        <v>0.97623987558110537</v>
      </c>
      <c r="BY371" s="113">
        <f t="shared" si="188"/>
        <v>1.614611811236534E-2</v>
      </c>
      <c r="BZ371" s="6" t="str">
        <f t="shared" si="189"/>
        <v>OK</v>
      </c>
      <c r="CA371" s="114">
        <f t="shared" si="190"/>
        <v>127.25109874278135</v>
      </c>
      <c r="CB371" s="115">
        <f t="shared" si="191"/>
        <v>150</v>
      </c>
      <c r="CC371" s="6" t="str">
        <f t="shared" si="192"/>
        <v>OK</v>
      </c>
    </row>
    <row r="372" spans="27:81">
      <c r="AA372" s="79" t="s">
        <v>175</v>
      </c>
      <c r="AB372" s="80" t="s">
        <v>200</v>
      </c>
      <c r="AC372" s="81">
        <v>2.74</v>
      </c>
      <c r="AD372" s="81">
        <v>6</v>
      </c>
      <c r="AE372" s="80">
        <v>273</v>
      </c>
      <c r="AF372" s="80">
        <v>6.35</v>
      </c>
      <c r="AG372" s="108" cm="1">
        <f t="array" ref="AG372">_xll.DCEPropSectPipe(AE372, AF372, "Area")/100</f>
        <v>53.19431074856206</v>
      </c>
      <c r="AH372" s="16" cm="1">
        <f t="array" ref="AH372">_xll.DCEPropSectPipe(AE372, AF372, "Ix")/10000</f>
        <v>4730.4733077169503</v>
      </c>
      <c r="AI372" s="16" cm="1">
        <f t="array" ref="AI372">_xll.DCEPropSectPipe(AE372, AF372, "Wx")/1000</f>
        <v>346.55482107816493</v>
      </c>
      <c r="AJ372" s="108">
        <f t="shared" si="161"/>
        <v>9.4301739777164251</v>
      </c>
      <c r="AK372" s="80" t="s">
        <v>218</v>
      </c>
      <c r="AL372" s="82">
        <v>-14.731702621012822</v>
      </c>
      <c r="AM372" s="82">
        <v>-0.23574267312110347</v>
      </c>
      <c r="AN372" s="82">
        <v>0.1378320173055092</v>
      </c>
      <c r="AO372" s="82">
        <v>-0.37793539145170563</v>
      </c>
      <c r="AP372" s="82">
        <v>0.64640640969806518</v>
      </c>
      <c r="AQ372" s="82">
        <v>4.0947382568054309E-2</v>
      </c>
      <c r="AR372" s="72">
        <v>1</v>
      </c>
      <c r="AS372" s="116">
        <f t="shared" si="162"/>
        <v>6</v>
      </c>
      <c r="AT372" s="82">
        <v>2</v>
      </c>
      <c r="AU372" s="6">
        <f t="shared" si="163"/>
        <v>12</v>
      </c>
      <c r="AV372" s="111">
        <f t="shared" si="164"/>
        <v>1.2116182738334163E-2</v>
      </c>
      <c r="AW372" s="117">
        <f t="shared" si="165"/>
        <v>105</v>
      </c>
      <c r="AX372" s="111">
        <f t="shared" si="166"/>
        <v>1</v>
      </c>
      <c r="AY372" s="111">
        <f t="shared" si="167"/>
        <v>1</v>
      </c>
      <c r="AZ372" s="111">
        <f t="shared" si="168"/>
        <v>1</v>
      </c>
      <c r="BA372" s="111">
        <f t="shared" si="169"/>
        <v>1.275387656666754E-2</v>
      </c>
      <c r="BB372" s="111">
        <f t="shared" si="170"/>
        <v>5.0222701531094848E-3</v>
      </c>
      <c r="BC372" s="111">
        <f t="shared" si="171"/>
        <v>8.5899010561970562E-3</v>
      </c>
      <c r="BD372" s="111">
        <v>0</v>
      </c>
      <c r="BE372" s="111">
        <f t="shared" si="172"/>
        <v>2.636604777597408E-2</v>
      </c>
      <c r="BF372" s="6" t="str">
        <f t="shared" si="173"/>
        <v>OK</v>
      </c>
      <c r="BG372" s="16">
        <f t="shared" si="174"/>
        <v>63.625549371390676</v>
      </c>
      <c r="BH372" s="118">
        <f t="shared" si="175"/>
        <v>2.1193803644775273</v>
      </c>
      <c r="BI372" s="108">
        <f t="shared" si="176"/>
        <v>0.39378381363947557</v>
      </c>
      <c r="BJ372" s="6">
        <f t="shared" si="177"/>
        <v>1.2326875679189158</v>
      </c>
      <c r="BK372" s="108">
        <f t="shared" si="178"/>
        <v>0.48541241152108072</v>
      </c>
      <c r="BL372" s="118" cm="1">
        <f t="array" ref="BL372">IF(AO372=0,FactorPhi7121(BH372,"a"),noisuy2chieu(BK372,BH372,Data!$A$63:$M$85))</f>
        <v>0</v>
      </c>
      <c r="BM372" s="111">
        <v>1.26</v>
      </c>
      <c r="BN372" s="118">
        <f t="shared" si="179"/>
        <v>0.99455768559458635</v>
      </c>
      <c r="BO372" s="108" t="e">
        <f t="shared" si="180"/>
        <v>#DIV/0!</v>
      </c>
      <c r="BP372" s="6" t="e">
        <f t="shared" si="181"/>
        <v>#DIV/0!</v>
      </c>
      <c r="BQ372" s="16">
        <f t="shared" si="182"/>
        <v>127.25109874278135</v>
      </c>
      <c r="BR372" s="118">
        <f t="shared" si="183"/>
        <v>4.2387607289550546</v>
      </c>
      <c r="BS372" s="108">
        <f t="shared" si="184"/>
        <v>0.67351295202643724</v>
      </c>
      <c r="BT372" s="118">
        <f t="shared" si="185"/>
        <v>1.1329349184658482</v>
      </c>
      <c r="BU372" s="108">
        <f t="shared" si="186"/>
        <v>0.76304634138976435</v>
      </c>
      <c r="BV372" s="6" cm="1">
        <f t="array" ref="BV372">IF(AP372=0,FactorPhi7121(BR372,"a"),noisuy2chieu(BU372,BR372,Data!$A$63:$M$85))</f>
        <v>0</v>
      </c>
      <c r="BW372" s="111">
        <v>1.26</v>
      </c>
      <c r="BX372" s="111">
        <f t="shared" si="187"/>
        <v>0.9782307423783454</v>
      </c>
      <c r="BY372" s="113" t="e">
        <f t="shared" si="188"/>
        <v>#DIV/0!</v>
      </c>
      <c r="BZ372" s="6" t="e">
        <f t="shared" si="189"/>
        <v>#DIV/0!</v>
      </c>
      <c r="CA372" s="114">
        <f t="shared" si="190"/>
        <v>127.25109874278135</v>
      </c>
      <c r="CB372" s="115" t="e">
        <f t="shared" si="191"/>
        <v>#DIV/0!</v>
      </c>
      <c r="CC372" s="6" t="e">
        <f t="shared" si="192"/>
        <v>#DIV/0!</v>
      </c>
    </row>
    <row r="373" spans="27:81">
      <c r="AA373" s="79" t="s">
        <v>175</v>
      </c>
      <c r="AB373" s="80" t="s">
        <v>200</v>
      </c>
      <c r="AC373" s="81">
        <v>5.48</v>
      </c>
      <c r="AD373" s="81">
        <v>6</v>
      </c>
      <c r="AE373" s="80">
        <v>273</v>
      </c>
      <c r="AF373" s="80">
        <v>6.35</v>
      </c>
      <c r="AG373" s="108" cm="1">
        <f t="array" ref="AG373">_xll.DCEPropSectPipe(AE373, AF373, "Area")/100</f>
        <v>53.19431074856206</v>
      </c>
      <c r="AH373" s="16" cm="1">
        <f t="array" ref="AH373">_xll.DCEPropSectPipe(AE373, AF373, "Ix")/10000</f>
        <v>4730.4733077169503</v>
      </c>
      <c r="AI373" s="16" cm="1">
        <f t="array" ref="AI373">_xll.DCEPropSectPipe(AE373, AF373, "Wx")/1000</f>
        <v>346.55482107816493</v>
      </c>
      <c r="AJ373" s="108">
        <f t="shared" si="161"/>
        <v>9.4301739777164251</v>
      </c>
      <c r="AK373" s="80" t="s">
        <v>218</v>
      </c>
      <c r="AL373" s="82">
        <v>-13.384442272280792</v>
      </c>
      <c r="AM373" s="82">
        <v>-0.23574267312110347</v>
      </c>
      <c r="AN373" s="82">
        <v>0.1378320173055092</v>
      </c>
      <c r="AO373" s="82">
        <v>-0.75587078290341125</v>
      </c>
      <c r="AP373" s="82">
        <v>1.2928128193961304</v>
      </c>
      <c r="AQ373" s="82">
        <v>4.0947382568054309E-2</v>
      </c>
      <c r="AR373" s="72">
        <v>1</v>
      </c>
      <c r="AS373" s="116">
        <f t="shared" si="162"/>
        <v>6</v>
      </c>
      <c r="AT373" s="82">
        <v>2</v>
      </c>
      <c r="AU373" s="6">
        <f t="shared" si="163"/>
        <v>12</v>
      </c>
      <c r="AV373" s="111">
        <f t="shared" si="164"/>
        <v>1.1008119875453293E-2</v>
      </c>
      <c r="AW373" s="117">
        <f t="shared" si="165"/>
        <v>105</v>
      </c>
      <c r="AX373" s="111">
        <f t="shared" si="166"/>
        <v>1</v>
      </c>
      <c r="AY373" s="111">
        <f t="shared" si="167"/>
        <v>1</v>
      </c>
      <c r="AZ373" s="111">
        <f t="shared" si="168"/>
        <v>1</v>
      </c>
      <c r="BA373" s="111">
        <f t="shared" si="169"/>
        <v>1.1587494605740309E-2</v>
      </c>
      <c r="BB373" s="111">
        <f t="shared" si="170"/>
        <v>1.004454030621897E-2</v>
      </c>
      <c r="BC373" s="111">
        <f t="shared" si="171"/>
        <v>1.7179802112394112E-2</v>
      </c>
      <c r="BD373" s="111">
        <v>0</v>
      </c>
      <c r="BE373" s="111">
        <f t="shared" si="172"/>
        <v>3.8811837024353396E-2</v>
      </c>
      <c r="BF373" s="6" t="str">
        <f t="shared" si="173"/>
        <v>OK</v>
      </c>
      <c r="BG373" s="16">
        <f t="shared" si="174"/>
        <v>63.625549371390676</v>
      </c>
      <c r="BH373" s="118">
        <f t="shared" si="175"/>
        <v>2.1193803644775273</v>
      </c>
      <c r="BI373" s="108">
        <f t="shared" si="176"/>
        <v>0.86684314840958143</v>
      </c>
      <c r="BJ373" s="6">
        <f t="shared" si="177"/>
        <v>1.219060527833856</v>
      </c>
      <c r="BK373" s="108">
        <f t="shared" si="178"/>
        <v>1.0567342660493459</v>
      </c>
      <c r="BL373" s="118" cm="1">
        <f t="array" ref="BL373">IF(AO373=0,FactorPhi7121(BH373,"a"),noisuy2chieu(BK373,BH373,Data!$A$63:$M$85))</f>
        <v>0</v>
      </c>
      <c r="BM373" s="111">
        <v>1.26</v>
      </c>
      <c r="BN373" s="118">
        <f t="shared" si="179"/>
        <v>0.99505540229389633</v>
      </c>
      <c r="BO373" s="108" t="e">
        <f t="shared" si="180"/>
        <v>#DIV/0!</v>
      </c>
      <c r="BP373" s="6" t="e">
        <f t="shared" si="181"/>
        <v>#DIV/0!</v>
      </c>
      <c r="BQ373" s="16">
        <f t="shared" si="182"/>
        <v>127.25109874278135</v>
      </c>
      <c r="BR373" s="118">
        <f t="shared" si="183"/>
        <v>4.2387607289550546</v>
      </c>
      <c r="BS373" s="108">
        <f t="shared" si="184"/>
        <v>1.4826157592240381</v>
      </c>
      <c r="BT373" s="118">
        <f t="shared" si="185"/>
        <v>1.126775710154333</v>
      </c>
      <c r="BU373" s="108">
        <f t="shared" si="186"/>
        <v>1.670575424985671</v>
      </c>
      <c r="BV373" s="6" cm="1">
        <f t="array" ref="BV373">IF(AP373=0,FactorPhi7121(BR373,"a"),noisuy2chieu(BU373,BR373,Data!$A$63:$M$85))</f>
        <v>0</v>
      </c>
      <c r="BW373" s="111">
        <v>1.26</v>
      </c>
      <c r="BX373" s="111">
        <f t="shared" si="187"/>
        <v>0.98022160917558543</v>
      </c>
      <c r="BY373" s="113" t="e">
        <f t="shared" si="188"/>
        <v>#DIV/0!</v>
      </c>
      <c r="BZ373" s="6" t="e">
        <f t="shared" si="189"/>
        <v>#DIV/0!</v>
      </c>
      <c r="CA373" s="114">
        <f t="shared" si="190"/>
        <v>127.25109874278135</v>
      </c>
      <c r="CB373" s="115" t="e">
        <f t="shared" si="191"/>
        <v>#DIV/0!</v>
      </c>
      <c r="CC373" s="6" t="e">
        <f t="shared" si="192"/>
        <v>#DIV/0!</v>
      </c>
    </row>
    <row r="374" spans="27:81">
      <c r="AA374" s="79" t="s">
        <v>175</v>
      </c>
      <c r="AB374" s="80" t="s">
        <v>201</v>
      </c>
      <c r="AC374" s="81">
        <v>0</v>
      </c>
      <c r="AD374" s="81">
        <v>6</v>
      </c>
      <c r="AE374" s="80">
        <v>273</v>
      </c>
      <c r="AF374" s="80">
        <v>6.35</v>
      </c>
      <c r="AG374" s="108" cm="1">
        <f t="array" ref="AG374">_xll.DCEPropSectPipe(AE374, AF374, "Area")/100</f>
        <v>53.19431074856206</v>
      </c>
      <c r="AH374" s="16" cm="1">
        <f t="array" ref="AH374">_xll.DCEPropSectPipe(AE374, AF374, "Ix")/10000</f>
        <v>4730.4733077169503</v>
      </c>
      <c r="AI374" s="16" cm="1">
        <f t="array" ref="AI374">_xll.DCEPropSectPipe(AE374, AF374, "Wx")/1000</f>
        <v>346.55482107816493</v>
      </c>
      <c r="AJ374" s="108">
        <f t="shared" si="161"/>
        <v>9.4301739777164251</v>
      </c>
      <c r="AK374" s="80" t="s">
        <v>206</v>
      </c>
      <c r="AL374" s="82">
        <v>-38.662311499896106</v>
      </c>
      <c r="AM374" s="82">
        <v>-4.6447820912591595</v>
      </c>
      <c r="AN374" s="82">
        <v>0.9115880788501648</v>
      </c>
      <c r="AO374" s="82">
        <v>0</v>
      </c>
      <c r="AP374" s="82">
        <v>0</v>
      </c>
      <c r="AQ374" s="82">
        <v>-5.1771404710844425E-2</v>
      </c>
      <c r="AR374" s="72">
        <v>1</v>
      </c>
      <c r="AS374" s="116">
        <f t="shared" si="162"/>
        <v>6</v>
      </c>
      <c r="AT374" s="82">
        <v>2</v>
      </c>
      <c r="AU374" s="6">
        <f t="shared" si="163"/>
        <v>12</v>
      </c>
      <c r="AV374" s="111">
        <f t="shared" si="164"/>
        <v>3.1798064573403249E-2</v>
      </c>
      <c r="AW374" s="117">
        <f t="shared" si="165"/>
        <v>105</v>
      </c>
      <c r="AX374" s="111">
        <f t="shared" si="166"/>
        <v>1</v>
      </c>
      <c r="AY374" s="111">
        <f t="shared" si="167"/>
        <v>1</v>
      </c>
      <c r="AZ374" s="111">
        <f t="shared" si="168"/>
        <v>1</v>
      </c>
      <c r="BA374" s="111">
        <f t="shared" si="169"/>
        <v>3.3471646919371843E-2</v>
      </c>
      <c r="BB374" s="111">
        <f t="shared" si="170"/>
        <v>0</v>
      </c>
      <c r="BC374" s="111">
        <f t="shared" si="171"/>
        <v>0</v>
      </c>
      <c r="BD374" s="111">
        <v>0</v>
      </c>
      <c r="BE374" s="111">
        <f t="shared" si="172"/>
        <v>3.3471646919371843E-2</v>
      </c>
      <c r="BF374" s="6" t="str">
        <f t="shared" si="173"/>
        <v>OK</v>
      </c>
      <c r="BG374" s="16">
        <f t="shared" si="174"/>
        <v>63.625549371390676</v>
      </c>
      <c r="BH374" s="118">
        <f t="shared" si="175"/>
        <v>2.1193803644775273</v>
      </c>
      <c r="BI374" s="108">
        <f t="shared" si="176"/>
        <v>0</v>
      </c>
      <c r="BJ374" s="6">
        <f t="shared" si="177"/>
        <v>1.2440309817761237</v>
      </c>
      <c r="BK374" s="108">
        <f t="shared" si="178"/>
        <v>0</v>
      </c>
      <c r="BL374" s="118" cm="1">
        <f t="array" ref="BL374">IF(AO374=0,FactorPhi7121(BH374,"a"),noisuy2chieu(BK374,BH374,Data!$A$63:$M$85))</f>
        <v>0.86214274110469236</v>
      </c>
      <c r="BM374" s="111">
        <v>1.26</v>
      </c>
      <c r="BN374" s="118">
        <f t="shared" si="179"/>
        <v>0.98571703079843953</v>
      </c>
      <c r="BO374" s="108">
        <f t="shared" si="180"/>
        <v>7.9130031462455994E-2</v>
      </c>
      <c r="BP374" s="6" t="str">
        <f t="shared" si="181"/>
        <v>OK</v>
      </c>
      <c r="BQ374" s="16">
        <f t="shared" si="182"/>
        <v>127.25109874278135</v>
      </c>
      <c r="BR374" s="118">
        <f t="shared" si="183"/>
        <v>4.2387607289550546</v>
      </c>
      <c r="BS374" s="108">
        <f t="shared" si="184"/>
        <v>0</v>
      </c>
      <c r="BT374" s="118">
        <f t="shared" si="185"/>
        <v>1.1380619635522473</v>
      </c>
      <c r="BU374" s="108">
        <f t="shared" si="186"/>
        <v>0</v>
      </c>
      <c r="BV374" s="6" cm="1">
        <f t="array" ref="BV374">IF(AP374=0,FactorPhi7121(BR374,"a"),noisuy2chieu(BU374,BR374,Data!$A$63:$M$85))</f>
        <v>0.42299549615688942</v>
      </c>
      <c r="BW374" s="111">
        <v>1.26</v>
      </c>
      <c r="BX374" s="111">
        <f t="shared" si="187"/>
        <v>0.94286812319375801</v>
      </c>
      <c r="BY374" s="113">
        <f t="shared" si="188"/>
        <v>3.8823787899070518E-2</v>
      </c>
      <c r="BZ374" s="6" t="str">
        <f t="shared" si="189"/>
        <v>OK</v>
      </c>
      <c r="CA374" s="114">
        <f t="shared" si="190"/>
        <v>127.25109874278135</v>
      </c>
      <c r="CB374" s="115">
        <f t="shared" si="191"/>
        <v>150</v>
      </c>
      <c r="CC374" s="6" t="str">
        <f t="shared" si="192"/>
        <v>OK</v>
      </c>
    </row>
    <row r="375" spans="27:81">
      <c r="AA375" s="79" t="s">
        <v>175</v>
      </c>
      <c r="AB375" s="80" t="s">
        <v>201</v>
      </c>
      <c r="AC375" s="81">
        <v>2.74</v>
      </c>
      <c r="AD375" s="81">
        <v>6</v>
      </c>
      <c r="AE375" s="80">
        <v>273</v>
      </c>
      <c r="AF375" s="80">
        <v>6.35</v>
      </c>
      <c r="AG375" s="108" cm="1">
        <f t="array" ref="AG375">_xll.DCEPropSectPipe(AE375, AF375, "Area")/100</f>
        <v>53.19431074856206</v>
      </c>
      <c r="AH375" s="16" cm="1">
        <f t="array" ref="AH375">_xll.DCEPropSectPipe(AE375, AF375, "Ix")/10000</f>
        <v>4730.4733077169503</v>
      </c>
      <c r="AI375" s="16" cm="1">
        <f t="array" ref="AI375">_xll.DCEPropSectPipe(AE375, AF375, "Wx")/1000</f>
        <v>346.55482107816493</v>
      </c>
      <c r="AJ375" s="108">
        <f t="shared" si="161"/>
        <v>9.4301739777164251</v>
      </c>
      <c r="AK375" s="80" t="s">
        <v>206</v>
      </c>
      <c r="AL375" s="82">
        <v>-37.31505115116407</v>
      </c>
      <c r="AM375" s="82">
        <v>-4.6447820912591595</v>
      </c>
      <c r="AN375" s="82">
        <v>0.9115880788501648</v>
      </c>
      <c r="AO375" s="82">
        <v>-2.4995745122071518</v>
      </c>
      <c r="AP375" s="82">
        <v>12.735992494232613</v>
      </c>
      <c r="AQ375" s="82">
        <v>-5.1771404710844425E-2</v>
      </c>
      <c r="AR375" s="72">
        <v>1</v>
      </c>
      <c r="AS375" s="116">
        <f t="shared" si="162"/>
        <v>6</v>
      </c>
      <c r="AT375" s="82">
        <v>2</v>
      </c>
      <c r="AU375" s="6">
        <f t="shared" si="163"/>
        <v>12</v>
      </c>
      <c r="AV375" s="111">
        <f t="shared" si="164"/>
        <v>3.0690001710522372E-2</v>
      </c>
      <c r="AW375" s="117">
        <f t="shared" si="165"/>
        <v>105</v>
      </c>
      <c r="AX375" s="111">
        <f t="shared" si="166"/>
        <v>1</v>
      </c>
      <c r="AY375" s="111">
        <f t="shared" si="167"/>
        <v>1</v>
      </c>
      <c r="AZ375" s="111">
        <f t="shared" si="168"/>
        <v>1</v>
      </c>
      <c r="BA375" s="111">
        <f t="shared" si="169"/>
        <v>3.2305264958444609E-2</v>
      </c>
      <c r="BB375" s="111">
        <f t="shared" si="170"/>
        <v>3.3216096592359828E-2</v>
      </c>
      <c r="BC375" s="111">
        <f t="shared" si="171"/>
        <v>0.16924478739161547</v>
      </c>
      <c r="BD375" s="111">
        <v>0</v>
      </c>
      <c r="BE375" s="111">
        <f t="shared" si="172"/>
        <v>0.2347661489424199</v>
      </c>
      <c r="BF375" s="6" t="str">
        <f t="shared" si="173"/>
        <v>OK</v>
      </c>
      <c r="BG375" s="16">
        <f t="shared" si="174"/>
        <v>63.625549371390676</v>
      </c>
      <c r="BH375" s="118">
        <f t="shared" si="175"/>
        <v>2.1193803644775273</v>
      </c>
      <c r="BI375" s="108">
        <f t="shared" si="176"/>
        <v>1.0281945260342815</v>
      </c>
      <c r="BJ375" s="6">
        <f t="shared" si="177"/>
        <v>1.2144126083678128</v>
      </c>
      <c r="BK375" s="108">
        <f t="shared" si="178"/>
        <v>1.2486523962707989</v>
      </c>
      <c r="BL375" s="118" cm="1">
        <f t="array" ref="BL375">IF(AO375=0,FactorPhi7121(BH375,"a"),noisuy2chieu(BK375,BH375,Data!$A$63:$M$85))</f>
        <v>0</v>
      </c>
      <c r="BM375" s="111">
        <v>1.26</v>
      </c>
      <c r="BN375" s="118">
        <f t="shared" si="179"/>
        <v>0.98621474749774951</v>
      </c>
      <c r="BO375" s="108" t="e">
        <f t="shared" si="180"/>
        <v>#DIV/0!</v>
      </c>
      <c r="BP375" s="6" t="e">
        <f t="shared" si="181"/>
        <v>#DIV/0!</v>
      </c>
      <c r="BQ375" s="16">
        <f t="shared" si="182"/>
        <v>127.25109874278135</v>
      </c>
      <c r="BR375" s="118">
        <f t="shared" si="183"/>
        <v>4.2387607289550546</v>
      </c>
      <c r="BS375" s="108">
        <f t="shared" si="184"/>
        <v>5.2389227455438299</v>
      </c>
      <c r="BT375" s="118">
        <f t="shared" si="185"/>
        <v>1.1000000000000001</v>
      </c>
      <c r="BU375" s="108">
        <f t="shared" si="186"/>
        <v>5.7628150200982136</v>
      </c>
      <c r="BV375" s="6" cm="1">
        <f t="array" ref="BV375">IF(AP375=0,FactorPhi7121(BR375,"a"),noisuy2chieu(BU375,BR375,Data!$A$63:$M$85))</f>
        <v>0</v>
      </c>
      <c r="BW375" s="111">
        <v>1.26</v>
      </c>
      <c r="BX375" s="111">
        <f t="shared" si="187"/>
        <v>0.94485898999099804</v>
      </c>
      <c r="BY375" s="113" t="e">
        <f t="shared" si="188"/>
        <v>#DIV/0!</v>
      </c>
      <c r="BZ375" s="6" t="e">
        <f t="shared" si="189"/>
        <v>#DIV/0!</v>
      </c>
      <c r="CA375" s="114">
        <f t="shared" si="190"/>
        <v>127.25109874278135</v>
      </c>
      <c r="CB375" s="115" t="e">
        <f t="shared" si="191"/>
        <v>#DIV/0!</v>
      </c>
      <c r="CC375" s="6" t="e">
        <f t="shared" si="192"/>
        <v>#DIV/0!</v>
      </c>
    </row>
    <row r="376" spans="27:81">
      <c r="AA376" s="79" t="s">
        <v>175</v>
      </c>
      <c r="AB376" s="80" t="s">
        <v>201</v>
      </c>
      <c r="AC376" s="81">
        <v>5.48</v>
      </c>
      <c r="AD376" s="81">
        <v>6</v>
      </c>
      <c r="AE376" s="80">
        <v>273</v>
      </c>
      <c r="AF376" s="80">
        <v>6.35</v>
      </c>
      <c r="AG376" s="108" cm="1">
        <f t="array" ref="AG376">_xll.DCEPropSectPipe(AE376, AF376, "Area")/100</f>
        <v>53.19431074856206</v>
      </c>
      <c r="AH376" s="16" cm="1">
        <f t="array" ref="AH376">_xll.DCEPropSectPipe(AE376, AF376, "Ix")/10000</f>
        <v>4730.4733077169503</v>
      </c>
      <c r="AI376" s="16" cm="1">
        <f t="array" ref="AI376">_xll.DCEPropSectPipe(AE376, AF376, "Wx")/1000</f>
        <v>346.55482107816493</v>
      </c>
      <c r="AJ376" s="108">
        <f t="shared" si="161"/>
        <v>9.4301739777164251</v>
      </c>
      <c r="AK376" s="80" t="s">
        <v>206</v>
      </c>
      <c r="AL376" s="82">
        <v>-35.967790802432042</v>
      </c>
      <c r="AM376" s="82">
        <v>-4.6447820912591595</v>
      </c>
      <c r="AN376" s="82">
        <v>0.9115880788501648</v>
      </c>
      <c r="AO376" s="82">
        <v>-4.9991490244143035</v>
      </c>
      <c r="AP376" s="82">
        <v>25.471984988465227</v>
      </c>
      <c r="AQ376" s="82">
        <v>-5.1771404710844425E-2</v>
      </c>
      <c r="AR376" s="72">
        <v>1</v>
      </c>
      <c r="AS376" s="116">
        <f t="shared" si="162"/>
        <v>6</v>
      </c>
      <c r="AT376" s="82">
        <v>2</v>
      </c>
      <c r="AU376" s="6">
        <f t="shared" si="163"/>
        <v>12</v>
      </c>
      <c r="AV376" s="111">
        <f t="shared" si="164"/>
        <v>2.9581938847641504E-2</v>
      </c>
      <c r="AW376" s="117">
        <f t="shared" si="165"/>
        <v>105</v>
      </c>
      <c r="AX376" s="111">
        <f t="shared" si="166"/>
        <v>1</v>
      </c>
      <c r="AY376" s="111">
        <f t="shared" si="167"/>
        <v>1</v>
      </c>
      <c r="AZ376" s="111">
        <f t="shared" si="168"/>
        <v>1</v>
      </c>
      <c r="BA376" s="111">
        <f t="shared" si="169"/>
        <v>3.1138882997517374E-2</v>
      </c>
      <c r="BB376" s="111">
        <f t="shared" si="170"/>
        <v>6.6432193184719657E-2</v>
      </c>
      <c r="BC376" s="111">
        <f t="shared" si="171"/>
        <v>0.33848957478323094</v>
      </c>
      <c r="BD376" s="111">
        <v>0</v>
      </c>
      <c r="BE376" s="111">
        <f t="shared" si="172"/>
        <v>0.43606065096546798</v>
      </c>
      <c r="BF376" s="6" t="str">
        <f t="shared" si="173"/>
        <v>OK</v>
      </c>
      <c r="BG376" s="16">
        <f t="shared" si="174"/>
        <v>63.625549371390676</v>
      </c>
      <c r="BH376" s="118">
        <f t="shared" si="175"/>
        <v>2.1193803644775273</v>
      </c>
      <c r="BI376" s="108">
        <f t="shared" si="176"/>
        <v>2.133416063447624</v>
      </c>
      <c r="BJ376" s="6">
        <f t="shared" si="177"/>
        <v>1.1825753797450609</v>
      </c>
      <c r="BK376" s="108">
        <f t="shared" si="178"/>
        <v>2.5229253113857868</v>
      </c>
      <c r="BL376" s="118" cm="1">
        <f t="array" ref="BL376">IF(AO376=0,FactorPhi7121(BH376,"a"),noisuy2chieu(BK376,BH376,Data!$A$63:$M$85))</f>
        <v>0</v>
      </c>
      <c r="BM376" s="111">
        <v>1.26</v>
      </c>
      <c r="BN376" s="118">
        <f t="shared" si="179"/>
        <v>0.98671246419705949</v>
      </c>
      <c r="BO376" s="108" t="e">
        <f t="shared" si="180"/>
        <v>#DIV/0!</v>
      </c>
      <c r="BP376" s="6" t="e">
        <f t="shared" si="181"/>
        <v>#DIV/0!</v>
      </c>
      <c r="BQ376" s="16">
        <f t="shared" si="182"/>
        <v>127.25109874278135</v>
      </c>
      <c r="BR376" s="118">
        <f t="shared" si="183"/>
        <v>4.2387607289550546</v>
      </c>
      <c r="BS376" s="108">
        <f t="shared" si="184"/>
        <v>10.870318463581942</v>
      </c>
      <c r="BT376" s="118">
        <f t="shared" si="185"/>
        <v>1.1000000000000001</v>
      </c>
      <c r="BU376" s="108">
        <f t="shared" si="186"/>
        <v>11.957350309940137</v>
      </c>
      <c r="BV376" s="6" cm="1">
        <f t="array" ref="BV376">IF(AP376=0,FactorPhi7121(BR376,"a"),noisuy2chieu(BU376,BR376,Data!$A$63:$M$85))</f>
        <v>0</v>
      </c>
      <c r="BW376" s="111">
        <v>1.26</v>
      </c>
      <c r="BX376" s="111">
        <f t="shared" si="187"/>
        <v>0.94684985678823796</v>
      </c>
      <c r="BY376" s="113" t="e">
        <f t="shared" si="188"/>
        <v>#DIV/0!</v>
      </c>
      <c r="BZ376" s="6" t="e">
        <f t="shared" si="189"/>
        <v>#DIV/0!</v>
      </c>
      <c r="CA376" s="114">
        <f t="shared" si="190"/>
        <v>127.25109874278135</v>
      </c>
      <c r="CB376" s="115" t="e">
        <f t="shared" si="191"/>
        <v>#DIV/0!</v>
      </c>
      <c r="CC376" s="6" t="e">
        <f t="shared" si="192"/>
        <v>#DIV/0!</v>
      </c>
    </row>
    <row r="377" spans="27:81">
      <c r="AA377" s="79" t="s">
        <v>175</v>
      </c>
      <c r="AB377" s="80" t="s">
        <v>201</v>
      </c>
      <c r="AC377" s="81">
        <v>0</v>
      </c>
      <c r="AD377" s="81">
        <v>6</v>
      </c>
      <c r="AE377" s="80">
        <v>273</v>
      </c>
      <c r="AF377" s="80">
        <v>6.35</v>
      </c>
      <c r="AG377" s="108" cm="1">
        <f t="array" ref="AG377">_xll.DCEPropSectPipe(AE377, AF377, "Area")/100</f>
        <v>53.19431074856206</v>
      </c>
      <c r="AH377" s="16" cm="1">
        <f t="array" ref="AH377">_xll.DCEPropSectPipe(AE377, AF377, "Ix")/10000</f>
        <v>4730.4733077169503</v>
      </c>
      <c r="AI377" s="16" cm="1">
        <f t="array" ref="AI377">_xll.DCEPropSectPipe(AE377, AF377, "Wx")/1000</f>
        <v>346.55482107816493</v>
      </c>
      <c r="AJ377" s="108">
        <f t="shared" si="161"/>
        <v>9.4301739777164251</v>
      </c>
      <c r="AK377" s="80" t="s">
        <v>207</v>
      </c>
      <c r="AL377" s="82">
        <v>-63.920985989781563</v>
      </c>
      <c r="AM377" s="82">
        <v>-7.2061946954193816</v>
      </c>
      <c r="AN377" s="82">
        <v>1.4673834018340901</v>
      </c>
      <c r="AO377" s="82">
        <v>0</v>
      </c>
      <c r="AP377" s="82">
        <v>0</v>
      </c>
      <c r="AQ377" s="82">
        <v>-3.974537974927405E-2</v>
      </c>
      <c r="AR377" s="72">
        <v>1</v>
      </c>
      <c r="AS377" s="116">
        <f t="shared" si="162"/>
        <v>6</v>
      </c>
      <c r="AT377" s="82">
        <v>2</v>
      </c>
      <c r="AU377" s="6">
        <f t="shared" si="163"/>
        <v>12</v>
      </c>
      <c r="AV377" s="111">
        <f t="shared" si="164"/>
        <v>5.2572222436936822E-2</v>
      </c>
      <c r="AW377" s="117">
        <f t="shared" si="165"/>
        <v>105</v>
      </c>
      <c r="AX377" s="111">
        <f t="shared" si="166"/>
        <v>1</v>
      </c>
      <c r="AY377" s="111">
        <f t="shared" si="167"/>
        <v>1</v>
      </c>
      <c r="AZ377" s="111">
        <f t="shared" si="168"/>
        <v>1</v>
      </c>
      <c r="BA377" s="111">
        <f t="shared" si="169"/>
        <v>5.5339181512565075E-2</v>
      </c>
      <c r="BB377" s="111">
        <f t="shared" si="170"/>
        <v>0</v>
      </c>
      <c r="BC377" s="111">
        <f t="shared" si="171"/>
        <v>0</v>
      </c>
      <c r="BD377" s="111">
        <v>0</v>
      </c>
      <c r="BE377" s="111">
        <f t="shared" si="172"/>
        <v>5.5339181512565075E-2</v>
      </c>
      <c r="BF377" s="6" t="str">
        <f t="shared" si="173"/>
        <v>OK</v>
      </c>
      <c r="BG377" s="16">
        <f t="shared" si="174"/>
        <v>63.625549371390676</v>
      </c>
      <c r="BH377" s="118">
        <f t="shared" si="175"/>
        <v>2.1193803644775273</v>
      </c>
      <c r="BI377" s="108">
        <f t="shared" si="176"/>
        <v>0</v>
      </c>
      <c r="BJ377" s="6">
        <f t="shared" si="177"/>
        <v>1.2440309817761237</v>
      </c>
      <c r="BK377" s="108">
        <f t="shared" si="178"/>
        <v>0</v>
      </c>
      <c r="BL377" s="118" cm="1">
        <f t="array" ref="BL377">IF(AO377=0,FactorPhi7121(BH377,"a"),noisuy2chieu(BK377,BH377,Data!$A$63:$M$85))</f>
        <v>0.86214274110469236</v>
      </c>
      <c r="BM377" s="111">
        <v>1.26</v>
      </c>
      <c r="BN377" s="118">
        <f t="shared" si="179"/>
        <v>0.97638575039084552</v>
      </c>
      <c r="BO377" s="108">
        <f t="shared" si="180"/>
        <v>0.13082688117331567</v>
      </c>
      <c r="BP377" s="6" t="str">
        <f t="shared" si="181"/>
        <v>OK</v>
      </c>
      <c r="BQ377" s="16">
        <f t="shared" si="182"/>
        <v>127.25109874278135</v>
      </c>
      <c r="BR377" s="118">
        <f t="shared" si="183"/>
        <v>4.2387607289550546</v>
      </c>
      <c r="BS377" s="108">
        <f t="shared" si="184"/>
        <v>0</v>
      </c>
      <c r="BT377" s="118">
        <f t="shared" si="185"/>
        <v>1.1380619635522473</v>
      </c>
      <c r="BU377" s="108">
        <f t="shared" si="186"/>
        <v>0</v>
      </c>
      <c r="BV377" s="6" cm="1">
        <f t="array" ref="BV377">IF(AP377=0,FactorPhi7121(BR377,"a"),noisuy2chieu(BU377,BR377,Data!$A$63:$M$85))</f>
        <v>0.42299549615688942</v>
      </c>
      <c r="BW377" s="111">
        <v>1.26</v>
      </c>
      <c r="BX377" s="111">
        <f t="shared" si="187"/>
        <v>0.90554300156338208</v>
      </c>
      <c r="BY377" s="113">
        <f t="shared" si="188"/>
        <v>6.4187957369631315E-2</v>
      </c>
      <c r="BZ377" s="6" t="str">
        <f t="shared" si="189"/>
        <v>OK</v>
      </c>
      <c r="CA377" s="114">
        <f t="shared" si="190"/>
        <v>127.25109874278135</v>
      </c>
      <c r="CB377" s="115">
        <f t="shared" si="191"/>
        <v>150</v>
      </c>
      <c r="CC377" s="6" t="str">
        <f t="shared" si="192"/>
        <v>OK</v>
      </c>
    </row>
    <row r="378" spans="27:81">
      <c r="AA378" s="79" t="s">
        <v>175</v>
      </c>
      <c r="AB378" s="80" t="s">
        <v>201</v>
      </c>
      <c r="AC378" s="81">
        <v>2.74</v>
      </c>
      <c r="AD378" s="81">
        <v>6</v>
      </c>
      <c r="AE378" s="80">
        <v>273</v>
      </c>
      <c r="AF378" s="80">
        <v>6.35</v>
      </c>
      <c r="AG378" s="108" cm="1">
        <f t="array" ref="AG378">_xll.DCEPropSectPipe(AE378, AF378, "Area")/100</f>
        <v>53.19431074856206</v>
      </c>
      <c r="AH378" s="16" cm="1">
        <f t="array" ref="AH378">_xll.DCEPropSectPipe(AE378, AF378, "Ix")/10000</f>
        <v>4730.4733077169503</v>
      </c>
      <c r="AI378" s="16" cm="1">
        <f t="array" ref="AI378">_xll.DCEPropSectPipe(AE378, AF378, "Wx")/1000</f>
        <v>346.55482107816493</v>
      </c>
      <c r="AJ378" s="108">
        <f t="shared" si="161"/>
        <v>9.4301739777164251</v>
      </c>
      <c r="AK378" s="80" t="s">
        <v>207</v>
      </c>
      <c r="AL378" s="82">
        <v>-62.573725641049528</v>
      </c>
      <c r="AM378" s="82">
        <v>-7.2061946954193816</v>
      </c>
      <c r="AN378" s="82">
        <v>1.4673834018340901</v>
      </c>
      <c r="AO378" s="82">
        <v>-4.0235652878290749</v>
      </c>
      <c r="AP378" s="82">
        <v>19.759385854839941</v>
      </c>
      <c r="AQ378" s="82">
        <v>-3.974537974927405E-2</v>
      </c>
      <c r="AR378" s="72">
        <v>1</v>
      </c>
      <c r="AS378" s="116">
        <f t="shared" si="162"/>
        <v>6</v>
      </c>
      <c r="AT378" s="82">
        <v>2</v>
      </c>
      <c r="AU378" s="6">
        <f t="shared" si="163"/>
        <v>12</v>
      </c>
      <c r="AV378" s="111">
        <f t="shared" si="164"/>
        <v>5.1464159574055944E-2</v>
      </c>
      <c r="AW378" s="117">
        <f t="shared" si="165"/>
        <v>105</v>
      </c>
      <c r="AX378" s="111">
        <f t="shared" si="166"/>
        <v>1</v>
      </c>
      <c r="AY378" s="111">
        <f t="shared" si="167"/>
        <v>1</v>
      </c>
      <c r="AZ378" s="111">
        <f t="shared" si="168"/>
        <v>1</v>
      </c>
      <c r="BA378" s="111">
        <f t="shared" si="169"/>
        <v>5.417279955163784E-2</v>
      </c>
      <c r="BB378" s="111">
        <f t="shared" si="170"/>
        <v>5.3467953283050859E-2</v>
      </c>
      <c r="BC378" s="111">
        <f t="shared" si="171"/>
        <v>0.26257655691189047</v>
      </c>
      <c r="BD378" s="111">
        <v>0</v>
      </c>
      <c r="BE378" s="111">
        <f t="shared" si="172"/>
        <v>0.37021730974657918</v>
      </c>
      <c r="BF378" s="6" t="str">
        <f t="shared" si="173"/>
        <v>OK</v>
      </c>
      <c r="BG378" s="16">
        <f t="shared" si="174"/>
        <v>63.625549371390676</v>
      </c>
      <c r="BH378" s="118">
        <f t="shared" si="175"/>
        <v>2.1193803644775273</v>
      </c>
      <c r="BI378" s="108">
        <f t="shared" si="176"/>
        <v>0.98698892664915516</v>
      </c>
      <c r="BJ378" s="6">
        <f t="shared" si="177"/>
        <v>1.2155995849546357</v>
      </c>
      <c r="BK378" s="108">
        <f t="shared" si="178"/>
        <v>1.1997833295895344</v>
      </c>
      <c r="BL378" s="118" cm="1">
        <f t="array" ref="BL378">IF(AO378=0,FactorPhi7121(BH378,"a"),noisuy2chieu(BK378,BH378,Data!$A$63:$M$85))</f>
        <v>0</v>
      </c>
      <c r="BM378" s="111">
        <v>1.26</v>
      </c>
      <c r="BN378" s="118">
        <f t="shared" si="179"/>
        <v>0.9768834670901555</v>
      </c>
      <c r="BO378" s="108" t="e">
        <f t="shared" si="180"/>
        <v>#DIV/0!</v>
      </c>
      <c r="BP378" s="6" t="e">
        <f t="shared" si="181"/>
        <v>#DIV/0!</v>
      </c>
      <c r="BQ378" s="16">
        <f t="shared" si="182"/>
        <v>127.25109874278135</v>
      </c>
      <c r="BR378" s="118">
        <f t="shared" si="183"/>
        <v>4.2387607289550546</v>
      </c>
      <c r="BS378" s="108">
        <f t="shared" si="184"/>
        <v>4.8470184130248049</v>
      </c>
      <c r="BT378" s="118">
        <f t="shared" si="185"/>
        <v>1.1011645559175232</v>
      </c>
      <c r="BU378" s="108">
        <f t="shared" si="186"/>
        <v>5.3373648783025169</v>
      </c>
      <c r="BV378" s="6" cm="1">
        <f t="array" ref="BV378">IF(AP378=0,FactorPhi7121(BR378,"a"),noisuy2chieu(BU378,BR378,Data!$A$63:$M$85))</f>
        <v>0</v>
      </c>
      <c r="BW378" s="111">
        <v>1.26</v>
      </c>
      <c r="BX378" s="111">
        <f t="shared" si="187"/>
        <v>0.90753386836062211</v>
      </c>
      <c r="BY378" s="113" t="e">
        <f t="shared" si="188"/>
        <v>#DIV/0!</v>
      </c>
      <c r="BZ378" s="6" t="e">
        <f t="shared" si="189"/>
        <v>#DIV/0!</v>
      </c>
      <c r="CA378" s="114">
        <f t="shared" si="190"/>
        <v>127.25109874278135</v>
      </c>
      <c r="CB378" s="115" t="e">
        <f t="shared" si="191"/>
        <v>#DIV/0!</v>
      </c>
      <c r="CC378" s="6" t="e">
        <f t="shared" si="192"/>
        <v>#DIV/0!</v>
      </c>
    </row>
    <row r="379" spans="27:81">
      <c r="AA379" s="79" t="s">
        <v>175</v>
      </c>
      <c r="AB379" s="80" t="s">
        <v>201</v>
      </c>
      <c r="AC379" s="81">
        <v>5.48</v>
      </c>
      <c r="AD379" s="81">
        <v>6</v>
      </c>
      <c r="AE379" s="80">
        <v>273</v>
      </c>
      <c r="AF379" s="80">
        <v>6.35</v>
      </c>
      <c r="AG379" s="108" cm="1">
        <f t="array" ref="AG379">_xll.DCEPropSectPipe(AE379, AF379, "Area")/100</f>
        <v>53.19431074856206</v>
      </c>
      <c r="AH379" s="16" cm="1">
        <f t="array" ref="AH379">_xll.DCEPropSectPipe(AE379, AF379, "Ix")/10000</f>
        <v>4730.4733077169503</v>
      </c>
      <c r="AI379" s="16" cm="1">
        <f t="array" ref="AI379">_xll.DCEPropSectPipe(AE379, AF379, "Wx")/1000</f>
        <v>346.55482107816493</v>
      </c>
      <c r="AJ379" s="108">
        <f t="shared" si="161"/>
        <v>9.4301739777164251</v>
      </c>
      <c r="AK379" s="80" t="s">
        <v>207</v>
      </c>
      <c r="AL379" s="82">
        <v>-61.226465292317492</v>
      </c>
      <c r="AM379" s="82">
        <v>-7.2061946954193816</v>
      </c>
      <c r="AN379" s="82">
        <v>1.4673834018340901</v>
      </c>
      <c r="AO379" s="82">
        <v>-8.0471305756581497</v>
      </c>
      <c r="AP379" s="82">
        <v>39.518771709679882</v>
      </c>
      <c r="AQ379" s="82">
        <v>-3.974537974927405E-2</v>
      </c>
      <c r="AR379" s="72">
        <v>1</v>
      </c>
      <c r="AS379" s="116">
        <f t="shared" si="162"/>
        <v>6</v>
      </c>
      <c r="AT379" s="82">
        <v>2</v>
      </c>
      <c r="AU379" s="6">
        <f t="shared" si="163"/>
        <v>12</v>
      </c>
      <c r="AV379" s="111">
        <f t="shared" si="164"/>
        <v>5.0356096711175066E-2</v>
      </c>
      <c r="AW379" s="117">
        <f t="shared" si="165"/>
        <v>105</v>
      </c>
      <c r="AX379" s="111">
        <f t="shared" si="166"/>
        <v>1</v>
      </c>
      <c r="AY379" s="111">
        <f t="shared" si="167"/>
        <v>1</v>
      </c>
      <c r="AZ379" s="111">
        <f t="shared" si="168"/>
        <v>1</v>
      </c>
      <c r="BA379" s="111">
        <f t="shared" si="169"/>
        <v>5.3006417590710606E-2</v>
      </c>
      <c r="BB379" s="111">
        <f t="shared" si="170"/>
        <v>0.10693590656610172</v>
      </c>
      <c r="BC379" s="111">
        <f t="shared" si="171"/>
        <v>0.52515311382378094</v>
      </c>
      <c r="BD379" s="111">
        <v>0</v>
      </c>
      <c r="BE379" s="111">
        <f t="shared" si="172"/>
        <v>0.68509543798059325</v>
      </c>
      <c r="BF379" s="6" t="str">
        <f t="shared" si="173"/>
        <v>OK</v>
      </c>
      <c r="BG379" s="16">
        <f t="shared" si="174"/>
        <v>63.625549371390676</v>
      </c>
      <c r="BH379" s="118">
        <f t="shared" si="175"/>
        <v>2.1193803644775273</v>
      </c>
      <c r="BI379" s="108">
        <f t="shared" si="176"/>
        <v>2.0174143325777649</v>
      </c>
      <c r="BJ379" s="6">
        <f t="shared" si="177"/>
        <v>1.185916948382044</v>
      </c>
      <c r="BK379" s="108">
        <f t="shared" si="178"/>
        <v>2.3924858489128211</v>
      </c>
      <c r="BL379" s="118" cm="1">
        <f t="array" ref="BL379">IF(AO379=0,FactorPhi7121(BH379,"a"),noisuy2chieu(BK379,BH379,Data!$A$63:$M$85))</f>
        <v>0</v>
      </c>
      <c r="BM379" s="111">
        <v>1.26</v>
      </c>
      <c r="BN379" s="118">
        <f t="shared" si="179"/>
        <v>0.97738118378946548</v>
      </c>
      <c r="BO379" s="108" t="e">
        <f t="shared" si="180"/>
        <v>#DIV/0!</v>
      </c>
      <c r="BP379" s="6" t="e">
        <f t="shared" si="181"/>
        <v>#DIV/0!</v>
      </c>
      <c r="BQ379" s="16">
        <f t="shared" si="182"/>
        <v>127.25109874278135</v>
      </c>
      <c r="BR379" s="118">
        <f t="shared" si="183"/>
        <v>4.2387607289550546</v>
      </c>
      <c r="BS379" s="108">
        <f t="shared" si="184"/>
        <v>9.9073496699730619</v>
      </c>
      <c r="BT379" s="118">
        <f t="shared" si="185"/>
        <v>1.1000000000000001</v>
      </c>
      <c r="BU379" s="108">
        <f t="shared" si="186"/>
        <v>10.898084636970369</v>
      </c>
      <c r="BV379" s="6" cm="1">
        <f t="array" ref="BV379">IF(AP379=0,FactorPhi7121(BR379,"a"),noisuy2chieu(BU379,BR379,Data!$A$63:$M$85))</f>
        <v>0</v>
      </c>
      <c r="BW379" s="111">
        <v>1.26</v>
      </c>
      <c r="BX379" s="111">
        <f t="shared" si="187"/>
        <v>0.90952473515786203</v>
      </c>
      <c r="BY379" s="113" t="e">
        <f t="shared" si="188"/>
        <v>#DIV/0!</v>
      </c>
      <c r="BZ379" s="6" t="e">
        <f t="shared" si="189"/>
        <v>#DIV/0!</v>
      </c>
      <c r="CA379" s="114">
        <f t="shared" si="190"/>
        <v>127.25109874278135</v>
      </c>
      <c r="CB379" s="115" t="e">
        <f t="shared" si="191"/>
        <v>#DIV/0!</v>
      </c>
      <c r="CC379" s="6" t="e">
        <f t="shared" si="192"/>
        <v>#DIV/0!</v>
      </c>
    </row>
    <row r="380" spans="27:81">
      <c r="AA380" s="79" t="s">
        <v>175</v>
      </c>
      <c r="AB380" s="80" t="s">
        <v>201</v>
      </c>
      <c r="AC380" s="81">
        <v>0</v>
      </c>
      <c r="AD380" s="81">
        <v>6</v>
      </c>
      <c r="AE380" s="80">
        <v>273</v>
      </c>
      <c r="AF380" s="80">
        <v>6.35</v>
      </c>
      <c r="AG380" s="108" cm="1">
        <f t="array" ref="AG380">_xll.DCEPropSectPipe(AE380, AF380, "Area")/100</f>
        <v>53.19431074856206</v>
      </c>
      <c r="AH380" s="16" cm="1">
        <f t="array" ref="AH380">_xll.DCEPropSectPipe(AE380, AF380, "Ix")/10000</f>
        <v>4730.4733077169503</v>
      </c>
      <c r="AI380" s="16" cm="1">
        <f t="array" ref="AI380">_xll.DCEPropSectPipe(AE380, AF380, "Wx")/1000</f>
        <v>346.55482107816493</v>
      </c>
      <c r="AJ380" s="108">
        <f t="shared" si="161"/>
        <v>9.4301739777164251</v>
      </c>
      <c r="AK380" s="80" t="s">
        <v>208</v>
      </c>
      <c r="AL380" s="82">
        <v>-49.93959823905098</v>
      </c>
      <c r="AM380" s="82">
        <v>-7.1492433418528725</v>
      </c>
      <c r="AN380" s="82">
        <v>1.3607718988413346</v>
      </c>
      <c r="AO380" s="82">
        <v>0</v>
      </c>
      <c r="AP380" s="82">
        <v>0</v>
      </c>
      <c r="AQ380" s="82">
        <v>-0.12187240232023987</v>
      </c>
      <c r="AR380" s="72">
        <v>1</v>
      </c>
      <c r="AS380" s="116">
        <f t="shared" si="162"/>
        <v>6</v>
      </c>
      <c r="AT380" s="82">
        <v>2</v>
      </c>
      <c r="AU380" s="6">
        <f t="shared" si="163"/>
        <v>12</v>
      </c>
      <c r="AV380" s="111">
        <f t="shared" si="164"/>
        <v>4.1073140947080346E-2</v>
      </c>
      <c r="AW380" s="117">
        <f t="shared" si="165"/>
        <v>105</v>
      </c>
      <c r="AX380" s="111">
        <f t="shared" si="166"/>
        <v>1</v>
      </c>
      <c r="AY380" s="111">
        <f t="shared" si="167"/>
        <v>1</v>
      </c>
      <c r="AZ380" s="111">
        <f t="shared" si="168"/>
        <v>1</v>
      </c>
      <c r="BA380" s="111">
        <f t="shared" si="169"/>
        <v>4.3234885207453007E-2</v>
      </c>
      <c r="BB380" s="111">
        <f t="shared" si="170"/>
        <v>0</v>
      </c>
      <c r="BC380" s="111">
        <f t="shared" si="171"/>
        <v>0</v>
      </c>
      <c r="BD380" s="111">
        <v>0</v>
      </c>
      <c r="BE380" s="111">
        <f t="shared" si="172"/>
        <v>4.3234885207453007E-2</v>
      </c>
      <c r="BF380" s="6" t="str">
        <f t="shared" si="173"/>
        <v>OK</v>
      </c>
      <c r="BG380" s="16">
        <f t="shared" si="174"/>
        <v>63.625549371390676</v>
      </c>
      <c r="BH380" s="118">
        <f t="shared" si="175"/>
        <v>2.1193803644775273</v>
      </c>
      <c r="BI380" s="108">
        <f t="shared" si="176"/>
        <v>0</v>
      </c>
      <c r="BJ380" s="6">
        <f t="shared" si="177"/>
        <v>1.2440309817761237</v>
      </c>
      <c r="BK380" s="108">
        <f t="shared" si="178"/>
        <v>0</v>
      </c>
      <c r="BL380" s="118" cm="1">
        <f t="array" ref="BL380">IF(AO380=0,FactorPhi7121(BH380,"a"),noisuy2chieu(BK380,BH380,Data!$A$63:$M$85))</f>
        <v>0.86214274110469236</v>
      </c>
      <c r="BM380" s="111">
        <v>1.26</v>
      </c>
      <c r="BN380" s="118">
        <f t="shared" si="179"/>
        <v>0.98155087691566023</v>
      </c>
      <c r="BO380" s="108">
        <f t="shared" si="180"/>
        <v>0.10221121879609124</v>
      </c>
      <c r="BP380" s="6" t="str">
        <f t="shared" si="181"/>
        <v>OK</v>
      </c>
      <c r="BQ380" s="16">
        <f t="shared" si="182"/>
        <v>127.25109874278135</v>
      </c>
      <c r="BR380" s="118">
        <f t="shared" si="183"/>
        <v>4.2387607289550546</v>
      </c>
      <c r="BS380" s="108">
        <f t="shared" si="184"/>
        <v>0</v>
      </c>
      <c r="BT380" s="118">
        <f t="shared" si="185"/>
        <v>1.1380619635522473</v>
      </c>
      <c r="BU380" s="108">
        <f t="shared" si="186"/>
        <v>0</v>
      </c>
      <c r="BV380" s="6" cm="1">
        <f t="array" ref="BV380">IF(AP380=0,FactorPhi7121(BR380,"a"),noisuy2chieu(BU380,BR380,Data!$A$63:$M$85))</f>
        <v>0.42299549615688942</v>
      </c>
      <c r="BW380" s="111">
        <v>1.26</v>
      </c>
      <c r="BX380" s="111">
        <f t="shared" si="187"/>
        <v>0.9262035076626407</v>
      </c>
      <c r="BY380" s="113">
        <f t="shared" si="188"/>
        <v>5.0148175175788984E-2</v>
      </c>
      <c r="BZ380" s="6" t="str">
        <f t="shared" si="189"/>
        <v>OK</v>
      </c>
      <c r="CA380" s="114">
        <f t="shared" si="190"/>
        <v>127.25109874278135</v>
      </c>
      <c r="CB380" s="115">
        <f t="shared" si="191"/>
        <v>150</v>
      </c>
      <c r="CC380" s="6" t="str">
        <f t="shared" si="192"/>
        <v>OK</v>
      </c>
    </row>
    <row r="381" spans="27:81">
      <c r="AA381" s="79" t="s">
        <v>175</v>
      </c>
      <c r="AB381" s="80" t="s">
        <v>201</v>
      </c>
      <c r="AC381" s="81">
        <v>2.74</v>
      </c>
      <c r="AD381" s="81">
        <v>6</v>
      </c>
      <c r="AE381" s="80">
        <v>273</v>
      </c>
      <c r="AF381" s="80">
        <v>6.35</v>
      </c>
      <c r="AG381" s="108" cm="1">
        <f t="array" ref="AG381">_xll.DCEPropSectPipe(AE381, AF381, "Area")/100</f>
        <v>53.19431074856206</v>
      </c>
      <c r="AH381" s="16" cm="1">
        <f t="array" ref="AH381">_xll.DCEPropSectPipe(AE381, AF381, "Ix")/10000</f>
        <v>4730.4733077169503</v>
      </c>
      <c r="AI381" s="16" cm="1">
        <f t="array" ref="AI381">_xll.DCEPropSectPipe(AE381, AF381, "Wx")/1000</f>
        <v>346.55482107816493</v>
      </c>
      <c r="AJ381" s="108">
        <f t="shared" si="161"/>
        <v>9.4301739777164251</v>
      </c>
      <c r="AK381" s="80" t="s">
        <v>208</v>
      </c>
      <c r="AL381" s="82">
        <v>-48.592337890318952</v>
      </c>
      <c r="AM381" s="82">
        <v>-7.1492433418528725</v>
      </c>
      <c r="AN381" s="82">
        <v>1.3607718988413346</v>
      </c>
      <c r="AO381" s="82">
        <v>-3.7312365466229394</v>
      </c>
      <c r="AP381" s="82">
        <v>19.603225243360573</v>
      </c>
      <c r="AQ381" s="82">
        <v>-0.12187240232023987</v>
      </c>
      <c r="AR381" s="72">
        <v>1</v>
      </c>
      <c r="AS381" s="116">
        <f t="shared" si="162"/>
        <v>6</v>
      </c>
      <c r="AT381" s="82">
        <v>2</v>
      </c>
      <c r="AU381" s="6">
        <f t="shared" si="163"/>
        <v>12</v>
      </c>
      <c r="AV381" s="111">
        <f t="shared" si="164"/>
        <v>3.9965078084199482E-2</v>
      </c>
      <c r="AW381" s="117">
        <f t="shared" si="165"/>
        <v>105</v>
      </c>
      <c r="AX381" s="111">
        <f t="shared" si="166"/>
        <v>1</v>
      </c>
      <c r="AY381" s="111">
        <f t="shared" si="167"/>
        <v>1</v>
      </c>
      <c r="AZ381" s="111">
        <f t="shared" si="168"/>
        <v>1</v>
      </c>
      <c r="BA381" s="111">
        <f t="shared" si="169"/>
        <v>4.2068503246525772E-2</v>
      </c>
      <c r="BB381" s="111">
        <f t="shared" si="170"/>
        <v>4.9583284249499267E-2</v>
      </c>
      <c r="BC381" s="111">
        <f t="shared" si="171"/>
        <v>0.2605013853458944</v>
      </c>
      <c r="BD381" s="111">
        <v>0</v>
      </c>
      <c r="BE381" s="111">
        <f t="shared" si="172"/>
        <v>0.35215317284191944</v>
      </c>
      <c r="BF381" s="6" t="str">
        <f t="shared" si="173"/>
        <v>OK</v>
      </c>
      <c r="BG381" s="16">
        <f t="shared" si="174"/>
        <v>63.625549371390676</v>
      </c>
      <c r="BH381" s="118">
        <f t="shared" si="175"/>
        <v>2.1193803644775273</v>
      </c>
      <c r="BI381" s="108">
        <f t="shared" si="176"/>
        <v>1.178632003114922</v>
      </c>
      <c r="BJ381" s="6">
        <f t="shared" si="177"/>
        <v>1.2100790768638434</v>
      </c>
      <c r="BK381" s="108">
        <f t="shared" si="178"/>
        <v>1.4262379262914875</v>
      </c>
      <c r="BL381" s="118" cm="1">
        <f t="array" ref="BL381">IF(AO381=0,FactorPhi7121(BH381,"a"),noisuy2chieu(BK381,BH381,Data!$A$63:$M$85))</f>
        <v>0</v>
      </c>
      <c r="BM381" s="111">
        <v>1.26</v>
      </c>
      <c r="BN381" s="118">
        <f t="shared" si="179"/>
        <v>0.98204859361497021</v>
      </c>
      <c r="BO381" s="108" t="e">
        <f t="shared" si="180"/>
        <v>#DIV/0!</v>
      </c>
      <c r="BP381" s="6" t="e">
        <f t="shared" si="181"/>
        <v>#DIV/0!</v>
      </c>
      <c r="BQ381" s="16">
        <f t="shared" si="182"/>
        <v>127.25109874278135</v>
      </c>
      <c r="BR381" s="118">
        <f t="shared" si="183"/>
        <v>4.2387607289550546</v>
      </c>
      <c r="BS381" s="108">
        <f t="shared" si="184"/>
        <v>6.1923140887454311</v>
      </c>
      <c r="BT381" s="118">
        <f t="shared" si="185"/>
        <v>1.1000000000000001</v>
      </c>
      <c r="BU381" s="108">
        <f t="shared" si="186"/>
        <v>6.8115454976199752</v>
      </c>
      <c r="BV381" s="6" cm="1">
        <f t="array" ref="BV381">IF(AP381=0,FactorPhi7121(BR381,"a"),noisuy2chieu(BU381,BR381,Data!$A$63:$M$85))</f>
        <v>0</v>
      </c>
      <c r="BW381" s="111">
        <v>1.26</v>
      </c>
      <c r="BX381" s="111">
        <f t="shared" si="187"/>
        <v>0.92819437445988073</v>
      </c>
      <c r="BY381" s="113" t="e">
        <f t="shared" si="188"/>
        <v>#DIV/0!</v>
      </c>
      <c r="BZ381" s="6" t="e">
        <f t="shared" si="189"/>
        <v>#DIV/0!</v>
      </c>
      <c r="CA381" s="114">
        <f t="shared" si="190"/>
        <v>127.25109874278135</v>
      </c>
      <c r="CB381" s="115" t="e">
        <f t="shared" si="191"/>
        <v>#DIV/0!</v>
      </c>
      <c r="CC381" s="6" t="e">
        <f t="shared" si="192"/>
        <v>#DIV/0!</v>
      </c>
    </row>
    <row r="382" spans="27:81">
      <c r="AA382" s="79" t="s">
        <v>175</v>
      </c>
      <c r="AB382" s="80" t="s">
        <v>201</v>
      </c>
      <c r="AC382" s="81">
        <v>5.48</v>
      </c>
      <c r="AD382" s="81">
        <v>6</v>
      </c>
      <c r="AE382" s="80">
        <v>273</v>
      </c>
      <c r="AF382" s="80">
        <v>6.35</v>
      </c>
      <c r="AG382" s="108" cm="1">
        <f t="array" ref="AG382">_xll.DCEPropSectPipe(AE382, AF382, "Area")/100</f>
        <v>53.19431074856206</v>
      </c>
      <c r="AH382" s="16" cm="1">
        <f t="array" ref="AH382">_xll.DCEPropSectPipe(AE382, AF382, "Ix")/10000</f>
        <v>4730.4733077169503</v>
      </c>
      <c r="AI382" s="16" cm="1">
        <f t="array" ref="AI382">_xll.DCEPropSectPipe(AE382, AF382, "Wx")/1000</f>
        <v>346.55482107816493</v>
      </c>
      <c r="AJ382" s="108">
        <f t="shared" si="161"/>
        <v>9.4301739777164251</v>
      </c>
      <c r="AK382" s="80" t="s">
        <v>208</v>
      </c>
      <c r="AL382" s="82">
        <v>-47.245077541586916</v>
      </c>
      <c r="AM382" s="82">
        <v>-7.1492433418528725</v>
      </c>
      <c r="AN382" s="82">
        <v>1.3607718988413346</v>
      </c>
      <c r="AO382" s="82">
        <v>-7.4624730932458787</v>
      </c>
      <c r="AP382" s="82">
        <v>39.206450486721145</v>
      </c>
      <c r="AQ382" s="82">
        <v>-0.12187240232023987</v>
      </c>
      <c r="AR382" s="72">
        <v>1</v>
      </c>
      <c r="AS382" s="116">
        <f t="shared" si="162"/>
        <v>6</v>
      </c>
      <c r="AT382" s="82">
        <v>2</v>
      </c>
      <c r="AU382" s="6">
        <f t="shared" si="163"/>
        <v>12</v>
      </c>
      <c r="AV382" s="111">
        <f t="shared" si="164"/>
        <v>3.8857015221318604E-2</v>
      </c>
      <c r="AW382" s="117">
        <f t="shared" si="165"/>
        <v>105</v>
      </c>
      <c r="AX382" s="111">
        <f t="shared" si="166"/>
        <v>1</v>
      </c>
      <c r="AY382" s="111">
        <f t="shared" si="167"/>
        <v>1</v>
      </c>
      <c r="AZ382" s="111">
        <f t="shared" si="168"/>
        <v>1</v>
      </c>
      <c r="BA382" s="111">
        <f t="shared" si="169"/>
        <v>4.0902121285598531E-2</v>
      </c>
      <c r="BB382" s="111">
        <f t="shared" si="170"/>
        <v>9.9166568498998534E-2</v>
      </c>
      <c r="BC382" s="111">
        <f t="shared" si="171"/>
        <v>0.5210027706917888</v>
      </c>
      <c r="BD382" s="111">
        <v>0</v>
      </c>
      <c r="BE382" s="111">
        <f t="shared" si="172"/>
        <v>0.66107146047638587</v>
      </c>
      <c r="BF382" s="6" t="str">
        <f t="shared" si="173"/>
        <v>OK</v>
      </c>
      <c r="BG382" s="16">
        <f t="shared" si="174"/>
        <v>63.625549371390676</v>
      </c>
      <c r="BH382" s="118">
        <f t="shared" si="175"/>
        <v>2.1193803644775273</v>
      </c>
      <c r="BI382" s="108">
        <f t="shared" si="176"/>
        <v>2.4244847304267978</v>
      </c>
      <c r="BJ382" s="6">
        <f t="shared" si="177"/>
        <v>1.1741907985712052</v>
      </c>
      <c r="BK382" s="108">
        <f t="shared" si="178"/>
        <v>2.8468076617435347</v>
      </c>
      <c r="BL382" s="118" cm="1">
        <f t="array" ref="BL382">IF(AO382=0,FactorPhi7121(BH382,"a"),noisuy2chieu(BK382,BH382,Data!$A$63:$M$85))</f>
        <v>0</v>
      </c>
      <c r="BM382" s="111">
        <v>1.26</v>
      </c>
      <c r="BN382" s="118">
        <f t="shared" si="179"/>
        <v>0.98254631031428019</v>
      </c>
      <c r="BO382" s="108" t="e">
        <f t="shared" si="180"/>
        <v>#DIV/0!</v>
      </c>
      <c r="BP382" s="6" t="e">
        <f t="shared" si="181"/>
        <v>#DIV/0!</v>
      </c>
      <c r="BQ382" s="16">
        <f t="shared" si="182"/>
        <v>127.25109874278135</v>
      </c>
      <c r="BR382" s="118">
        <f t="shared" si="183"/>
        <v>4.2387607289550546</v>
      </c>
      <c r="BS382" s="108">
        <f t="shared" si="184"/>
        <v>12.737793403278372</v>
      </c>
      <c r="BT382" s="118">
        <f t="shared" si="185"/>
        <v>1.1000000000000001</v>
      </c>
      <c r="BU382" s="108">
        <f t="shared" si="186"/>
        <v>14.011572743606211</v>
      </c>
      <c r="BV382" s="6" cm="1">
        <f t="array" ref="BV382">IF(AP382=0,FactorPhi7121(BR382,"a"),noisuy2chieu(BU382,BR382,Data!$A$63:$M$85))</f>
        <v>0</v>
      </c>
      <c r="BW382" s="111">
        <v>1.26</v>
      </c>
      <c r="BX382" s="111">
        <f t="shared" si="187"/>
        <v>0.93018524125712065</v>
      </c>
      <c r="BY382" s="113" t="e">
        <f t="shared" si="188"/>
        <v>#DIV/0!</v>
      </c>
      <c r="BZ382" s="6" t="e">
        <f t="shared" si="189"/>
        <v>#DIV/0!</v>
      </c>
      <c r="CA382" s="114">
        <f t="shared" si="190"/>
        <v>127.25109874278135</v>
      </c>
      <c r="CB382" s="115" t="e">
        <f t="shared" si="191"/>
        <v>#DIV/0!</v>
      </c>
      <c r="CC382" s="6" t="e">
        <f t="shared" si="192"/>
        <v>#DIV/0!</v>
      </c>
    </row>
    <row r="383" spans="27:81">
      <c r="AA383" s="79" t="s">
        <v>175</v>
      </c>
      <c r="AB383" s="80" t="s">
        <v>201</v>
      </c>
      <c r="AC383" s="81">
        <v>0</v>
      </c>
      <c r="AD383" s="81">
        <v>6</v>
      </c>
      <c r="AE383" s="80">
        <v>273</v>
      </c>
      <c r="AF383" s="80">
        <v>6.35</v>
      </c>
      <c r="AG383" s="108" cm="1">
        <f t="array" ref="AG383">_xll.DCEPropSectPipe(AE383, AF383, "Area")/100</f>
        <v>53.19431074856206</v>
      </c>
      <c r="AH383" s="16" cm="1">
        <f t="array" ref="AH383">_xll.DCEPropSectPipe(AE383, AF383, "Ix")/10000</f>
        <v>4730.4733077169503</v>
      </c>
      <c r="AI383" s="16" cm="1">
        <f t="array" ref="AI383">_xll.DCEPropSectPipe(AE383, AF383, "Wx")/1000</f>
        <v>346.55482107816493</v>
      </c>
      <c r="AJ383" s="108">
        <f t="shared" si="161"/>
        <v>9.4301739777164251</v>
      </c>
      <c r="AK383" s="80" t="s">
        <v>209</v>
      </c>
      <c r="AL383" s="82">
        <v>16.149579939847879</v>
      </c>
      <c r="AM383" s="82">
        <v>1.9202342347926193</v>
      </c>
      <c r="AN383" s="82">
        <v>-0.44321658160402994</v>
      </c>
      <c r="AO383" s="82">
        <v>0</v>
      </c>
      <c r="AP383" s="82">
        <v>0</v>
      </c>
      <c r="AQ383" s="82">
        <v>-2.203927432327097E-2</v>
      </c>
      <c r="AR383" s="72">
        <v>1</v>
      </c>
      <c r="AS383" s="116">
        <f t="shared" si="162"/>
        <v>6</v>
      </c>
      <c r="AT383" s="82">
        <v>2</v>
      </c>
      <c r="AU383" s="6">
        <f t="shared" si="163"/>
        <v>12</v>
      </c>
      <c r="AV383" s="111">
        <f t="shared" si="164"/>
        <v>1.3282324978474206E-2</v>
      </c>
      <c r="AW383" s="117">
        <f t="shared" si="165"/>
        <v>105</v>
      </c>
      <c r="AX383" s="111">
        <f t="shared" si="166"/>
        <v>1</v>
      </c>
      <c r="AY383" s="111">
        <f t="shared" si="167"/>
        <v>1</v>
      </c>
      <c r="AZ383" s="111">
        <f t="shared" si="168"/>
        <v>1</v>
      </c>
      <c r="BA383" s="111">
        <f t="shared" si="169"/>
        <v>1.3981394714183377E-2</v>
      </c>
      <c r="BB383" s="111">
        <f t="shared" si="170"/>
        <v>0</v>
      </c>
      <c r="BC383" s="111">
        <f t="shared" si="171"/>
        <v>0</v>
      </c>
      <c r="BD383" s="111">
        <v>0</v>
      </c>
      <c r="BE383" s="111">
        <f t="shared" si="172"/>
        <v>1.3981394714183377E-2</v>
      </c>
      <c r="BF383" s="6" t="str">
        <f t="shared" si="173"/>
        <v>OK</v>
      </c>
      <c r="BG383" s="16">
        <f t="shared" si="174"/>
        <v>63.625549371390676</v>
      </c>
      <c r="BH383" s="118">
        <f t="shared" si="175"/>
        <v>2.1193803644775273</v>
      </c>
      <c r="BI383" s="108">
        <f t="shared" si="176"/>
        <v>0</v>
      </c>
      <c r="BJ383" s="6">
        <f t="shared" si="177"/>
        <v>1.2440309817761237</v>
      </c>
      <c r="BK383" s="108">
        <f t="shared" si="178"/>
        <v>0</v>
      </c>
      <c r="BL383" s="118" cm="1">
        <f t="array" ref="BL383">IF(AO383=0,FactorPhi7121(BH383,"a"),noisuy2chieu(BK383,BH383,Data!$A$63:$M$85))</f>
        <v>0.86214274110469236</v>
      </c>
      <c r="BM383" s="111">
        <v>1.26</v>
      </c>
      <c r="BN383" s="118">
        <f t="shared" si="179"/>
        <v>0.99403388095666223</v>
      </c>
      <c r="BO383" s="108">
        <f t="shared" si="180"/>
        <v>3.3053294517816002E-2</v>
      </c>
      <c r="BP383" s="6" t="str">
        <f t="shared" si="181"/>
        <v>OK</v>
      </c>
      <c r="BQ383" s="16">
        <f t="shared" si="182"/>
        <v>127.25109874278135</v>
      </c>
      <c r="BR383" s="118">
        <f t="shared" si="183"/>
        <v>4.2387607289550546</v>
      </c>
      <c r="BS383" s="108">
        <f t="shared" si="184"/>
        <v>0</v>
      </c>
      <c r="BT383" s="118">
        <f t="shared" si="185"/>
        <v>1.1380619635522473</v>
      </c>
      <c r="BU383" s="108">
        <f t="shared" si="186"/>
        <v>0</v>
      </c>
      <c r="BV383" s="6" cm="1">
        <f t="array" ref="BV383">IF(AP383=0,FactorPhi7121(BR383,"a"),noisuy2chieu(BU383,BR383,Data!$A$63:$M$85))</f>
        <v>0.42299549615688942</v>
      </c>
      <c r="BW383" s="111">
        <v>1.26</v>
      </c>
      <c r="BX383" s="111">
        <f t="shared" si="187"/>
        <v>0.97613552382664892</v>
      </c>
      <c r="BY383" s="113">
        <f t="shared" si="188"/>
        <v>1.6217030020189632E-2</v>
      </c>
      <c r="BZ383" s="6" t="str">
        <f t="shared" si="189"/>
        <v>OK</v>
      </c>
      <c r="CA383" s="114">
        <f t="shared" si="190"/>
        <v>127.25109874278135</v>
      </c>
      <c r="CB383" s="115">
        <f t="shared" si="191"/>
        <v>150</v>
      </c>
      <c r="CC383" s="6" t="str">
        <f t="shared" si="192"/>
        <v>OK</v>
      </c>
    </row>
    <row r="384" spans="27:81">
      <c r="AA384" s="79" t="s">
        <v>175</v>
      </c>
      <c r="AB384" s="80" t="s">
        <v>201</v>
      </c>
      <c r="AC384" s="81">
        <v>2.74</v>
      </c>
      <c r="AD384" s="81">
        <v>6</v>
      </c>
      <c r="AE384" s="80">
        <v>273</v>
      </c>
      <c r="AF384" s="80">
        <v>6.35</v>
      </c>
      <c r="AG384" s="108" cm="1">
        <f t="array" ref="AG384">_xll.DCEPropSectPipe(AE384, AF384, "Area")/100</f>
        <v>53.19431074856206</v>
      </c>
      <c r="AH384" s="16" cm="1">
        <f t="array" ref="AH384">_xll.DCEPropSectPipe(AE384, AF384, "Ix")/10000</f>
        <v>4730.4733077169503</v>
      </c>
      <c r="AI384" s="16" cm="1">
        <f t="array" ref="AI384">_xll.DCEPropSectPipe(AE384, AF384, "Wx")/1000</f>
        <v>346.55482107816493</v>
      </c>
      <c r="AJ384" s="108">
        <f t="shared" si="161"/>
        <v>9.4301739777164251</v>
      </c>
      <c r="AK384" s="80" t="s">
        <v>209</v>
      </c>
      <c r="AL384" s="82">
        <v>17.496840288579911</v>
      </c>
      <c r="AM384" s="82">
        <v>1.9202342347926193</v>
      </c>
      <c r="AN384" s="82">
        <v>-0.44321658160402994</v>
      </c>
      <c r="AO384" s="82">
        <v>1.2152998667582493</v>
      </c>
      <c r="AP384" s="82">
        <v>-5.2652822718013637</v>
      </c>
      <c r="AQ384" s="82">
        <v>-2.203927432327097E-2</v>
      </c>
      <c r="AR384" s="72">
        <v>1</v>
      </c>
      <c r="AS384" s="116">
        <f t="shared" si="162"/>
        <v>6</v>
      </c>
      <c r="AT384" s="82">
        <v>2</v>
      </c>
      <c r="AU384" s="6">
        <f t="shared" si="163"/>
        <v>12</v>
      </c>
      <c r="AV384" s="111">
        <f t="shared" si="164"/>
        <v>1.4390387841355077E-2</v>
      </c>
      <c r="AW384" s="117">
        <f t="shared" si="165"/>
        <v>105</v>
      </c>
      <c r="AX384" s="111">
        <f t="shared" si="166"/>
        <v>1</v>
      </c>
      <c r="AY384" s="111">
        <f t="shared" si="167"/>
        <v>1</v>
      </c>
      <c r="AZ384" s="111">
        <f t="shared" si="168"/>
        <v>1</v>
      </c>
      <c r="BA384" s="111">
        <f t="shared" si="169"/>
        <v>1.5147776675110608E-2</v>
      </c>
      <c r="BB384" s="111">
        <f t="shared" si="170"/>
        <v>1.6149755714735255E-2</v>
      </c>
      <c r="BC384" s="111">
        <f t="shared" si="171"/>
        <v>6.9968758151467247E-2</v>
      </c>
      <c r="BD384" s="111">
        <v>0</v>
      </c>
      <c r="BE384" s="111">
        <f t="shared" si="172"/>
        <v>0.10126629054131311</v>
      </c>
      <c r="BF384" s="6" t="str">
        <f t="shared" si="173"/>
        <v>OK</v>
      </c>
      <c r="BG384" s="16">
        <f t="shared" si="174"/>
        <v>63.625549371390676</v>
      </c>
      <c r="BH384" s="118">
        <f t="shared" si="175"/>
        <v>2.1193803644775273</v>
      </c>
      <c r="BI384" s="108">
        <f t="shared" si="176"/>
        <v>1.0661469376737649</v>
      </c>
      <c r="BJ384" s="6">
        <f t="shared" si="177"/>
        <v>1.2133193437459717</v>
      </c>
      <c r="BK384" s="108">
        <f t="shared" si="178"/>
        <v>1.2935767027551099</v>
      </c>
      <c r="BL384" s="118" cm="1">
        <f t="array" ref="BL384">IF(AO384=0,FactorPhi7121(BH384,"a"),noisuy2chieu(BK384,BH384,Data!$A$63:$M$85))</f>
        <v>0</v>
      </c>
      <c r="BM384" s="111">
        <v>1.26</v>
      </c>
      <c r="BN384" s="118">
        <f t="shared" si="179"/>
        <v>0.99353616425735225</v>
      </c>
      <c r="BO384" s="108" t="e">
        <f t="shared" si="180"/>
        <v>#DIV/0!</v>
      </c>
      <c r="BP384" s="6" t="e">
        <f t="shared" si="181"/>
        <v>#DIV/0!</v>
      </c>
      <c r="BQ384" s="16">
        <f t="shared" si="182"/>
        <v>127.25109874278135</v>
      </c>
      <c r="BR384" s="118">
        <f t="shared" si="183"/>
        <v>4.2387607289550546</v>
      </c>
      <c r="BS384" s="108">
        <f t="shared" si="184"/>
        <v>4.6190777466658384</v>
      </c>
      <c r="BT384" s="118">
        <f t="shared" si="185"/>
        <v>1.1028997297845291</v>
      </c>
      <c r="BU384" s="108">
        <f t="shared" si="186"/>
        <v>5.0943795986514848</v>
      </c>
      <c r="BV384" s="6" cm="1">
        <f t="array" ref="BV384">IF(AP384=0,FactorPhi7121(BR384,"a"),noisuy2chieu(BU384,BR384,Data!$A$63:$M$85))</f>
        <v>0</v>
      </c>
      <c r="BW384" s="111">
        <v>1.26</v>
      </c>
      <c r="BX384" s="111">
        <f t="shared" si="187"/>
        <v>0.974144657029409</v>
      </c>
      <c r="BY384" s="113" t="e">
        <f t="shared" si="188"/>
        <v>#DIV/0!</v>
      </c>
      <c r="BZ384" s="6" t="e">
        <f t="shared" si="189"/>
        <v>#DIV/0!</v>
      </c>
      <c r="CA384" s="114">
        <f t="shared" si="190"/>
        <v>127.25109874278135</v>
      </c>
      <c r="CB384" s="115" t="e">
        <f t="shared" si="191"/>
        <v>#DIV/0!</v>
      </c>
      <c r="CC384" s="6" t="e">
        <f t="shared" si="192"/>
        <v>#DIV/0!</v>
      </c>
    </row>
    <row r="385" spans="27:81">
      <c r="AA385" s="79" t="s">
        <v>175</v>
      </c>
      <c r="AB385" s="80" t="s">
        <v>201</v>
      </c>
      <c r="AC385" s="81">
        <v>5.48</v>
      </c>
      <c r="AD385" s="81">
        <v>6</v>
      </c>
      <c r="AE385" s="80">
        <v>273</v>
      </c>
      <c r="AF385" s="80">
        <v>6.35</v>
      </c>
      <c r="AG385" s="108" cm="1">
        <f t="array" ref="AG385">_xll.DCEPropSectPipe(AE385, AF385, "Area")/100</f>
        <v>53.19431074856206</v>
      </c>
      <c r="AH385" s="16" cm="1">
        <f t="array" ref="AH385">_xll.DCEPropSectPipe(AE385, AF385, "Ix")/10000</f>
        <v>4730.4733077169503</v>
      </c>
      <c r="AI385" s="16" cm="1">
        <f t="array" ref="AI385">_xll.DCEPropSectPipe(AE385, AF385, "Wx")/1000</f>
        <v>346.55482107816493</v>
      </c>
      <c r="AJ385" s="108">
        <f t="shared" si="161"/>
        <v>9.4301739777164251</v>
      </c>
      <c r="AK385" s="80" t="s">
        <v>209</v>
      </c>
      <c r="AL385" s="82">
        <v>18.844100637311946</v>
      </c>
      <c r="AM385" s="82">
        <v>1.9202342347926193</v>
      </c>
      <c r="AN385" s="82">
        <v>-0.44321658160402994</v>
      </c>
      <c r="AO385" s="82">
        <v>2.4305997335164986</v>
      </c>
      <c r="AP385" s="82">
        <v>-10.530564543602727</v>
      </c>
      <c r="AQ385" s="82">
        <v>-2.203927432327097E-2</v>
      </c>
      <c r="AR385" s="72">
        <v>1</v>
      </c>
      <c r="AS385" s="116">
        <f t="shared" si="162"/>
        <v>6</v>
      </c>
      <c r="AT385" s="82">
        <v>2</v>
      </c>
      <c r="AU385" s="6">
        <f t="shared" si="163"/>
        <v>12</v>
      </c>
      <c r="AV385" s="111">
        <f t="shared" si="164"/>
        <v>1.5498450704235951E-2</v>
      </c>
      <c r="AW385" s="117">
        <f t="shared" si="165"/>
        <v>105</v>
      </c>
      <c r="AX385" s="111">
        <f t="shared" si="166"/>
        <v>1</v>
      </c>
      <c r="AY385" s="111">
        <f t="shared" si="167"/>
        <v>1</v>
      </c>
      <c r="AZ385" s="111">
        <f t="shared" si="168"/>
        <v>1</v>
      </c>
      <c r="BA385" s="111">
        <f t="shared" si="169"/>
        <v>1.6314158636037846E-2</v>
      </c>
      <c r="BB385" s="111">
        <f t="shared" si="170"/>
        <v>3.2299511429470511E-2</v>
      </c>
      <c r="BC385" s="111">
        <f t="shared" si="171"/>
        <v>0.13993751630293449</v>
      </c>
      <c r="BD385" s="111">
        <v>0</v>
      </c>
      <c r="BE385" s="111">
        <f t="shared" si="172"/>
        <v>0.18855118636844287</v>
      </c>
      <c r="BF385" s="6" t="str">
        <f t="shared" si="173"/>
        <v>OK</v>
      </c>
      <c r="BG385" s="16">
        <f t="shared" si="174"/>
        <v>63.625549371390676</v>
      </c>
      <c r="BH385" s="118">
        <f t="shared" si="175"/>
        <v>2.1193803644775273</v>
      </c>
      <c r="BI385" s="108">
        <f t="shared" si="176"/>
        <v>1.9798453692929745</v>
      </c>
      <c r="BJ385" s="6">
        <f t="shared" si="177"/>
        <v>1.186999167315288</v>
      </c>
      <c r="BK385" s="108">
        <f t="shared" si="178"/>
        <v>2.3500748047637896</v>
      </c>
      <c r="BL385" s="118" cm="1">
        <f t="array" ref="BL385">IF(AO385=0,FactorPhi7121(BH385,"a"),noisuy2chieu(BK385,BH385,Data!$A$63:$M$85))</f>
        <v>0</v>
      </c>
      <c r="BM385" s="111">
        <v>1.26</v>
      </c>
      <c r="BN385" s="118">
        <f t="shared" si="179"/>
        <v>0.99303844755804227</v>
      </c>
      <c r="BO385" s="108" t="e">
        <f t="shared" si="180"/>
        <v>#DIV/0!</v>
      </c>
      <c r="BP385" s="6" t="e">
        <f t="shared" si="181"/>
        <v>#DIV/0!</v>
      </c>
      <c r="BQ385" s="16">
        <f t="shared" si="182"/>
        <v>127.25109874278135</v>
      </c>
      <c r="BR385" s="118">
        <f t="shared" si="183"/>
        <v>4.2387607289550546</v>
      </c>
      <c r="BS385" s="108">
        <f t="shared" si="184"/>
        <v>8.5776728929074917</v>
      </c>
      <c r="BT385" s="118">
        <f t="shared" si="185"/>
        <v>1.1000000000000001</v>
      </c>
      <c r="BU385" s="108">
        <f t="shared" si="186"/>
        <v>9.4354401821982421</v>
      </c>
      <c r="BV385" s="6" cm="1">
        <f t="array" ref="BV385">IF(AP385=0,FactorPhi7121(BR385,"a"),noisuy2chieu(BU385,BR385,Data!$A$63:$M$85))</f>
        <v>0</v>
      </c>
      <c r="BW385" s="111">
        <v>1.26</v>
      </c>
      <c r="BX385" s="111">
        <f t="shared" si="187"/>
        <v>0.97215379023216897</v>
      </c>
      <c r="BY385" s="113" t="e">
        <f t="shared" si="188"/>
        <v>#DIV/0!</v>
      </c>
      <c r="BZ385" s="6" t="e">
        <f t="shared" si="189"/>
        <v>#DIV/0!</v>
      </c>
      <c r="CA385" s="114">
        <f t="shared" si="190"/>
        <v>127.25109874278135</v>
      </c>
      <c r="CB385" s="115" t="e">
        <f t="shared" si="191"/>
        <v>#DIV/0!</v>
      </c>
      <c r="CC385" s="6" t="e">
        <f t="shared" si="192"/>
        <v>#DIV/0!</v>
      </c>
    </row>
    <row r="386" spans="27:81">
      <c r="AA386" s="79" t="s">
        <v>175</v>
      </c>
      <c r="AB386" s="80" t="s">
        <v>201</v>
      </c>
      <c r="AC386" s="81">
        <v>0</v>
      </c>
      <c r="AD386" s="81">
        <v>6</v>
      </c>
      <c r="AE386" s="80">
        <v>273</v>
      </c>
      <c r="AF386" s="80">
        <v>6.35</v>
      </c>
      <c r="AG386" s="108" cm="1">
        <f t="array" ref="AG386">_xll.DCEPropSectPipe(AE386, AF386, "Area")/100</f>
        <v>53.19431074856206</v>
      </c>
      <c r="AH386" s="16" cm="1">
        <f t="array" ref="AH386">_xll.DCEPropSectPipe(AE386, AF386, "Ix")/10000</f>
        <v>4730.4733077169503</v>
      </c>
      <c r="AI386" s="16" cm="1">
        <f t="array" ref="AI386">_xll.DCEPropSectPipe(AE386, AF386, "Wx")/1000</f>
        <v>346.55482107816493</v>
      </c>
      <c r="AJ386" s="108">
        <f t="shared" si="161"/>
        <v>9.4301739777164251</v>
      </c>
      <c r="AK386" s="80" t="s">
        <v>210</v>
      </c>
      <c r="AL386" s="82">
        <v>0.77005341404422856</v>
      </c>
      <c r="AM386" s="82">
        <v>1.8575877458694614</v>
      </c>
      <c r="AN386" s="82">
        <v>-0.32594392831199914</v>
      </c>
      <c r="AO386" s="82">
        <v>0</v>
      </c>
      <c r="AP386" s="82">
        <v>0</v>
      </c>
      <c r="AQ386" s="82">
        <v>6.8300450504789958E-2</v>
      </c>
      <c r="AR386" s="72">
        <v>1</v>
      </c>
      <c r="AS386" s="116">
        <f t="shared" si="162"/>
        <v>6</v>
      </c>
      <c r="AT386" s="82">
        <v>2</v>
      </c>
      <c r="AU386" s="6">
        <f t="shared" si="163"/>
        <v>12</v>
      </c>
      <c r="AV386" s="111">
        <f t="shared" si="164"/>
        <v>6.3333533963208098E-4</v>
      </c>
      <c r="AW386" s="117">
        <f t="shared" si="165"/>
        <v>105</v>
      </c>
      <c r="AX386" s="111">
        <f t="shared" si="166"/>
        <v>1</v>
      </c>
      <c r="AY386" s="111">
        <f t="shared" si="167"/>
        <v>1</v>
      </c>
      <c r="AZ386" s="111">
        <f t="shared" si="168"/>
        <v>1</v>
      </c>
      <c r="BA386" s="111">
        <f t="shared" si="169"/>
        <v>6.6666877856008525E-4</v>
      </c>
      <c r="BB386" s="111">
        <f t="shared" si="170"/>
        <v>0</v>
      </c>
      <c r="BC386" s="111">
        <f t="shared" si="171"/>
        <v>0</v>
      </c>
      <c r="BD386" s="111">
        <v>0</v>
      </c>
      <c r="BE386" s="111">
        <f t="shared" si="172"/>
        <v>6.6666877856008525E-4</v>
      </c>
      <c r="BF386" s="6" t="str">
        <f t="shared" si="173"/>
        <v>OK</v>
      </c>
      <c r="BG386" s="16">
        <f t="shared" si="174"/>
        <v>63.625549371390676</v>
      </c>
      <c r="BH386" s="118">
        <f t="shared" si="175"/>
        <v>2.1193803644775273</v>
      </c>
      <c r="BI386" s="108">
        <f t="shared" si="176"/>
        <v>0</v>
      </c>
      <c r="BJ386" s="6">
        <f t="shared" si="177"/>
        <v>1.2440309817761237</v>
      </c>
      <c r="BK386" s="108">
        <f t="shared" si="178"/>
        <v>0</v>
      </c>
      <c r="BL386" s="118" cm="1">
        <f t="array" ref="BL386">IF(AO386=0,FactorPhi7121(BH386,"a"),noisuy2chieu(BK386,BH386,Data!$A$63:$M$85))</f>
        <v>0.86214274110469236</v>
      </c>
      <c r="BM386" s="111">
        <v>1.26</v>
      </c>
      <c r="BN386" s="118">
        <f t="shared" si="179"/>
        <v>0.99971552013395837</v>
      </c>
      <c r="BO386" s="108">
        <f t="shared" si="180"/>
        <v>1.5760659028691338E-3</v>
      </c>
      <c r="BP386" s="6" t="str">
        <f t="shared" si="181"/>
        <v>OK</v>
      </c>
      <c r="BQ386" s="16">
        <f t="shared" si="182"/>
        <v>127.25109874278135</v>
      </c>
      <c r="BR386" s="118">
        <f t="shared" si="183"/>
        <v>4.2387607289550546</v>
      </c>
      <c r="BS386" s="108">
        <f t="shared" si="184"/>
        <v>0</v>
      </c>
      <c r="BT386" s="118">
        <f t="shared" si="185"/>
        <v>1.1380619635522473</v>
      </c>
      <c r="BU386" s="108">
        <f t="shared" si="186"/>
        <v>0</v>
      </c>
      <c r="BV386" s="6" cm="1">
        <f t="array" ref="BV386">IF(AP386=0,FactorPhi7121(BR386,"a"),noisuy2chieu(BU386,BR386,Data!$A$63:$M$85))</f>
        <v>0.42299549615688942</v>
      </c>
      <c r="BW386" s="111">
        <v>1.26</v>
      </c>
      <c r="BX386" s="111">
        <f t="shared" si="187"/>
        <v>0.99886208053583347</v>
      </c>
      <c r="BY386" s="113">
        <f t="shared" si="188"/>
        <v>7.7326960696306524E-4</v>
      </c>
      <c r="BZ386" s="6" t="str">
        <f t="shared" si="189"/>
        <v>OK</v>
      </c>
      <c r="CA386" s="114">
        <f t="shared" si="190"/>
        <v>127.25109874278135</v>
      </c>
      <c r="CB386" s="115">
        <f t="shared" si="191"/>
        <v>150</v>
      </c>
      <c r="CC386" s="6" t="str">
        <f t="shared" si="192"/>
        <v>OK</v>
      </c>
    </row>
    <row r="387" spans="27:81">
      <c r="AA387" s="79" t="s">
        <v>175</v>
      </c>
      <c r="AB387" s="80" t="s">
        <v>201</v>
      </c>
      <c r="AC387" s="81">
        <v>2.74</v>
      </c>
      <c r="AD387" s="81">
        <v>6</v>
      </c>
      <c r="AE387" s="80">
        <v>273</v>
      </c>
      <c r="AF387" s="80">
        <v>6.35</v>
      </c>
      <c r="AG387" s="108" cm="1">
        <f t="array" ref="AG387">_xll.DCEPropSectPipe(AE387, AF387, "Area")/100</f>
        <v>53.19431074856206</v>
      </c>
      <c r="AH387" s="16" cm="1">
        <f t="array" ref="AH387">_xll.DCEPropSectPipe(AE387, AF387, "Ix")/10000</f>
        <v>4730.4733077169503</v>
      </c>
      <c r="AI387" s="16" cm="1">
        <f t="array" ref="AI387">_xll.DCEPropSectPipe(AE387, AF387, "Wx")/1000</f>
        <v>346.55482107816493</v>
      </c>
      <c r="AJ387" s="108">
        <f t="shared" si="161"/>
        <v>9.4301739777164251</v>
      </c>
      <c r="AK387" s="80" t="s">
        <v>210</v>
      </c>
      <c r="AL387" s="82">
        <v>2.1173137627762624</v>
      </c>
      <c r="AM387" s="82">
        <v>1.8575877458694614</v>
      </c>
      <c r="AN387" s="82">
        <v>-0.32594392831199914</v>
      </c>
      <c r="AO387" s="82">
        <v>0.89373825143150143</v>
      </c>
      <c r="AP387" s="82">
        <v>-5.0935055991740654</v>
      </c>
      <c r="AQ387" s="82">
        <v>6.8300450504789958E-2</v>
      </c>
      <c r="AR387" s="72">
        <v>1</v>
      </c>
      <c r="AS387" s="116">
        <f t="shared" si="162"/>
        <v>6</v>
      </c>
      <c r="AT387" s="82">
        <v>2</v>
      </c>
      <c r="AU387" s="6">
        <f t="shared" si="163"/>
        <v>12</v>
      </c>
      <c r="AV387" s="111">
        <f t="shared" si="164"/>
        <v>1.7413982025129542E-3</v>
      </c>
      <c r="AW387" s="117">
        <f t="shared" si="165"/>
        <v>105</v>
      </c>
      <c r="AX387" s="111">
        <f t="shared" si="166"/>
        <v>1</v>
      </c>
      <c r="AY387" s="111">
        <f t="shared" si="167"/>
        <v>1</v>
      </c>
      <c r="AZ387" s="111">
        <f t="shared" si="168"/>
        <v>1</v>
      </c>
      <c r="BA387" s="111">
        <f t="shared" si="169"/>
        <v>1.8330507394873203E-3</v>
      </c>
      <c r="BB387" s="111">
        <f t="shared" si="170"/>
        <v>1.1876619777828518E-2</v>
      </c>
      <c r="BC387" s="111">
        <f t="shared" si="171"/>
        <v>6.7686069428871717E-2</v>
      </c>
      <c r="BD387" s="111">
        <v>0</v>
      </c>
      <c r="BE387" s="111">
        <f t="shared" si="172"/>
        <v>8.1395739946187554E-2</v>
      </c>
      <c r="BF387" s="6" t="str">
        <f t="shared" si="173"/>
        <v>OK</v>
      </c>
      <c r="BG387" s="16">
        <f t="shared" si="174"/>
        <v>63.625549371390676</v>
      </c>
      <c r="BH387" s="118">
        <f t="shared" si="175"/>
        <v>2.1193803644775273</v>
      </c>
      <c r="BI387" s="108">
        <f t="shared" si="176"/>
        <v>6.4791549529885089</v>
      </c>
      <c r="BJ387" s="6">
        <f t="shared" si="177"/>
        <v>1.1000000000000001</v>
      </c>
      <c r="BK387" s="108">
        <f t="shared" si="178"/>
        <v>7.1270704482873599</v>
      </c>
      <c r="BL387" s="118" cm="1">
        <f t="array" ref="BL387">IF(AO387=0,FactorPhi7121(BH387,"a"),noisuy2chieu(BK387,BH387,Data!$A$63:$M$85))</f>
        <v>0</v>
      </c>
      <c r="BM387" s="111">
        <v>1.26</v>
      </c>
      <c r="BN387" s="118">
        <f t="shared" si="179"/>
        <v>0.99921780343464839</v>
      </c>
      <c r="BO387" s="108" t="e">
        <f t="shared" si="180"/>
        <v>#DIV/0!</v>
      </c>
      <c r="BP387" s="6" t="e">
        <f t="shared" si="181"/>
        <v>#DIV/0!</v>
      </c>
      <c r="BQ387" s="16">
        <f t="shared" si="182"/>
        <v>127.25109874278135</v>
      </c>
      <c r="BR387" s="118">
        <f t="shared" si="183"/>
        <v>4.2387607289550546</v>
      </c>
      <c r="BS387" s="108">
        <f t="shared" si="184"/>
        <v>36.925365987306272</v>
      </c>
      <c r="BT387" s="118">
        <f t="shared" si="185"/>
        <v>1.1000000000000001</v>
      </c>
      <c r="BU387" s="108">
        <f t="shared" si="186"/>
        <v>40.617902586036905</v>
      </c>
      <c r="BV387" s="6" cm="1">
        <f t="array" ref="BV387">IF(AP387=0,FactorPhi7121(BR387,"a"),noisuy2chieu(BU387,BR387,Data!$A$63:$M$85))</f>
        <v>0</v>
      </c>
      <c r="BW387" s="111">
        <v>1.26</v>
      </c>
      <c r="BX387" s="111">
        <f t="shared" si="187"/>
        <v>0.99687121373859344</v>
      </c>
      <c r="BY387" s="113" t="e">
        <f t="shared" si="188"/>
        <v>#DIV/0!</v>
      </c>
      <c r="BZ387" s="6" t="e">
        <f t="shared" si="189"/>
        <v>#DIV/0!</v>
      </c>
      <c r="CA387" s="114">
        <f t="shared" si="190"/>
        <v>127.25109874278135</v>
      </c>
      <c r="CB387" s="115" t="e">
        <f t="shared" si="191"/>
        <v>#DIV/0!</v>
      </c>
      <c r="CC387" s="6" t="e">
        <f t="shared" si="192"/>
        <v>#DIV/0!</v>
      </c>
    </row>
    <row r="388" spans="27:81">
      <c r="AA388" s="79" t="s">
        <v>175</v>
      </c>
      <c r="AB388" s="80" t="s">
        <v>201</v>
      </c>
      <c r="AC388" s="81">
        <v>5.48</v>
      </c>
      <c r="AD388" s="81">
        <v>6</v>
      </c>
      <c r="AE388" s="80">
        <v>273</v>
      </c>
      <c r="AF388" s="80">
        <v>6.35</v>
      </c>
      <c r="AG388" s="108" cm="1">
        <f t="array" ref="AG388">_xll.DCEPropSectPipe(AE388, AF388, "Area")/100</f>
        <v>53.19431074856206</v>
      </c>
      <c r="AH388" s="16" cm="1">
        <f t="array" ref="AH388">_xll.DCEPropSectPipe(AE388, AF388, "Ix")/10000</f>
        <v>4730.4733077169503</v>
      </c>
      <c r="AI388" s="16" cm="1">
        <f t="array" ref="AI388">_xll.DCEPropSectPipe(AE388, AF388, "Wx")/1000</f>
        <v>346.55482107816493</v>
      </c>
      <c r="AJ388" s="108">
        <f t="shared" si="161"/>
        <v>9.4301739777164251</v>
      </c>
      <c r="AK388" s="80" t="s">
        <v>210</v>
      </c>
      <c r="AL388" s="82">
        <v>3.4645741115082958</v>
      </c>
      <c r="AM388" s="82">
        <v>1.8575877458694614</v>
      </c>
      <c r="AN388" s="82">
        <v>-0.32594392831199914</v>
      </c>
      <c r="AO388" s="82">
        <v>1.7874765028630029</v>
      </c>
      <c r="AP388" s="82">
        <v>-10.187011198348131</v>
      </c>
      <c r="AQ388" s="82">
        <v>6.8300450504789958E-2</v>
      </c>
      <c r="AR388" s="72">
        <v>1</v>
      </c>
      <c r="AS388" s="116">
        <f t="shared" si="162"/>
        <v>6</v>
      </c>
      <c r="AT388" s="82">
        <v>2</v>
      </c>
      <c r="AU388" s="6">
        <f t="shared" si="163"/>
        <v>12</v>
      </c>
      <c r="AV388" s="111">
        <f t="shared" si="164"/>
        <v>2.8494610653938268E-3</v>
      </c>
      <c r="AW388" s="117">
        <f t="shared" si="165"/>
        <v>105</v>
      </c>
      <c r="AX388" s="111">
        <f t="shared" si="166"/>
        <v>1</v>
      </c>
      <c r="AY388" s="111">
        <f t="shared" si="167"/>
        <v>1</v>
      </c>
      <c r="AZ388" s="111">
        <f t="shared" si="168"/>
        <v>1</v>
      </c>
      <c r="BA388" s="111">
        <f t="shared" si="169"/>
        <v>2.9994327004145551E-3</v>
      </c>
      <c r="BB388" s="111">
        <f t="shared" si="170"/>
        <v>2.3753239555657037E-2</v>
      </c>
      <c r="BC388" s="111">
        <f t="shared" si="171"/>
        <v>0.13537213885774343</v>
      </c>
      <c r="BD388" s="111">
        <v>0</v>
      </c>
      <c r="BE388" s="111">
        <f t="shared" si="172"/>
        <v>0.16212481111381502</v>
      </c>
      <c r="BF388" s="6" t="str">
        <f t="shared" si="173"/>
        <v>OK</v>
      </c>
      <c r="BG388" s="16">
        <f t="shared" si="174"/>
        <v>63.625549371390676</v>
      </c>
      <c r="BH388" s="118">
        <f t="shared" si="175"/>
        <v>2.1193803644775273</v>
      </c>
      <c r="BI388" s="108">
        <f t="shared" si="176"/>
        <v>7.9192440465072194</v>
      </c>
      <c r="BJ388" s="6">
        <f t="shared" si="177"/>
        <v>1.1000000000000001</v>
      </c>
      <c r="BK388" s="108">
        <f t="shared" si="178"/>
        <v>8.7111684511579419</v>
      </c>
      <c r="BL388" s="118" cm="1">
        <f t="array" ref="BL388">IF(AO388=0,FactorPhi7121(BH388,"a"),noisuy2chieu(BK388,BH388,Data!$A$63:$M$85))</f>
        <v>0</v>
      </c>
      <c r="BM388" s="111">
        <v>1.26</v>
      </c>
      <c r="BN388" s="118">
        <f t="shared" si="179"/>
        <v>0.99872008673533841</v>
      </c>
      <c r="BO388" s="108" t="e">
        <f t="shared" si="180"/>
        <v>#DIV/0!</v>
      </c>
      <c r="BP388" s="6" t="e">
        <f t="shared" si="181"/>
        <v>#DIV/0!</v>
      </c>
      <c r="BQ388" s="16">
        <f t="shared" si="182"/>
        <v>127.25109874278135</v>
      </c>
      <c r="BR388" s="118">
        <f t="shared" si="183"/>
        <v>4.2387607289550546</v>
      </c>
      <c r="BS388" s="108">
        <f t="shared" si="184"/>
        <v>45.1325808507167</v>
      </c>
      <c r="BT388" s="118">
        <f t="shared" si="185"/>
        <v>1.1000000000000001</v>
      </c>
      <c r="BU388" s="108">
        <f t="shared" si="186"/>
        <v>49.645838935788376</v>
      </c>
      <c r="BV388" s="6" cm="1">
        <f t="array" ref="BV388">IF(AP388=0,FactorPhi7121(BR388,"a"),noisuy2chieu(BU388,BR388,Data!$A$63:$M$85))</f>
        <v>0</v>
      </c>
      <c r="BW388" s="111">
        <v>1.26</v>
      </c>
      <c r="BX388" s="111">
        <f t="shared" si="187"/>
        <v>0.99488034694135352</v>
      </c>
      <c r="BY388" s="113" t="e">
        <f t="shared" si="188"/>
        <v>#DIV/0!</v>
      </c>
      <c r="BZ388" s="6" t="e">
        <f t="shared" si="189"/>
        <v>#DIV/0!</v>
      </c>
      <c r="CA388" s="114">
        <f t="shared" si="190"/>
        <v>127.25109874278135</v>
      </c>
      <c r="CB388" s="115" t="e">
        <f t="shared" si="191"/>
        <v>#DIV/0!</v>
      </c>
      <c r="CC388" s="6" t="e">
        <f t="shared" si="192"/>
        <v>#DIV/0!</v>
      </c>
    </row>
    <row r="389" spans="27:81">
      <c r="AA389" s="79" t="s">
        <v>175</v>
      </c>
      <c r="AB389" s="80" t="s">
        <v>201</v>
      </c>
      <c r="AC389" s="81">
        <v>0</v>
      </c>
      <c r="AD389" s="81">
        <v>6</v>
      </c>
      <c r="AE389" s="80">
        <v>273</v>
      </c>
      <c r="AF389" s="80">
        <v>6.35</v>
      </c>
      <c r="AG389" s="108" cm="1">
        <f t="array" ref="AG389">_xll.DCEPropSectPipe(AE389, AF389, "Area")/100</f>
        <v>53.19431074856206</v>
      </c>
      <c r="AH389" s="16" cm="1">
        <f t="array" ref="AH389">_xll.DCEPropSectPipe(AE389, AF389, "Ix")/10000</f>
        <v>4730.4733077169503</v>
      </c>
      <c r="AI389" s="16" cm="1">
        <f t="array" ref="AI389">_xll.DCEPropSectPipe(AE389, AF389, "Wx")/1000</f>
        <v>346.55482107816493</v>
      </c>
      <c r="AJ389" s="108">
        <f t="shared" si="161"/>
        <v>9.4301739777164251</v>
      </c>
      <c r="AK389" s="80" t="s">
        <v>211</v>
      </c>
      <c r="AL389" s="82">
        <v>-77.054534848939085</v>
      </c>
      <c r="AM389" s="82">
        <v>-9.1213012956752415</v>
      </c>
      <c r="AN389" s="82">
        <v>1.8425407723420795</v>
      </c>
      <c r="AO389" s="82">
        <v>0</v>
      </c>
      <c r="AP389" s="82">
        <v>0</v>
      </c>
      <c r="AQ389" s="82">
        <v>-6.5839079760982203E-2</v>
      </c>
      <c r="AR389" s="72">
        <v>1</v>
      </c>
      <c r="AS389" s="116">
        <f t="shared" si="162"/>
        <v>6</v>
      </c>
      <c r="AT389" s="82">
        <v>2</v>
      </c>
      <c r="AU389" s="6">
        <f t="shared" si="163"/>
        <v>12</v>
      </c>
      <c r="AV389" s="111">
        <f t="shared" si="164"/>
        <v>6.3373993425268949E-2</v>
      </c>
      <c r="AW389" s="117">
        <f t="shared" si="165"/>
        <v>105</v>
      </c>
      <c r="AX389" s="111">
        <f t="shared" si="166"/>
        <v>1</v>
      </c>
      <c r="AY389" s="111">
        <f t="shared" si="167"/>
        <v>1</v>
      </c>
      <c r="AZ389" s="111">
        <f t="shared" si="168"/>
        <v>1</v>
      </c>
      <c r="BA389" s="111">
        <f t="shared" si="169"/>
        <v>6.6709466763441E-2</v>
      </c>
      <c r="BB389" s="111">
        <f t="shared" si="170"/>
        <v>0</v>
      </c>
      <c r="BC389" s="111">
        <f t="shared" si="171"/>
        <v>0</v>
      </c>
      <c r="BD389" s="111">
        <v>0</v>
      </c>
      <c r="BE389" s="111">
        <f t="shared" si="172"/>
        <v>6.6709466763441E-2</v>
      </c>
      <c r="BF389" s="6" t="str">
        <f t="shared" si="173"/>
        <v>OK</v>
      </c>
      <c r="BG389" s="16">
        <f t="shared" si="174"/>
        <v>63.625549371390676</v>
      </c>
      <c r="BH389" s="118">
        <f t="shared" si="175"/>
        <v>2.1193803644775273</v>
      </c>
      <c r="BI389" s="108">
        <f t="shared" si="176"/>
        <v>0</v>
      </c>
      <c r="BJ389" s="6">
        <f t="shared" si="177"/>
        <v>1.2440309817761237</v>
      </c>
      <c r="BK389" s="108">
        <f t="shared" si="178"/>
        <v>0</v>
      </c>
      <c r="BL389" s="118" cm="1">
        <f t="array" ref="BL389">IF(AO389=0,FactorPhi7121(BH389,"a"),noisuy2chieu(BK389,BH389,Data!$A$63:$M$85))</f>
        <v>0.86214274110469236</v>
      </c>
      <c r="BM389" s="111">
        <v>1.26</v>
      </c>
      <c r="BN389" s="118">
        <f t="shared" si="179"/>
        <v>0.97153383992338571</v>
      </c>
      <c r="BO389" s="108">
        <f t="shared" si="180"/>
        <v>0.15770727435522952</v>
      </c>
      <c r="BP389" s="6" t="str">
        <f t="shared" si="181"/>
        <v>OK</v>
      </c>
      <c r="BQ389" s="16">
        <f t="shared" si="182"/>
        <v>127.25109874278135</v>
      </c>
      <c r="BR389" s="118">
        <f t="shared" si="183"/>
        <v>4.2387607289550546</v>
      </c>
      <c r="BS389" s="108">
        <f t="shared" si="184"/>
        <v>0</v>
      </c>
      <c r="BT389" s="118">
        <f t="shared" si="185"/>
        <v>1.1380619635522473</v>
      </c>
      <c r="BU389" s="108">
        <f t="shared" si="186"/>
        <v>0</v>
      </c>
      <c r="BV389" s="6" cm="1">
        <f t="array" ref="BV389">IF(AP389=0,FactorPhi7121(BR389,"a"),noisuy2chieu(BU389,BR389,Data!$A$63:$M$85))</f>
        <v>0.42299549615688942</v>
      </c>
      <c r="BW389" s="111">
        <v>1.26</v>
      </c>
      <c r="BX389" s="111">
        <f t="shared" si="187"/>
        <v>0.88613535969354296</v>
      </c>
      <c r="BY389" s="113">
        <f t="shared" si="188"/>
        <v>7.7376359601385641E-2</v>
      </c>
      <c r="BZ389" s="6" t="str">
        <f t="shared" si="189"/>
        <v>OK</v>
      </c>
      <c r="CA389" s="114">
        <f t="shared" si="190"/>
        <v>127.25109874278135</v>
      </c>
      <c r="CB389" s="115">
        <f t="shared" si="191"/>
        <v>150</v>
      </c>
      <c r="CC389" s="6" t="str">
        <f t="shared" si="192"/>
        <v>OK</v>
      </c>
    </row>
    <row r="390" spans="27:81">
      <c r="AA390" s="79" t="s">
        <v>175</v>
      </c>
      <c r="AB390" s="80" t="s">
        <v>201</v>
      </c>
      <c r="AC390" s="81">
        <v>2.74</v>
      </c>
      <c r="AD390" s="81">
        <v>6</v>
      </c>
      <c r="AE390" s="80">
        <v>273</v>
      </c>
      <c r="AF390" s="80">
        <v>6.35</v>
      </c>
      <c r="AG390" s="108" cm="1">
        <f t="array" ref="AG390">_xll.DCEPropSectPipe(AE390, AF390, "Area")/100</f>
        <v>53.19431074856206</v>
      </c>
      <c r="AH390" s="16" cm="1">
        <f t="array" ref="AH390">_xll.DCEPropSectPipe(AE390, AF390, "Ix")/10000</f>
        <v>4730.4733077169503</v>
      </c>
      <c r="AI390" s="16" cm="1">
        <f t="array" ref="AI390">_xll.DCEPropSectPipe(AE390, AF390, "Wx")/1000</f>
        <v>346.55482107816493</v>
      </c>
      <c r="AJ390" s="108">
        <f t="shared" si="161"/>
        <v>9.4301739777164251</v>
      </c>
      <c r="AK390" s="80" t="s">
        <v>211</v>
      </c>
      <c r="AL390" s="82">
        <v>-75.707274500207063</v>
      </c>
      <c r="AM390" s="82">
        <v>-9.1213012956752415</v>
      </c>
      <c r="AN390" s="82">
        <v>1.8425407723420795</v>
      </c>
      <c r="AO390" s="82">
        <v>-5.0522467977619812</v>
      </c>
      <c r="AP390" s="82">
        <v>25.010608152741511</v>
      </c>
      <c r="AQ390" s="82">
        <v>-6.5839079760982203E-2</v>
      </c>
      <c r="AR390" s="72">
        <v>1</v>
      </c>
      <c r="AS390" s="116">
        <f t="shared" si="162"/>
        <v>6</v>
      </c>
      <c r="AT390" s="82">
        <v>2</v>
      </c>
      <c r="AU390" s="6">
        <f t="shared" si="163"/>
        <v>12</v>
      </c>
      <c r="AV390" s="111">
        <f t="shared" si="164"/>
        <v>6.2265930562388085E-2</v>
      </c>
      <c r="AW390" s="117">
        <f t="shared" si="165"/>
        <v>105</v>
      </c>
      <c r="AX390" s="111">
        <f t="shared" si="166"/>
        <v>1</v>
      </c>
      <c r="AY390" s="111">
        <f t="shared" si="167"/>
        <v>1</v>
      </c>
      <c r="AZ390" s="111">
        <f t="shared" si="168"/>
        <v>1</v>
      </c>
      <c r="BA390" s="111">
        <f t="shared" si="169"/>
        <v>6.5543084802513779E-2</v>
      </c>
      <c r="BB390" s="111">
        <f t="shared" si="170"/>
        <v>6.7137793581804175E-2</v>
      </c>
      <c r="BC390" s="111">
        <f t="shared" si="171"/>
        <v>0.33235847628385312</v>
      </c>
      <c r="BD390" s="111">
        <v>0</v>
      </c>
      <c r="BE390" s="111">
        <f t="shared" si="172"/>
        <v>0.46503935466817109</v>
      </c>
      <c r="BF390" s="6" t="str">
        <f t="shared" si="173"/>
        <v>OK</v>
      </c>
      <c r="BG390" s="16">
        <f t="shared" si="174"/>
        <v>63.625549371390676</v>
      </c>
      <c r="BH390" s="118">
        <f t="shared" si="175"/>
        <v>2.1193803644775273</v>
      </c>
      <c r="BI390" s="108">
        <f t="shared" si="176"/>
        <v>1.0243306945972315</v>
      </c>
      <c r="BJ390" s="6">
        <f t="shared" si="177"/>
        <v>1.214523910654872</v>
      </c>
      <c r="BK390" s="108">
        <f t="shared" si="178"/>
        <v>1.2440741210060509</v>
      </c>
      <c r="BL390" s="118" cm="1">
        <f t="array" ref="BL390">IF(AO390=0,FactorPhi7121(BH390,"a"),noisuy2chieu(BK390,BH390,Data!$A$63:$M$85))</f>
        <v>0</v>
      </c>
      <c r="BM390" s="111">
        <v>1.26</v>
      </c>
      <c r="BN390" s="118">
        <f t="shared" si="179"/>
        <v>0.97203155662269569</v>
      </c>
      <c r="BO390" s="108" t="e">
        <f t="shared" si="180"/>
        <v>#DIV/0!</v>
      </c>
      <c r="BP390" s="6" t="e">
        <f t="shared" si="181"/>
        <v>#DIV/0!</v>
      </c>
      <c r="BQ390" s="16">
        <f t="shared" si="182"/>
        <v>127.25109874278135</v>
      </c>
      <c r="BR390" s="118">
        <f t="shared" si="183"/>
        <v>4.2387607289550546</v>
      </c>
      <c r="BS390" s="108">
        <f t="shared" si="184"/>
        <v>5.0708396970523149</v>
      </c>
      <c r="BT390" s="118">
        <f t="shared" si="185"/>
        <v>1.1000000000000001</v>
      </c>
      <c r="BU390" s="108">
        <f t="shared" si="186"/>
        <v>5.5779236667575471</v>
      </c>
      <c r="BV390" s="6" cm="1">
        <f t="array" ref="BV390">IF(AP390=0,FactorPhi7121(BR390,"a"),noisuy2chieu(BU390,BR390,Data!$A$63:$M$85))</f>
        <v>0</v>
      </c>
      <c r="BW390" s="111">
        <v>1.26</v>
      </c>
      <c r="BX390" s="111">
        <f t="shared" si="187"/>
        <v>0.88812622649078288</v>
      </c>
      <c r="BY390" s="113" t="e">
        <f t="shared" si="188"/>
        <v>#DIV/0!</v>
      </c>
      <c r="BZ390" s="6" t="e">
        <f t="shared" si="189"/>
        <v>#DIV/0!</v>
      </c>
      <c r="CA390" s="114">
        <f t="shared" si="190"/>
        <v>127.25109874278135</v>
      </c>
      <c r="CB390" s="115" t="e">
        <f t="shared" si="191"/>
        <v>#DIV/0!</v>
      </c>
      <c r="CC390" s="6" t="e">
        <f t="shared" si="192"/>
        <v>#DIV/0!</v>
      </c>
    </row>
    <row r="391" spans="27:81">
      <c r="AA391" s="79" t="s">
        <v>175</v>
      </c>
      <c r="AB391" s="80" t="s">
        <v>201</v>
      </c>
      <c r="AC391" s="81">
        <v>5.48</v>
      </c>
      <c r="AD391" s="81">
        <v>6</v>
      </c>
      <c r="AE391" s="80">
        <v>273</v>
      </c>
      <c r="AF391" s="80">
        <v>6.35</v>
      </c>
      <c r="AG391" s="108" cm="1">
        <f t="array" ref="AG391">_xll.DCEPropSectPipe(AE391, AF391, "Area")/100</f>
        <v>53.19431074856206</v>
      </c>
      <c r="AH391" s="16" cm="1">
        <f t="array" ref="AH391">_xll.DCEPropSectPipe(AE391, AF391, "Ix")/10000</f>
        <v>4730.4733077169503</v>
      </c>
      <c r="AI391" s="16" cm="1">
        <f t="array" ref="AI391">_xll.DCEPropSectPipe(AE391, AF391, "Wx")/1000</f>
        <v>346.55482107816493</v>
      </c>
      <c r="AJ391" s="108">
        <f t="shared" si="161"/>
        <v>9.4301739777164251</v>
      </c>
      <c r="AK391" s="80" t="s">
        <v>211</v>
      </c>
      <c r="AL391" s="82">
        <v>-74.360014151475028</v>
      </c>
      <c r="AM391" s="82">
        <v>-9.1213012956752415</v>
      </c>
      <c r="AN391" s="82">
        <v>1.8425407723420795</v>
      </c>
      <c r="AO391" s="82">
        <v>-10.104493595523962</v>
      </c>
      <c r="AP391" s="82">
        <v>50.021216305483023</v>
      </c>
      <c r="AQ391" s="82">
        <v>-6.5839079760982203E-2</v>
      </c>
      <c r="AR391" s="72">
        <v>1</v>
      </c>
      <c r="AS391" s="116">
        <f t="shared" si="162"/>
        <v>6</v>
      </c>
      <c r="AT391" s="82">
        <v>2</v>
      </c>
      <c r="AU391" s="6">
        <f t="shared" si="163"/>
        <v>12</v>
      </c>
      <c r="AV391" s="111">
        <f t="shared" si="164"/>
        <v>6.1157867699507207E-2</v>
      </c>
      <c r="AW391" s="117">
        <f t="shared" si="165"/>
        <v>105</v>
      </c>
      <c r="AX391" s="111">
        <f t="shared" si="166"/>
        <v>1</v>
      </c>
      <c r="AY391" s="111">
        <f t="shared" si="167"/>
        <v>1</v>
      </c>
      <c r="AZ391" s="111">
        <f t="shared" si="168"/>
        <v>1</v>
      </c>
      <c r="BA391" s="111">
        <f t="shared" si="169"/>
        <v>6.4376702841586544E-2</v>
      </c>
      <c r="BB391" s="111">
        <f t="shared" si="170"/>
        <v>0.13427558716360835</v>
      </c>
      <c r="BC391" s="111">
        <f t="shared" si="171"/>
        <v>0.66471695256770624</v>
      </c>
      <c r="BD391" s="111">
        <v>0</v>
      </c>
      <c r="BE391" s="111">
        <f t="shared" si="172"/>
        <v>0.86336924257290115</v>
      </c>
      <c r="BF391" s="6" t="str">
        <f t="shared" si="173"/>
        <v>OK</v>
      </c>
      <c r="BG391" s="16">
        <f t="shared" si="174"/>
        <v>63.625549371390676</v>
      </c>
      <c r="BH391" s="118">
        <f t="shared" si="175"/>
        <v>2.1193803644775273</v>
      </c>
      <c r="BI391" s="108">
        <f t="shared" si="176"/>
        <v>2.0857791908669792</v>
      </c>
      <c r="BJ391" s="6">
        <f t="shared" si="177"/>
        <v>1.1839476168503678</v>
      </c>
      <c r="BK391" s="108">
        <f t="shared" si="178"/>
        <v>2.4694533023030485</v>
      </c>
      <c r="BL391" s="118" cm="1">
        <f t="array" ref="BL391">IF(AO391=0,FactorPhi7121(BH391,"a"),noisuy2chieu(BK391,BH391,Data!$A$63:$M$85))</f>
        <v>0</v>
      </c>
      <c r="BM391" s="111">
        <v>1.26</v>
      </c>
      <c r="BN391" s="118">
        <f t="shared" si="179"/>
        <v>0.97252927332200567</v>
      </c>
      <c r="BO391" s="108" t="e">
        <f t="shared" si="180"/>
        <v>#DIV/0!</v>
      </c>
      <c r="BP391" s="6" t="e">
        <f t="shared" si="181"/>
        <v>#DIV/0!</v>
      </c>
      <c r="BQ391" s="16">
        <f t="shared" si="182"/>
        <v>127.25109874278135</v>
      </c>
      <c r="BR391" s="118">
        <f t="shared" si="183"/>
        <v>4.2387607289550546</v>
      </c>
      <c r="BS391" s="108">
        <f t="shared" si="184"/>
        <v>10.325427106812118</v>
      </c>
      <c r="BT391" s="118">
        <f t="shared" si="185"/>
        <v>1.1000000000000001</v>
      </c>
      <c r="BU391" s="108">
        <f t="shared" si="186"/>
        <v>11.357969817493331</v>
      </c>
      <c r="BV391" s="6" cm="1">
        <f t="array" ref="BV391">IF(AP391=0,FactorPhi7121(BR391,"a"),noisuy2chieu(BU391,BR391,Data!$A$63:$M$85))</f>
        <v>0</v>
      </c>
      <c r="BW391" s="111">
        <v>1.26</v>
      </c>
      <c r="BX391" s="111">
        <f t="shared" si="187"/>
        <v>0.89011709328802291</v>
      </c>
      <c r="BY391" s="113" t="e">
        <f t="shared" si="188"/>
        <v>#DIV/0!</v>
      </c>
      <c r="BZ391" s="6" t="e">
        <f t="shared" si="189"/>
        <v>#DIV/0!</v>
      </c>
      <c r="CA391" s="114">
        <f t="shared" si="190"/>
        <v>127.25109874278135</v>
      </c>
      <c r="CB391" s="115" t="e">
        <f t="shared" si="191"/>
        <v>#DIV/0!</v>
      </c>
      <c r="CC391" s="6" t="e">
        <f t="shared" si="192"/>
        <v>#DIV/0!</v>
      </c>
    </row>
    <row r="392" spans="27:81">
      <c r="AA392" s="79" t="s">
        <v>175</v>
      </c>
      <c r="AB392" s="80" t="s">
        <v>201</v>
      </c>
      <c r="AC392" s="81">
        <v>0</v>
      </c>
      <c r="AD392" s="81">
        <v>6</v>
      </c>
      <c r="AE392" s="80">
        <v>273</v>
      </c>
      <c r="AF392" s="80">
        <v>6.35</v>
      </c>
      <c r="AG392" s="108" cm="1">
        <f t="array" ref="AG392">_xll.DCEPropSectPipe(AE392, AF392, "Area")/100</f>
        <v>53.19431074856206</v>
      </c>
      <c r="AH392" s="16" cm="1">
        <f t="array" ref="AH392">_xll.DCEPropSectPipe(AE392, AF392, "Ix")/10000</f>
        <v>4730.4733077169503</v>
      </c>
      <c r="AI392" s="16" cm="1">
        <f t="array" ref="AI392">_xll.DCEPropSectPipe(AE392, AF392, "Wx")/1000</f>
        <v>346.55482107816493</v>
      </c>
      <c r="AJ392" s="108">
        <f t="shared" si="161"/>
        <v>9.4301739777164251</v>
      </c>
      <c r="AK392" s="80" t="s">
        <v>212</v>
      </c>
      <c r="AL392" s="82">
        <v>-64.471285873281587</v>
      </c>
      <c r="AM392" s="82">
        <v>-9.0700450774653838</v>
      </c>
      <c r="AN392" s="82">
        <v>1.7465904196485995</v>
      </c>
      <c r="AO392" s="82">
        <v>0</v>
      </c>
      <c r="AP392" s="82">
        <v>0</v>
      </c>
      <c r="AQ392" s="82">
        <v>-0.13975340007485143</v>
      </c>
      <c r="AR392" s="72">
        <v>1</v>
      </c>
      <c r="AS392" s="116">
        <f t="shared" si="162"/>
        <v>6</v>
      </c>
      <c r="AT392" s="82">
        <v>2</v>
      </c>
      <c r="AU392" s="6">
        <f t="shared" si="163"/>
        <v>12</v>
      </c>
      <c r="AV392" s="111">
        <f t="shared" si="164"/>
        <v>5.3024820084398148E-2</v>
      </c>
      <c r="AW392" s="117">
        <f t="shared" si="165"/>
        <v>105</v>
      </c>
      <c r="AX392" s="111">
        <f t="shared" si="166"/>
        <v>1</v>
      </c>
      <c r="AY392" s="111">
        <f t="shared" si="167"/>
        <v>1</v>
      </c>
      <c r="AZ392" s="111">
        <f t="shared" si="168"/>
        <v>1</v>
      </c>
      <c r="BA392" s="111">
        <f t="shared" si="169"/>
        <v>5.5815600088840164E-2</v>
      </c>
      <c r="BB392" s="111">
        <f t="shared" si="170"/>
        <v>0</v>
      </c>
      <c r="BC392" s="111">
        <f t="shared" si="171"/>
        <v>0</v>
      </c>
      <c r="BD392" s="111">
        <v>0</v>
      </c>
      <c r="BE392" s="111">
        <f t="shared" si="172"/>
        <v>5.5815600088840164E-2</v>
      </c>
      <c r="BF392" s="6" t="str">
        <f t="shared" si="173"/>
        <v>OK</v>
      </c>
      <c r="BG392" s="16">
        <f t="shared" si="174"/>
        <v>63.625549371390676</v>
      </c>
      <c r="BH392" s="118">
        <f t="shared" si="175"/>
        <v>2.1193803644775273</v>
      </c>
      <c r="BI392" s="108">
        <f t="shared" si="176"/>
        <v>0</v>
      </c>
      <c r="BJ392" s="6">
        <f t="shared" si="177"/>
        <v>1.2440309817761237</v>
      </c>
      <c r="BK392" s="108">
        <f t="shared" si="178"/>
        <v>0</v>
      </c>
      <c r="BL392" s="118" cm="1">
        <f t="array" ref="BL392">IF(AO392=0,FactorPhi7121(BH392,"a"),noisuy2chieu(BK392,BH392,Data!$A$63:$M$85))</f>
        <v>0.86214274110469236</v>
      </c>
      <c r="BM392" s="111">
        <v>1.26</v>
      </c>
      <c r="BN392" s="118">
        <f t="shared" si="179"/>
        <v>0.97618245379571889</v>
      </c>
      <c r="BO392" s="108">
        <f t="shared" si="180"/>
        <v>0.13195317821572761</v>
      </c>
      <c r="BP392" s="6" t="str">
        <f t="shared" si="181"/>
        <v>OK</v>
      </c>
      <c r="BQ392" s="16">
        <f t="shared" si="182"/>
        <v>127.25109874278135</v>
      </c>
      <c r="BR392" s="118">
        <f t="shared" si="183"/>
        <v>4.2387607289550546</v>
      </c>
      <c r="BS392" s="108">
        <f t="shared" si="184"/>
        <v>0</v>
      </c>
      <c r="BT392" s="118">
        <f t="shared" si="185"/>
        <v>1.1380619635522473</v>
      </c>
      <c r="BU392" s="108">
        <f t="shared" si="186"/>
        <v>0</v>
      </c>
      <c r="BV392" s="6" cm="1">
        <f t="array" ref="BV392">IF(AP392=0,FactorPhi7121(BR392,"a"),noisuy2chieu(BU392,BR392,Data!$A$63:$M$85))</f>
        <v>0.42299549615688942</v>
      </c>
      <c r="BW392" s="111">
        <v>1.26</v>
      </c>
      <c r="BX392" s="111">
        <f t="shared" si="187"/>
        <v>0.90472981518287565</v>
      </c>
      <c r="BY392" s="113">
        <f t="shared" si="188"/>
        <v>6.4740555626927584E-2</v>
      </c>
      <c r="BZ392" s="6" t="str">
        <f t="shared" si="189"/>
        <v>OK</v>
      </c>
      <c r="CA392" s="114">
        <f t="shared" si="190"/>
        <v>127.25109874278135</v>
      </c>
      <c r="CB392" s="115">
        <f t="shared" si="191"/>
        <v>150</v>
      </c>
      <c r="CC392" s="6" t="str">
        <f t="shared" si="192"/>
        <v>OK</v>
      </c>
    </row>
    <row r="393" spans="27:81">
      <c r="AA393" s="79" t="s">
        <v>175</v>
      </c>
      <c r="AB393" s="80" t="s">
        <v>201</v>
      </c>
      <c r="AC393" s="81">
        <v>2.74</v>
      </c>
      <c r="AD393" s="81">
        <v>6</v>
      </c>
      <c r="AE393" s="80">
        <v>273</v>
      </c>
      <c r="AF393" s="80">
        <v>6.35</v>
      </c>
      <c r="AG393" s="108" cm="1">
        <f t="array" ref="AG393">_xll.DCEPropSectPipe(AE393, AF393, "Area")/100</f>
        <v>53.19431074856206</v>
      </c>
      <c r="AH393" s="16" cm="1">
        <f t="array" ref="AH393">_xll.DCEPropSectPipe(AE393, AF393, "Ix")/10000</f>
        <v>4730.4733077169503</v>
      </c>
      <c r="AI393" s="16" cm="1">
        <f t="array" ref="AI393">_xll.DCEPropSectPipe(AE393, AF393, "Wx")/1000</f>
        <v>346.55482107816493</v>
      </c>
      <c r="AJ393" s="108">
        <f t="shared" si="161"/>
        <v>9.4301739777164251</v>
      </c>
      <c r="AK393" s="80" t="s">
        <v>212</v>
      </c>
      <c r="AL393" s="82">
        <v>-63.124025524549552</v>
      </c>
      <c r="AM393" s="82">
        <v>-9.0700450774653838</v>
      </c>
      <c r="AN393" s="82">
        <v>1.7465904196485995</v>
      </c>
      <c r="AO393" s="82">
        <v>-4.7891509306764597</v>
      </c>
      <c r="AP393" s="82">
        <v>24.870063602410077</v>
      </c>
      <c r="AQ393" s="82">
        <v>-0.13975340007485143</v>
      </c>
      <c r="AR393" s="72">
        <v>1</v>
      </c>
      <c r="AS393" s="116">
        <f t="shared" si="162"/>
        <v>6</v>
      </c>
      <c r="AT393" s="82">
        <v>2</v>
      </c>
      <c r="AU393" s="6">
        <f t="shared" si="163"/>
        <v>12</v>
      </c>
      <c r="AV393" s="111">
        <f t="shared" si="164"/>
        <v>5.1916757221517271E-2</v>
      </c>
      <c r="AW393" s="117">
        <f t="shared" si="165"/>
        <v>105</v>
      </c>
      <c r="AX393" s="111">
        <f t="shared" si="166"/>
        <v>1</v>
      </c>
      <c r="AY393" s="111">
        <f t="shared" si="167"/>
        <v>1</v>
      </c>
      <c r="AZ393" s="111">
        <f t="shared" si="168"/>
        <v>1</v>
      </c>
      <c r="BA393" s="111">
        <f t="shared" si="169"/>
        <v>5.4649218127912916E-2</v>
      </c>
      <c r="BB393" s="111">
        <f t="shared" si="170"/>
        <v>6.3641591451607749E-2</v>
      </c>
      <c r="BC393" s="111">
        <f t="shared" si="171"/>
        <v>0.33049082187445666</v>
      </c>
      <c r="BD393" s="111">
        <v>0</v>
      </c>
      <c r="BE393" s="111">
        <f t="shared" si="172"/>
        <v>0.44878163145397731</v>
      </c>
      <c r="BF393" s="6" t="str">
        <f t="shared" si="173"/>
        <v>OK</v>
      </c>
      <c r="BG393" s="16">
        <f t="shared" si="174"/>
        <v>63.625549371390676</v>
      </c>
      <c r="BH393" s="118">
        <f t="shared" si="175"/>
        <v>2.1193803644775273</v>
      </c>
      <c r="BI393" s="108">
        <f t="shared" si="176"/>
        <v>1.164547154227296</v>
      </c>
      <c r="BJ393" s="6">
        <f t="shared" si="177"/>
        <v>1.210484807786534</v>
      </c>
      <c r="BK393" s="108">
        <f t="shared" si="178"/>
        <v>1.4096666381431837</v>
      </c>
      <c r="BL393" s="118" cm="1">
        <f t="array" ref="BL393">IF(AO393=0,FactorPhi7121(BH393,"a"),noisuy2chieu(BK393,BH393,Data!$A$63:$M$85))</f>
        <v>0</v>
      </c>
      <c r="BM393" s="111">
        <v>1.26</v>
      </c>
      <c r="BN393" s="118">
        <f t="shared" si="179"/>
        <v>0.97668017049502887</v>
      </c>
      <c r="BO393" s="108" t="e">
        <f t="shared" si="180"/>
        <v>#DIV/0!</v>
      </c>
      <c r="BP393" s="6" t="e">
        <f t="shared" si="181"/>
        <v>#DIV/0!</v>
      </c>
      <c r="BQ393" s="16">
        <f t="shared" si="182"/>
        <v>127.25109874278135</v>
      </c>
      <c r="BR393" s="118">
        <f t="shared" si="183"/>
        <v>4.2387607289550546</v>
      </c>
      <c r="BS393" s="108">
        <f t="shared" si="184"/>
        <v>6.0474940574795415</v>
      </c>
      <c r="BT393" s="118">
        <f t="shared" si="185"/>
        <v>1.1000000000000001</v>
      </c>
      <c r="BU393" s="108">
        <f t="shared" si="186"/>
        <v>6.6522434632274958</v>
      </c>
      <c r="BV393" s="6" cm="1">
        <f t="array" ref="BV393">IF(AP393=0,FactorPhi7121(BR393,"a"),noisuy2chieu(BU393,BR393,Data!$A$63:$M$85))</f>
        <v>0</v>
      </c>
      <c r="BW393" s="111">
        <v>1.26</v>
      </c>
      <c r="BX393" s="111">
        <f t="shared" si="187"/>
        <v>0.90672068198011568</v>
      </c>
      <c r="BY393" s="113" t="e">
        <f t="shared" si="188"/>
        <v>#DIV/0!</v>
      </c>
      <c r="BZ393" s="6" t="e">
        <f t="shared" si="189"/>
        <v>#DIV/0!</v>
      </c>
      <c r="CA393" s="114">
        <f t="shared" si="190"/>
        <v>127.25109874278135</v>
      </c>
      <c r="CB393" s="115" t="e">
        <f t="shared" si="191"/>
        <v>#DIV/0!</v>
      </c>
      <c r="CC393" s="6" t="e">
        <f t="shared" si="192"/>
        <v>#DIV/0!</v>
      </c>
    </row>
    <row r="394" spans="27:81">
      <c r="AA394" s="79" t="s">
        <v>175</v>
      </c>
      <c r="AB394" s="80" t="s">
        <v>201</v>
      </c>
      <c r="AC394" s="81">
        <v>5.48</v>
      </c>
      <c r="AD394" s="81">
        <v>6</v>
      </c>
      <c r="AE394" s="80">
        <v>273</v>
      </c>
      <c r="AF394" s="80">
        <v>6.35</v>
      </c>
      <c r="AG394" s="108" cm="1">
        <f t="array" ref="AG394">_xll.DCEPropSectPipe(AE394, AF394, "Area")/100</f>
        <v>53.19431074856206</v>
      </c>
      <c r="AH394" s="16" cm="1">
        <f t="array" ref="AH394">_xll.DCEPropSectPipe(AE394, AF394, "Ix")/10000</f>
        <v>4730.4733077169503</v>
      </c>
      <c r="AI394" s="16" cm="1">
        <f t="array" ref="AI394">_xll.DCEPropSectPipe(AE394, AF394, "Wx")/1000</f>
        <v>346.55482107816493</v>
      </c>
      <c r="AJ394" s="108">
        <f t="shared" si="161"/>
        <v>9.4301739777164251</v>
      </c>
      <c r="AK394" s="80" t="s">
        <v>212</v>
      </c>
      <c r="AL394" s="82">
        <v>-61.776765175817523</v>
      </c>
      <c r="AM394" s="82">
        <v>-9.0700450774653838</v>
      </c>
      <c r="AN394" s="82">
        <v>1.7465904196485995</v>
      </c>
      <c r="AO394" s="82">
        <v>-9.5783018613529194</v>
      </c>
      <c r="AP394" s="82">
        <v>49.740127204820155</v>
      </c>
      <c r="AQ394" s="82">
        <v>-0.13975340007485143</v>
      </c>
      <c r="AR394" s="72">
        <v>1</v>
      </c>
      <c r="AS394" s="116">
        <f t="shared" si="162"/>
        <v>6</v>
      </c>
      <c r="AT394" s="82">
        <v>2</v>
      </c>
      <c r="AU394" s="6">
        <f t="shared" si="163"/>
        <v>12</v>
      </c>
      <c r="AV394" s="111">
        <f t="shared" si="164"/>
        <v>5.08086943586364E-2</v>
      </c>
      <c r="AW394" s="117">
        <f t="shared" si="165"/>
        <v>105</v>
      </c>
      <c r="AX394" s="111">
        <f t="shared" si="166"/>
        <v>1</v>
      </c>
      <c r="AY394" s="111">
        <f t="shared" si="167"/>
        <v>1</v>
      </c>
      <c r="AZ394" s="111">
        <f t="shared" si="168"/>
        <v>1</v>
      </c>
      <c r="BA394" s="111">
        <f t="shared" si="169"/>
        <v>5.3482836166985695E-2</v>
      </c>
      <c r="BB394" s="111">
        <f t="shared" si="170"/>
        <v>0.1272831829032155</v>
      </c>
      <c r="BC394" s="111">
        <f t="shared" si="171"/>
        <v>0.66098164374891333</v>
      </c>
      <c r="BD394" s="111">
        <v>0</v>
      </c>
      <c r="BE394" s="111">
        <f t="shared" si="172"/>
        <v>0.84174766281911451</v>
      </c>
      <c r="BF394" s="6" t="str">
        <f t="shared" si="173"/>
        <v>OK</v>
      </c>
      <c r="BG394" s="16">
        <f t="shared" si="174"/>
        <v>63.625549371390676</v>
      </c>
      <c r="BH394" s="118">
        <f t="shared" si="175"/>
        <v>2.1193803644775273</v>
      </c>
      <c r="BI394" s="108">
        <f t="shared" si="176"/>
        <v>2.3798884282390742</v>
      </c>
      <c r="BJ394" s="6">
        <f t="shared" si="177"/>
        <v>1.175475448408742</v>
      </c>
      <c r="BK394" s="108">
        <f t="shared" si="178"/>
        <v>2.7975004173471021</v>
      </c>
      <c r="BL394" s="118" cm="1">
        <f t="array" ref="BL394">IF(AO394=0,FactorPhi7121(BH394,"a"),noisuy2chieu(BK394,BH394,Data!$A$63:$M$85))</f>
        <v>0</v>
      </c>
      <c r="BM394" s="111">
        <v>1.26</v>
      </c>
      <c r="BN394" s="118">
        <f t="shared" si="179"/>
        <v>0.97717788719433896</v>
      </c>
      <c r="BO394" s="108" t="e">
        <f t="shared" si="180"/>
        <v>#DIV/0!</v>
      </c>
      <c r="BP394" s="6" t="e">
        <f t="shared" si="181"/>
        <v>#DIV/0!</v>
      </c>
      <c r="BQ394" s="16">
        <f t="shared" si="182"/>
        <v>127.25109874278135</v>
      </c>
      <c r="BR394" s="118">
        <f t="shared" si="183"/>
        <v>4.2387607289550546</v>
      </c>
      <c r="BS394" s="108">
        <f t="shared" si="184"/>
        <v>12.35876200890276</v>
      </c>
      <c r="BT394" s="118">
        <f t="shared" si="185"/>
        <v>1.1000000000000001</v>
      </c>
      <c r="BU394" s="108">
        <f t="shared" si="186"/>
        <v>13.594638209793038</v>
      </c>
      <c r="BV394" s="6" cm="1">
        <f t="array" ref="BV394">IF(AP394=0,FactorPhi7121(BR394,"a"),noisuy2chieu(BU394,BR394,Data!$A$63:$M$85))</f>
        <v>0</v>
      </c>
      <c r="BW394" s="111">
        <v>1.26</v>
      </c>
      <c r="BX394" s="111">
        <f t="shared" si="187"/>
        <v>0.9087115487773556</v>
      </c>
      <c r="BY394" s="113" t="e">
        <f t="shared" si="188"/>
        <v>#DIV/0!</v>
      </c>
      <c r="BZ394" s="6" t="e">
        <f t="shared" si="189"/>
        <v>#DIV/0!</v>
      </c>
      <c r="CA394" s="114">
        <f t="shared" si="190"/>
        <v>127.25109874278135</v>
      </c>
      <c r="CB394" s="115" t="e">
        <f t="shared" si="191"/>
        <v>#DIV/0!</v>
      </c>
      <c r="CC394" s="6" t="e">
        <f t="shared" si="192"/>
        <v>#DIV/0!</v>
      </c>
    </row>
    <row r="395" spans="27:81">
      <c r="AA395" s="79" t="s">
        <v>175</v>
      </c>
      <c r="AB395" s="80" t="s">
        <v>201</v>
      </c>
      <c r="AC395" s="81">
        <v>0</v>
      </c>
      <c r="AD395" s="81">
        <v>6</v>
      </c>
      <c r="AE395" s="80">
        <v>273</v>
      </c>
      <c r="AF395" s="80">
        <v>6.35</v>
      </c>
      <c r="AG395" s="108" cm="1">
        <f t="array" ref="AG395">_xll.DCEPropSectPipe(AE395, AF395, "Area")/100</f>
        <v>53.19431074856206</v>
      </c>
      <c r="AH395" s="16" cm="1">
        <f t="array" ref="AH395">_xll.DCEPropSectPipe(AE395, AF395, "Ix")/10000</f>
        <v>4730.4733077169503</v>
      </c>
      <c r="AI395" s="16" cm="1">
        <f t="array" ref="AI395">_xll.DCEPropSectPipe(AE395, AF395, "Wx")/1000</f>
        <v>346.55482107816493</v>
      </c>
      <c r="AJ395" s="108">
        <f t="shared" si="161"/>
        <v>9.4301739777164251</v>
      </c>
      <c r="AK395" s="80" t="s">
        <v>213</v>
      </c>
      <c r="AL395" s="82">
        <v>-4.991025512272607</v>
      </c>
      <c r="AM395" s="82">
        <v>-0.90751525848444259</v>
      </c>
      <c r="AN395" s="82">
        <v>0.12300078724777186</v>
      </c>
      <c r="AO395" s="82">
        <v>0</v>
      </c>
      <c r="AP395" s="82">
        <v>0</v>
      </c>
      <c r="AQ395" s="82">
        <v>-4.9903584877579427E-2</v>
      </c>
      <c r="AR395" s="72">
        <v>1</v>
      </c>
      <c r="AS395" s="116">
        <f t="shared" si="162"/>
        <v>6</v>
      </c>
      <c r="AT395" s="82">
        <v>2</v>
      </c>
      <c r="AU395" s="6">
        <f t="shared" si="163"/>
        <v>12</v>
      </c>
      <c r="AV395" s="111">
        <f t="shared" si="164"/>
        <v>4.1049007513990427E-3</v>
      </c>
      <c r="AW395" s="117">
        <f t="shared" si="165"/>
        <v>105</v>
      </c>
      <c r="AX395" s="111">
        <f t="shared" si="166"/>
        <v>1</v>
      </c>
      <c r="AY395" s="111">
        <f t="shared" si="167"/>
        <v>1</v>
      </c>
      <c r="AZ395" s="111">
        <f t="shared" si="168"/>
        <v>1</v>
      </c>
      <c r="BA395" s="111">
        <f t="shared" si="169"/>
        <v>4.320948159367414E-3</v>
      </c>
      <c r="BB395" s="111">
        <f t="shared" si="170"/>
        <v>0</v>
      </c>
      <c r="BC395" s="111">
        <f t="shared" si="171"/>
        <v>0</v>
      </c>
      <c r="BD395" s="111">
        <v>0</v>
      </c>
      <c r="BE395" s="111">
        <f t="shared" si="172"/>
        <v>4.320948159367414E-3</v>
      </c>
      <c r="BF395" s="6" t="str">
        <f t="shared" si="173"/>
        <v>OK</v>
      </c>
      <c r="BG395" s="16">
        <f t="shared" si="174"/>
        <v>63.625549371390676</v>
      </c>
      <c r="BH395" s="118">
        <f t="shared" si="175"/>
        <v>2.1193803644775273</v>
      </c>
      <c r="BI395" s="108">
        <f t="shared" si="176"/>
        <v>0</v>
      </c>
      <c r="BJ395" s="6">
        <f t="shared" si="177"/>
        <v>1.2440309817761237</v>
      </c>
      <c r="BK395" s="108">
        <f t="shared" si="178"/>
        <v>0</v>
      </c>
      <c r="BL395" s="118" cm="1">
        <f t="array" ref="BL395">IF(AO395=0,FactorPhi7121(BH395,"a"),noisuy2chieu(BK395,BH395,Data!$A$63:$M$85))</f>
        <v>0.86214274110469236</v>
      </c>
      <c r="BM395" s="111">
        <v>1.26</v>
      </c>
      <c r="BN395" s="118">
        <f t="shared" si="179"/>
        <v>0.99815617171062876</v>
      </c>
      <c r="BO395" s="108">
        <f t="shared" si="180"/>
        <v>1.0215116233211075E-2</v>
      </c>
      <c r="BP395" s="6" t="str">
        <f t="shared" si="181"/>
        <v>OK</v>
      </c>
      <c r="BQ395" s="16">
        <f t="shared" si="182"/>
        <v>127.25109874278135</v>
      </c>
      <c r="BR395" s="118">
        <f t="shared" si="183"/>
        <v>4.2387607289550546</v>
      </c>
      <c r="BS395" s="108">
        <f t="shared" si="184"/>
        <v>0</v>
      </c>
      <c r="BT395" s="118">
        <f t="shared" si="185"/>
        <v>1.1380619635522473</v>
      </c>
      <c r="BU395" s="108">
        <f t="shared" si="186"/>
        <v>0</v>
      </c>
      <c r="BV395" s="6" cm="1">
        <f t="array" ref="BV395">IF(AP395=0,FactorPhi7121(BR395,"a"),noisuy2chieu(BU395,BR395,Data!$A$63:$M$85))</f>
        <v>0.42299549615688942</v>
      </c>
      <c r="BW395" s="111">
        <v>1.26</v>
      </c>
      <c r="BX395" s="111">
        <f t="shared" si="187"/>
        <v>0.99262468684251493</v>
      </c>
      <c r="BY395" s="113">
        <f t="shared" si="188"/>
        <v>5.0118709505468182E-3</v>
      </c>
      <c r="BZ395" s="6" t="str">
        <f t="shared" si="189"/>
        <v>OK</v>
      </c>
      <c r="CA395" s="114">
        <f t="shared" si="190"/>
        <v>127.25109874278135</v>
      </c>
      <c r="CB395" s="115">
        <f t="shared" si="191"/>
        <v>150</v>
      </c>
      <c r="CC395" s="6" t="str">
        <f t="shared" si="192"/>
        <v>OK</v>
      </c>
    </row>
    <row r="396" spans="27:81">
      <c r="AA396" s="79" t="s">
        <v>175</v>
      </c>
      <c r="AB396" s="80" t="s">
        <v>201</v>
      </c>
      <c r="AC396" s="81">
        <v>2.74</v>
      </c>
      <c r="AD396" s="81">
        <v>6</v>
      </c>
      <c r="AE396" s="80">
        <v>273</v>
      </c>
      <c r="AF396" s="80">
        <v>6.35</v>
      </c>
      <c r="AG396" s="108" cm="1">
        <f t="array" ref="AG396">_xll.DCEPropSectPipe(AE396, AF396, "Area")/100</f>
        <v>53.19431074856206</v>
      </c>
      <c r="AH396" s="16" cm="1">
        <f t="array" ref="AH396">_xll.DCEPropSectPipe(AE396, AF396, "Ix")/10000</f>
        <v>4730.4733077169503</v>
      </c>
      <c r="AI396" s="16" cm="1">
        <f t="array" ref="AI396">_xll.DCEPropSectPipe(AE396, AF396, "Wx")/1000</f>
        <v>346.55482107816493</v>
      </c>
      <c r="AJ396" s="108">
        <f t="shared" si="161"/>
        <v>9.4301739777164251</v>
      </c>
      <c r="AK396" s="80" t="s">
        <v>213</v>
      </c>
      <c r="AL396" s="82">
        <v>-3.6437651635405777</v>
      </c>
      <c r="AM396" s="82">
        <v>-0.90751525848444259</v>
      </c>
      <c r="AN396" s="82">
        <v>0.12300078724777186</v>
      </c>
      <c r="AO396" s="82">
        <v>-0.33726815863339038</v>
      </c>
      <c r="AP396" s="82">
        <v>2.4884068387643392</v>
      </c>
      <c r="AQ396" s="82">
        <v>-4.9903584877579427E-2</v>
      </c>
      <c r="AR396" s="72">
        <v>1</v>
      </c>
      <c r="AS396" s="116">
        <f t="shared" si="162"/>
        <v>6</v>
      </c>
      <c r="AT396" s="82">
        <v>2</v>
      </c>
      <c r="AU396" s="6">
        <f t="shared" si="163"/>
        <v>12</v>
      </c>
      <c r="AV396" s="111">
        <f t="shared" si="164"/>
        <v>2.9968378885181736E-3</v>
      </c>
      <c r="AW396" s="117">
        <f t="shared" si="165"/>
        <v>105</v>
      </c>
      <c r="AX396" s="111">
        <f t="shared" si="166"/>
        <v>1</v>
      </c>
      <c r="AY396" s="111">
        <f t="shared" si="167"/>
        <v>1</v>
      </c>
      <c r="AZ396" s="111">
        <f t="shared" si="168"/>
        <v>1</v>
      </c>
      <c r="BA396" s="111">
        <f t="shared" si="169"/>
        <v>3.1545661984401828E-3</v>
      </c>
      <c r="BB396" s="111">
        <f t="shared" si="170"/>
        <v>4.4818554837966788E-3</v>
      </c>
      <c r="BC396" s="111">
        <f t="shared" si="171"/>
        <v>3.3067692726831202E-2</v>
      </c>
      <c r="BD396" s="111">
        <v>0</v>
      </c>
      <c r="BE396" s="111">
        <f t="shared" si="172"/>
        <v>4.0704114409068064E-2</v>
      </c>
      <c r="BF396" s="6" t="str">
        <f t="shared" si="173"/>
        <v>OK</v>
      </c>
      <c r="BG396" s="16">
        <f t="shared" si="174"/>
        <v>63.625549371390676</v>
      </c>
      <c r="BH396" s="118">
        <f t="shared" si="175"/>
        <v>2.1193803644775273</v>
      </c>
      <c r="BI396" s="108">
        <f t="shared" si="176"/>
        <v>1.4207517616884353</v>
      </c>
      <c r="BJ396" s="6">
        <f t="shared" si="177"/>
        <v>1.2031045275568952</v>
      </c>
      <c r="BK396" s="108">
        <f t="shared" si="178"/>
        <v>1.7093128770217916</v>
      </c>
      <c r="BL396" s="118" cm="1">
        <f t="array" ref="BL396">IF(AO396=0,FactorPhi7121(BH396,"a"),noisuy2chieu(BK396,BH396,Data!$A$63:$M$85))</f>
        <v>0</v>
      </c>
      <c r="BM396" s="111">
        <v>1.26</v>
      </c>
      <c r="BN396" s="118">
        <f t="shared" si="179"/>
        <v>0.99865388840993874</v>
      </c>
      <c r="BO396" s="108" t="e">
        <f t="shared" si="180"/>
        <v>#DIV/0!</v>
      </c>
      <c r="BP396" s="6" t="e">
        <f t="shared" si="181"/>
        <v>#DIV/0!</v>
      </c>
      <c r="BQ396" s="16">
        <f t="shared" si="182"/>
        <v>127.25109874278135</v>
      </c>
      <c r="BR396" s="118">
        <f t="shared" si="183"/>
        <v>4.2387607289550546</v>
      </c>
      <c r="BS396" s="108">
        <f t="shared" si="184"/>
        <v>10.48248495884536</v>
      </c>
      <c r="BT396" s="118">
        <f t="shared" si="185"/>
        <v>1.1000000000000001</v>
      </c>
      <c r="BU396" s="108">
        <f t="shared" si="186"/>
        <v>11.530733454729896</v>
      </c>
      <c r="BV396" s="6" cm="1">
        <f t="array" ref="BV396">IF(AP396=0,FactorPhi7121(BR396,"a"),noisuy2chieu(BU396,BR396,Data!$A$63:$M$85))</f>
        <v>0</v>
      </c>
      <c r="BW396" s="111">
        <v>1.26</v>
      </c>
      <c r="BX396" s="111">
        <f t="shared" si="187"/>
        <v>0.99461555363975496</v>
      </c>
      <c r="BY396" s="113" t="e">
        <f t="shared" si="188"/>
        <v>#DIV/0!</v>
      </c>
      <c r="BZ396" s="6" t="e">
        <f t="shared" si="189"/>
        <v>#DIV/0!</v>
      </c>
      <c r="CA396" s="114">
        <f t="shared" si="190"/>
        <v>127.25109874278135</v>
      </c>
      <c r="CB396" s="115" t="e">
        <f t="shared" si="191"/>
        <v>#DIV/0!</v>
      </c>
      <c r="CC396" s="6" t="e">
        <f t="shared" si="192"/>
        <v>#DIV/0!</v>
      </c>
    </row>
    <row r="397" spans="27:81">
      <c r="AA397" s="79" t="s">
        <v>175</v>
      </c>
      <c r="AB397" s="80" t="s">
        <v>201</v>
      </c>
      <c r="AC397" s="81">
        <v>5.48</v>
      </c>
      <c r="AD397" s="81">
        <v>6</v>
      </c>
      <c r="AE397" s="80">
        <v>273</v>
      </c>
      <c r="AF397" s="80">
        <v>6.35</v>
      </c>
      <c r="AG397" s="108" cm="1">
        <f t="array" ref="AG397">_xll.DCEPropSectPipe(AE397, AF397, "Area")/100</f>
        <v>53.19431074856206</v>
      </c>
      <c r="AH397" s="16" cm="1">
        <f t="array" ref="AH397">_xll.DCEPropSectPipe(AE397, AF397, "Ix")/10000</f>
        <v>4730.4733077169503</v>
      </c>
      <c r="AI397" s="16" cm="1">
        <f t="array" ref="AI397">_xll.DCEPropSectPipe(AE397, AF397, "Wx")/1000</f>
        <v>346.55482107816493</v>
      </c>
      <c r="AJ397" s="108">
        <f t="shared" si="161"/>
        <v>9.4301739777164251</v>
      </c>
      <c r="AK397" s="80" t="s">
        <v>213</v>
      </c>
      <c r="AL397" s="82">
        <v>-2.2965048148085474</v>
      </c>
      <c r="AM397" s="82">
        <v>-0.90751525848444259</v>
      </c>
      <c r="AN397" s="82">
        <v>0.12300078724777186</v>
      </c>
      <c r="AO397" s="82">
        <v>-0.67453631726678076</v>
      </c>
      <c r="AP397" s="82">
        <v>4.9768136775286784</v>
      </c>
      <c r="AQ397" s="82">
        <v>-4.9903584877579427E-2</v>
      </c>
      <c r="AR397" s="72">
        <v>1</v>
      </c>
      <c r="AS397" s="116">
        <f t="shared" si="162"/>
        <v>6</v>
      </c>
      <c r="AT397" s="82">
        <v>2</v>
      </c>
      <c r="AU397" s="6">
        <f t="shared" si="163"/>
        <v>12</v>
      </c>
      <c r="AV397" s="111">
        <f t="shared" si="164"/>
        <v>1.8887750256373029E-3</v>
      </c>
      <c r="AW397" s="117">
        <f t="shared" si="165"/>
        <v>105</v>
      </c>
      <c r="AX397" s="111">
        <f t="shared" si="166"/>
        <v>1</v>
      </c>
      <c r="AY397" s="111">
        <f t="shared" si="167"/>
        <v>1</v>
      </c>
      <c r="AZ397" s="111">
        <f t="shared" si="168"/>
        <v>1</v>
      </c>
      <c r="BA397" s="111">
        <f t="shared" si="169"/>
        <v>1.9881842375129508E-3</v>
      </c>
      <c r="BB397" s="111">
        <f t="shared" si="170"/>
        <v>8.9637109675933576E-3</v>
      </c>
      <c r="BC397" s="111">
        <f t="shared" si="171"/>
        <v>6.6135385453662404E-2</v>
      </c>
      <c r="BD397" s="111">
        <v>0</v>
      </c>
      <c r="BE397" s="111">
        <f t="shared" si="172"/>
        <v>7.7087280658768714E-2</v>
      </c>
      <c r="BF397" s="6" t="str">
        <f t="shared" si="173"/>
        <v>OK</v>
      </c>
      <c r="BG397" s="16">
        <f t="shared" si="174"/>
        <v>63.625549371390676</v>
      </c>
      <c r="BH397" s="118">
        <f t="shared" si="175"/>
        <v>2.1193803644775273</v>
      </c>
      <c r="BI397" s="108">
        <f t="shared" si="176"/>
        <v>4.5084911138849995</v>
      </c>
      <c r="BJ397" s="6">
        <f t="shared" si="177"/>
        <v>1.1141585014837665</v>
      </c>
      <c r="BK397" s="108">
        <f t="shared" si="178"/>
        <v>5.0231737033989878</v>
      </c>
      <c r="BL397" s="118" cm="1">
        <f t="array" ref="BL397">IF(AO397=0,FactorPhi7121(BH397,"a"),noisuy2chieu(BK397,BH397,Data!$A$63:$M$85))</f>
        <v>0</v>
      </c>
      <c r="BM397" s="111">
        <v>1.26</v>
      </c>
      <c r="BN397" s="118">
        <f t="shared" si="179"/>
        <v>0.99915160510924872</v>
      </c>
      <c r="BO397" s="108" t="e">
        <f t="shared" si="180"/>
        <v>#DIV/0!</v>
      </c>
      <c r="BP397" s="6" t="e">
        <f t="shared" si="181"/>
        <v>#DIV/0!</v>
      </c>
      <c r="BQ397" s="16">
        <f t="shared" si="182"/>
        <v>127.25109874278135</v>
      </c>
      <c r="BR397" s="118">
        <f t="shared" si="183"/>
        <v>4.2387607289550546</v>
      </c>
      <c r="BS397" s="108">
        <f t="shared" si="184"/>
        <v>33.264213751333294</v>
      </c>
      <c r="BT397" s="118">
        <f t="shared" si="185"/>
        <v>1.1000000000000001</v>
      </c>
      <c r="BU397" s="108">
        <f t="shared" si="186"/>
        <v>36.59063512646663</v>
      </c>
      <c r="BV397" s="6" cm="1">
        <f t="array" ref="BV397">IF(AP397=0,FactorPhi7121(BR397,"a"),noisuy2chieu(BU397,BR397,Data!$A$63:$M$85))</f>
        <v>0</v>
      </c>
      <c r="BW397" s="111">
        <v>1.26</v>
      </c>
      <c r="BX397" s="111">
        <f t="shared" si="187"/>
        <v>0.99660642043699488</v>
      </c>
      <c r="BY397" s="113" t="e">
        <f t="shared" si="188"/>
        <v>#DIV/0!</v>
      </c>
      <c r="BZ397" s="6" t="e">
        <f t="shared" si="189"/>
        <v>#DIV/0!</v>
      </c>
      <c r="CA397" s="114">
        <f t="shared" si="190"/>
        <v>127.25109874278135</v>
      </c>
      <c r="CB397" s="115" t="e">
        <f t="shared" si="191"/>
        <v>#DIV/0!</v>
      </c>
      <c r="CC397" s="6" t="e">
        <f t="shared" si="192"/>
        <v>#DIV/0!</v>
      </c>
    </row>
    <row r="398" spans="27:81">
      <c r="AA398" s="79" t="s">
        <v>175</v>
      </c>
      <c r="AB398" s="80" t="s">
        <v>201</v>
      </c>
      <c r="AC398" s="81">
        <v>0</v>
      </c>
      <c r="AD398" s="81">
        <v>6</v>
      </c>
      <c r="AE398" s="80">
        <v>273</v>
      </c>
      <c r="AF398" s="80">
        <v>6.35</v>
      </c>
      <c r="AG398" s="108" cm="1">
        <f t="array" ref="AG398">_xll.DCEPropSectPipe(AE398, AF398, "Area")/100</f>
        <v>53.19431074856206</v>
      </c>
      <c r="AH398" s="16" cm="1">
        <f t="array" ref="AH398">_xll.DCEPropSectPipe(AE398, AF398, "Ix")/10000</f>
        <v>4730.4733077169503</v>
      </c>
      <c r="AI398" s="16" cm="1">
        <f t="array" ref="AI398">_xll.DCEPropSectPipe(AE398, AF398, "Wx")/1000</f>
        <v>346.55482107816493</v>
      </c>
      <c r="AJ398" s="108">
        <f t="shared" si="161"/>
        <v>9.4301739777164251</v>
      </c>
      <c r="AK398" s="80" t="s">
        <v>214</v>
      </c>
      <c r="AL398" s="82">
        <v>-18.83259938549589</v>
      </c>
      <c r="AM398" s="82">
        <v>-0.96389709851528438</v>
      </c>
      <c r="AN398" s="82">
        <v>0.22854617521059942</v>
      </c>
      <c r="AO398" s="82">
        <v>0</v>
      </c>
      <c r="AP398" s="82">
        <v>0</v>
      </c>
      <c r="AQ398" s="82">
        <v>3.1402167467675414E-2</v>
      </c>
      <c r="AR398" s="72">
        <v>1</v>
      </c>
      <c r="AS398" s="116">
        <f t="shared" si="162"/>
        <v>6</v>
      </c>
      <c r="AT398" s="82">
        <v>2</v>
      </c>
      <c r="AU398" s="6">
        <f t="shared" si="163"/>
        <v>12</v>
      </c>
      <c r="AV398" s="111">
        <f t="shared" si="164"/>
        <v>1.5488991426356952E-2</v>
      </c>
      <c r="AW398" s="117">
        <f t="shared" si="165"/>
        <v>105</v>
      </c>
      <c r="AX398" s="111">
        <f t="shared" si="166"/>
        <v>1</v>
      </c>
      <c r="AY398" s="111">
        <f t="shared" si="167"/>
        <v>1</v>
      </c>
      <c r="AZ398" s="111">
        <f t="shared" si="168"/>
        <v>1</v>
      </c>
      <c r="BA398" s="111">
        <f t="shared" si="169"/>
        <v>1.6304201501428372E-2</v>
      </c>
      <c r="BB398" s="111">
        <f t="shared" si="170"/>
        <v>0</v>
      </c>
      <c r="BC398" s="111">
        <f t="shared" si="171"/>
        <v>0</v>
      </c>
      <c r="BD398" s="111">
        <v>0</v>
      </c>
      <c r="BE398" s="111">
        <f t="shared" si="172"/>
        <v>1.6304201501428372E-2</v>
      </c>
      <c r="BF398" s="6" t="str">
        <f t="shared" si="173"/>
        <v>OK</v>
      </c>
      <c r="BG398" s="16">
        <f t="shared" si="174"/>
        <v>63.625549371390676</v>
      </c>
      <c r="BH398" s="118">
        <f t="shared" si="175"/>
        <v>2.1193803644775273</v>
      </c>
      <c r="BI398" s="108">
        <f t="shared" si="176"/>
        <v>0</v>
      </c>
      <c r="BJ398" s="6">
        <f t="shared" si="177"/>
        <v>1.2440309817761237</v>
      </c>
      <c r="BK398" s="108">
        <f t="shared" si="178"/>
        <v>0</v>
      </c>
      <c r="BL398" s="118" cm="1">
        <f t="array" ref="BL398">IF(AO398=0,FactorPhi7121(BH398,"a"),noisuy2chieu(BK398,BH398,Data!$A$63:$M$85))</f>
        <v>0.86214274110469236</v>
      </c>
      <c r="BM398" s="111">
        <v>1.26</v>
      </c>
      <c r="BN398" s="118">
        <f t="shared" si="179"/>
        <v>0.99304269645106225</v>
      </c>
      <c r="BO398" s="108">
        <f t="shared" si="180"/>
        <v>3.8544621986663252E-2</v>
      </c>
      <c r="BP398" s="6" t="str">
        <f t="shared" si="181"/>
        <v>OK</v>
      </c>
      <c r="BQ398" s="16">
        <f t="shared" si="182"/>
        <v>127.25109874278135</v>
      </c>
      <c r="BR398" s="118">
        <f t="shared" si="183"/>
        <v>4.2387607289550546</v>
      </c>
      <c r="BS398" s="108">
        <f t="shared" si="184"/>
        <v>0</v>
      </c>
      <c r="BT398" s="118">
        <f t="shared" si="185"/>
        <v>1.1380619635522473</v>
      </c>
      <c r="BU398" s="108">
        <f t="shared" si="186"/>
        <v>0</v>
      </c>
      <c r="BV398" s="6" cm="1">
        <f t="array" ref="BV398">IF(AP398=0,FactorPhi7121(BR398,"a"),noisuy2chieu(BU398,BR398,Data!$A$63:$M$85))</f>
        <v>0.42299549615688942</v>
      </c>
      <c r="BW398" s="111">
        <v>1.26</v>
      </c>
      <c r="BX398" s="111">
        <f t="shared" si="187"/>
        <v>0.97217078580424887</v>
      </c>
      <c r="BY398" s="113">
        <f t="shared" si="188"/>
        <v>1.8911255322450728E-2</v>
      </c>
      <c r="BZ398" s="6" t="str">
        <f t="shared" si="189"/>
        <v>OK</v>
      </c>
      <c r="CA398" s="114">
        <f t="shared" si="190"/>
        <v>127.25109874278135</v>
      </c>
      <c r="CB398" s="115">
        <f t="shared" si="191"/>
        <v>150</v>
      </c>
      <c r="CC398" s="6" t="str">
        <f t="shared" si="192"/>
        <v>OK</v>
      </c>
    </row>
    <row r="399" spans="27:81">
      <c r="AA399" s="79" t="s">
        <v>175</v>
      </c>
      <c r="AB399" s="80" t="s">
        <v>201</v>
      </c>
      <c r="AC399" s="81">
        <v>2.74</v>
      </c>
      <c r="AD399" s="81">
        <v>6</v>
      </c>
      <c r="AE399" s="80">
        <v>273</v>
      </c>
      <c r="AF399" s="80">
        <v>6.35</v>
      </c>
      <c r="AG399" s="108" cm="1">
        <f t="array" ref="AG399">_xll.DCEPropSectPipe(AE399, AF399, "Area")/100</f>
        <v>53.19431074856206</v>
      </c>
      <c r="AH399" s="16" cm="1">
        <f t="array" ref="AH399">_xll.DCEPropSectPipe(AE399, AF399, "Ix")/10000</f>
        <v>4730.4733077169503</v>
      </c>
      <c r="AI399" s="16" cm="1">
        <f t="array" ref="AI399">_xll.DCEPropSectPipe(AE399, AF399, "Wx")/1000</f>
        <v>346.55482107816493</v>
      </c>
      <c r="AJ399" s="108">
        <f t="shared" si="161"/>
        <v>9.4301739777164251</v>
      </c>
      <c r="AK399" s="80" t="s">
        <v>214</v>
      </c>
      <c r="AL399" s="82">
        <v>-17.485339036763861</v>
      </c>
      <c r="AM399" s="82">
        <v>-0.96389709851528438</v>
      </c>
      <c r="AN399" s="82">
        <v>0.22854617521059942</v>
      </c>
      <c r="AO399" s="82">
        <v>-0.62667361242746356</v>
      </c>
      <c r="AP399" s="82">
        <v>2.6430058441289077</v>
      </c>
      <c r="AQ399" s="82">
        <v>3.1402167467675414E-2</v>
      </c>
      <c r="AR399" s="72">
        <v>1</v>
      </c>
      <c r="AS399" s="116">
        <f t="shared" si="162"/>
        <v>6</v>
      </c>
      <c r="AT399" s="82">
        <v>2</v>
      </c>
      <c r="AU399" s="6">
        <f t="shared" si="163"/>
        <v>12</v>
      </c>
      <c r="AV399" s="111">
        <f t="shared" si="164"/>
        <v>1.4380928563476085E-2</v>
      </c>
      <c r="AW399" s="117">
        <f t="shared" si="165"/>
        <v>105</v>
      </c>
      <c r="AX399" s="111">
        <f t="shared" si="166"/>
        <v>1</v>
      </c>
      <c r="AY399" s="111">
        <f t="shared" si="167"/>
        <v>1</v>
      </c>
      <c r="AZ399" s="111">
        <f t="shared" si="168"/>
        <v>1</v>
      </c>
      <c r="BA399" s="111">
        <f t="shared" si="169"/>
        <v>1.5137819540501141E-2</v>
      </c>
      <c r="BB399" s="111">
        <f t="shared" si="170"/>
        <v>8.3276778270127468E-3</v>
      </c>
      <c r="BC399" s="111">
        <f t="shared" si="171"/>
        <v>3.5122112577167186E-2</v>
      </c>
      <c r="BD399" s="111">
        <v>0</v>
      </c>
      <c r="BE399" s="111">
        <f t="shared" si="172"/>
        <v>5.8587609944681075E-2</v>
      </c>
      <c r="BF399" s="6" t="str">
        <f t="shared" si="173"/>
        <v>OK</v>
      </c>
      <c r="BG399" s="16">
        <f t="shared" si="174"/>
        <v>63.625549371390676</v>
      </c>
      <c r="BH399" s="118">
        <f t="shared" si="175"/>
        <v>2.1193803644775273</v>
      </c>
      <c r="BI399" s="108">
        <f t="shared" si="176"/>
        <v>0.55012399934694001</v>
      </c>
      <c r="BJ399" s="6">
        <f t="shared" si="177"/>
        <v>1.2281840018312142</v>
      </c>
      <c r="BK399" s="108">
        <f t="shared" si="178"/>
        <v>0.67565349502131711</v>
      </c>
      <c r="BL399" s="118" cm="1">
        <f t="array" ref="BL399">IF(AO399=0,FactorPhi7121(BH399,"a"),noisuy2chieu(BK399,BH399,Data!$A$63:$M$85))</f>
        <v>0</v>
      </c>
      <c r="BM399" s="111">
        <v>1.26</v>
      </c>
      <c r="BN399" s="118">
        <f t="shared" si="179"/>
        <v>0.99354041315037223</v>
      </c>
      <c r="BO399" s="108" t="e">
        <f t="shared" si="180"/>
        <v>#DIV/0!</v>
      </c>
      <c r="BP399" s="6" t="e">
        <f t="shared" si="181"/>
        <v>#DIV/0!</v>
      </c>
      <c r="BQ399" s="16">
        <f t="shared" si="182"/>
        <v>127.25109874278135</v>
      </c>
      <c r="BR399" s="118">
        <f t="shared" si="183"/>
        <v>4.2387607289550546</v>
      </c>
      <c r="BS399" s="108">
        <f t="shared" si="184"/>
        <v>2.3201566436433061</v>
      </c>
      <c r="BT399" s="118">
        <f t="shared" si="185"/>
        <v>1.1204000200310762</v>
      </c>
      <c r="BU399" s="108">
        <f t="shared" si="186"/>
        <v>2.5995035500131944</v>
      </c>
      <c r="BV399" s="6" cm="1">
        <f t="array" ref="BV399">IF(AP399=0,FactorPhi7121(BR399,"a"),noisuy2chieu(BU399,BR399,Data!$A$63:$M$85))</f>
        <v>0</v>
      </c>
      <c r="BW399" s="111">
        <v>1.26</v>
      </c>
      <c r="BX399" s="111">
        <f t="shared" si="187"/>
        <v>0.9741616526014889</v>
      </c>
      <c r="BY399" s="113" t="e">
        <f t="shared" si="188"/>
        <v>#DIV/0!</v>
      </c>
      <c r="BZ399" s="6" t="e">
        <f t="shared" si="189"/>
        <v>#DIV/0!</v>
      </c>
      <c r="CA399" s="114">
        <f t="shared" si="190"/>
        <v>127.25109874278135</v>
      </c>
      <c r="CB399" s="115" t="e">
        <f t="shared" si="191"/>
        <v>#DIV/0!</v>
      </c>
      <c r="CC399" s="6" t="e">
        <f t="shared" si="192"/>
        <v>#DIV/0!</v>
      </c>
    </row>
    <row r="400" spans="27:81">
      <c r="AA400" s="79" t="s">
        <v>175</v>
      </c>
      <c r="AB400" s="80" t="s">
        <v>201</v>
      </c>
      <c r="AC400" s="81">
        <v>5.48</v>
      </c>
      <c r="AD400" s="81">
        <v>6</v>
      </c>
      <c r="AE400" s="80">
        <v>273</v>
      </c>
      <c r="AF400" s="80">
        <v>6.35</v>
      </c>
      <c r="AG400" s="108" cm="1">
        <f t="array" ref="AG400">_xll.DCEPropSectPipe(AE400, AF400, "Area")/100</f>
        <v>53.19431074856206</v>
      </c>
      <c r="AH400" s="16" cm="1">
        <f t="array" ref="AH400">_xll.DCEPropSectPipe(AE400, AF400, "Ix")/10000</f>
        <v>4730.4733077169503</v>
      </c>
      <c r="AI400" s="16" cm="1">
        <f t="array" ref="AI400">_xll.DCEPropSectPipe(AE400, AF400, "Wx")/1000</f>
        <v>346.55482107816493</v>
      </c>
      <c r="AJ400" s="108">
        <f t="shared" si="161"/>
        <v>9.4301739777164251</v>
      </c>
      <c r="AK400" s="80" t="s">
        <v>214</v>
      </c>
      <c r="AL400" s="82">
        <v>-16.138078688031829</v>
      </c>
      <c r="AM400" s="82">
        <v>-0.96389709851528438</v>
      </c>
      <c r="AN400" s="82">
        <v>0.22854617521059942</v>
      </c>
      <c r="AO400" s="82">
        <v>-1.2533472248549271</v>
      </c>
      <c r="AP400" s="82">
        <v>5.2860116882578154</v>
      </c>
      <c r="AQ400" s="82">
        <v>3.1402167467675414E-2</v>
      </c>
      <c r="AR400" s="72">
        <v>1</v>
      </c>
      <c r="AS400" s="116">
        <f t="shared" si="162"/>
        <v>6</v>
      </c>
      <c r="AT400" s="82">
        <v>2</v>
      </c>
      <c r="AU400" s="6">
        <f t="shared" si="163"/>
        <v>12</v>
      </c>
      <c r="AV400" s="111">
        <f t="shared" si="164"/>
        <v>1.3272865700595212E-2</v>
      </c>
      <c r="AW400" s="117">
        <f t="shared" si="165"/>
        <v>105</v>
      </c>
      <c r="AX400" s="111">
        <f t="shared" si="166"/>
        <v>1</v>
      </c>
      <c r="AY400" s="111">
        <f t="shared" si="167"/>
        <v>1</v>
      </c>
      <c r="AZ400" s="111">
        <f t="shared" si="168"/>
        <v>1</v>
      </c>
      <c r="BA400" s="111">
        <f t="shared" si="169"/>
        <v>1.3971437579573909E-2</v>
      </c>
      <c r="BB400" s="111">
        <f t="shared" si="170"/>
        <v>1.6655355654025494E-2</v>
      </c>
      <c r="BC400" s="111">
        <f t="shared" si="171"/>
        <v>7.0244225154334372E-2</v>
      </c>
      <c r="BD400" s="111">
        <v>0</v>
      </c>
      <c r="BE400" s="111">
        <f t="shared" si="172"/>
        <v>0.10087101838793378</v>
      </c>
      <c r="BF400" s="6" t="str">
        <f t="shared" si="173"/>
        <v>OK</v>
      </c>
      <c r="BG400" s="16">
        <f t="shared" si="174"/>
        <v>63.625549371390676</v>
      </c>
      <c r="BH400" s="118">
        <f t="shared" si="175"/>
        <v>2.1193803644775273</v>
      </c>
      <c r="BI400" s="108">
        <f t="shared" si="176"/>
        <v>1.1921003518188737</v>
      </c>
      <c r="BJ400" s="6">
        <f t="shared" si="177"/>
        <v>1.2096911049664967</v>
      </c>
      <c r="BK400" s="108">
        <f t="shared" si="178"/>
        <v>1.4420731918227228</v>
      </c>
      <c r="BL400" s="118" cm="1">
        <f t="array" ref="BL400">IF(AO400=0,FactorPhi7121(BH400,"a"),noisuy2chieu(BK400,BH400,Data!$A$63:$M$85))</f>
        <v>0</v>
      </c>
      <c r="BM400" s="111">
        <v>1.26</v>
      </c>
      <c r="BN400" s="118">
        <f t="shared" si="179"/>
        <v>0.99403812984968221</v>
      </c>
      <c r="BO400" s="108" t="e">
        <f t="shared" si="180"/>
        <v>#DIV/0!</v>
      </c>
      <c r="BP400" s="6" t="e">
        <f t="shared" si="181"/>
        <v>#DIV/0!</v>
      </c>
      <c r="BQ400" s="16">
        <f t="shared" si="182"/>
        <v>127.25109874278135</v>
      </c>
      <c r="BR400" s="118">
        <f t="shared" si="183"/>
        <v>4.2387607289550546</v>
      </c>
      <c r="BS400" s="108">
        <f t="shared" si="184"/>
        <v>5.0277020352601847</v>
      </c>
      <c r="BT400" s="118">
        <f t="shared" si="185"/>
        <v>1.1000000000000001</v>
      </c>
      <c r="BU400" s="108">
        <f t="shared" si="186"/>
        <v>5.5304722387862038</v>
      </c>
      <c r="BV400" s="6" cm="1">
        <f t="array" ref="BV400">IF(AP400=0,FactorPhi7121(BR400,"a"),noisuy2chieu(BU400,BR400,Data!$A$63:$M$85))</f>
        <v>0</v>
      </c>
      <c r="BW400" s="111">
        <v>1.26</v>
      </c>
      <c r="BX400" s="111">
        <f t="shared" si="187"/>
        <v>0.97615251939872882</v>
      </c>
      <c r="BY400" s="113" t="e">
        <f t="shared" si="188"/>
        <v>#DIV/0!</v>
      </c>
      <c r="BZ400" s="6" t="e">
        <f t="shared" si="189"/>
        <v>#DIV/0!</v>
      </c>
      <c r="CA400" s="114">
        <f t="shared" si="190"/>
        <v>127.25109874278135</v>
      </c>
      <c r="CB400" s="115" t="e">
        <f t="shared" si="191"/>
        <v>#DIV/0!</v>
      </c>
      <c r="CC400" s="6" t="e">
        <f t="shared" si="192"/>
        <v>#DIV/0!</v>
      </c>
    </row>
    <row r="401" spans="27:81">
      <c r="AA401" s="79" t="s">
        <v>175</v>
      </c>
      <c r="AB401" s="80" t="s">
        <v>201</v>
      </c>
      <c r="AC401" s="81">
        <v>0</v>
      </c>
      <c r="AD401" s="81">
        <v>6</v>
      </c>
      <c r="AE401" s="80">
        <v>273</v>
      </c>
      <c r="AF401" s="80">
        <v>6.35</v>
      </c>
      <c r="AG401" s="108" cm="1">
        <f t="array" ref="AG401">_xll.DCEPropSectPipe(AE401, AF401, "Area")/100</f>
        <v>53.19431074856206</v>
      </c>
      <c r="AH401" s="16" cm="1">
        <f t="array" ref="AH401">_xll.DCEPropSectPipe(AE401, AF401, "Ix")/10000</f>
        <v>4730.4733077169503</v>
      </c>
      <c r="AI401" s="16" cm="1">
        <f t="array" ref="AI401">_xll.DCEPropSectPipe(AE401, AF401, "Wx")/1000</f>
        <v>346.55482107816493</v>
      </c>
      <c r="AJ401" s="108">
        <f t="shared" si="161"/>
        <v>9.4301739777164251</v>
      </c>
      <c r="AK401" s="80" t="s">
        <v>215</v>
      </c>
      <c r="AL401" s="82">
        <v>-79.580402297927648</v>
      </c>
      <c r="AM401" s="82">
        <v>-9.3774425560912658</v>
      </c>
      <c r="AN401" s="82">
        <v>1.898120304640472</v>
      </c>
      <c r="AO401" s="82">
        <v>0</v>
      </c>
      <c r="AP401" s="82">
        <v>0</v>
      </c>
      <c r="AQ401" s="82">
        <v>-6.463647726482516E-2</v>
      </c>
      <c r="AR401" s="72">
        <v>1</v>
      </c>
      <c r="AS401" s="116">
        <f t="shared" si="162"/>
        <v>6</v>
      </c>
      <c r="AT401" s="82">
        <v>2</v>
      </c>
      <c r="AU401" s="6">
        <f t="shared" si="163"/>
        <v>12</v>
      </c>
      <c r="AV401" s="111">
        <f t="shared" si="164"/>
        <v>6.5451409211622319E-2</v>
      </c>
      <c r="AW401" s="117">
        <f t="shared" si="165"/>
        <v>105</v>
      </c>
      <c r="AX401" s="111">
        <f t="shared" si="166"/>
        <v>1</v>
      </c>
      <c r="AY401" s="111">
        <f t="shared" si="167"/>
        <v>1</v>
      </c>
      <c r="AZ401" s="111">
        <f t="shared" si="168"/>
        <v>1</v>
      </c>
      <c r="BA401" s="111">
        <f t="shared" si="169"/>
        <v>6.8896220222760346E-2</v>
      </c>
      <c r="BB401" s="111">
        <f t="shared" si="170"/>
        <v>0</v>
      </c>
      <c r="BC401" s="111">
        <f t="shared" si="171"/>
        <v>0</v>
      </c>
      <c r="BD401" s="111">
        <v>0</v>
      </c>
      <c r="BE401" s="111">
        <f t="shared" si="172"/>
        <v>6.8896220222760346E-2</v>
      </c>
      <c r="BF401" s="6" t="str">
        <f t="shared" si="173"/>
        <v>OK</v>
      </c>
      <c r="BG401" s="16">
        <f t="shared" si="174"/>
        <v>63.625549371390676</v>
      </c>
      <c r="BH401" s="118">
        <f t="shared" si="175"/>
        <v>2.1193803644775273</v>
      </c>
      <c r="BI401" s="108">
        <f t="shared" si="176"/>
        <v>0</v>
      </c>
      <c r="BJ401" s="6">
        <f t="shared" si="177"/>
        <v>1.2440309817761237</v>
      </c>
      <c r="BK401" s="108">
        <f t="shared" si="178"/>
        <v>0</v>
      </c>
      <c r="BL401" s="118" cm="1">
        <f t="array" ref="BL401">IF(AO401=0,FactorPhi7121(BH401,"a"),noisuy2chieu(BK401,BH401,Data!$A$63:$M$85))</f>
        <v>0.86214274110469236</v>
      </c>
      <c r="BM401" s="111">
        <v>1.26</v>
      </c>
      <c r="BN401" s="118">
        <f t="shared" si="179"/>
        <v>0.97060071188262631</v>
      </c>
      <c r="BO401" s="108">
        <f t="shared" si="180"/>
        <v>0.16287695932631552</v>
      </c>
      <c r="BP401" s="6" t="str">
        <f t="shared" si="181"/>
        <v>OK</v>
      </c>
      <c r="BQ401" s="16">
        <f t="shared" si="182"/>
        <v>127.25109874278135</v>
      </c>
      <c r="BR401" s="118">
        <f t="shared" si="183"/>
        <v>4.2387607289550546</v>
      </c>
      <c r="BS401" s="108">
        <f t="shared" si="184"/>
        <v>0</v>
      </c>
      <c r="BT401" s="118">
        <f t="shared" si="185"/>
        <v>1.1380619635522473</v>
      </c>
      <c r="BU401" s="108">
        <f t="shared" si="186"/>
        <v>0</v>
      </c>
      <c r="BV401" s="6" cm="1">
        <f t="array" ref="BV401">IF(AP401=0,FactorPhi7121(BR401,"a"),noisuy2chieu(BU401,BR401,Data!$A$63:$M$85))</f>
        <v>0.42299549615688942</v>
      </c>
      <c r="BW401" s="111">
        <v>1.26</v>
      </c>
      <c r="BX401" s="111">
        <f t="shared" si="187"/>
        <v>0.88240284753050524</v>
      </c>
      <c r="BY401" s="113">
        <f t="shared" si="188"/>
        <v>7.9912776548441755E-2</v>
      </c>
      <c r="BZ401" s="6" t="str">
        <f t="shared" si="189"/>
        <v>OK</v>
      </c>
      <c r="CA401" s="114">
        <f t="shared" si="190"/>
        <v>127.25109874278135</v>
      </c>
      <c r="CB401" s="115">
        <f t="shared" si="191"/>
        <v>150</v>
      </c>
      <c r="CC401" s="6" t="str">
        <f t="shared" si="192"/>
        <v>OK</v>
      </c>
    </row>
    <row r="402" spans="27:81">
      <c r="AA402" s="79" t="s">
        <v>175</v>
      </c>
      <c r="AB402" s="80" t="s">
        <v>201</v>
      </c>
      <c r="AC402" s="81">
        <v>2.74</v>
      </c>
      <c r="AD402" s="81">
        <v>6</v>
      </c>
      <c r="AE402" s="80">
        <v>273</v>
      </c>
      <c r="AF402" s="80">
        <v>6.35</v>
      </c>
      <c r="AG402" s="108" cm="1">
        <f t="array" ref="AG402">_xll.DCEPropSectPipe(AE402, AF402, "Area")/100</f>
        <v>53.19431074856206</v>
      </c>
      <c r="AH402" s="16" cm="1">
        <f t="array" ref="AH402">_xll.DCEPropSectPipe(AE402, AF402, "Ix")/10000</f>
        <v>4730.4733077169503</v>
      </c>
      <c r="AI402" s="16" cm="1">
        <f t="array" ref="AI402">_xll.DCEPropSectPipe(AE402, AF402, "Wx")/1000</f>
        <v>346.55482107816493</v>
      </c>
      <c r="AJ402" s="108">
        <f t="shared" si="161"/>
        <v>9.4301739777164251</v>
      </c>
      <c r="AK402" s="80" t="s">
        <v>215</v>
      </c>
      <c r="AL402" s="82">
        <v>-78.233141949195613</v>
      </c>
      <c r="AM402" s="82">
        <v>-9.3774425560912658</v>
      </c>
      <c r="AN402" s="82">
        <v>1.898120304640472</v>
      </c>
      <c r="AO402" s="82">
        <v>-5.2046458753241733</v>
      </c>
      <c r="AP402" s="82">
        <v>25.712947488802243</v>
      </c>
      <c r="AQ402" s="82">
        <v>-6.463647726482516E-2</v>
      </c>
      <c r="AR402" s="72">
        <v>1</v>
      </c>
      <c r="AS402" s="116">
        <f t="shared" si="162"/>
        <v>6</v>
      </c>
      <c r="AT402" s="82">
        <v>2</v>
      </c>
      <c r="AU402" s="6">
        <f t="shared" si="163"/>
        <v>12</v>
      </c>
      <c r="AV402" s="111">
        <f t="shared" si="164"/>
        <v>6.4343346348741448E-2</v>
      </c>
      <c r="AW402" s="117">
        <f t="shared" si="165"/>
        <v>105</v>
      </c>
      <c r="AX402" s="111">
        <f t="shared" si="166"/>
        <v>1</v>
      </c>
      <c r="AY402" s="111">
        <f t="shared" si="167"/>
        <v>1</v>
      </c>
      <c r="AZ402" s="111">
        <f t="shared" si="168"/>
        <v>1</v>
      </c>
      <c r="BA402" s="111">
        <f t="shared" si="169"/>
        <v>6.7729838261833111E-2</v>
      </c>
      <c r="BB402" s="111">
        <f t="shared" si="170"/>
        <v>6.916297925087328E-2</v>
      </c>
      <c r="BC402" s="111">
        <f t="shared" si="171"/>
        <v>0.34169165323588058</v>
      </c>
      <c r="BD402" s="111">
        <v>0</v>
      </c>
      <c r="BE402" s="111">
        <f t="shared" si="172"/>
        <v>0.47858447074858695</v>
      </c>
      <c r="BF402" s="6" t="str">
        <f t="shared" si="173"/>
        <v>OK</v>
      </c>
      <c r="BG402" s="16">
        <f t="shared" si="174"/>
        <v>63.625549371390676</v>
      </c>
      <c r="BH402" s="118">
        <f t="shared" si="175"/>
        <v>2.1193803644775273</v>
      </c>
      <c r="BI402" s="108">
        <f t="shared" si="176"/>
        <v>1.0211596694428811</v>
      </c>
      <c r="BJ402" s="6">
        <f t="shared" si="177"/>
        <v>1.2146152558281158</v>
      </c>
      <c r="BK402" s="108">
        <f t="shared" si="178"/>
        <v>1.2403161131417191</v>
      </c>
      <c r="BL402" s="118" cm="1">
        <f t="array" ref="BL402">IF(AO402=0,FactorPhi7121(BH402,"a"),noisuy2chieu(BK402,BH402,Data!$A$63:$M$85))</f>
        <v>0</v>
      </c>
      <c r="BM402" s="111">
        <v>1.26</v>
      </c>
      <c r="BN402" s="118">
        <f t="shared" si="179"/>
        <v>0.97109842858193629</v>
      </c>
      <c r="BO402" s="108" t="e">
        <f t="shared" si="180"/>
        <v>#DIV/0!</v>
      </c>
      <c r="BP402" s="6" t="e">
        <f t="shared" si="181"/>
        <v>#DIV/0!</v>
      </c>
      <c r="BQ402" s="16">
        <f t="shared" si="182"/>
        <v>127.25109874278135</v>
      </c>
      <c r="BR402" s="118">
        <f t="shared" si="183"/>
        <v>4.2387607289550546</v>
      </c>
      <c r="BS402" s="108">
        <f t="shared" si="184"/>
        <v>5.0449205550285452</v>
      </c>
      <c r="BT402" s="118">
        <f t="shared" si="185"/>
        <v>1.1000000000000001</v>
      </c>
      <c r="BU402" s="108">
        <f t="shared" si="186"/>
        <v>5.5494126105313999</v>
      </c>
      <c r="BV402" s="6" cm="1">
        <f t="array" ref="BV402">IF(AP402=0,FactorPhi7121(BR402,"a"),noisuy2chieu(BU402,BR402,Data!$A$63:$M$85))</f>
        <v>0</v>
      </c>
      <c r="BW402" s="111">
        <v>1.26</v>
      </c>
      <c r="BX402" s="111">
        <f t="shared" si="187"/>
        <v>0.88439371432774527</v>
      </c>
      <c r="BY402" s="113" t="e">
        <f t="shared" si="188"/>
        <v>#DIV/0!</v>
      </c>
      <c r="BZ402" s="6" t="e">
        <f t="shared" si="189"/>
        <v>#DIV/0!</v>
      </c>
      <c r="CA402" s="114">
        <f t="shared" si="190"/>
        <v>127.25109874278135</v>
      </c>
      <c r="CB402" s="115" t="e">
        <f t="shared" si="191"/>
        <v>#DIV/0!</v>
      </c>
      <c r="CC402" s="6" t="e">
        <f t="shared" si="192"/>
        <v>#DIV/0!</v>
      </c>
    </row>
    <row r="403" spans="27:81">
      <c r="AA403" s="79" t="s">
        <v>175</v>
      </c>
      <c r="AB403" s="80" t="s">
        <v>201</v>
      </c>
      <c r="AC403" s="81">
        <v>5.48</v>
      </c>
      <c r="AD403" s="81">
        <v>6</v>
      </c>
      <c r="AE403" s="80">
        <v>273</v>
      </c>
      <c r="AF403" s="80">
        <v>6.35</v>
      </c>
      <c r="AG403" s="108" cm="1">
        <f t="array" ref="AG403">_xll.DCEPropSectPipe(AE403, AF403, "Area")/100</f>
        <v>53.19431074856206</v>
      </c>
      <c r="AH403" s="16" cm="1">
        <f t="array" ref="AH403">_xll.DCEPropSectPipe(AE403, AF403, "Ix")/10000</f>
        <v>4730.4733077169503</v>
      </c>
      <c r="AI403" s="16" cm="1">
        <f t="array" ref="AI403">_xll.DCEPropSectPipe(AE403, AF403, "Wx")/1000</f>
        <v>346.55482107816493</v>
      </c>
      <c r="AJ403" s="108">
        <f t="shared" si="161"/>
        <v>9.4301739777164251</v>
      </c>
      <c r="AK403" s="80" t="s">
        <v>215</v>
      </c>
      <c r="AL403" s="82">
        <v>-76.885881600463577</v>
      </c>
      <c r="AM403" s="82">
        <v>-9.3774425560912658</v>
      </c>
      <c r="AN403" s="82">
        <v>1.898120304640472</v>
      </c>
      <c r="AO403" s="82">
        <v>-10.409291750648347</v>
      </c>
      <c r="AP403" s="82">
        <v>51.425894977604486</v>
      </c>
      <c r="AQ403" s="82">
        <v>-6.463647726482516E-2</v>
      </c>
      <c r="AR403" s="72">
        <v>1</v>
      </c>
      <c r="AS403" s="116">
        <f t="shared" si="162"/>
        <v>6</v>
      </c>
      <c r="AT403" s="82">
        <v>2</v>
      </c>
      <c r="AU403" s="6">
        <f t="shared" si="163"/>
        <v>12</v>
      </c>
      <c r="AV403" s="111">
        <f t="shared" si="164"/>
        <v>6.3235283485860563E-2</v>
      </c>
      <c r="AW403" s="117">
        <f t="shared" si="165"/>
        <v>105</v>
      </c>
      <c r="AX403" s="111">
        <f t="shared" si="166"/>
        <v>1</v>
      </c>
      <c r="AY403" s="111">
        <f t="shared" si="167"/>
        <v>1</v>
      </c>
      <c r="AZ403" s="111">
        <f t="shared" si="168"/>
        <v>1</v>
      </c>
      <c r="BA403" s="111">
        <f t="shared" si="169"/>
        <v>6.6563456300905863E-2</v>
      </c>
      <c r="BB403" s="111">
        <f t="shared" si="170"/>
        <v>0.13832595850174656</v>
      </c>
      <c r="BC403" s="111">
        <f t="shared" si="171"/>
        <v>0.68338330647176115</v>
      </c>
      <c r="BD403" s="111">
        <v>0</v>
      </c>
      <c r="BE403" s="111">
        <f t="shared" si="172"/>
        <v>0.88827272127441359</v>
      </c>
      <c r="BF403" s="6" t="str">
        <f t="shared" si="173"/>
        <v>OK</v>
      </c>
      <c r="BG403" s="16">
        <f t="shared" si="174"/>
        <v>63.625549371390676</v>
      </c>
      <c r="BH403" s="118">
        <f t="shared" si="175"/>
        <v>2.1193803644775273</v>
      </c>
      <c r="BI403" s="108">
        <f t="shared" si="176"/>
        <v>2.078106609675316</v>
      </c>
      <c r="BJ403" s="6">
        <f t="shared" si="177"/>
        <v>1.1841686347307263</v>
      </c>
      <c r="BK403" s="108">
        <f t="shared" si="178"/>
        <v>2.4608286668041175</v>
      </c>
      <c r="BL403" s="118" cm="1">
        <f t="array" ref="BL403">IF(AO403=0,FactorPhi7121(BH403,"a"),noisuy2chieu(BK403,BH403,Data!$A$63:$M$85))</f>
        <v>0</v>
      </c>
      <c r="BM403" s="111">
        <v>1.26</v>
      </c>
      <c r="BN403" s="118">
        <f t="shared" si="179"/>
        <v>0.97159614528124627</v>
      </c>
      <c r="BO403" s="108" t="e">
        <f t="shared" si="180"/>
        <v>#DIV/0!</v>
      </c>
      <c r="BP403" s="6" t="e">
        <f t="shared" si="181"/>
        <v>#DIV/0!</v>
      </c>
      <c r="BQ403" s="16">
        <f t="shared" si="182"/>
        <v>127.25109874278135</v>
      </c>
      <c r="BR403" s="118">
        <f t="shared" si="183"/>
        <v>4.2387607289550546</v>
      </c>
      <c r="BS403" s="108">
        <f t="shared" si="184"/>
        <v>10.266643958247419</v>
      </c>
      <c r="BT403" s="118">
        <f t="shared" si="185"/>
        <v>1.1000000000000001</v>
      </c>
      <c r="BU403" s="108">
        <f t="shared" si="186"/>
        <v>11.293308354072161</v>
      </c>
      <c r="BV403" s="6" cm="1">
        <f t="array" ref="BV403">IF(AP403=0,FactorPhi7121(BR403,"a"),noisuy2chieu(BU403,BR403,Data!$A$63:$M$85))</f>
        <v>0</v>
      </c>
      <c r="BW403" s="111">
        <v>1.26</v>
      </c>
      <c r="BX403" s="111">
        <f t="shared" si="187"/>
        <v>0.8863845811249853</v>
      </c>
      <c r="BY403" s="113" t="e">
        <f t="shared" si="188"/>
        <v>#DIV/0!</v>
      </c>
      <c r="BZ403" s="6" t="e">
        <f t="shared" si="189"/>
        <v>#DIV/0!</v>
      </c>
      <c r="CA403" s="114">
        <f t="shared" si="190"/>
        <v>127.25109874278135</v>
      </c>
      <c r="CB403" s="115" t="e">
        <f t="shared" si="191"/>
        <v>#DIV/0!</v>
      </c>
      <c r="CC403" s="6" t="e">
        <f t="shared" si="192"/>
        <v>#DIV/0!</v>
      </c>
    </row>
    <row r="404" spans="27:81">
      <c r="AA404" s="79" t="s">
        <v>175</v>
      </c>
      <c r="AB404" s="80" t="s">
        <v>201</v>
      </c>
      <c r="AC404" s="81">
        <v>0</v>
      </c>
      <c r="AD404" s="81">
        <v>6</v>
      </c>
      <c r="AE404" s="80">
        <v>273</v>
      </c>
      <c r="AF404" s="80">
        <v>6.35</v>
      </c>
      <c r="AG404" s="108" cm="1">
        <f t="array" ref="AG404">_xll.DCEPropSectPipe(AE404, AF404, "Area")/100</f>
        <v>53.19431074856206</v>
      </c>
      <c r="AH404" s="16" cm="1">
        <f t="array" ref="AH404">_xll.DCEPropSectPipe(AE404, AF404, "Ix")/10000</f>
        <v>4730.4733077169503</v>
      </c>
      <c r="AI404" s="16" cm="1">
        <f t="array" ref="AI404">_xll.DCEPropSectPipe(AE404, AF404, "Wx")/1000</f>
        <v>346.55482107816493</v>
      </c>
      <c r="AJ404" s="108">
        <f t="shared" si="161"/>
        <v>9.4301739777164251</v>
      </c>
      <c r="AK404" s="80" t="s">
        <v>216</v>
      </c>
      <c r="AL404" s="82">
        <v>-65.599014547197072</v>
      </c>
      <c r="AM404" s="82">
        <v>-9.3204912025247566</v>
      </c>
      <c r="AN404" s="82">
        <v>1.7915088016477168</v>
      </c>
      <c r="AO404" s="82">
        <v>0</v>
      </c>
      <c r="AP404" s="82">
        <v>0</v>
      </c>
      <c r="AQ404" s="82">
        <v>-0.14676349983579098</v>
      </c>
      <c r="AR404" s="72">
        <v>1</v>
      </c>
      <c r="AS404" s="116">
        <f t="shared" si="162"/>
        <v>6</v>
      </c>
      <c r="AT404" s="82">
        <v>2</v>
      </c>
      <c r="AU404" s="6">
        <f t="shared" si="163"/>
        <v>12</v>
      </c>
      <c r="AV404" s="111">
        <f t="shared" si="164"/>
        <v>5.3952327721765857E-2</v>
      </c>
      <c r="AW404" s="117">
        <f t="shared" si="165"/>
        <v>105</v>
      </c>
      <c r="AX404" s="111">
        <f t="shared" si="166"/>
        <v>1</v>
      </c>
      <c r="AY404" s="111">
        <f t="shared" si="167"/>
        <v>1</v>
      </c>
      <c r="AZ404" s="111">
        <f t="shared" si="168"/>
        <v>1</v>
      </c>
      <c r="BA404" s="111">
        <f t="shared" si="169"/>
        <v>5.6791923917648278E-2</v>
      </c>
      <c r="BB404" s="111">
        <f t="shared" si="170"/>
        <v>0</v>
      </c>
      <c r="BC404" s="111">
        <f t="shared" si="171"/>
        <v>0</v>
      </c>
      <c r="BD404" s="111">
        <v>0</v>
      </c>
      <c r="BE404" s="111">
        <f t="shared" si="172"/>
        <v>5.6791923917648278E-2</v>
      </c>
      <c r="BF404" s="6" t="str">
        <f t="shared" si="173"/>
        <v>OK</v>
      </c>
      <c r="BG404" s="16">
        <f t="shared" si="174"/>
        <v>63.625549371390676</v>
      </c>
      <c r="BH404" s="118">
        <f t="shared" si="175"/>
        <v>2.1193803644775273</v>
      </c>
      <c r="BI404" s="108">
        <f t="shared" si="176"/>
        <v>0</v>
      </c>
      <c r="BJ404" s="6">
        <f t="shared" si="177"/>
        <v>1.2440309817761237</v>
      </c>
      <c r="BK404" s="108">
        <f t="shared" si="178"/>
        <v>0</v>
      </c>
      <c r="BL404" s="118" cm="1">
        <f t="array" ref="BL404">IF(AO404=0,FactorPhi7121(BH404,"a"),noisuy2chieu(BK404,BH404,Data!$A$63:$M$85))</f>
        <v>0.86214274110469236</v>
      </c>
      <c r="BM404" s="111">
        <v>1.26</v>
      </c>
      <c r="BN404" s="118">
        <f t="shared" si="179"/>
        <v>0.97576583840744102</v>
      </c>
      <c r="BO404" s="108">
        <f t="shared" si="180"/>
        <v>0.13426129694909114</v>
      </c>
      <c r="BP404" s="6" t="str">
        <f t="shared" si="181"/>
        <v>OK</v>
      </c>
      <c r="BQ404" s="16">
        <f t="shared" si="182"/>
        <v>127.25109874278135</v>
      </c>
      <c r="BR404" s="118">
        <f t="shared" si="183"/>
        <v>4.2387607289550546</v>
      </c>
      <c r="BS404" s="108">
        <f t="shared" si="184"/>
        <v>0</v>
      </c>
      <c r="BT404" s="118">
        <f t="shared" si="185"/>
        <v>1.1380619635522473</v>
      </c>
      <c r="BU404" s="108">
        <f t="shared" si="186"/>
        <v>0</v>
      </c>
      <c r="BV404" s="6" cm="1">
        <f t="array" ref="BV404">IF(AP404=0,FactorPhi7121(BR404,"a"),noisuy2chieu(BU404,BR404,Data!$A$63:$M$85))</f>
        <v>0.42299549615688942</v>
      </c>
      <c r="BW404" s="111">
        <v>1.26</v>
      </c>
      <c r="BX404" s="111">
        <f t="shared" si="187"/>
        <v>0.90306335362976387</v>
      </c>
      <c r="BY404" s="113">
        <f t="shared" si="188"/>
        <v>6.5872994354599423E-2</v>
      </c>
      <c r="BZ404" s="6" t="str">
        <f t="shared" si="189"/>
        <v>OK</v>
      </c>
      <c r="CA404" s="114">
        <f t="shared" si="190"/>
        <v>127.25109874278135</v>
      </c>
      <c r="CB404" s="115">
        <f t="shared" si="191"/>
        <v>150</v>
      </c>
      <c r="CC404" s="6" t="str">
        <f t="shared" si="192"/>
        <v>OK</v>
      </c>
    </row>
    <row r="405" spans="27:81">
      <c r="AA405" s="79" t="s">
        <v>175</v>
      </c>
      <c r="AB405" s="80" t="s">
        <v>201</v>
      </c>
      <c r="AC405" s="81">
        <v>2.74</v>
      </c>
      <c r="AD405" s="81">
        <v>6</v>
      </c>
      <c r="AE405" s="80">
        <v>273</v>
      </c>
      <c r="AF405" s="80">
        <v>6.35</v>
      </c>
      <c r="AG405" s="108" cm="1">
        <f t="array" ref="AG405">_xll.DCEPropSectPipe(AE405, AF405, "Area")/100</f>
        <v>53.19431074856206</v>
      </c>
      <c r="AH405" s="16" cm="1">
        <f t="array" ref="AH405">_xll.DCEPropSectPipe(AE405, AF405, "Ix")/10000</f>
        <v>4730.4733077169503</v>
      </c>
      <c r="AI405" s="16" cm="1">
        <f t="array" ref="AI405">_xll.DCEPropSectPipe(AE405, AF405, "Wx")/1000</f>
        <v>346.55482107816493</v>
      </c>
      <c r="AJ405" s="108">
        <f t="shared" si="161"/>
        <v>9.4301739777164251</v>
      </c>
      <c r="AK405" s="80" t="s">
        <v>216</v>
      </c>
      <c r="AL405" s="82">
        <v>-64.251754198465036</v>
      </c>
      <c r="AM405" s="82">
        <v>-9.3204912025247566</v>
      </c>
      <c r="AN405" s="82">
        <v>1.7915088016477168</v>
      </c>
      <c r="AO405" s="82">
        <v>-4.9123171341180392</v>
      </c>
      <c r="AP405" s="82">
        <v>25.556786877322875</v>
      </c>
      <c r="AQ405" s="82">
        <v>-0.14676349983579098</v>
      </c>
      <c r="AR405" s="72">
        <v>1</v>
      </c>
      <c r="AS405" s="116">
        <f t="shared" si="162"/>
        <v>6</v>
      </c>
      <c r="AT405" s="82">
        <v>2</v>
      </c>
      <c r="AU405" s="6">
        <f t="shared" si="163"/>
        <v>12</v>
      </c>
      <c r="AV405" s="111">
        <f t="shared" si="164"/>
        <v>5.2844264858884979E-2</v>
      </c>
      <c r="AW405" s="117">
        <f t="shared" si="165"/>
        <v>105</v>
      </c>
      <c r="AX405" s="111">
        <f t="shared" si="166"/>
        <v>1</v>
      </c>
      <c r="AY405" s="111">
        <f t="shared" si="167"/>
        <v>1</v>
      </c>
      <c r="AZ405" s="111">
        <f t="shared" si="168"/>
        <v>1</v>
      </c>
      <c r="BA405" s="111">
        <f t="shared" si="169"/>
        <v>5.5625541956721036E-2</v>
      </c>
      <c r="BB405" s="111">
        <f t="shared" si="170"/>
        <v>6.5278310217321694E-2</v>
      </c>
      <c r="BC405" s="111">
        <f t="shared" si="171"/>
        <v>0.33961648166988456</v>
      </c>
      <c r="BD405" s="111">
        <v>0</v>
      </c>
      <c r="BE405" s="111">
        <f t="shared" si="172"/>
        <v>0.46052033384392732</v>
      </c>
      <c r="BF405" s="6" t="str">
        <f t="shared" si="173"/>
        <v>OK</v>
      </c>
      <c r="BG405" s="16">
        <f t="shared" si="174"/>
        <v>63.625549371390676</v>
      </c>
      <c r="BH405" s="118">
        <f t="shared" si="175"/>
        <v>2.1193803644775273</v>
      </c>
      <c r="BI405" s="108">
        <f t="shared" si="176"/>
        <v>1.1735312218281113</v>
      </c>
      <c r="BJ405" s="6">
        <f t="shared" si="177"/>
        <v>1.2102260109711565</v>
      </c>
      <c r="BK405" s="108">
        <f t="shared" si="178"/>
        <v>1.4202380093431424</v>
      </c>
      <c r="BL405" s="118" cm="1">
        <f t="array" ref="BL405">IF(AO405=0,FactorPhi7121(BH405,"a"),noisuy2chieu(BK405,BH405,Data!$A$63:$M$85))</f>
        <v>0</v>
      </c>
      <c r="BM405" s="111">
        <v>1.26</v>
      </c>
      <c r="BN405" s="118">
        <f t="shared" si="179"/>
        <v>0.976263555106751</v>
      </c>
      <c r="BO405" s="108" t="e">
        <f t="shared" si="180"/>
        <v>#DIV/0!</v>
      </c>
      <c r="BP405" s="6" t="e">
        <f t="shared" si="181"/>
        <v>#DIV/0!</v>
      </c>
      <c r="BQ405" s="16">
        <f t="shared" si="182"/>
        <v>127.25109874278135</v>
      </c>
      <c r="BR405" s="118">
        <f t="shared" si="183"/>
        <v>4.2387607289550546</v>
      </c>
      <c r="BS405" s="108">
        <f t="shared" si="184"/>
        <v>6.1054053537872992</v>
      </c>
      <c r="BT405" s="118">
        <f t="shared" si="185"/>
        <v>1.1000000000000001</v>
      </c>
      <c r="BU405" s="108">
        <f t="shared" si="186"/>
        <v>6.7159458891660293</v>
      </c>
      <c r="BV405" s="6" cm="1">
        <f t="array" ref="BV405">IF(AP405=0,FactorPhi7121(BR405,"a"),noisuy2chieu(BU405,BR405,Data!$A$63:$M$85))</f>
        <v>0</v>
      </c>
      <c r="BW405" s="111">
        <v>1.26</v>
      </c>
      <c r="BX405" s="111">
        <f t="shared" si="187"/>
        <v>0.9050542204270039</v>
      </c>
      <c r="BY405" s="113" t="e">
        <f t="shared" si="188"/>
        <v>#DIV/0!</v>
      </c>
      <c r="BZ405" s="6" t="e">
        <f t="shared" si="189"/>
        <v>#DIV/0!</v>
      </c>
      <c r="CA405" s="114">
        <f t="shared" si="190"/>
        <v>127.25109874278135</v>
      </c>
      <c r="CB405" s="115" t="e">
        <f t="shared" si="191"/>
        <v>#DIV/0!</v>
      </c>
      <c r="CC405" s="6" t="e">
        <f t="shared" si="192"/>
        <v>#DIV/0!</v>
      </c>
    </row>
    <row r="406" spans="27:81">
      <c r="AA406" s="79" t="s">
        <v>175</v>
      </c>
      <c r="AB406" s="80" t="s">
        <v>201</v>
      </c>
      <c r="AC406" s="81">
        <v>5.48</v>
      </c>
      <c r="AD406" s="81">
        <v>6</v>
      </c>
      <c r="AE406" s="80">
        <v>273</v>
      </c>
      <c r="AF406" s="80">
        <v>6.35</v>
      </c>
      <c r="AG406" s="108" cm="1">
        <f t="array" ref="AG406">_xll.DCEPropSectPipe(AE406, AF406, "Area")/100</f>
        <v>53.19431074856206</v>
      </c>
      <c r="AH406" s="16" cm="1">
        <f t="array" ref="AH406">_xll.DCEPropSectPipe(AE406, AF406, "Ix")/10000</f>
        <v>4730.4733077169503</v>
      </c>
      <c r="AI406" s="16" cm="1">
        <f t="array" ref="AI406">_xll.DCEPropSectPipe(AE406, AF406, "Wx")/1000</f>
        <v>346.55482107816493</v>
      </c>
      <c r="AJ406" s="108">
        <f t="shared" si="161"/>
        <v>9.4301739777164251</v>
      </c>
      <c r="AK406" s="80" t="s">
        <v>216</v>
      </c>
      <c r="AL406" s="82">
        <v>-62.904493849733001</v>
      </c>
      <c r="AM406" s="82">
        <v>-9.3204912025247566</v>
      </c>
      <c r="AN406" s="82">
        <v>1.7915088016477168</v>
      </c>
      <c r="AO406" s="82">
        <v>-9.8246342682360783</v>
      </c>
      <c r="AP406" s="82">
        <v>51.113573754645749</v>
      </c>
      <c r="AQ406" s="82">
        <v>-0.14676349983579098</v>
      </c>
      <c r="AR406" s="72">
        <v>1</v>
      </c>
      <c r="AS406" s="116">
        <f t="shared" si="162"/>
        <v>6</v>
      </c>
      <c r="AT406" s="82">
        <v>2</v>
      </c>
      <c r="AU406" s="6">
        <f t="shared" si="163"/>
        <v>12</v>
      </c>
      <c r="AV406" s="111">
        <f t="shared" si="164"/>
        <v>5.1736201996004101E-2</v>
      </c>
      <c r="AW406" s="117">
        <f t="shared" si="165"/>
        <v>105</v>
      </c>
      <c r="AX406" s="111">
        <f t="shared" si="166"/>
        <v>1</v>
      </c>
      <c r="AY406" s="111">
        <f t="shared" si="167"/>
        <v>1</v>
      </c>
      <c r="AZ406" s="111">
        <f t="shared" si="168"/>
        <v>1</v>
      </c>
      <c r="BA406" s="111">
        <f t="shared" si="169"/>
        <v>5.4459159995793802E-2</v>
      </c>
      <c r="BB406" s="111">
        <f t="shared" si="170"/>
        <v>0.13055662043464339</v>
      </c>
      <c r="BC406" s="111">
        <f t="shared" si="171"/>
        <v>0.67923296333976912</v>
      </c>
      <c r="BD406" s="111">
        <v>0</v>
      </c>
      <c r="BE406" s="111">
        <f t="shared" si="172"/>
        <v>0.86424874377020633</v>
      </c>
      <c r="BF406" s="6" t="str">
        <f t="shared" si="173"/>
        <v>OK</v>
      </c>
      <c r="BG406" s="16">
        <f t="shared" si="174"/>
        <v>63.625549371390676</v>
      </c>
      <c r="BH406" s="118">
        <f t="shared" si="175"/>
        <v>2.1193803644775273</v>
      </c>
      <c r="BI406" s="108">
        <f t="shared" si="176"/>
        <v>2.3973307786004607</v>
      </c>
      <c r="BJ406" s="6">
        <f t="shared" si="177"/>
        <v>1.1749730006393351</v>
      </c>
      <c r="BK406" s="108">
        <f t="shared" si="178"/>
        <v>2.8167989384572167</v>
      </c>
      <c r="BL406" s="118" cm="1">
        <f t="array" ref="BL406">IF(AO406=0,FactorPhi7121(BH406,"a"),noisuy2chieu(BK406,BH406,Data!$A$63:$M$85))</f>
        <v>0</v>
      </c>
      <c r="BM406" s="111">
        <v>1.26</v>
      </c>
      <c r="BN406" s="118">
        <f t="shared" si="179"/>
        <v>0.97676127180606098</v>
      </c>
      <c r="BO406" s="108" t="e">
        <f t="shared" si="180"/>
        <v>#DIV/0!</v>
      </c>
      <c r="BP406" s="6" t="e">
        <f t="shared" si="181"/>
        <v>#DIV/0!</v>
      </c>
      <c r="BQ406" s="16">
        <f t="shared" si="182"/>
        <v>127.25109874278135</v>
      </c>
      <c r="BR406" s="118">
        <f t="shared" si="183"/>
        <v>4.2387607289550546</v>
      </c>
      <c r="BS406" s="108">
        <f t="shared" si="184"/>
        <v>12.472336396525954</v>
      </c>
      <c r="BT406" s="118">
        <f t="shared" si="185"/>
        <v>1.1000000000000001</v>
      </c>
      <c r="BU406" s="108">
        <f t="shared" si="186"/>
        <v>13.719570036178551</v>
      </c>
      <c r="BV406" s="6" cm="1">
        <f t="array" ref="BV406">IF(AP406=0,FactorPhi7121(BR406,"a"),noisuy2chieu(BU406,BR406,Data!$A$63:$M$85))</f>
        <v>0</v>
      </c>
      <c r="BW406" s="111">
        <v>1.26</v>
      </c>
      <c r="BX406" s="111">
        <f t="shared" si="187"/>
        <v>0.90704508722424393</v>
      </c>
      <c r="BY406" s="113" t="e">
        <f t="shared" si="188"/>
        <v>#DIV/0!</v>
      </c>
      <c r="BZ406" s="6" t="e">
        <f t="shared" si="189"/>
        <v>#DIV/0!</v>
      </c>
      <c r="CA406" s="114">
        <f t="shared" si="190"/>
        <v>127.25109874278135</v>
      </c>
      <c r="CB406" s="115" t="e">
        <f t="shared" si="191"/>
        <v>#DIV/0!</v>
      </c>
      <c r="CC406" s="6" t="e">
        <f t="shared" si="192"/>
        <v>#DIV/0!</v>
      </c>
    </row>
    <row r="407" spans="27:81">
      <c r="AA407" s="79" t="s">
        <v>175</v>
      </c>
      <c r="AB407" s="80" t="s">
        <v>201</v>
      </c>
      <c r="AC407" s="81">
        <v>0</v>
      </c>
      <c r="AD407" s="81">
        <v>6</v>
      </c>
      <c r="AE407" s="80">
        <v>273</v>
      </c>
      <c r="AF407" s="80">
        <v>6.35</v>
      </c>
      <c r="AG407" s="108" cm="1">
        <f t="array" ref="AG407">_xll.DCEPropSectPipe(AE407, AF407, "Area")/100</f>
        <v>53.19431074856206</v>
      </c>
      <c r="AH407" s="16" cm="1">
        <f t="array" ref="AH407">_xll.DCEPropSectPipe(AE407, AF407, "Ix")/10000</f>
        <v>4730.4733077169503</v>
      </c>
      <c r="AI407" s="16" cm="1">
        <f t="array" ref="AI407">_xll.DCEPropSectPipe(AE407, AF407, "Wx")/1000</f>
        <v>346.55482107816493</v>
      </c>
      <c r="AJ407" s="108">
        <f t="shared" si="161"/>
        <v>9.4301739777164251</v>
      </c>
      <c r="AK407" s="80" t="s">
        <v>217</v>
      </c>
      <c r="AL407" s="82">
        <v>0.49016363170179095</v>
      </c>
      <c r="AM407" s="82">
        <v>-0.25101362587926446</v>
      </c>
      <c r="AN407" s="82">
        <v>-1.2479678797647919E-2</v>
      </c>
      <c r="AO407" s="82">
        <v>0</v>
      </c>
      <c r="AP407" s="82">
        <v>0</v>
      </c>
      <c r="AQ407" s="82">
        <v>-4.6930371838822066E-2</v>
      </c>
      <c r="AR407" s="72">
        <v>1</v>
      </c>
      <c r="AS407" s="116">
        <f t="shared" si="162"/>
        <v>6</v>
      </c>
      <c r="AT407" s="82">
        <v>2</v>
      </c>
      <c r="AU407" s="6">
        <f t="shared" si="163"/>
        <v>12</v>
      </c>
      <c r="AV407" s="111">
        <f t="shared" si="164"/>
        <v>4.031382037887021E-4</v>
      </c>
      <c r="AW407" s="117">
        <f t="shared" si="165"/>
        <v>105</v>
      </c>
      <c r="AX407" s="111">
        <f t="shared" si="166"/>
        <v>1</v>
      </c>
      <c r="AY407" s="111">
        <f t="shared" si="167"/>
        <v>1</v>
      </c>
      <c r="AZ407" s="111">
        <f t="shared" si="168"/>
        <v>1</v>
      </c>
      <c r="BA407" s="111">
        <f t="shared" si="169"/>
        <v>4.2435600398810751E-4</v>
      </c>
      <c r="BB407" s="111">
        <f t="shared" si="170"/>
        <v>0</v>
      </c>
      <c r="BC407" s="111">
        <f t="shared" si="171"/>
        <v>0</v>
      </c>
      <c r="BD407" s="111">
        <v>0</v>
      </c>
      <c r="BE407" s="111">
        <f t="shared" si="172"/>
        <v>4.2435600398810751E-4</v>
      </c>
      <c r="BF407" s="6" t="str">
        <f t="shared" si="173"/>
        <v>OK</v>
      </c>
      <c r="BG407" s="16">
        <f t="shared" si="174"/>
        <v>63.625549371390676</v>
      </c>
      <c r="BH407" s="118">
        <f t="shared" si="175"/>
        <v>2.1193803644775273</v>
      </c>
      <c r="BI407" s="108">
        <f t="shared" si="176"/>
        <v>0</v>
      </c>
      <c r="BJ407" s="6">
        <f t="shared" si="177"/>
        <v>1.2440309817761237</v>
      </c>
      <c r="BK407" s="108">
        <f t="shared" si="178"/>
        <v>0</v>
      </c>
      <c r="BL407" s="118" cm="1">
        <f t="array" ref="BL407">IF(AO407=0,FactorPhi7121(BH407,"a"),noisuy2chieu(BK407,BH407,Data!$A$63:$M$85))</f>
        <v>0.86214274110469236</v>
      </c>
      <c r="BM407" s="111">
        <v>1.26</v>
      </c>
      <c r="BN407" s="118">
        <f t="shared" si="179"/>
        <v>0.99981891946488144</v>
      </c>
      <c r="BO407" s="108">
        <f t="shared" si="180"/>
        <v>1.0032163648161243E-3</v>
      </c>
      <c r="BP407" s="6" t="str">
        <f t="shared" si="181"/>
        <v>OK</v>
      </c>
      <c r="BQ407" s="16">
        <f t="shared" si="182"/>
        <v>127.25109874278135</v>
      </c>
      <c r="BR407" s="118">
        <f t="shared" si="183"/>
        <v>4.2387607289550546</v>
      </c>
      <c r="BS407" s="108">
        <f t="shared" si="184"/>
        <v>0</v>
      </c>
      <c r="BT407" s="118">
        <f t="shared" si="185"/>
        <v>1.1380619635522473</v>
      </c>
      <c r="BU407" s="108">
        <f t="shared" si="186"/>
        <v>0</v>
      </c>
      <c r="BV407" s="6" cm="1">
        <f t="array" ref="BV407">IF(AP407=0,FactorPhi7121(BR407,"a"),noisuy2chieu(BU407,BR407,Data!$A$63:$M$85))</f>
        <v>0.42299549615688942</v>
      </c>
      <c r="BW407" s="111">
        <v>1.26</v>
      </c>
      <c r="BX407" s="111">
        <f t="shared" si="187"/>
        <v>0.99927567785952576</v>
      </c>
      <c r="BY407" s="113">
        <f t="shared" si="188"/>
        <v>4.9221084137919654E-4</v>
      </c>
      <c r="BZ407" s="6" t="str">
        <f t="shared" si="189"/>
        <v>OK</v>
      </c>
      <c r="CA407" s="114">
        <f t="shared" si="190"/>
        <v>127.25109874278135</v>
      </c>
      <c r="CB407" s="115">
        <f t="shared" si="191"/>
        <v>150</v>
      </c>
      <c r="CC407" s="6" t="str">
        <f t="shared" si="192"/>
        <v>OK</v>
      </c>
    </row>
    <row r="408" spans="27:81">
      <c r="AA408" s="79" t="s">
        <v>175</v>
      </c>
      <c r="AB408" s="80" t="s">
        <v>201</v>
      </c>
      <c r="AC408" s="81">
        <v>2.74</v>
      </c>
      <c r="AD408" s="81">
        <v>6</v>
      </c>
      <c r="AE408" s="80">
        <v>273</v>
      </c>
      <c r="AF408" s="80">
        <v>6.35</v>
      </c>
      <c r="AG408" s="108" cm="1">
        <f t="array" ref="AG408">_xll.DCEPropSectPipe(AE408, AF408, "Area")/100</f>
        <v>53.19431074856206</v>
      </c>
      <c r="AH408" s="16" cm="1">
        <f t="array" ref="AH408">_xll.DCEPropSectPipe(AE408, AF408, "Ix")/10000</f>
        <v>4730.4733077169503</v>
      </c>
      <c r="AI408" s="16" cm="1">
        <f t="array" ref="AI408">_xll.DCEPropSectPipe(AE408, AF408, "Wx")/1000</f>
        <v>346.55482107816493</v>
      </c>
      <c r="AJ408" s="108">
        <f t="shared" ref="AJ408:AJ471" si="193">SQRT(AH408/AG408)</f>
        <v>9.4301739777164251</v>
      </c>
      <c r="AK408" s="80" t="s">
        <v>217</v>
      </c>
      <c r="AL408" s="82">
        <v>1.8374239804338208</v>
      </c>
      <c r="AM408" s="82">
        <v>-0.25101362587926446</v>
      </c>
      <c r="AN408" s="82">
        <v>-1.2479678797647919E-2</v>
      </c>
      <c r="AO408" s="82">
        <v>3.4219279263149938E-2</v>
      </c>
      <c r="AP408" s="82">
        <v>0.68827936216093955</v>
      </c>
      <c r="AQ408" s="82">
        <v>-4.6930371838822066E-2</v>
      </c>
      <c r="AR408" s="72">
        <v>1</v>
      </c>
      <c r="AS408" s="116">
        <f t="shared" ref="AS408:AS471" si="194">AR408*AD408</f>
        <v>6</v>
      </c>
      <c r="AT408" s="82">
        <v>2</v>
      </c>
      <c r="AU408" s="6">
        <f t="shared" ref="AU408:AU471" si="195">AT408*AD408</f>
        <v>12</v>
      </c>
      <c r="AV408" s="111">
        <f t="shared" ref="AV408:AV471" si="196">ABS(AL408)/(AG408*$F$23)*10</f>
        <v>1.511201066669572E-3</v>
      </c>
      <c r="AW408" s="117">
        <f t="shared" ref="AW408:AW471" si="197">IF(AV408&gt;0.1,104,105)</f>
        <v>105</v>
      </c>
      <c r="AX408" s="111">
        <f t="shared" ref="AX408:AX471" si="198">IF(AW408=104,1.5,1)</f>
        <v>1</v>
      </c>
      <c r="AY408" s="111">
        <f t="shared" ref="AY408:AY471" si="199">IF(AW408=104,1.26,1)</f>
        <v>1</v>
      </c>
      <c r="AZ408" s="111">
        <f t="shared" ref="AZ408:AZ471" si="200">IF(AW408=104,1.26,1)</f>
        <v>1</v>
      </c>
      <c r="BA408" s="111">
        <f t="shared" ref="BA408:BA471" si="201">(ABS(AL408)/(AG408*$F$23*$I$23)*10)^AX408</f>
        <v>1.5907379649153391E-3</v>
      </c>
      <c r="BB408" s="111">
        <f t="shared" ref="BB408:BB471" si="202">ABS(AO408)/(AY408*AI408*$F$23*$I$23)*1000</f>
        <v>4.5472974691283216E-4</v>
      </c>
      <c r="BC408" s="111">
        <f t="shared" ref="BC408:BC471" si="203">ABS(AP408)/(AZ408*AI408*$F$23*$I$23)*1000</f>
        <v>9.1463381725229009E-3</v>
      </c>
      <c r="BD408" s="111">
        <v>0</v>
      </c>
      <c r="BE408" s="111">
        <f t="shared" ref="BE408:BE471" si="204">BA408+BB408+BC408+BD408</f>
        <v>1.1191805884351072E-2</v>
      </c>
      <c r="BF408" s="6" t="str">
        <f t="shared" ref="BF408:BF471" si="205">IF(BE408&lt;=1,"OK","Check")</f>
        <v>OK</v>
      </c>
      <c r="BG408" s="16">
        <f t="shared" ref="BG408:BG471" si="206">AS408*100/AJ408</f>
        <v>63.625549371390676</v>
      </c>
      <c r="BH408" s="118">
        <f t="shared" ref="BH408:BH471" si="207">BG408*SQRT($F$23/$D$23)</f>
        <v>2.1193803644775273</v>
      </c>
      <c r="BI408" s="108">
        <f t="shared" ref="BI408:BI471" si="208">ABS((AO408/AL408)*100*AG408/AI408)</f>
        <v>0.2858608752303422</v>
      </c>
      <c r="BJ408" s="6">
        <f t="shared" ref="BJ408:BJ471" si="209">IF(AND(BH408&lt;=5,BI408&lt;=5),(1.35-0.05*BI408)-0.01*(5-BI408)*BH408,1.1)</f>
        <v>1.2357964172739619</v>
      </c>
      <c r="BK408" s="108">
        <f t="shared" ref="BK408:BK471" si="210">BI408*BJ408</f>
        <v>0.35326584544845596</v>
      </c>
      <c r="BL408" s="118" cm="1">
        <f t="array" ref="BL408">IF(AO408=0,FactorPhi7121(BH408,"a"),noisuy2chieu(BK408,BH408,Data!$A$63:$M$85))</f>
        <v>0</v>
      </c>
      <c r="BM408" s="111">
        <v>1.26</v>
      </c>
      <c r="BN408" s="118">
        <f t="shared" ref="BN408:BN471" si="211">IF(BH408&lt;=1,1,1-0.1*ABS(AL408)*BH408^2/(AG408*$F$23)*10)</f>
        <v>0.99932120276557146</v>
      </c>
      <c r="BO408" s="108" t="e">
        <f t="shared" ref="BO408:BO471" si="212">ABS(AL408)/(BV408*AG408*$F$23*$I$23)*10+ABS(AO408)*1000/(BM408*BN408*AI408*$F$23*$I$23)</f>
        <v>#DIV/0!</v>
      </c>
      <c r="BP408" s="6" t="e">
        <f t="shared" ref="BP408:BP471" si="213">IF(BO408&lt;=1,"OK","Check")</f>
        <v>#DIV/0!</v>
      </c>
      <c r="BQ408" s="16">
        <f t="shared" ref="BQ408:BQ471" si="214">AU408*100/AJ408</f>
        <v>127.25109874278135</v>
      </c>
      <c r="BR408" s="118">
        <f t="shared" ref="BR408:BR471" si="215">BQ408*SQRT($F$23/$D$23)</f>
        <v>4.2387607289550546</v>
      </c>
      <c r="BS408" s="108">
        <f t="shared" ref="BS408:BS471" si="216">ABS((AP408/AL408)*100*AG408/AI408)</f>
        <v>5.7497453221402681</v>
      </c>
      <c r="BT408" s="118">
        <f t="shared" ref="BT408:BT471" si="217">IF(AND(BR408&lt;=5,BS408&lt;=5),(1.35-0.05*BS408)-0.01*(5-BS408)*BR408,1.1)</f>
        <v>1.1000000000000001</v>
      </c>
      <c r="BU408" s="108">
        <f t="shared" ref="BU408:BU471" si="218">BS408*BT408</f>
        <v>6.3247198543542957</v>
      </c>
      <c r="BV408" s="6" cm="1">
        <f t="array" ref="BV408">IF(AP408=0,FactorPhi7121(BR408,"a"),noisuy2chieu(BU408,BR408,Data!$A$63:$M$85))</f>
        <v>0</v>
      </c>
      <c r="BW408" s="111">
        <v>1.26</v>
      </c>
      <c r="BX408" s="111">
        <f t="shared" ref="BX408:BX471" si="219">IF(BR408&lt;=1,1,1-0.1*ABS(AL408)*BR408^2/(AG408*$F$23)*10)</f>
        <v>0.99728481106228573</v>
      </c>
      <c r="BY408" s="113" t="e">
        <f t="shared" ref="BY408:BY471" si="220">ABS(AL408)/(BL408*AG408*$F$23*$I$23)*10+ABS(AP408)*1000/(BW408*BX408*AI408*$F$23*$I$23)</f>
        <v>#DIV/0!</v>
      </c>
      <c r="BZ408" s="6" t="e">
        <f t="shared" ref="BZ408:BZ471" si="221">IF(BY408&lt;=1,"OK","Check")</f>
        <v>#DIV/0!</v>
      </c>
      <c r="CA408" s="114">
        <f t="shared" ref="CA408:CA471" si="222">MAX(BG408,BQ408)</f>
        <v>127.25109874278135</v>
      </c>
      <c r="CB408" s="115" t="e">
        <f t="shared" ref="CB408:CB471" si="223">180-60*MAX(ABS(AL408)/(BV408*AG408*$F$23*$I$23)*10,ABS(AL408)/(BL408*AG408*$F$23*$I$23)*10,0.5)</f>
        <v>#DIV/0!</v>
      </c>
      <c r="CC408" s="6" t="e">
        <f t="shared" ref="CC408:CC471" si="224">IF(CA408&lt;=CB408,"OK","Check")</f>
        <v>#DIV/0!</v>
      </c>
    </row>
    <row r="409" spans="27:81">
      <c r="AA409" s="79" t="s">
        <v>175</v>
      </c>
      <c r="AB409" s="80" t="s">
        <v>201</v>
      </c>
      <c r="AC409" s="81">
        <v>5.48</v>
      </c>
      <c r="AD409" s="81">
        <v>6</v>
      </c>
      <c r="AE409" s="80">
        <v>273</v>
      </c>
      <c r="AF409" s="80">
        <v>6.35</v>
      </c>
      <c r="AG409" s="108" cm="1">
        <f t="array" ref="AG409">_xll.DCEPropSectPipe(AE409, AF409, "Area")/100</f>
        <v>53.19431074856206</v>
      </c>
      <c r="AH409" s="16" cm="1">
        <f t="array" ref="AH409">_xll.DCEPropSectPipe(AE409, AF409, "Ix")/10000</f>
        <v>4730.4733077169503</v>
      </c>
      <c r="AI409" s="16" cm="1">
        <f t="array" ref="AI409">_xll.DCEPropSectPipe(AE409, AF409, "Wx")/1000</f>
        <v>346.55482107816493</v>
      </c>
      <c r="AJ409" s="108">
        <f t="shared" si="193"/>
        <v>9.4301739777164251</v>
      </c>
      <c r="AK409" s="80" t="s">
        <v>217</v>
      </c>
      <c r="AL409" s="82">
        <v>3.184684329165858</v>
      </c>
      <c r="AM409" s="82">
        <v>-0.25101362587926446</v>
      </c>
      <c r="AN409" s="82">
        <v>-1.2479678797647919E-2</v>
      </c>
      <c r="AO409" s="82">
        <v>6.8438558526299875E-2</v>
      </c>
      <c r="AP409" s="82">
        <v>1.3765587243218791</v>
      </c>
      <c r="AQ409" s="82">
        <v>-4.6930371838822066E-2</v>
      </c>
      <c r="AR409" s="72">
        <v>1</v>
      </c>
      <c r="AS409" s="116">
        <f t="shared" si="194"/>
        <v>6</v>
      </c>
      <c r="AT409" s="82">
        <v>2</v>
      </c>
      <c r="AU409" s="6">
        <f t="shared" si="195"/>
        <v>12</v>
      </c>
      <c r="AV409" s="111">
        <f t="shared" si="196"/>
        <v>2.619263929550448E-3</v>
      </c>
      <c r="AW409" s="117">
        <f t="shared" si="197"/>
        <v>105</v>
      </c>
      <c r="AX409" s="111">
        <f t="shared" si="198"/>
        <v>1</v>
      </c>
      <c r="AY409" s="111">
        <f t="shared" si="199"/>
        <v>1</v>
      </c>
      <c r="AZ409" s="111">
        <f t="shared" si="200"/>
        <v>1</v>
      </c>
      <c r="BA409" s="111">
        <f t="shared" si="201"/>
        <v>2.7571199258425772E-3</v>
      </c>
      <c r="BB409" s="111">
        <f t="shared" si="202"/>
        <v>9.0945949382566433E-4</v>
      </c>
      <c r="BC409" s="111">
        <f t="shared" si="203"/>
        <v>1.8292676345045802E-2</v>
      </c>
      <c r="BD409" s="111">
        <v>0</v>
      </c>
      <c r="BE409" s="111">
        <f t="shared" si="204"/>
        <v>2.1959255764714043E-2</v>
      </c>
      <c r="BF409" s="6" t="str">
        <f t="shared" si="205"/>
        <v>OK</v>
      </c>
      <c r="BG409" s="16">
        <f t="shared" si="206"/>
        <v>63.625549371390676</v>
      </c>
      <c r="BH409" s="118">
        <f t="shared" si="207"/>
        <v>2.1193803644775273</v>
      </c>
      <c r="BI409" s="108">
        <f t="shared" si="208"/>
        <v>0.32985851841309849</v>
      </c>
      <c r="BJ409" s="6">
        <f t="shared" si="209"/>
        <v>1.2345290125252724</v>
      </c>
      <c r="BK409" s="108">
        <f t="shared" si="210"/>
        <v>0.40721991100957183</v>
      </c>
      <c r="BL409" s="118" cm="1">
        <f t="array" ref="BL409">IF(AO409=0,FactorPhi7121(BH409,"a"),noisuy2chieu(BK409,BH409,Data!$A$63:$M$85))</f>
        <v>0</v>
      </c>
      <c r="BM409" s="111">
        <v>1.26</v>
      </c>
      <c r="BN409" s="118">
        <f t="shared" si="211"/>
        <v>0.99882348606626148</v>
      </c>
      <c r="BO409" s="108" t="e">
        <f t="shared" si="212"/>
        <v>#DIV/0!</v>
      </c>
      <c r="BP409" s="6" t="e">
        <f t="shared" si="213"/>
        <v>#DIV/0!</v>
      </c>
      <c r="BQ409" s="16">
        <f t="shared" si="214"/>
        <v>127.25109874278135</v>
      </c>
      <c r="BR409" s="118">
        <f t="shared" si="215"/>
        <v>4.2387607289550546</v>
      </c>
      <c r="BS409" s="108">
        <f t="shared" si="216"/>
        <v>6.6347046327538877</v>
      </c>
      <c r="BT409" s="118">
        <f t="shared" si="217"/>
        <v>1.1000000000000001</v>
      </c>
      <c r="BU409" s="108">
        <f t="shared" si="218"/>
        <v>7.2981750960292766</v>
      </c>
      <c r="BV409" s="6" cm="1">
        <f t="array" ref="BV409">IF(AP409=0,FactorPhi7121(BR409,"a"),noisuy2chieu(BU409,BR409,Data!$A$63:$M$85))</f>
        <v>0</v>
      </c>
      <c r="BW409" s="111">
        <v>1.26</v>
      </c>
      <c r="BX409" s="111">
        <f t="shared" si="219"/>
        <v>0.9952939442650458</v>
      </c>
      <c r="BY409" s="113" t="e">
        <f t="shared" si="220"/>
        <v>#DIV/0!</v>
      </c>
      <c r="BZ409" s="6" t="e">
        <f t="shared" si="221"/>
        <v>#DIV/0!</v>
      </c>
      <c r="CA409" s="114">
        <f t="shared" si="222"/>
        <v>127.25109874278135</v>
      </c>
      <c r="CB409" s="115" t="e">
        <f t="shared" si="223"/>
        <v>#DIV/0!</v>
      </c>
      <c r="CC409" s="6" t="e">
        <f t="shared" si="224"/>
        <v>#DIV/0!</v>
      </c>
    </row>
    <row r="410" spans="27:81">
      <c r="AA410" s="79" t="s">
        <v>175</v>
      </c>
      <c r="AB410" s="80" t="s">
        <v>201</v>
      </c>
      <c r="AC410" s="81">
        <v>0</v>
      </c>
      <c r="AD410" s="81">
        <v>6</v>
      </c>
      <c r="AE410" s="80">
        <v>273</v>
      </c>
      <c r="AF410" s="80">
        <v>6.35</v>
      </c>
      <c r="AG410" s="108" cm="1">
        <f t="array" ref="AG410">_xll.DCEPropSectPipe(AE410, AF410, "Area")/100</f>
        <v>53.19431074856206</v>
      </c>
      <c r="AH410" s="16" cm="1">
        <f t="array" ref="AH410">_xll.DCEPropSectPipe(AE410, AF410, "Ix")/10000</f>
        <v>4730.4733077169503</v>
      </c>
      <c r="AI410" s="16" cm="1">
        <f t="array" ref="AI410">_xll.DCEPropSectPipe(AE410, AF410, "Wx")/1000</f>
        <v>346.55482107816493</v>
      </c>
      <c r="AJ410" s="108">
        <f t="shared" si="193"/>
        <v>9.4301739777164251</v>
      </c>
      <c r="AK410" s="80" t="s">
        <v>218</v>
      </c>
      <c r="AL410" s="82">
        <v>-14.889362894101859</v>
      </c>
      <c r="AM410" s="82">
        <v>-0.31366011480242234</v>
      </c>
      <c r="AN410" s="82">
        <v>0.10479297449438284</v>
      </c>
      <c r="AO410" s="82">
        <v>0</v>
      </c>
      <c r="AP410" s="82">
        <v>0</v>
      </c>
      <c r="AQ410" s="82">
        <v>4.3409352989238856E-2</v>
      </c>
      <c r="AR410" s="72">
        <v>1</v>
      </c>
      <c r="AS410" s="116">
        <f t="shared" si="194"/>
        <v>6</v>
      </c>
      <c r="AT410" s="82">
        <v>2</v>
      </c>
      <c r="AU410" s="6">
        <f t="shared" si="195"/>
        <v>12</v>
      </c>
      <c r="AV410" s="111">
        <f t="shared" si="196"/>
        <v>1.2245851435053422E-2</v>
      </c>
      <c r="AW410" s="117">
        <f t="shared" si="197"/>
        <v>105</v>
      </c>
      <c r="AX410" s="111">
        <f t="shared" si="198"/>
        <v>1</v>
      </c>
      <c r="AY410" s="111">
        <f t="shared" si="199"/>
        <v>1</v>
      </c>
      <c r="AZ410" s="111">
        <f t="shared" si="200"/>
        <v>1</v>
      </c>
      <c r="BA410" s="111">
        <f t="shared" si="201"/>
        <v>1.2890369931635184E-2</v>
      </c>
      <c r="BB410" s="111">
        <f t="shared" si="202"/>
        <v>0</v>
      </c>
      <c r="BC410" s="111">
        <f t="shared" si="203"/>
        <v>0</v>
      </c>
      <c r="BD410" s="111">
        <v>0</v>
      </c>
      <c r="BE410" s="111">
        <f t="shared" si="204"/>
        <v>1.2890369931635184E-2</v>
      </c>
      <c r="BF410" s="6" t="str">
        <f t="shared" si="205"/>
        <v>OK</v>
      </c>
      <c r="BG410" s="16">
        <f t="shared" si="206"/>
        <v>63.625549371390676</v>
      </c>
      <c r="BH410" s="118">
        <f t="shared" si="207"/>
        <v>2.1193803644775273</v>
      </c>
      <c r="BI410" s="108">
        <f t="shared" si="208"/>
        <v>0</v>
      </c>
      <c r="BJ410" s="6">
        <f t="shared" si="209"/>
        <v>1.2440309817761237</v>
      </c>
      <c r="BK410" s="108">
        <f t="shared" si="210"/>
        <v>0</v>
      </c>
      <c r="BL410" s="118" cm="1">
        <f t="array" ref="BL410">IF(AO410=0,FactorPhi7121(BH410,"a"),noisuy2chieu(BK410,BH410,Data!$A$63:$M$85))</f>
        <v>0.86214274110469236</v>
      </c>
      <c r="BM410" s="111">
        <v>1.26</v>
      </c>
      <c r="BN410" s="118">
        <f t="shared" si="211"/>
        <v>0.99449944135782242</v>
      </c>
      <c r="BO410" s="108">
        <f t="shared" si="212"/>
        <v>3.0474012250130751E-2</v>
      </c>
      <c r="BP410" s="6" t="str">
        <f t="shared" si="213"/>
        <v>OK</v>
      </c>
      <c r="BQ410" s="16">
        <f t="shared" si="214"/>
        <v>127.25109874278135</v>
      </c>
      <c r="BR410" s="118">
        <f t="shared" si="215"/>
        <v>4.2387607289550546</v>
      </c>
      <c r="BS410" s="108">
        <f t="shared" si="216"/>
        <v>0</v>
      </c>
      <c r="BT410" s="118">
        <f t="shared" si="217"/>
        <v>1.1380619635522473</v>
      </c>
      <c r="BU410" s="108">
        <f t="shared" si="218"/>
        <v>0</v>
      </c>
      <c r="BV410" s="6" cm="1">
        <f t="array" ref="BV410">IF(AP410=0,FactorPhi7121(BR410,"a"),noisuy2chieu(BU410,BR410,Data!$A$63:$M$85))</f>
        <v>0.42299549615688942</v>
      </c>
      <c r="BW410" s="111">
        <v>1.26</v>
      </c>
      <c r="BX410" s="111">
        <f t="shared" si="219"/>
        <v>0.97799776543128969</v>
      </c>
      <c r="BY410" s="113">
        <f t="shared" si="220"/>
        <v>1.4951549571847371E-2</v>
      </c>
      <c r="BZ410" s="6" t="str">
        <f t="shared" si="221"/>
        <v>OK</v>
      </c>
      <c r="CA410" s="114">
        <f t="shared" si="222"/>
        <v>127.25109874278135</v>
      </c>
      <c r="CB410" s="115">
        <f t="shared" si="223"/>
        <v>150</v>
      </c>
      <c r="CC410" s="6" t="str">
        <f t="shared" si="224"/>
        <v>OK</v>
      </c>
    </row>
    <row r="411" spans="27:81">
      <c r="AA411" s="79" t="s">
        <v>175</v>
      </c>
      <c r="AB411" s="80" t="s">
        <v>201</v>
      </c>
      <c r="AC411" s="81">
        <v>2.74</v>
      </c>
      <c r="AD411" s="81">
        <v>6</v>
      </c>
      <c r="AE411" s="80">
        <v>273</v>
      </c>
      <c r="AF411" s="80">
        <v>6.35</v>
      </c>
      <c r="AG411" s="108" cm="1">
        <f t="array" ref="AG411">_xll.DCEPropSectPipe(AE411, AF411, "Area")/100</f>
        <v>53.19431074856206</v>
      </c>
      <c r="AH411" s="16" cm="1">
        <f t="array" ref="AH411">_xll.DCEPropSectPipe(AE411, AF411, "Ix")/10000</f>
        <v>4730.4733077169503</v>
      </c>
      <c r="AI411" s="16" cm="1">
        <f t="array" ref="AI411">_xll.DCEPropSectPipe(AE411, AF411, "Wx")/1000</f>
        <v>346.55482107816493</v>
      </c>
      <c r="AJ411" s="108">
        <f t="shared" si="193"/>
        <v>9.4301739777164251</v>
      </c>
      <c r="AK411" s="80" t="s">
        <v>218</v>
      </c>
      <c r="AL411" s="82">
        <v>-13.542102545369829</v>
      </c>
      <c r="AM411" s="82">
        <v>-0.31366011480242234</v>
      </c>
      <c r="AN411" s="82">
        <v>0.10479297449438284</v>
      </c>
      <c r="AO411" s="82">
        <v>-0.28734233606359799</v>
      </c>
      <c r="AP411" s="82">
        <v>0.86005603478823767</v>
      </c>
      <c r="AQ411" s="82">
        <v>4.3409352989238856E-2</v>
      </c>
      <c r="AR411" s="72">
        <v>1</v>
      </c>
      <c r="AS411" s="116">
        <f t="shared" si="194"/>
        <v>6</v>
      </c>
      <c r="AT411" s="82">
        <v>2</v>
      </c>
      <c r="AU411" s="6">
        <f t="shared" si="195"/>
        <v>12</v>
      </c>
      <c r="AV411" s="111">
        <f t="shared" si="196"/>
        <v>1.1137788572172552E-2</v>
      </c>
      <c r="AW411" s="117">
        <f t="shared" si="197"/>
        <v>105</v>
      </c>
      <c r="AX411" s="111">
        <f t="shared" si="198"/>
        <v>1</v>
      </c>
      <c r="AY411" s="111">
        <f t="shared" si="199"/>
        <v>1</v>
      </c>
      <c r="AZ411" s="111">
        <f t="shared" si="200"/>
        <v>1</v>
      </c>
      <c r="BA411" s="111">
        <f t="shared" si="201"/>
        <v>1.172398797070795E-2</v>
      </c>
      <c r="BB411" s="111">
        <f t="shared" si="202"/>
        <v>3.8184061899939076E-3</v>
      </c>
      <c r="BC411" s="111">
        <f t="shared" si="203"/>
        <v>1.142902689511844E-2</v>
      </c>
      <c r="BD411" s="111">
        <v>0</v>
      </c>
      <c r="BE411" s="111">
        <f t="shared" si="204"/>
        <v>2.6971421055820295E-2</v>
      </c>
      <c r="BF411" s="6" t="str">
        <f t="shared" si="205"/>
        <v>OK</v>
      </c>
      <c r="BG411" s="16">
        <f t="shared" si="206"/>
        <v>63.625549371390676</v>
      </c>
      <c r="BH411" s="118">
        <f t="shared" si="207"/>
        <v>2.1193803644775273</v>
      </c>
      <c r="BI411" s="108">
        <f t="shared" si="208"/>
        <v>0.32569175263008521</v>
      </c>
      <c r="BJ411" s="6">
        <f t="shared" si="209"/>
        <v>1.2346490411985842</v>
      </c>
      <c r="BK411" s="108">
        <f t="shared" si="210"/>
        <v>0.40211501011102119</v>
      </c>
      <c r="BL411" s="118" cm="1">
        <f t="array" ref="BL411">IF(AO411=0,FactorPhi7121(BH411,"a"),noisuy2chieu(BK411,BH411,Data!$A$63:$M$85))</f>
        <v>0</v>
      </c>
      <c r="BM411" s="111">
        <v>1.26</v>
      </c>
      <c r="BN411" s="118">
        <f t="shared" si="211"/>
        <v>0.9949971580571324</v>
      </c>
      <c r="BO411" s="108" t="e">
        <f t="shared" si="212"/>
        <v>#DIV/0!</v>
      </c>
      <c r="BP411" s="6" t="e">
        <f t="shared" si="213"/>
        <v>#DIV/0!</v>
      </c>
      <c r="BQ411" s="16">
        <f t="shared" si="214"/>
        <v>127.25109874278135</v>
      </c>
      <c r="BR411" s="118">
        <f t="shared" si="215"/>
        <v>4.2387607289550546</v>
      </c>
      <c r="BS411" s="108">
        <f t="shared" si="216"/>
        <v>0.97484123351828189</v>
      </c>
      <c r="BT411" s="118">
        <f t="shared" si="217"/>
        <v>1.1306410892523673</v>
      </c>
      <c r="BU411" s="108">
        <f t="shared" si="218"/>
        <v>1.1021955541132316</v>
      </c>
      <c r="BV411" s="6" cm="1">
        <f t="array" ref="BV411">IF(AP411=0,FactorPhi7121(BR411,"a"),noisuy2chieu(BU411,BR411,Data!$A$63:$M$85))</f>
        <v>0</v>
      </c>
      <c r="BW411" s="111">
        <v>1.26</v>
      </c>
      <c r="BX411" s="111">
        <f t="shared" si="219"/>
        <v>0.97998863222852972</v>
      </c>
      <c r="BY411" s="113" t="e">
        <f t="shared" si="220"/>
        <v>#DIV/0!</v>
      </c>
      <c r="BZ411" s="6" t="e">
        <f t="shared" si="221"/>
        <v>#DIV/0!</v>
      </c>
      <c r="CA411" s="114">
        <f t="shared" si="222"/>
        <v>127.25109874278135</v>
      </c>
      <c r="CB411" s="115" t="e">
        <f t="shared" si="223"/>
        <v>#DIV/0!</v>
      </c>
      <c r="CC411" s="6" t="e">
        <f t="shared" si="224"/>
        <v>#DIV/0!</v>
      </c>
    </row>
    <row r="412" spans="27:81">
      <c r="AA412" s="79" t="s">
        <v>175</v>
      </c>
      <c r="AB412" s="80" t="s">
        <v>201</v>
      </c>
      <c r="AC412" s="81">
        <v>5.48</v>
      </c>
      <c r="AD412" s="81">
        <v>6</v>
      </c>
      <c r="AE412" s="80">
        <v>273</v>
      </c>
      <c r="AF412" s="80">
        <v>6.35</v>
      </c>
      <c r="AG412" s="108" cm="1">
        <f t="array" ref="AG412">_xll.DCEPropSectPipe(AE412, AF412, "Area")/100</f>
        <v>53.19431074856206</v>
      </c>
      <c r="AH412" s="16" cm="1">
        <f t="array" ref="AH412">_xll.DCEPropSectPipe(AE412, AF412, "Ix")/10000</f>
        <v>4730.4733077169503</v>
      </c>
      <c r="AI412" s="16" cm="1">
        <f t="array" ref="AI412">_xll.DCEPropSectPipe(AE412, AF412, "Wx")/1000</f>
        <v>346.55482107816493</v>
      </c>
      <c r="AJ412" s="108">
        <f t="shared" si="193"/>
        <v>9.4301739777164251</v>
      </c>
      <c r="AK412" s="80" t="s">
        <v>218</v>
      </c>
      <c r="AL412" s="82">
        <v>-12.194842196637792</v>
      </c>
      <c r="AM412" s="82">
        <v>-0.31366011480242234</v>
      </c>
      <c r="AN412" s="82">
        <v>0.10479297449438284</v>
      </c>
      <c r="AO412" s="82">
        <v>-0.57468467212719598</v>
      </c>
      <c r="AP412" s="82">
        <v>1.7201120695764753</v>
      </c>
      <c r="AQ412" s="82">
        <v>4.3409352989238856E-2</v>
      </c>
      <c r="AR412" s="72">
        <v>1</v>
      </c>
      <c r="AS412" s="116">
        <f t="shared" si="194"/>
        <v>6</v>
      </c>
      <c r="AT412" s="82">
        <v>2</v>
      </c>
      <c r="AU412" s="6">
        <f t="shared" si="195"/>
        <v>12</v>
      </c>
      <c r="AV412" s="111">
        <f t="shared" si="196"/>
        <v>1.0029725709291677E-2</v>
      </c>
      <c r="AW412" s="117">
        <f t="shared" si="197"/>
        <v>105</v>
      </c>
      <c r="AX412" s="111">
        <f t="shared" si="198"/>
        <v>1</v>
      </c>
      <c r="AY412" s="111">
        <f t="shared" si="199"/>
        <v>1</v>
      </c>
      <c r="AZ412" s="111">
        <f t="shared" si="200"/>
        <v>1</v>
      </c>
      <c r="BA412" s="111">
        <f t="shared" si="201"/>
        <v>1.0557606009780713E-2</v>
      </c>
      <c r="BB412" s="111">
        <f t="shared" si="202"/>
        <v>7.6368123799878153E-3</v>
      </c>
      <c r="BC412" s="111">
        <f t="shared" si="203"/>
        <v>2.2858053790236879E-2</v>
      </c>
      <c r="BD412" s="111">
        <v>0</v>
      </c>
      <c r="BE412" s="111">
        <f t="shared" si="204"/>
        <v>4.1052472180005406E-2</v>
      </c>
      <c r="BF412" s="6" t="str">
        <f t="shared" si="205"/>
        <v>OK</v>
      </c>
      <c r="BG412" s="16">
        <f t="shared" si="206"/>
        <v>63.625549371390676</v>
      </c>
      <c r="BH412" s="118">
        <f t="shared" si="207"/>
        <v>2.1193803644775273</v>
      </c>
      <c r="BI412" s="108">
        <f t="shared" si="208"/>
        <v>0.72334697590656127</v>
      </c>
      <c r="BJ412" s="6">
        <f t="shared" si="209"/>
        <v>1.2231941067552015</v>
      </c>
      <c r="BK412" s="108">
        <f t="shared" si="210"/>
        <v>0.88479375806810245</v>
      </c>
      <c r="BL412" s="118" cm="1">
        <f t="array" ref="BL412">IF(AO412=0,FactorPhi7121(BH412,"a"),noisuy2chieu(BK412,BH412,Data!$A$63:$M$85))</f>
        <v>0</v>
      </c>
      <c r="BM412" s="111">
        <v>1.26</v>
      </c>
      <c r="BN412" s="118">
        <f t="shared" si="211"/>
        <v>0.99549487475644238</v>
      </c>
      <c r="BO412" s="108" t="e">
        <f t="shared" si="212"/>
        <v>#DIV/0!</v>
      </c>
      <c r="BP412" s="6" t="e">
        <f t="shared" si="213"/>
        <v>#DIV/0!</v>
      </c>
      <c r="BQ412" s="16">
        <f t="shared" si="214"/>
        <v>127.25109874278135</v>
      </c>
      <c r="BR412" s="118">
        <f t="shared" si="215"/>
        <v>4.2387607289550546</v>
      </c>
      <c r="BS412" s="108">
        <f t="shared" si="216"/>
        <v>2.165079258409611</v>
      </c>
      <c r="BT412" s="118">
        <f t="shared" si="217"/>
        <v>1.1215805299879846</v>
      </c>
      <c r="BU412" s="108">
        <f t="shared" si="218"/>
        <v>2.4283107421130441</v>
      </c>
      <c r="BV412" s="6" cm="1">
        <f t="array" ref="BV412">IF(AP412=0,FactorPhi7121(BR412,"a"),noisuy2chieu(BU412,BR412,Data!$A$63:$M$85))</f>
        <v>0</v>
      </c>
      <c r="BW412" s="111">
        <v>1.26</v>
      </c>
      <c r="BX412" s="111">
        <f t="shared" si="219"/>
        <v>0.98197949902576975</v>
      </c>
      <c r="BY412" s="113" t="e">
        <f t="shared" si="220"/>
        <v>#DIV/0!</v>
      </c>
      <c r="BZ412" s="6" t="e">
        <f t="shared" si="221"/>
        <v>#DIV/0!</v>
      </c>
      <c r="CA412" s="114">
        <f t="shared" si="222"/>
        <v>127.25109874278135</v>
      </c>
      <c r="CB412" s="115" t="e">
        <f t="shared" si="223"/>
        <v>#DIV/0!</v>
      </c>
      <c r="CC412" s="6" t="e">
        <f t="shared" si="224"/>
        <v>#DIV/0!</v>
      </c>
    </row>
    <row r="413" spans="27:81">
      <c r="AA413" s="79" t="s">
        <v>175</v>
      </c>
      <c r="AB413" s="80" t="s">
        <v>202</v>
      </c>
      <c r="AC413" s="81">
        <v>0</v>
      </c>
      <c r="AD413" s="81">
        <v>6</v>
      </c>
      <c r="AE413" s="80">
        <v>273</v>
      </c>
      <c r="AF413" s="80">
        <v>6.35</v>
      </c>
      <c r="AG413" s="108" cm="1">
        <f t="array" ref="AG413">_xll.DCEPropSectPipe(AE413, AF413, "Area")/100</f>
        <v>53.19431074856206</v>
      </c>
      <c r="AH413" s="16" cm="1">
        <f t="array" ref="AH413">_xll.DCEPropSectPipe(AE413, AF413, "Ix")/10000</f>
        <v>4730.4733077169503</v>
      </c>
      <c r="AI413" s="16" cm="1">
        <f t="array" ref="AI413">_xll.DCEPropSectPipe(AE413, AF413, "Wx")/1000</f>
        <v>346.55482107816493</v>
      </c>
      <c r="AJ413" s="108">
        <f t="shared" si="193"/>
        <v>9.4301739777164251</v>
      </c>
      <c r="AK413" s="80" t="s">
        <v>206</v>
      </c>
      <c r="AL413" s="82">
        <v>-39.981780203803417</v>
      </c>
      <c r="AM413" s="82">
        <v>-4.4352605599379338</v>
      </c>
      <c r="AN413" s="82">
        <v>-7.2464738288829343E-3</v>
      </c>
      <c r="AO413" s="82">
        <v>0</v>
      </c>
      <c r="AP413" s="82">
        <v>0</v>
      </c>
      <c r="AQ413" s="82">
        <v>3.6707052801651977E-4</v>
      </c>
      <c r="AR413" s="72">
        <v>1</v>
      </c>
      <c r="AS413" s="116">
        <f t="shared" si="194"/>
        <v>6</v>
      </c>
      <c r="AT413" s="82">
        <v>2</v>
      </c>
      <c r="AU413" s="6">
        <f t="shared" si="195"/>
        <v>12</v>
      </c>
      <c r="AV413" s="111">
        <f t="shared" si="196"/>
        <v>3.288327002082049E-2</v>
      </c>
      <c r="AW413" s="117">
        <f t="shared" si="197"/>
        <v>105</v>
      </c>
      <c r="AX413" s="111">
        <f t="shared" si="198"/>
        <v>1</v>
      </c>
      <c r="AY413" s="111">
        <f t="shared" si="199"/>
        <v>1</v>
      </c>
      <c r="AZ413" s="111">
        <f t="shared" si="200"/>
        <v>1</v>
      </c>
      <c r="BA413" s="111">
        <f t="shared" si="201"/>
        <v>3.4613968442968934E-2</v>
      </c>
      <c r="BB413" s="111">
        <f t="shared" si="202"/>
        <v>0</v>
      </c>
      <c r="BC413" s="111">
        <f t="shared" si="203"/>
        <v>0</v>
      </c>
      <c r="BD413" s="111">
        <v>0</v>
      </c>
      <c r="BE413" s="111">
        <f t="shared" si="204"/>
        <v>3.4613968442968934E-2</v>
      </c>
      <c r="BF413" s="6" t="str">
        <f t="shared" si="205"/>
        <v>OK</v>
      </c>
      <c r="BG413" s="16">
        <f t="shared" si="206"/>
        <v>63.625549371390676</v>
      </c>
      <c r="BH413" s="118">
        <f t="shared" si="207"/>
        <v>2.1193803644775273</v>
      </c>
      <c r="BI413" s="108">
        <f t="shared" si="208"/>
        <v>0</v>
      </c>
      <c r="BJ413" s="6">
        <f t="shared" si="209"/>
        <v>1.2440309817761237</v>
      </c>
      <c r="BK413" s="108">
        <f t="shared" si="210"/>
        <v>0</v>
      </c>
      <c r="BL413" s="118" cm="1">
        <f t="array" ref="BL413">IF(AO413=0,FactorPhi7121(BH413,"a"),noisuy2chieu(BK413,BH413,Data!$A$63:$M$85))</f>
        <v>0.86214274110469236</v>
      </c>
      <c r="BM413" s="111">
        <v>1.26</v>
      </c>
      <c r="BN413" s="118">
        <f t="shared" si="211"/>
        <v>0.98522958113158809</v>
      </c>
      <c r="BO413" s="108">
        <f t="shared" si="212"/>
        <v>8.1830583912719912E-2</v>
      </c>
      <c r="BP413" s="6" t="str">
        <f t="shared" si="213"/>
        <v>OK</v>
      </c>
      <c r="BQ413" s="16">
        <f t="shared" si="214"/>
        <v>127.25109874278135</v>
      </c>
      <c r="BR413" s="118">
        <f t="shared" si="215"/>
        <v>4.2387607289550546</v>
      </c>
      <c r="BS413" s="108">
        <f t="shared" si="216"/>
        <v>0</v>
      </c>
      <c r="BT413" s="118">
        <f t="shared" si="217"/>
        <v>1.1380619635522473</v>
      </c>
      <c r="BU413" s="108">
        <f t="shared" si="218"/>
        <v>0</v>
      </c>
      <c r="BV413" s="6" cm="1">
        <f t="array" ref="BV413">IF(AP413=0,FactorPhi7121(BR413,"a"),noisuy2chieu(BU413,BR413,Data!$A$63:$M$85))</f>
        <v>0.42299549615688942</v>
      </c>
      <c r="BW413" s="111">
        <v>1.26</v>
      </c>
      <c r="BX413" s="111">
        <f t="shared" si="219"/>
        <v>0.94091832452635216</v>
      </c>
      <c r="BY413" s="113">
        <f t="shared" si="220"/>
        <v>4.014876747511311E-2</v>
      </c>
      <c r="BZ413" s="6" t="str">
        <f t="shared" si="221"/>
        <v>OK</v>
      </c>
      <c r="CA413" s="114">
        <f t="shared" si="222"/>
        <v>127.25109874278135</v>
      </c>
      <c r="CB413" s="115">
        <f t="shared" si="223"/>
        <v>150</v>
      </c>
      <c r="CC413" s="6" t="str">
        <f t="shared" si="224"/>
        <v>OK</v>
      </c>
    </row>
    <row r="414" spans="27:81">
      <c r="AA414" s="79" t="s">
        <v>175</v>
      </c>
      <c r="AB414" s="80" t="s">
        <v>202</v>
      </c>
      <c r="AC414" s="81">
        <v>2.74</v>
      </c>
      <c r="AD414" s="81">
        <v>6</v>
      </c>
      <c r="AE414" s="80">
        <v>273</v>
      </c>
      <c r="AF414" s="80">
        <v>6.35</v>
      </c>
      <c r="AG414" s="108" cm="1">
        <f t="array" ref="AG414">_xll.DCEPropSectPipe(AE414, AF414, "Area")/100</f>
        <v>53.19431074856206</v>
      </c>
      <c r="AH414" s="16" cm="1">
        <f t="array" ref="AH414">_xll.DCEPropSectPipe(AE414, AF414, "Ix")/10000</f>
        <v>4730.4733077169503</v>
      </c>
      <c r="AI414" s="16" cm="1">
        <f t="array" ref="AI414">_xll.DCEPropSectPipe(AE414, AF414, "Wx")/1000</f>
        <v>346.55482107816493</v>
      </c>
      <c r="AJ414" s="108">
        <f t="shared" si="193"/>
        <v>9.4301739777164251</v>
      </c>
      <c r="AK414" s="80" t="s">
        <v>206</v>
      </c>
      <c r="AL414" s="82">
        <v>-38.634519855071389</v>
      </c>
      <c r="AM414" s="82">
        <v>-4.4352605599379338</v>
      </c>
      <c r="AN414" s="82">
        <v>-7.2464738288829343E-3</v>
      </c>
      <c r="AO414" s="82">
        <v>1.9869831238797001E-2</v>
      </c>
      <c r="AP414" s="82">
        <v>12.161484455349814</v>
      </c>
      <c r="AQ414" s="82">
        <v>3.6707052801651977E-4</v>
      </c>
      <c r="AR414" s="72">
        <v>1</v>
      </c>
      <c r="AS414" s="116">
        <f t="shared" si="194"/>
        <v>6</v>
      </c>
      <c r="AT414" s="82">
        <v>2</v>
      </c>
      <c r="AU414" s="6">
        <f t="shared" si="195"/>
        <v>12</v>
      </c>
      <c r="AV414" s="111">
        <f t="shared" si="196"/>
        <v>3.1775207157939613E-2</v>
      </c>
      <c r="AW414" s="117">
        <f t="shared" si="197"/>
        <v>105</v>
      </c>
      <c r="AX414" s="111">
        <f t="shared" si="198"/>
        <v>1</v>
      </c>
      <c r="AY414" s="111">
        <f t="shared" si="199"/>
        <v>1</v>
      </c>
      <c r="AZ414" s="111">
        <f t="shared" si="200"/>
        <v>1</v>
      </c>
      <c r="BA414" s="111">
        <f t="shared" si="201"/>
        <v>3.34475864820417E-2</v>
      </c>
      <c r="BB414" s="111">
        <f t="shared" si="202"/>
        <v>2.6404423251979162E-4</v>
      </c>
      <c r="BC414" s="111">
        <f t="shared" si="203"/>
        <v>0.161610322237877</v>
      </c>
      <c r="BD414" s="111">
        <v>0</v>
      </c>
      <c r="BE414" s="111">
        <f t="shared" si="204"/>
        <v>0.19532195295243848</v>
      </c>
      <c r="BF414" s="6" t="str">
        <f t="shared" si="205"/>
        <v>OK</v>
      </c>
      <c r="BG414" s="16">
        <f t="shared" si="206"/>
        <v>63.625549371390676</v>
      </c>
      <c r="BH414" s="118">
        <f t="shared" si="207"/>
        <v>2.1193803644775273</v>
      </c>
      <c r="BI414" s="108">
        <f t="shared" si="208"/>
        <v>7.8942686241818757E-3</v>
      </c>
      <c r="BJ414" s="6">
        <f t="shared" si="209"/>
        <v>1.2438035779240548</v>
      </c>
      <c r="BK414" s="108">
        <f t="shared" si="210"/>
        <v>9.818919559851022E-3</v>
      </c>
      <c r="BL414" s="118" cm="1">
        <f t="array" ref="BL414">IF(AO414=0,FactorPhi7121(BH414,"a"),noisuy2chieu(BK414,BH414,Data!$A$63:$M$85))</f>
        <v>0</v>
      </c>
      <c r="BM414" s="111">
        <v>1.26</v>
      </c>
      <c r="BN414" s="118">
        <f t="shared" si="211"/>
        <v>0.98572729783089807</v>
      </c>
      <c r="BO414" s="108" t="e">
        <f t="shared" si="212"/>
        <v>#DIV/0!</v>
      </c>
      <c r="BP414" s="6" t="e">
        <f t="shared" si="213"/>
        <v>#DIV/0!</v>
      </c>
      <c r="BQ414" s="16">
        <f t="shared" si="214"/>
        <v>127.25109874278135</v>
      </c>
      <c r="BR414" s="118">
        <f t="shared" si="215"/>
        <v>4.2387607289550546</v>
      </c>
      <c r="BS414" s="108">
        <f t="shared" si="216"/>
        <v>4.8317483931059408</v>
      </c>
      <c r="BT414" s="118">
        <f t="shared" si="217"/>
        <v>1.1012807973058416</v>
      </c>
      <c r="BU414" s="108">
        <f t="shared" si="218"/>
        <v>5.3211117227409295</v>
      </c>
      <c r="BV414" s="6" cm="1">
        <f t="array" ref="BV414">IF(AP414=0,FactorPhi7121(BR414,"a"),noisuy2chieu(BU414,BR414,Data!$A$63:$M$85))</f>
        <v>0</v>
      </c>
      <c r="BW414" s="111">
        <v>1.26</v>
      </c>
      <c r="BX414" s="111">
        <f t="shared" si="219"/>
        <v>0.94290919132359219</v>
      </c>
      <c r="BY414" s="113" t="e">
        <f t="shared" si="220"/>
        <v>#DIV/0!</v>
      </c>
      <c r="BZ414" s="6" t="e">
        <f t="shared" si="221"/>
        <v>#DIV/0!</v>
      </c>
      <c r="CA414" s="114">
        <f t="shared" si="222"/>
        <v>127.25109874278135</v>
      </c>
      <c r="CB414" s="115" t="e">
        <f t="shared" si="223"/>
        <v>#DIV/0!</v>
      </c>
      <c r="CC414" s="6" t="e">
        <f t="shared" si="224"/>
        <v>#DIV/0!</v>
      </c>
    </row>
    <row r="415" spans="27:81">
      <c r="AA415" s="79" t="s">
        <v>175</v>
      </c>
      <c r="AB415" s="80" t="s">
        <v>202</v>
      </c>
      <c r="AC415" s="81">
        <v>5.48</v>
      </c>
      <c r="AD415" s="81">
        <v>6</v>
      </c>
      <c r="AE415" s="80">
        <v>273</v>
      </c>
      <c r="AF415" s="80">
        <v>6.35</v>
      </c>
      <c r="AG415" s="108" cm="1">
        <f t="array" ref="AG415">_xll.DCEPropSectPipe(AE415, AF415, "Area")/100</f>
        <v>53.19431074856206</v>
      </c>
      <c r="AH415" s="16" cm="1">
        <f t="array" ref="AH415">_xll.DCEPropSectPipe(AE415, AF415, "Ix")/10000</f>
        <v>4730.4733077169503</v>
      </c>
      <c r="AI415" s="16" cm="1">
        <f t="array" ref="AI415">_xll.DCEPropSectPipe(AE415, AF415, "Wx")/1000</f>
        <v>346.55482107816493</v>
      </c>
      <c r="AJ415" s="108">
        <f t="shared" si="193"/>
        <v>9.4301739777164251</v>
      </c>
      <c r="AK415" s="80" t="s">
        <v>206</v>
      </c>
      <c r="AL415" s="82">
        <v>-37.28725950633936</v>
      </c>
      <c r="AM415" s="82">
        <v>-4.4352605599379338</v>
      </c>
      <c r="AN415" s="82">
        <v>-7.2464738288829343E-3</v>
      </c>
      <c r="AO415" s="82">
        <v>3.9739662477594001E-2</v>
      </c>
      <c r="AP415" s="82">
        <v>24.322968910699629</v>
      </c>
      <c r="AQ415" s="82">
        <v>3.6707052801651977E-4</v>
      </c>
      <c r="AR415" s="72">
        <v>1</v>
      </c>
      <c r="AS415" s="116">
        <f t="shared" si="194"/>
        <v>6</v>
      </c>
      <c r="AT415" s="82">
        <v>2</v>
      </c>
      <c r="AU415" s="6">
        <f t="shared" si="195"/>
        <v>12</v>
      </c>
      <c r="AV415" s="111">
        <f t="shared" si="196"/>
        <v>3.0667144295058749E-2</v>
      </c>
      <c r="AW415" s="117">
        <f t="shared" si="197"/>
        <v>105</v>
      </c>
      <c r="AX415" s="111">
        <f t="shared" si="198"/>
        <v>1</v>
      </c>
      <c r="AY415" s="111">
        <f t="shared" si="199"/>
        <v>1</v>
      </c>
      <c r="AZ415" s="111">
        <f t="shared" si="200"/>
        <v>1</v>
      </c>
      <c r="BA415" s="111">
        <f t="shared" si="201"/>
        <v>3.2281204521114472E-2</v>
      </c>
      <c r="BB415" s="111">
        <f t="shared" si="202"/>
        <v>5.2808846503958325E-4</v>
      </c>
      <c r="BC415" s="111">
        <f t="shared" si="203"/>
        <v>0.32322064447575399</v>
      </c>
      <c r="BD415" s="111">
        <v>0</v>
      </c>
      <c r="BE415" s="111">
        <f t="shared" si="204"/>
        <v>0.35602993746190803</v>
      </c>
      <c r="BF415" s="6" t="str">
        <f t="shared" si="205"/>
        <v>OK</v>
      </c>
      <c r="BG415" s="16">
        <f t="shared" si="206"/>
        <v>63.625549371390676</v>
      </c>
      <c r="BH415" s="118">
        <f t="shared" si="207"/>
        <v>2.1193803644775273</v>
      </c>
      <c r="BI415" s="108">
        <f t="shared" si="208"/>
        <v>1.6359007443299448E-2</v>
      </c>
      <c r="BJ415" s="6">
        <f t="shared" si="209"/>
        <v>1.2435597409955355</v>
      </c>
      <c r="BK415" s="108">
        <f t="shared" si="210"/>
        <v>2.0343403059133496E-2</v>
      </c>
      <c r="BL415" s="118" cm="1">
        <f t="array" ref="BL415">IF(AO415=0,FactorPhi7121(BH415,"a"),noisuy2chieu(BK415,BH415,Data!$A$63:$M$85))</f>
        <v>0</v>
      </c>
      <c r="BM415" s="111">
        <v>1.26</v>
      </c>
      <c r="BN415" s="118">
        <f t="shared" si="211"/>
        <v>0.98622501453020806</v>
      </c>
      <c r="BO415" s="108" t="e">
        <f t="shared" si="212"/>
        <v>#DIV/0!</v>
      </c>
      <c r="BP415" s="6" t="e">
        <f t="shared" si="213"/>
        <v>#DIV/0!</v>
      </c>
      <c r="BQ415" s="16">
        <f t="shared" si="214"/>
        <v>127.25109874278135</v>
      </c>
      <c r="BR415" s="118">
        <f t="shared" si="215"/>
        <v>4.2387607289550546</v>
      </c>
      <c r="BS415" s="108">
        <f t="shared" si="216"/>
        <v>10.012657497471695</v>
      </c>
      <c r="BT415" s="118">
        <f t="shared" si="217"/>
        <v>1.1000000000000001</v>
      </c>
      <c r="BU415" s="108">
        <f t="shared" si="218"/>
        <v>11.013923247218866</v>
      </c>
      <c r="BV415" s="6" cm="1">
        <f t="array" ref="BV415">IF(AP415=0,FactorPhi7121(BR415,"a"),noisuy2chieu(BU415,BR415,Data!$A$63:$M$85))</f>
        <v>0</v>
      </c>
      <c r="BW415" s="111">
        <v>1.26</v>
      </c>
      <c r="BX415" s="111">
        <f t="shared" si="219"/>
        <v>0.94490005812083222</v>
      </c>
      <c r="BY415" s="113" t="e">
        <f t="shared" si="220"/>
        <v>#DIV/0!</v>
      </c>
      <c r="BZ415" s="6" t="e">
        <f t="shared" si="221"/>
        <v>#DIV/0!</v>
      </c>
      <c r="CA415" s="114">
        <f t="shared" si="222"/>
        <v>127.25109874278135</v>
      </c>
      <c r="CB415" s="115" t="e">
        <f t="shared" si="223"/>
        <v>#DIV/0!</v>
      </c>
      <c r="CC415" s="6" t="e">
        <f t="shared" si="224"/>
        <v>#DIV/0!</v>
      </c>
    </row>
    <row r="416" spans="27:81">
      <c r="AA416" s="79" t="s">
        <v>175</v>
      </c>
      <c r="AB416" s="80" t="s">
        <v>202</v>
      </c>
      <c r="AC416" s="81">
        <v>0</v>
      </c>
      <c r="AD416" s="81">
        <v>6</v>
      </c>
      <c r="AE416" s="80">
        <v>273</v>
      </c>
      <c r="AF416" s="80">
        <v>6.35</v>
      </c>
      <c r="AG416" s="108" cm="1">
        <f t="array" ref="AG416">_xll.DCEPropSectPipe(AE416, AF416, "Area")/100</f>
        <v>53.19431074856206</v>
      </c>
      <c r="AH416" s="16" cm="1">
        <f t="array" ref="AH416">_xll.DCEPropSectPipe(AE416, AF416, "Ix")/10000</f>
        <v>4730.4733077169503</v>
      </c>
      <c r="AI416" s="16" cm="1">
        <f t="array" ref="AI416">_xll.DCEPropSectPipe(AE416, AF416, "Wx")/1000</f>
        <v>346.55482107816493</v>
      </c>
      <c r="AJ416" s="108">
        <f t="shared" si="193"/>
        <v>9.4301739777164251</v>
      </c>
      <c r="AK416" s="80" t="s">
        <v>207</v>
      </c>
      <c r="AL416" s="82">
        <v>-65.891585980226182</v>
      </c>
      <c r="AM416" s="82">
        <v>-6.8909904222661247</v>
      </c>
      <c r="AN416" s="82">
        <v>-1.1604206056744101E-2</v>
      </c>
      <c r="AO416" s="82">
        <v>0</v>
      </c>
      <c r="AP416" s="82">
        <v>0</v>
      </c>
      <c r="AQ416" s="82">
        <v>2.6347062584591678E-4</v>
      </c>
      <c r="AR416" s="72">
        <v>1</v>
      </c>
      <c r="AS416" s="116">
        <f t="shared" si="194"/>
        <v>6</v>
      </c>
      <c r="AT416" s="82">
        <v>2</v>
      </c>
      <c r="AU416" s="6">
        <f t="shared" si="195"/>
        <v>12</v>
      </c>
      <c r="AV416" s="111">
        <f t="shared" si="196"/>
        <v>5.4192954962064659E-2</v>
      </c>
      <c r="AW416" s="117">
        <f t="shared" si="197"/>
        <v>105</v>
      </c>
      <c r="AX416" s="111">
        <f t="shared" si="198"/>
        <v>1</v>
      </c>
      <c r="AY416" s="111">
        <f t="shared" si="199"/>
        <v>1</v>
      </c>
      <c r="AZ416" s="111">
        <f t="shared" si="200"/>
        <v>1</v>
      </c>
      <c r="BA416" s="111">
        <f t="shared" si="201"/>
        <v>5.7045215749541751E-2</v>
      </c>
      <c r="BB416" s="111">
        <f t="shared" si="202"/>
        <v>0</v>
      </c>
      <c r="BC416" s="111">
        <f t="shared" si="203"/>
        <v>0</v>
      </c>
      <c r="BD416" s="111">
        <v>0</v>
      </c>
      <c r="BE416" s="111">
        <f t="shared" si="204"/>
        <v>5.7045215749541751E-2</v>
      </c>
      <c r="BF416" s="6" t="str">
        <f t="shared" si="205"/>
        <v>OK</v>
      </c>
      <c r="BG416" s="16">
        <f t="shared" si="206"/>
        <v>63.625549371390676</v>
      </c>
      <c r="BH416" s="118">
        <f t="shared" si="207"/>
        <v>2.1193803644775273</v>
      </c>
      <c r="BI416" s="108">
        <f t="shared" si="208"/>
        <v>0</v>
      </c>
      <c r="BJ416" s="6">
        <f t="shared" si="209"/>
        <v>1.2440309817761237</v>
      </c>
      <c r="BK416" s="108">
        <f t="shared" si="210"/>
        <v>0</v>
      </c>
      <c r="BL416" s="118" cm="1">
        <f t="array" ref="BL416">IF(AO416=0,FactorPhi7121(BH416,"a"),noisuy2chieu(BK416,BH416,Data!$A$63:$M$85))</f>
        <v>0.86214274110469236</v>
      </c>
      <c r="BM416" s="111">
        <v>1.26</v>
      </c>
      <c r="BN416" s="118">
        <f t="shared" si="211"/>
        <v>0.97565775411022504</v>
      </c>
      <c r="BO416" s="108">
        <f t="shared" si="212"/>
        <v>0.13486010198175638</v>
      </c>
      <c r="BP416" s="6" t="str">
        <f t="shared" si="213"/>
        <v>OK</v>
      </c>
      <c r="BQ416" s="16">
        <f t="shared" si="214"/>
        <v>127.25109874278135</v>
      </c>
      <c r="BR416" s="118">
        <f t="shared" si="215"/>
        <v>4.2387607289550546</v>
      </c>
      <c r="BS416" s="108">
        <f t="shared" si="216"/>
        <v>0</v>
      </c>
      <c r="BT416" s="118">
        <f t="shared" si="217"/>
        <v>1.1380619635522473</v>
      </c>
      <c r="BU416" s="108">
        <f t="shared" si="218"/>
        <v>0</v>
      </c>
      <c r="BV416" s="6" cm="1">
        <f t="array" ref="BV416">IF(AP416=0,FactorPhi7121(BR416,"a"),noisuy2chieu(BU416,BR416,Data!$A$63:$M$85))</f>
        <v>0.42299549615688942</v>
      </c>
      <c r="BW416" s="111">
        <v>1.26</v>
      </c>
      <c r="BX416" s="111">
        <f t="shared" si="219"/>
        <v>0.90263101644090005</v>
      </c>
      <c r="BY416" s="113">
        <f t="shared" si="220"/>
        <v>6.6166787736851793E-2</v>
      </c>
      <c r="BZ416" s="6" t="str">
        <f t="shared" si="221"/>
        <v>OK</v>
      </c>
      <c r="CA416" s="114">
        <f t="shared" si="222"/>
        <v>127.25109874278135</v>
      </c>
      <c r="CB416" s="115">
        <f t="shared" si="223"/>
        <v>150</v>
      </c>
      <c r="CC416" s="6" t="str">
        <f t="shared" si="224"/>
        <v>OK</v>
      </c>
    </row>
    <row r="417" spans="27:81">
      <c r="AA417" s="79" t="s">
        <v>175</v>
      </c>
      <c r="AB417" s="80" t="s">
        <v>202</v>
      </c>
      <c r="AC417" s="81">
        <v>2.74</v>
      </c>
      <c r="AD417" s="81">
        <v>6</v>
      </c>
      <c r="AE417" s="80">
        <v>273</v>
      </c>
      <c r="AF417" s="80">
        <v>6.35</v>
      </c>
      <c r="AG417" s="108" cm="1">
        <f t="array" ref="AG417">_xll.DCEPropSectPipe(AE417, AF417, "Area")/100</f>
        <v>53.19431074856206</v>
      </c>
      <c r="AH417" s="16" cm="1">
        <f t="array" ref="AH417">_xll.DCEPropSectPipe(AE417, AF417, "Ix")/10000</f>
        <v>4730.4733077169503</v>
      </c>
      <c r="AI417" s="16" cm="1">
        <f t="array" ref="AI417">_xll.DCEPropSectPipe(AE417, AF417, "Wx")/1000</f>
        <v>346.55482107816493</v>
      </c>
      <c r="AJ417" s="108">
        <f t="shared" si="193"/>
        <v>9.4301739777164251</v>
      </c>
      <c r="AK417" s="80" t="s">
        <v>207</v>
      </c>
      <c r="AL417" s="82">
        <v>-64.544325631494146</v>
      </c>
      <c r="AM417" s="82">
        <v>-6.8909904222661247</v>
      </c>
      <c r="AN417" s="82">
        <v>-1.1604206056744101E-2</v>
      </c>
      <c r="AO417" s="82">
        <v>3.1818733007592324E-2</v>
      </c>
      <c r="AP417" s="82">
        <v>18.895095737853708</v>
      </c>
      <c r="AQ417" s="82">
        <v>2.6347062584591678E-4</v>
      </c>
      <c r="AR417" s="72">
        <v>1</v>
      </c>
      <c r="AS417" s="116">
        <f t="shared" si="194"/>
        <v>6</v>
      </c>
      <c r="AT417" s="82">
        <v>2</v>
      </c>
      <c r="AU417" s="6">
        <f t="shared" si="195"/>
        <v>12</v>
      </c>
      <c r="AV417" s="111">
        <f t="shared" si="196"/>
        <v>5.3084892099183781E-2</v>
      </c>
      <c r="AW417" s="117">
        <f t="shared" si="197"/>
        <v>105</v>
      </c>
      <c r="AX417" s="111">
        <f t="shared" si="198"/>
        <v>1</v>
      </c>
      <c r="AY417" s="111">
        <f t="shared" si="199"/>
        <v>1</v>
      </c>
      <c r="AZ417" s="111">
        <f t="shared" si="200"/>
        <v>1</v>
      </c>
      <c r="BA417" s="111">
        <f t="shared" si="201"/>
        <v>5.5878833788614517E-2</v>
      </c>
      <c r="BB417" s="111">
        <f t="shared" si="202"/>
        <v>4.2282960714519594E-4</v>
      </c>
      <c r="BC417" s="111">
        <f t="shared" si="203"/>
        <v>0.25109126456735981</v>
      </c>
      <c r="BD417" s="111">
        <v>0</v>
      </c>
      <c r="BE417" s="111">
        <f t="shared" si="204"/>
        <v>0.30739292796311951</v>
      </c>
      <c r="BF417" s="6" t="str">
        <f t="shared" si="205"/>
        <v>OK</v>
      </c>
      <c r="BG417" s="16">
        <f t="shared" si="206"/>
        <v>63.625549371390676</v>
      </c>
      <c r="BH417" s="118">
        <f t="shared" si="207"/>
        <v>2.1193803644775273</v>
      </c>
      <c r="BI417" s="108">
        <f t="shared" si="208"/>
        <v>7.5669010692801667E-3</v>
      </c>
      <c r="BJ417" s="6">
        <f t="shared" si="209"/>
        <v>1.2438130081381216</v>
      </c>
      <c r="BK417" s="108">
        <f t="shared" si="210"/>
        <v>9.4118099812649323E-3</v>
      </c>
      <c r="BL417" s="118" cm="1">
        <f t="array" ref="BL417">IF(AO417=0,FactorPhi7121(BH417,"a"),noisuy2chieu(BK417,BH417,Data!$A$63:$M$85))</f>
        <v>0</v>
      </c>
      <c r="BM417" s="111">
        <v>1.26</v>
      </c>
      <c r="BN417" s="118">
        <f t="shared" si="211"/>
        <v>0.97615547080953502</v>
      </c>
      <c r="BO417" s="108" t="e">
        <f t="shared" si="212"/>
        <v>#DIV/0!</v>
      </c>
      <c r="BP417" s="6" t="e">
        <f t="shared" si="213"/>
        <v>#DIV/0!</v>
      </c>
      <c r="BQ417" s="16">
        <f t="shared" si="214"/>
        <v>127.25109874278135</v>
      </c>
      <c r="BR417" s="118">
        <f t="shared" si="215"/>
        <v>4.2387607289550546</v>
      </c>
      <c r="BS417" s="108">
        <f t="shared" si="216"/>
        <v>4.4934950775318523</v>
      </c>
      <c r="BT417" s="118">
        <f t="shared" si="217"/>
        <v>1.1038557143796035</v>
      </c>
      <c r="BU417" s="108">
        <f t="shared" si="218"/>
        <v>4.9601702188701546</v>
      </c>
      <c r="BV417" s="6" cm="1">
        <f t="array" ref="BV417">IF(AP417=0,FactorPhi7121(BR417,"a"),noisuy2chieu(BU417,BR417,Data!$A$63:$M$85))</f>
        <v>0</v>
      </c>
      <c r="BW417" s="111">
        <v>1.26</v>
      </c>
      <c r="BX417" s="111">
        <f t="shared" si="219"/>
        <v>0.90462188323814008</v>
      </c>
      <c r="BY417" s="113" t="e">
        <f t="shared" si="220"/>
        <v>#DIV/0!</v>
      </c>
      <c r="BZ417" s="6" t="e">
        <f t="shared" si="221"/>
        <v>#DIV/0!</v>
      </c>
      <c r="CA417" s="114">
        <f t="shared" si="222"/>
        <v>127.25109874278135</v>
      </c>
      <c r="CB417" s="115" t="e">
        <f t="shared" si="223"/>
        <v>#DIV/0!</v>
      </c>
      <c r="CC417" s="6" t="e">
        <f t="shared" si="224"/>
        <v>#DIV/0!</v>
      </c>
    </row>
    <row r="418" spans="27:81">
      <c r="AA418" s="79" t="s">
        <v>175</v>
      </c>
      <c r="AB418" s="80" t="s">
        <v>202</v>
      </c>
      <c r="AC418" s="81">
        <v>5.48</v>
      </c>
      <c r="AD418" s="81">
        <v>6</v>
      </c>
      <c r="AE418" s="80">
        <v>273</v>
      </c>
      <c r="AF418" s="80">
        <v>6.35</v>
      </c>
      <c r="AG418" s="108" cm="1">
        <f t="array" ref="AG418">_xll.DCEPropSectPipe(AE418, AF418, "Area")/100</f>
        <v>53.19431074856206</v>
      </c>
      <c r="AH418" s="16" cm="1">
        <f t="array" ref="AH418">_xll.DCEPropSectPipe(AE418, AF418, "Ix")/10000</f>
        <v>4730.4733077169503</v>
      </c>
      <c r="AI418" s="16" cm="1">
        <f t="array" ref="AI418">_xll.DCEPropSectPipe(AE418, AF418, "Wx")/1000</f>
        <v>346.55482107816493</v>
      </c>
      <c r="AJ418" s="108">
        <f t="shared" si="193"/>
        <v>9.4301739777164251</v>
      </c>
      <c r="AK418" s="80" t="s">
        <v>207</v>
      </c>
      <c r="AL418" s="82">
        <v>-63.197065282762111</v>
      </c>
      <c r="AM418" s="82">
        <v>-6.8909904222661247</v>
      </c>
      <c r="AN418" s="82">
        <v>-1.1604206056744101E-2</v>
      </c>
      <c r="AO418" s="82">
        <v>6.3637466015184649E-2</v>
      </c>
      <c r="AP418" s="82">
        <v>37.790191475707417</v>
      </c>
      <c r="AQ418" s="82">
        <v>2.6347062584591678E-4</v>
      </c>
      <c r="AR418" s="72">
        <v>1</v>
      </c>
      <c r="AS418" s="116">
        <f t="shared" si="194"/>
        <v>6</v>
      </c>
      <c r="AT418" s="82">
        <v>2</v>
      </c>
      <c r="AU418" s="6">
        <f t="shared" si="195"/>
        <v>12</v>
      </c>
      <c r="AV418" s="111">
        <f t="shared" si="196"/>
        <v>5.197682923630291E-2</v>
      </c>
      <c r="AW418" s="117">
        <f t="shared" si="197"/>
        <v>105</v>
      </c>
      <c r="AX418" s="111">
        <f t="shared" si="198"/>
        <v>1</v>
      </c>
      <c r="AY418" s="111">
        <f t="shared" si="199"/>
        <v>1</v>
      </c>
      <c r="AZ418" s="111">
        <f t="shared" si="200"/>
        <v>1</v>
      </c>
      <c r="BA418" s="111">
        <f t="shared" si="201"/>
        <v>5.4712451827687275E-2</v>
      </c>
      <c r="BB418" s="111">
        <f t="shared" si="202"/>
        <v>8.4565921429039187E-4</v>
      </c>
      <c r="BC418" s="111">
        <f t="shared" si="203"/>
        <v>0.50218252913471961</v>
      </c>
      <c r="BD418" s="111">
        <v>0</v>
      </c>
      <c r="BE418" s="111">
        <f t="shared" si="204"/>
        <v>0.55774064017669733</v>
      </c>
      <c r="BF418" s="6" t="str">
        <f t="shared" si="205"/>
        <v>OK</v>
      </c>
      <c r="BG418" s="16">
        <f t="shared" si="206"/>
        <v>63.625549371390676</v>
      </c>
      <c r="BH418" s="118">
        <f t="shared" si="207"/>
        <v>2.1193803644775273</v>
      </c>
      <c r="BI418" s="108">
        <f t="shared" si="208"/>
        <v>1.5456430593783871E-2</v>
      </c>
      <c r="BJ418" s="6">
        <f t="shared" si="209"/>
        <v>1.2435857408014883</v>
      </c>
      <c r="BK418" s="108">
        <f t="shared" si="210"/>
        <v>1.9221396690117503E-2</v>
      </c>
      <c r="BL418" s="118" cm="1">
        <f t="array" ref="BL418">IF(AO418=0,FactorPhi7121(BH418,"a"),noisuy2chieu(BK418,BH418,Data!$A$63:$M$85))</f>
        <v>0</v>
      </c>
      <c r="BM418" s="111">
        <v>1.26</v>
      </c>
      <c r="BN418" s="118">
        <f t="shared" si="211"/>
        <v>0.976653187508845</v>
      </c>
      <c r="BO418" s="108" t="e">
        <f t="shared" si="212"/>
        <v>#DIV/0!</v>
      </c>
      <c r="BP418" s="6" t="e">
        <f t="shared" si="213"/>
        <v>#DIV/0!</v>
      </c>
      <c r="BQ418" s="16">
        <f t="shared" si="214"/>
        <v>127.25109874278135</v>
      </c>
      <c r="BR418" s="118">
        <f t="shared" si="215"/>
        <v>4.2387607289550546</v>
      </c>
      <c r="BS418" s="108">
        <f t="shared" si="216"/>
        <v>9.1785784105655797</v>
      </c>
      <c r="BT418" s="118">
        <f t="shared" si="217"/>
        <v>1.1000000000000001</v>
      </c>
      <c r="BU418" s="108">
        <f t="shared" si="218"/>
        <v>10.096436251622139</v>
      </c>
      <c r="BV418" s="6" cm="1">
        <f t="array" ref="BV418">IF(AP418=0,FactorPhi7121(BR418,"a"),noisuy2chieu(BU418,BR418,Data!$A$63:$M$85))</f>
        <v>0</v>
      </c>
      <c r="BW418" s="111">
        <v>1.26</v>
      </c>
      <c r="BX418" s="111">
        <f t="shared" si="219"/>
        <v>0.90661275003538</v>
      </c>
      <c r="BY418" s="113" t="e">
        <f t="shared" si="220"/>
        <v>#DIV/0!</v>
      </c>
      <c r="BZ418" s="6" t="e">
        <f t="shared" si="221"/>
        <v>#DIV/0!</v>
      </c>
      <c r="CA418" s="114">
        <f t="shared" si="222"/>
        <v>127.25109874278135</v>
      </c>
      <c r="CB418" s="115" t="e">
        <f t="shared" si="223"/>
        <v>#DIV/0!</v>
      </c>
      <c r="CC418" s="6" t="e">
        <f t="shared" si="224"/>
        <v>#DIV/0!</v>
      </c>
    </row>
    <row r="419" spans="27:81">
      <c r="AA419" s="79" t="s">
        <v>175</v>
      </c>
      <c r="AB419" s="80" t="s">
        <v>202</v>
      </c>
      <c r="AC419" s="81">
        <v>0</v>
      </c>
      <c r="AD419" s="81">
        <v>6</v>
      </c>
      <c r="AE419" s="80">
        <v>273</v>
      </c>
      <c r="AF419" s="80">
        <v>6.35</v>
      </c>
      <c r="AG419" s="108" cm="1">
        <f t="array" ref="AG419">_xll.DCEPropSectPipe(AE419, AF419, "Area")/100</f>
        <v>53.19431074856206</v>
      </c>
      <c r="AH419" s="16" cm="1">
        <f t="array" ref="AH419">_xll.DCEPropSectPipe(AE419, AF419, "Ix")/10000</f>
        <v>4730.4733077169503</v>
      </c>
      <c r="AI419" s="16" cm="1">
        <f t="array" ref="AI419">_xll.DCEPropSectPipe(AE419, AF419, "Wx")/1000</f>
        <v>346.55482107816493</v>
      </c>
      <c r="AJ419" s="108">
        <f t="shared" si="193"/>
        <v>9.4301739777164251</v>
      </c>
      <c r="AK419" s="80" t="s">
        <v>208</v>
      </c>
      <c r="AL419" s="82">
        <v>-52.108070717873275</v>
      </c>
      <c r="AM419" s="82">
        <v>-6.8183078055117932</v>
      </c>
      <c r="AN419" s="82">
        <v>-1.0683816019273602E-2</v>
      </c>
      <c r="AO419" s="82">
        <v>0</v>
      </c>
      <c r="AP419" s="82">
        <v>0</v>
      </c>
      <c r="AQ419" s="82">
        <v>1.0042648983389264E-3</v>
      </c>
      <c r="AR419" s="72">
        <v>1</v>
      </c>
      <c r="AS419" s="116">
        <f t="shared" si="194"/>
        <v>6</v>
      </c>
      <c r="AT419" s="82">
        <v>2</v>
      </c>
      <c r="AU419" s="6">
        <f t="shared" si="195"/>
        <v>12</v>
      </c>
      <c r="AV419" s="111">
        <f t="shared" si="196"/>
        <v>4.2856614961752859E-2</v>
      </c>
      <c r="AW419" s="117">
        <f t="shared" si="197"/>
        <v>105</v>
      </c>
      <c r="AX419" s="111">
        <f t="shared" si="198"/>
        <v>1</v>
      </c>
      <c r="AY419" s="111">
        <f t="shared" si="199"/>
        <v>1</v>
      </c>
      <c r="AZ419" s="111">
        <f t="shared" si="200"/>
        <v>1</v>
      </c>
      <c r="BA419" s="111">
        <f t="shared" si="201"/>
        <v>4.5112226275529341E-2</v>
      </c>
      <c r="BB419" s="111">
        <f t="shared" si="202"/>
        <v>0</v>
      </c>
      <c r="BC419" s="111">
        <f t="shared" si="203"/>
        <v>0</v>
      </c>
      <c r="BD419" s="111">
        <v>0</v>
      </c>
      <c r="BE419" s="111">
        <f t="shared" si="204"/>
        <v>4.5112226275529341E-2</v>
      </c>
      <c r="BF419" s="6" t="str">
        <f t="shared" si="205"/>
        <v>OK</v>
      </c>
      <c r="BG419" s="16">
        <f t="shared" si="206"/>
        <v>63.625549371390676</v>
      </c>
      <c r="BH419" s="118">
        <f t="shared" si="207"/>
        <v>2.1193803644775273</v>
      </c>
      <c r="BI419" s="108">
        <f t="shared" si="208"/>
        <v>0</v>
      </c>
      <c r="BJ419" s="6">
        <f t="shared" si="209"/>
        <v>1.2440309817761237</v>
      </c>
      <c r="BK419" s="108">
        <f t="shared" si="210"/>
        <v>0</v>
      </c>
      <c r="BL419" s="118" cm="1">
        <f t="array" ref="BL419">IF(AO419=0,FactorPhi7121(BH419,"a"),noisuy2chieu(BK419,BH419,Data!$A$63:$M$85))</f>
        <v>0.86214274110469236</v>
      </c>
      <c r="BM419" s="111">
        <v>1.26</v>
      </c>
      <c r="BN419" s="118">
        <f t="shared" si="211"/>
        <v>0.98074978085006326</v>
      </c>
      <c r="BO419" s="108">
        <f t="shared" si="212"/>
        <v>0.10664942460474135</v>
      </c>
      <c r="BP419" s="6" t="str">
        <f t="shared" si="213"/>
        <v>OK</v>
      </c>
      <c r="BQ419" s="16">
        <f t="shared" si="214"/>
        <v>127.25109874278135</v>
      </c>
      <c r="BR419" s="118">
        <f t="shared" si="215"/>
        <v>4.2387607289550546</v>
      </c>
      <c r="BS419" s="108">
        <f t="shared" si="216"/>
        <v>0</v>
      </c>
      <c r="BT419" s="118">
        <f t="shared" si="217"/>
        <v>1.1380619635522473</v>
      </c>
      <c r="BU419" s="108">
        <f t="shared" si="218"/>
        <v>0</v>
      </c>
      <c r="BV419" s="6" cm="1">
        <f t="array" ref="BV419">IF(AP419=0,FactorPhi7121(BR419,"a"),noisuy2chieu(BU419,BR419,Data!$A$63:$M$85))</f>
        <v>0.42299549615688942</v>
      </c>
      <c r="BW419" s="111">
        <v>1.26</v>
      </c>
      <c r="BX419" s="111">
        <f t="shared" si="219"/>
        <v>0.92299912340025292</v>
      </c>
      <c r="BY419" s="113">
        <f t="shared" si="220"/>
        <v>5.2325704462494842E-2</v>
      </c>
      <c r="BZ419" s="6" t="str">
        <f t="shared" si="221"/>
        <v>OK</v>
      </c>
      <c r="CA419" s="114">
        <f t="shared" si="222"/>
        <v>127.25109874278135</v>
      </c>
      <c r="CB419" s="115">
        <f t="shared" si="223"/>
        <v>150</v>
      </c>
      <c r="CC419" s="6" t="str">
        <f t="shared" si="224"/>
        <v>OK</v>
      </c>
    </row>
    <row r="420" spans="27:81">
      <c r="AA420" s="79" t="s">
        <v>175</v>
      </c>
      <c r="AB420" s="80" t="s">
        <v>202</v>
      </c>
      <c r="AC420" s="81">
        <v>2.74</v>
      </c>
      <c r="AD420" s="81">
        <v>6</v>
      </c>
      <c r="AE420" s="80">
        <v>273</v>
      </c>
      <c r="AF420" s="80">
        <v>6.35</v>
      </c>
      <c r="AG420" s="108" cm="1">
        <f t="array" ref="AG420">_xll.DCEPropSectPipe(AE420, AF420, "Area")/100</f>
        <v>53.19431074856206</v>
      </c>
      <c r="AH420" s="16" cm="1">
        <f t="array" ref="AH420">_xll.DCEPropSectPipe(AE420, AF420, "Ix")/10000</f>
        <v>4730.4733077169503</v>
      </c>
      <c r="AI420" s="16" cm="1">
        <f t="array" ref="AI420">_xll.DCEPropSectPipe(AE420, AF420, "Wx")/1000</f>
        <v>346.55482107816493</v>
      </c>
      <c r="AJ420" s="108">
        <f t="shared" si="193"/>
        <v>9.4301739777164251</v>
      </c>
      <c r="AK420" s="80" t="s">
        <v>208</v>
      </c>
      <c r="AL420" s="82">
        <v>-50.760810369141247</v>
      </c>
      <c r="AM420" s="82">
        <v>-6.8183078055117932</v>
      </c>
      <c r="AN420" s="82">
        <v>-1.0683816019273602E-2</v>
      </c>
      <c r="AO420" s="82">
        <v>2.9295023524848217E-2</v>
      </c>
      <c r="AP420" s="82">
        <v>18.695800002713337</v>
      </c>
      <c r="AQ420" s="82">
        <v>1.0042648983389264E-3</v>
      </c>
      <c r="AR420" s="72">
        <v>1</v>
      </c>
      <c r="AS420" s="116">
        <f t="shared" si="194"/>
        <v>6</v>
      </c>
      <c r="AT420" s="82">
        <v>2</v>
      </c>
      <c r="AU420" s="6">
        <f t="shared" si="195"/>
        <v>12</v>
      </c>
      <c r="AV420" s="111">
        <f t="shared" si="196"/>
        <v>4.1748552098871995E-2</v>
      </c>
      <c r="AW420" s="117">
        <f t="shared" si="197"/>
        <v>105</v>
      </c>
      <c r="AX420" s="111">
        <f t="shared" si="198"/>
        <v>1</v>
      </c>
      <c r="AY420" s="111">
        <f t="shared" si="199"/>
        <v>1</v>
      </c>
      <c r="AZ420" s="111">
        <f t="shared" si="200"/>
        <v>1</v>
      </c>
      <c r="BA420" s="111">
        <f t="shared" si="201"/>
        <v>4.3945844314602106E-2</v>
      </c>
      <c r="BB420" s="111">
        <f t="shared" si="202"/>
        <v>3.8929278816240758E-4</v>
      </c>
      <c r="BC420" s="111">
        <f t="shared" si="203"/>
        <v>0.24844288327024755</v>
      </c>
      <c r="BD420" s="111">
        <v>0</v>
      </c>
      <c r="BE420" s="111">
        <f t="shared" si="204"/>
        <v>0.29277802037301204</v>
      </c>
      <c r="BF420" s="6" t="str">
        <f t="shared" si="205"/>
        <v>OK</v>
      </c>
      <c r="BG420" s="16">
        <f t="shared" si="206"/>
        <v>63.625549371390676</v>
      </c>
      <c r="BH420" s="118">
        <f t="shared" si="207"/>
        <v>2.1193803644775273</v>
      </c>
      <c r="BI420" s="108">
        <f t="shared" si="208"/>
        <v>8.8584664655778477E-3</v>
      </c>
      <c r="BJ420" s="6">
        <f t="shared" si="209"/>
        <v>1.2437758030517101</v>
      </c>
      <c r="BK420" s="108">
        <f t="shared" si="210"/>
        <v>1.1017946242030731E-2</v>
      </c>
      <c r="BL420" s="118" cm="1">
        <f t="array" ref="BL420">IF(AO420=0,FactorPhi7121(BH420,"a"),noisuy2chieu(BK420,BH420,Data!$A$63:$M$85))</f>
        <v>0</v>
      </c>
      <c r="BM420" s="111">
        <v>1.26</v>
      </c>
      <c r="BN420" s="118">
        <f t="shared" si="211"/>
        <v>0.98124749754937324</v>
      </c>
      <c r="BO420" s="108" t="e">
        <f t="shared" si="212"/>
        <v>#DIV/0!</v>
      </c>
      <c r="BP420" s="6" t="e">
        <f t="shared" si="213"/>
        <v>#DIV/0!</v>
      </c>
      <c r="BQ420" s="16">
        <f t="shared" si="214"/>
        <v>127.25109874278135</v>
      </c>
      <c r="BR420" s="118">
        <f t="shared" si="215"/>
        <v>4.2387607289550546</v>
      </c>
      <c r="BS420" s="108">
        <f t="shared" si="216"/>
        <v>5.653387416832409</v>
      </c>
      <c r="BT420" s="118">
        <f t="shared" si="217"/>
        <v>1.1000000000000001</v>
      </c>
      <c r="BU420" s="108">
        <f t="shared" si="218"/>
        <v>6.2187261585156506</v>
      </c>
      <c r="BV420" s="6" cm="1">
        <f t="array" ref="BV420">IF(AP420=0,FactorPhi7121(BR420,"a"),noisuy2chieu(BU420,BR420,Data!$A$63:$M$85))</f>
        <v>0</v>
      </c>
      <c r="BW420" s="111">
        <v>1.26</v>
      </c>
      <c r="BX420" s="111">
        <f t="shared" si="219"/>
        <v>0.92498999019749295</v>
      </c>
      <c r="BY420" s="113" t="e">
        <f t="shared" si="220"/>
        <v>#DIV/0!</v>
      </c>
      <c r="BZ420" s="6" t="e">
        <f t="shared" si="221"/>
        <v>#DIV/0!</v>
      </c>
      <c r="CA420" s="114">
        <f t="shared" si="222"/>
        <v>127.25109874278135</v>
      </c>
      <c r="CB420" s="115" t="e">
        <f t="shared" si="223"/>
        <v>#DIV/0!</v>
      </c>
      <c r="CC420" s="6" t="e">
        <f t="shared" si="224"/>
        <v>#DIV/0!</v>
      </c>
    </row>
    <row r="421" spans="27:81">
      <c r="AA421" s="79" t="s">
        <v>175</v>
      </c>
      <c r="AB421" s="80" t="s">
        <v>202</v>
      </c>
      <c r="AC421" s="81">
        <v>5.48</v>
      </c>
      <c r="AD421" s="81">
        <v>6</v>
      </c>
      <c r="AE421" s="80">
        <v>273</v>
      </c>
      <c r="AF421" s="80">
        <v>6.35</v>
      </c>
      <c r="AG421" s="108" cm="1">
        <f t="array" ref="AG421">_xll.DCEPropSectPipe(AE421, AF421, "Area")/100</f>
        <v>53.19431074856206</v>
      </c>
      <c r="AH421" s="16" cm="1">
        <f t="array" ref="AH421">_xll.DCEPropSectPipe(AE421, AF421, "Ix")/10000</f>
        <v>4730.4733077169503</v>
      </c>
      <c r="AI421" s="16" cm="1">
        <f t="array" ref="AI421">_xll.DCEPropSectPipe(AE421, AF421, "Wx")/1000</f>
        <v>346.55482107816493</v>
      </c>
      <c r="AJ421" s="108">
        <f t="shared" si="193"/>
        <v>9.4301739777164251</v>
      </c>
      <c r="AK421" s="80" t="s">
        <v>208</v>
      </c>
      <c r="AL421" s="82">
        <v>-49.413550020409204</v>
      </c>
      <c r="AM421" s="82">
        <v>-6.8183078055117932</v>
      </c>
      <c r="AN421" s="82">
        <v>-1.0683816019273602E-2</v>
      </c>
      <c r="AO421" s="82">
        <v>5.8590047049696434E-2</v>
      </c>
      <c r="AP421" s="82">
        <v>37.391600005426675</v>
      </c>
      <c r="AQ421" s="82">
        <v>1.0042648983389264E-3</v>
      </c>
      <c r="AR421" s="72">
        <v>1</v>
      </c>
      <c r="AS421" s="116">
        <f t="shared" si="194"/>
        <v>6</v>
      </c>
      <c r="AT421" s="82">
        <v>2</v>
      </c>
      <c r="AU421" s="6">
        <f t="shared" si="195"/>
        <v>12</v>
      </c>
      <c r="AV421" s="111">
        <f t="shared" si="196"/>
        <v>4.0640489235991117E-2</v>
      </c>
      <c r="AW421" s="117">
        <f t="shared" si="197"/>
        <v>105</v>
      </c>
      <c r="AX421" s="111">
        <f t="shared" si="198"/>
        <v>1</v>
      </c>
      <c r="AY421" s="111">
        <f t="shared" si="199"/>
        <v>1</v>
      </c>
      <c r="AZ421" s="111">
        <f t="shared" si="200"/>
        <v>1</v>
      </c>
      <c r="BA421" s="111">
        <f t="shared" si="201"/>
        <v>4.2779462353674864E-2</v>
      </c>
      <c r="BB421" s="111">
        <f t="shared" si="202"/>
        <v>7.7858557632481517E-4</v>
      </c>
      <c r="BC421" s="111">
        <f t="shared" si="203"/>
        <v>0.4968857665404951</v>
      </c>
      <c r="BD421" s="111">
        <v>0</v>
      </c>
      <c r="BE421" s="111">
        <f t="shared" si="204"/>
        <v>0.54044381447049483</v>
      </c>
      <c r="BF421" s="6" t="str">
        <f t="shared" si="205"/>
        <v>OK</v>
      </c>
      <c r="BG421" s="16">
        <f t="shared" si="206"/>
        <v>63.625549371390676</v>
      </c>
      <c r="BH421" s="118">
        <f t="shared" si="207"/>
        <v>2.1193803644775273</v>
      </c>
      <c r="BI421" s="108">
        <f t="shared" si="208"/>
        <v>1.819998507433165E-2</v>
      </c>
      <c r="BJ421" s="6">
        <f t="shared" si="209"/>
        <v>1.2435067094324104</v>
      </c>
      <c r="BK421" s="108">
        <f t="shared" si="210"/>
        <v>2.2631803551501132E-2</v>
      </c>
      <c r="BL421" s="118" cm="1">
        <f t="array" ref="BL421">IF(AO421=0,FactorPhi7121(BH421,"a"),noisuy2chieu(BK421,BH421,Data!$A$63:$M$85))</f>
        <v>0</v>
      </c>
      <c r="BM421" s="111">
        <v>1.26</v>
      </c>
      <c r="BN421" s="118">
        <f t="shared" si="211"/>
        <v>0.98174521424868322</v>
      </c>
      <c r="BO421" s="108" t="e">
        <f t="shared" si="212"/>
        <v>#DIV/0!</v>
      </c>
      <c r="BP421" s="6" t="e">
        <f t="shared" si="213"/>
        <v>#DIV/0!</v>
      </c>
      <c r="BQ421" s="16">
        <f t="shared" si="214"/>
        <v>127.25109874278135</v>
      </c>
      <c r="BR421" s="118">
        <f t="shared" si="215"/>
        <v>4.2387607289550546</v>
      </c>
      <c r="BS421" s="108">
        <f t="shared" si="216"/>
        <v>11.615054028321875</v>
      </c>
      <c r="BT421" s="118">
        <f t="shared" si="217"/>
        <v>1.1000000000000001</v>
      </c>
      <c r="BU421" s="108">
        <f t="shared" si="218"/>
        <v>12.776559431154064</v>
      </c>
      <c r="BV421" s="6" cm="1">
        <f t="array" ref="BV421">IF(AP421=0,FactorPhi7121(BR421,"a"),noisuy2chieu(BU421,BR421,Data!$A$63:$M$85))</f>
        <v>0</v>
      </c>
      <c r="BW421" s="111">
        <v>1.26</v>
      </c>
      <c r="BX421" s="111">
        <f t="shared" si="219"/>
        <v>0.92698085699473287</v>
      </c>
      <c r="BY421" s="113" t="e">
        <f t="shared" si="220"/>
        <v>#DIV/0!</v>
      </c>
      <c r="BZ421" s="6" t="e">
        <f t="shared" si="221"/>
        <v>#DIV/0!</v>
      </c>
      <c r="CA421" s="114">
        <f t="shared" si="222"/>
        <v>127.25109874278135</v>
      </c>
      <c r="CB421" s="115" t="e">
        <f t="shared" si="223"/>
        <v>#DIV/0!</v>
      </c>
      <c r="CC421" s="6" t="e">
        <f t="shared" si="224"/>
        <v>#DIV/0!</v>
      </c>
    </row>
    <row r="422" spans="27:81">
      <c r="AA422" s="79" t="s">
        <v>175</v>
      </c>
      <c r="AB422" s="80" t="s">
        <v>202</v>
      </c>
      <c r="AC422" s="81">
        <v>0</v>
      </c>
      <c r="AD422" s="81">
        <v>6</v>
      </c>
      <c r="AE422" s="80">
        <v>273</v>
      </c>
      <c r="AF422" s="80">
        <v>6.35</v>
      </c>
      <c r="AG422" s="108" cm="1">
        <f t="array" ref="AG422">_xll.DCEPropSectPipe(AE422, AF422, "Area")/100</f>
        <v>53.19431074856206</v>
      </c>
      <c r="AH422" s="16" cm="1">
        <f t="array" ref="AH422">_xll.DCEPropSectPipe(AE422, AF422, "Ix")/10000</f>
        <v>4730.4733077169503</v>
      </c>
      <c r="AI422" s="16" cm="1">
        <f t="array" ref="AI422">_xll.DCEPropSectPipe(AE422, AF422, "Wx")/1000</f>
        <v>346.55482107816493</v>
      </c>
      <c r="AJ422" s="108">
        <f t="shared" si="193"/>
        <v>9.4301739777164251</v>
      </c>
      <c r="AK422" s="80" t="s">
        <v>209</v>
      </c>
      <c r="AL422" s="82">
        <v>16.656075314731243</v>
      </c>
      <c r="AM422" s="82">
        <v>1.8455107260958199</v>
      </c>
      <c r="AN422" s="82">
        <v>3.3134106521856528E-3</v>
      </c>
      <c r="AO422" s="82">
        <v>0</v>
      </c>
      <c r="AP422" s="82">
        <v>0</v>
      </c>
      <c r="AQ422" s="82">
        <v>8.6305779323218935E-5</v>
      </c>
      <c r="AR422" s="72">
        <v>1</v>
      </c>
      <c r="AS422" s="116">
        <f t="shared" si="194"/>
        <v>6</v>
      </c>
      <c r="AT422" s="82">
        <v>2</v>
      </c>
      <c r="AU422" s="6">
        <f t="shared" si="195"/>
        <v>12</v>
      </c>
      <c r="AV422" s="111">
        <f t="shared" si="196"/>
        <v>1.3698895328560867E-2</v>
      </c>
      <c r="AW422" s="117">
        <f t="shared" si="197"/>
        <v>105</v>
      </c>
      <c r="AX422" s="111">
        <f t="shared" si="198"/>
        <v>1</v>
      </c>
      <c r="AY422" s="111">
        <f t="shared" si="199"/>
        <v>1</v>
      </c>
      <c r="AZ422" s="111">
        <f t="shared" si="200"/>
        <v>1</v>
      </c>
      <c r="BA422" s="111">
        <f t="shared" si="201"/>
        <v>1.4419889819537755E-2</v>
      </c>
      <c r="BB422" s="111">
        <f t="shared" si="202"/>
        <v>0</v>
      </c>
      <c r="BC422" s="111">
        <f t="shared" si="203"/>
        <v>0</v>
      </c>
      <c r="BD422" s="111">
        <v>0</v>
      </c>
      <c r="BE422" s="111">
        <f t="shared" si="204"/>
        <v>1.4419889819537755E-2</v>
      </c>
      <c r="BF422" s="6" t="str">
        <f t="shared" si="205"/>
        <v>OK</v>
      </c>
      <c r="BG422" s="16">
        <f t="shared" si="206"/>
        <v>63.625549371390676</v>
      </c>
      <c r="BH422" s="118">
        <f t="shared" si="207"/>
        <v>2.1193803644775273</v>
      </c>
      <c r="BI422" s="108">
        <f t="shared" si="208"/>
        <v>0</v>
      </c>
      <c r="BJ422" s="6">
        <f t="shared" si="209"/>
        <v>1.2440309817761237</v>
      </c>
      <c r="BK422" s="108">
        <f t="shared" si="210"/>
        <v>0</v>
      </c>
      <c r="BL422" s="118" cm="1">
        <f t="array" ref="BL422">IF(AO422=0,FactorPhi7121(BH422,"a"),noisuy2chieu(BK422,BH422,Data!$A$63:$M$85))</f>
        <v>0.86214274110469236</v>
      </c>
      <c r="BM422" s="111">
        <v>1.26</v>
      </c>
      <c r="BN422" s="118">
        <f t="shared" si="211"/>
        <v>0.99384676700616259</v>
      </c>
      <c r="BO422" s="108">
        <f t="shared" si="212"/>
        <v>3.4089937010084392E-2</v>
      </c>
      <c r="BP422" s="6" t="str">
        <f t="shared" si="213"/>
        <v>OK</v>
      </c>
      <c r="BQ422" s="16">
        <f t="shared" si="214"/>
        <v>127.25109874278135</v>
      </c>
      <c r="BR422" s="118">
        <f t="shared" si="215"/>
        <v>4.2387607289550546</v>
      </c>
      <c r="BS422" s="108">
        <f t="shared" si="216"/>
        <v>0</v>
      </c>
      <c r="BT422" s="118">
        <f t="shared" si="217"/>
        <v>1.1380619635522473</v>
      </c>
      <c r="BU422" s="108">
        <f t="shared" si="218"/>
        <v>0</v>
      </c>
      <c r="BV422" s="6" cm="1">
        <f t="array" ref="BV422">IF(AP422=0,FactorPhi7121(BR422,"a"),noisuy2chieu(BU422,BR422,Data!$A$63:$M$85))</f>
        <v>0.42299549615688942</v>
      </c>
      <c r="BW422" s="111">
        <v>1.26</v>
      </c>
      <c r="BX422" s="111">
        <f t="shared" si="219"/>
        <v>0.97538706802465058</v>
      </c>
      <c r="BY422" s="113">
        <f t="shared" si="220"/>
        <v>1.6725640815650863E-2</v>
      </c>
      <c r="BZ422" s="6" t="str">
        <f t="shared" si="221"/>
        <v>OK</v>
      </c>
      <c r="CA422" s="114">
        <f t="shared" si="222"/>
        <v>127.25109874278135</v>
      </c>
      <c r="CB422" s="115">
        <f t="shared" si="223"/>
        <v>150</v>
      </c>
      <c r="CC422" s="6" t="str">
        <f t="shared" si="224"/>
        <v>OK</v>
      </c>
    </row>
    <row r="423" spans="27:81">
      <c r="AA423" s="79" t="s">
        <v>175</v>
      </c>
      <c r="AB423" s="80" t="s">
        <v>202</v>
      </c>
      <c r="AC423" s="81">
        <v>2.74</v>
      </c>
      <c r="AD423" s="81">
        <v>6</v>
      </c>
      <c r="AE423" s="80">
        <v>273</v>
      </c>
      <c r="AF423" s="80">
        <v>6.35</v>
      </c>
      <c r="AG423" s="108" cm="1">
        <f t="array" ref="AG423">_xll.DCEPropSectPipe(AE423, AF423, "Area")/100</f>
        <v>53.19431074856206</v>
      </c>
      <c r="AH423" s="16" cm="1">
        <f t="array" ref="AH423">_xll.DCEPropSectPipe(AE423, AF423, "Ix")/10000</f>
        <v>4730.4733077169503</v>
      </c>
      <c r="AI423" s="16" cm="1">
        <f t="array" ref="AI423">_xll.DCEPropSectPipe(AE423, AF423, "Wx")/1000</f>
        <v>346.55482107816493</v>
      </c>
      <c r="AJ423" s="108">
        <f t="shared" si="193"/>
        <v>9.4301739777164251</v>
      </c>
      <c r="AK423" s="80" t="s">
        <v>209</v>
      </c>
      <c r="AL423" s="82">
        <v>18.003335663463275</v>
      </c>
      <c r="AM423" s="82">
        <v>1.8455107260958199</v>
      </c>
      <c r="AN423" s="82">
        <v>3.3134106521856528E-3</v>
      </c>
      <c r="AO423" s="82">
        <v>-9.0853720082930602E-3</v>
      </c>
      <c r="AP423" s="82">
        <v>-5.0603904109547369</v>
      </c>
      <c r="AQ423" s="82">
        <v>8.6305779323218935E-5</v>
      </c>
      <c r="AR423" s="72">
        <v>1</v>
      </c>
      <c r="AS423" s="116">
        <f t="shared" si="194"/>
        <v>6</v>
      </c>
      <c r="AT423" s="82">
        <v>2</v>
      </c>
      <c r="AU423" s="6">
        <f t="shared" si="195"/>
        <v>12</v>
      </c>
      <c r="AV423" s="111">
        <f t="shared" si="196"/>
        <v>1.4806958191441739E-2</v>
      </c>
      <c r="AW423" s="117">
        <f t="shared" si="197"/>
        <v>105</v>
      </c>
      <c r="AX423" s="111">
        <f t="shared" si="198"/>
        <v>1</v>
      </c>
      <c r="AY423" s="111">
        <f t="shared" si="199"/>
        <v>1</v>
      </c>
      <c r="AZ423" s="111">
        <f t="shared" si="200"/>
        <v>1</v>
      </c>
      <c r="BA423" s="111">
        <f t="shared" si="201"/>
        <v>1.5586271780464992E-2</v>
      </c>
      <c r="BB423" s="111">
        <f t="shared" si="202"/>
        <v>1.2073278581261774E-4</v>
      </c>
      <c r="BC423" s="111">
        <f t="shared" si="203"/>
        <v>6.7246011616953899E-2</v>
      </c>
      <c r="BD423" s="111">
        <v>0</v>
      </c>
      <c r="BE423" s="111">
        <f t="shared" si="204"/>
        <v>8.2953016183231504E-2</v>
      </c>
      <c r="BF423" s="6" t="str">
        <f t="shared" si="205"/>
        <v>OK</v>
      </c>
      <c r="BG423" s="16">
        <f t="shared" si="206"/>
        <v>63.625549371390676</v>
      </c>
      <c r="BH423" s="118">
        <f t="shared" si="207"/>
        <v>2.1193803644775273</v>
      </c>
      <c r="BI423" s="108">
        <f t="shared" si="208"/>
        <v>7.7460978169223149E-3</v>
      </c>
      <c r="BJ423" s="6">
        <f t="shared" si="209"/>
        <v>1.2438078461614228</v>
      </c>
      <c r="BK423" s="108">
        <f t="shared" si="210"/>
        <v>9.6346572418218434E-3</v>
      </c>
      <c r="BL423" s="118" cm="1">
        <f t="array" ref="BL423">IF(AO423=0,FactorPhi7121(BH423,"a"),noisuy2chieu(BK423,BH423,Data!$A$63:$M$85))</f>
        <v>0</v>
      </c>
      <c r="BM423" s="111">
        <v>1.26</v>
      </c>
      <c r="BN423" s="118">
        <f t="shared" si="211"/>
        <v>0.99334905030685261</v>
      </c>
      <c r="BO423" s="108" t="e">
        <f t="shared" si="212"/>
        <v>#DIV/0!</v>
      </c>
      <c r="BP423" s="6" t="e">
        <f t="shared" si="213"/>
        <v>#DIV/0!</v>
      </c>
      <c r="BQ423" s="16">
        <f t="shared" si="214"/>
        <v>127.25109874278135</v>
      </c>
      <c r="BR423" s="118">
        <f t="shared" si="215"/>
        <v>4.2387607289550546</v>
      </c>
      <c r="BS423" s="108">
        <f t="shared" si="216"/>
        <v>4.3144385369461151</v>
      </c>
      <c r="BT423" s="118">
        <f t="shared" si="217"/>
        <v>1.1052187630839165</v>
      </c>
      <c r="BU423" s="108">
        <f t="shared" si="218"/>
        <v>4.7683984232051682</v>
      </c>
      <c r="BV423" s="6" cm="1">
        <f t="array" ref="BV423">IF(AP423=0,FactorPhi7121(BR423,"a"),noisuy2chieu(BU423,BR423,Data!$A$63:$M$85))</f>
        <v>0</v>
      </c>
      <c r="BW423" s="111">
        <v>1.26</v>
      </c>
      <c r="BX423" s="111">
        <f t="shared" si="219"/>
        <v>0.97339620122741055</v>
      </c>
      <c r="BY423" s="113" t="e">
        <f t="shared" si="220"/>
        <v>#DIV/0!</v>
      </c>
      <c r="BZ423" s="6" t="e">
        <f t="shared" si="221"/>
        <v>#DIV/0!</v>
      </c>
      <c r="CA423" s="114">
        <f t="shared" si="222"/>
        <v>127.25109874278135</v>
      </c>
      <c r="CB423" s="115" t="e">
        <f t="shared" si="223"/>
        <v>#DIV/0!</v>
      </c>
      <c r="CC423" s="6" t="e">
        <f t="shared" si="224"/>
        <v>#DIV/0!</v>
      </c>
    </row>
    <row r="424" spans="27:81">
      <c r="AA424" s="79" t="s">
        <v>175</v>
      </c>
      <c r="AB424" s="80" t="s">
        <v>202</v>
      </c>
      <c r="AC424" s="81">
        <v>5.48</v>
      </c>
      <c r="AD424" s="81">
        <v>6</v>
      </c>
      <c r="AE424" s="80">
        <v>273</v>
      </c>
      <c r="AF424" s="80">
        <v>6.35</v>
      </c>
      <c r="AG424" s="108" cm="1">
        <f t="array" ref="AG424">_xll.DCEPropSectPipe(AE424, AF424, "Area")/100</f>
        <v>53.19431074856206</v>
      </c>
      <c r="AH424" s="16" cm="1">
        <f t="array" ref="AH424">_xll.DCEPropSectPipe(AE424, AF424, "Ix")/10000</f>
        <v>4730.4733077169503</v>
      </c>
      <c r="AI424" s="16" cm="1">
        <f t="array" ref="AI424">_xll.DCEPropSectPipe(AE424, AF424, "Wx")/1000</f>
        <v>346.55482107816493</v>
      </c>
      <c r="AJ424" s="108">
        <f t="shared" si="193"/>
        <v>9.4301739777164251</v>
      </c>
      <c r="AK424" s="80" t="s">
        <v>209</v>
      </c>
      <c r="AL424" s="82">
        <v>19.350596012195311</v>
      </c>
      <c r="AM424" s="82">
        <v>1.8455107260958199</v>
      </c>
      <c r="AN424" s="82">
        <v>3.3134106521856528E-3</v>
      </c>
      <c r="AO424" s="82">
        <v>-1.817074401658612E-2</v>
      </c>
      <c r="AP424" s="82">
        <v>-10.120780821909474</v>
      </c>
      <c r="AQ424" s="82">
        <v>8.6305779323218935E-5</v>
      </c>
      <c r="AR424" s="72">
        <v>1</v>
      </c>
      <c r="AS424" s="116">
        <f t="shared" si="194"/>
        <v>6</v>
      </c>
      <c r="AT424" s="82">
        <v>2</v>
      </c>
      <c r="AU424" s="6">
        <f t="shared" si="195"/>
        <v>12</v>
      </c>
      <c r="AV424" s="111">
        <f t="shared" si="196"/>
        <v>1.5915021054322614E-2</v>
      </c>
      <c r="AW424" s="117">
        <f t="shared" si="197"/>
        <v>105</v>
      </c>
      <c r="AX424" s="111">
        <f t="shared" si="198"/>
        <v>1</v>
      </c>
      <c r="AY424" s="111">
        <f t="shared" si="199"/>
        <v>1</v>
      </c>
      <c r="AZ424" s="111">
        <f t="shared" si="200"/>
        <v>1</v>
      </c>
      <c r="BA424" s="111">
        <f t="shared" si="201"/>
        <v>1.6752653741392225E-2</v>
      </c>
      <c r="BB424" s="111">
        <f t="shared" si="202"/>
        <v>2.4146557162523549E-4</v>
      </c>
      <c r="BC424" s="111">
        <f t="shared" si="203"/>
        <v>0.1344920232339078</v>
      </c>
      <c r="BD424" s="111">
        <v>0</v>
      </c>
      <c r="BE424" s="111">
        <f t="shared" si="204"/>
        <v>0.15148614254692527</v>
      </c>
      <c r="BF424" s="6" t="str">
        <f t="shared" si="205"/>
        <v>OK</v>
      </c>
      <c r="BG424" s="16">
        <f t="shared" si="206"/>
        <v>63.625549371390676</v>
      </c>
      <c r="BH424" s="118">
        <f t="shared" si="207"/>
        <v>2.1193803644775273</v>
      </c>
      <c r="BI424" s="108">
        <f t="shared" si="208"/>
        <v>1.4413571446810583E-2</v>
      </c>
      <c r="BJ424" s="6">
        <f t="shared" si="209"/>
        <v>1.2436157816068467</v>
      </c>
      <c r="BK424" s="108">
        <f t="shared" si="210"/>
        <v>1.7924944920571471E-2</v>
      </c>
      <c r="BL424" s="118" cm="1">
        <f t="array" ref="BL424">IF(AO424=0,FactorPhi7121(BH424,"a"),noisuy2chieu(BK424,BH424,Data!$A$63:$M$85))</f>
        <v>0</v>
      </c>
      <c r="BM424" s="111">
        <v>1.26</v>
      </c>
      <c r="BN424" s="118">
        <f t="shared" si="211"/>
        <v>0.99285133360754263</v>
      </c>
      <c r="BO424" s="108" t="e">
        <f t="shared" si="212"/>
        <v>#DIV/0!</v>
      </c>
      <c r="BP424" s="6" t="e">
        <f t="shared" si="213"/>
        <v>#DIV/0!</v>
      </c>
      <c r="BQ424" s="16">
        <f t="shared" si="214"/>
        <v>127.25109874278135</v>
      </c>
      <c r="BR424" s="118">
        <f t="shared" si="215"/>
        <v>4.2387607289550546</v>
      </c>
      <c r="BS424" s="108">
        <f t="shared" si="216"/>
        <v>8.0281026104901088</v>
      </c>
      <c r="BT424" s="118">
        <f t="shared" si="217"/>
        <v>1.1000000000000001</v>
      </c>
      <c r="BU424" s="108">
        <f t="shared" si="218"/>
        <v>8.8309128715391196</v>
      </c>
      <c r="BV424" s="6" cm="1">
        <f t="array" ref="BV424">IF(AP424=0,FactorPhi7121(BR424,"a"),noisuy2chieu(BU424,BR424,Data!$A$63:$M$85))</f>
        <v>0</v>
      </c>
      <c r="BW424" s="111">
        <v>1.26</v>
      </c>
      <c r="BX424" s="111">
        <f t="shared" si="219"/>
        <v>0.97140533443017052</v>
      </c>
      <c r="BY424" s="113" t="e">
        <f t="shared" si="220"/>
        <v>#DIV/0!</v>
      </c>
      <c r="BZ424" s="6" t="e">
        <f t="shared" si="221"/>
        <v>#DIV/0!</v>
      </c>
      <c r="CA424" s="114">
        <f t="shared" si="222"/>
        <v>127.25109874278135</v>
      </c>
      <c r="CB424" s="115" t="e">
        <f t="shared" si="223"/>
        <v>#DIV/0!</v>
      </c>
      <c r="CC424" s="6" t="e">
        <f t="shared" si="224"/>
        <v>#DIV/0!</v>
      </c>
    </row>
    <row r="425" spans="27:81">
      <c r="AA425" s="79" t="s">
        <v>175</v>
      </c>
      <c r="AB425" s="80" t="s">
        <v>202</v>
      </c>
      <c r="AC425" s="81">
        <v>0</v>
      </c>
      <c r="AD425" s="81">
        <v>6</v>
      </c>
      <c r="AE425" s="80">
        <v>273</v>
      </c>
      <c r="AF425" s="80">
        <v>6.35</v>
      </c>
      <c r="AG425" s="108" cm="1">
        <f t="array" ref="AG425">_xll.DCEPropSectPipe(AE425, AF425, "Area")/100</f>
        <v>53.19431074856206</v>
      </c>
      <c r="AH425" s="16" cm="1">
        <f t="array" ref="AH425">_xll.DCEPropSectPipe(AE425, AF425, "Ix")/10000</f>
        <v>4730.4733077169503</v>
      </c>
      <c r="AI425" s="16" cm="1">
        <f t="array" ref="AI425">_xll.DCEPropSectPipe(AE425, AF425, "Wx")/1000</f>
        <v>346.55482107816493</v>
      </c>
      <c r="AJ425" s="108">
        <f t="shared" si="193"/>
        <v>9.4301739777164251</v>
      </c>
      <c r="AK425" s="80" t="s">
        <v>210</v>
      </c>
      <c r="AL425" s="82">
        <v>1.4942085261430254</v>
      </c>
      <c r="AM425" s="82">
        <v>1.7655598476660508</v>
      </c>
      <c r="AN425" s="82">
        <v>2.300981610968731E-3</v>
      </c>
      <c r="AO425" s="82">
        <v>0</v>
      </c>
      <c r="AP425" s="82">
        <v>0</v>
      </c>
      <c r="AQ425" s="82">
        <v>-7.285679204208107E-4</v>
      </c>
      <c r="AR425" s="72">
        <v>1</v>
      </c>
      <c r="AS425" s="116">
        <f t="shared" si="194"/>
        <v>6</v>
      </c>
      <c r="AT425" s="82">
        <v>2</v>
      </c>
      <c r="AU425" s="6">
        <f t="shared" si="195"/>
        <v>12</v>
      </c>
      <c r="AV425" s="111">
        <f t="shared" si="196"/>
        <v>1.2289213282178769E-3</v>
      </c>
      <c r="AW425" s="117">
        <f t="shared" si="197"/>
        <v>105</v>
      </c>
      <c r="AX425" s="111">
        <f t="shared" si="198"/>
        <v>1</v>
      </c>
      <c r="AY425" s="111">
        <f t="shared" si="199"/>
        <v>1</v>
      </c>
      <c r="AZ425" s="111">
        <f t="shared" si="200"/>
        <v>1</v>
      </c>
      <c r="BA425" s="111">
        <f t="shared" si="201"/>
        <v>1.2936013981240809E-3</v>
      </c>
      <c r="BB425" s="111">
        <f t="shared" si="202"/>
        <v>0</v>
      </c>
      <c r="BC425" s="111">
        <f t="shared" si="203"/>
        <v>0</v>
      </c>
      <c r="BD425" s="111">
        <v>0</v>
      </c>
      <c r="BE425" s="111">
        <f t="shared" si="204"/>
        <v>1.2936013981240809E-3</v>
      </c>
      <c r="BF425" s="6" t="str">
        <f t="shared" si="205"/>
        <v>OK</v>
      </c>
      <c r="BG425" s="16">
        <f t="shared" si="206"/>
        <v>63.625549371390676</v>
      </c>
      <c r="BH425" s="118">
        <f t="shared" si="207"/>
        <v>2.1193803644775273</v>
      </c>
      <c r="BI425" s="108">
        <f t="shared" si="208"/>
        <v>0</v>
      </c>
      <c r="BJ425" s="6">
        <f t="shared" si="209"/>
        <v>1.2440309817761237</v>
      </c>
      <c r="BK425" s="108">
        <f t="shared" si="210"/>
        <v>0</v>
      </c>
      <c r="BL425" s="118" cm="1">
        <f t="array" ref="BL425">IF(AO425=0,FactorPhi7121(BH425,"a"),noisuy2chieu(BK425,BH425,Data!$A$63:$M$85))</f>
        <v>0.86214274110469236</v>
      </c>
      <c r="BM425" s="111">
        <v>1.26</v>
      </c>
      <c r="BN425" s="118">
        <f t="shared" si="211"/>
        <v>0.99944799641998472</v>
      </c>
      <c r="BO425" s="108">
        <f t="shared" si="212"/>
        <v>3.0581918953678008E-3</v>
      </c>
      <c r="BP425" s="6" t="str">
        <f t="shared" si="213"/>
        <v>OK</v>
      </c>
      <c r="BQ425" s="16">
        <f t="shared" si="214"/>
        <v>127.25109874278135</v>
      </c>
      <c r="BR425" s="118">
        <f t="shared" si="215"/>
        <v>4.2387607289550546</v>
      </c>
      <c r="BS425" s="108">
        <f t="shared" si="216"/>
        <v>0</v>
      </c>
      <c r="BT425" s="118">
        <f t="shared" si="217"/>
        <v>1.1380619635522473</v>
      </c>
      <c r="BU425" s="108">
        <f t="shared" si="218"/>
        <v>0</v>
      </c>
      <c r="BV425" s="6" cm="1">
        <f t="array" ref="BV425">IF(AP425=0,FactorPhi7121(BR425,"a"),noisuy2chieu(BU425,BR425,Data!$A$63:$M$85))</f>
        <v>0.42299549615688942</v>
      </c>
      <c r="BW425" s="111">
        <v>1.26</v>
      </c>
      <c r="BX425" s="111">
        <f t="shared" si="219"/>
        <v>0.99779198567993876</v>
      </c>
      <c r="BY425" s="113">
        <f t="shared" si="220"/>
        <v>1.5004492138581901E-3</v>
      </c>
      <c r="BZ425" s="6" t="str">
        <f t="shared" si="221"/>
        <v>OK</v>
      </c>
      <c r="CA425" s="114">
        <f t="shared" si="222"/>
        <v>127.25109874278135</v>
      </c>
      <c r="CB425" s="115">
        <f t="shared" si="223"/>
        <v>150</v>
      </c>
      <c r="CC425" s="6" t="str">
        <f t="shared" si="224"/>
        <v>OK</v>
      </c>
    </row>
    <row r="426" spans="27:81">
      <c r="AA426" s="79" t="s">
        <v>175</v>
      </c>
      <c r="AB426" s="80" t="s">
        <v>202</v>
      </c>
      <c r="AC426" s="81">
        <v>2.74</v>
      </c>
      <c r="AD426" s="81">
        <v>6</v>
      </c>
      <c r="AE426" s="80">
        <v>273</v>
      </c>
      <c r="AF426" s="80">
        <v>6.35</v>
      </c>
      <c r="AG426" s="108" cm="1">
        <f t="array" ref="AG426">_xll.DCEPropSectPipe(AE426, AF426, "Area")/100</f>
        <v>53.19431074856206</v>
      </c>
      <c r="AH426" s="16" cm="1">
        <f t="array" ref="AH426">_xll.DCEPropSectPipe(AE426, AF426, "Ix")/10000</f>
        <v>4730.4733077169503</v>
      </c>
      <c r="AI426" s="16" cm="1">
        <f t="array" ref="AI426">_xll.DCEPropSectPipe(AE426, AF426, "Wx")/1000</f>
        <v>346.55482107816493</v>
      </c>
      <c r="AJ426" s="108">
        <f t="shared" si="193"/>
        <v>9.4301739777164251</v>
      </c>
      <c r="AK426" s="80" t="s">
        <v>210</v>
      </c>
      <c r="AL426" s="82">
        <v>2.8414688748750589</v>
      </c>
      <c r="AM426" s="82">
        <v>1.7655598476660508</v>
      </c>
      <c r="AN426" s="82">
        <v>2.300981610968731E-3</v>
      </c>
      <c r="AO426" s="82">
        <v>-6.3092915772762588E-3</v>
      </c>
      <c r="AP426" s="82">
        <v>-4.8411651023003115</v>
      </c>
      <c r="AQ426" s="82">
        <v>-7.285679204208107E-4</v>
      </c>
      <c r="AR426" s="72">
        <v>1</v>
      </c>
      <c r="AS426" s="116">
        <f t="shared" si="194"/>
        <v>6</v>
      </c>
      <c r="AT426" s="82">
        <v>2</v>
      </c>
      <c r="AU426" s="6">
        <f t="shared" si="195"/>
        <v>12</v>
      </c>
      <c r="AV426" s="111">
        <f t="shared" si="196"/>
        <v>2.33698419109875E-3</v>
      </c>
      <c r="AW426" s="117">
        <f t="shared" si="197"/>
        <v>105</v>
      </c>
      <c r="AX426" s="111">
        <f t="shared" si="198"/>
        <v>1</v>
      </c>
      <c r="AY426" s="111">
        <f t="shared" si="199"/>
        <v>1</v>
      </c>
      <c r="AZ426" s="111">
        <f t="shared" si="200"/>
        <v>1</v>
      </c>
      <c r="BA426" s="111">
        <f t="shared" si="201"/>
        <v>2.4599833590513162E-3</v>
      </c>
      <c r="BB426" s="111">
        <f t="shared" si="202"/>
        <v>8.3842284931573359E-5</v>
      </c>
      <c r="BC426" s="111">
        <f t="shared" si="203"/>
        <v>6.4332792190130175E-2</v>
      </c>
      <c r="BD426" s="111">
        <v>0</v>
      </c>
      <c r="BE426" s="111">
        <f t="shared" si="204"/>
        <v>6.687661783411307E-2</v>
      </c>
      <c r="BF426" s="6" t="str">
        <f t="shared" si="205"/>
        <v>OK</v>
      </c>
      <c r="BG426" s="16">
        <f t="shared" si="206"/>
        <v>63.625549371390676</v>
      </c>
      <c r="BH426" s="118">
        <f t="shared" si="207"/>
        <v>2.1193803644775273</v>
      </c>
      <c r="BI426" s="108">
        <f t="shared" si="208"/>
        <v>3.4082460201644155E-2</v>
      </c>
      <c r="BJ426" s="6">
        <f t="shared" si="209"/>
        <v>1.243049195735286</v>
      </c>
      <c r="BK426" s="108">
        <f t="shared" si="210"/>
        <v>4.2366174742333659E-2</v>
      </c>
      <c r="BL426" s="118" cm="1">
        <f t="array" ref="BL426">IF(AO426=0,FactorPhi7121(BH426,"a"),noisuy2chieu(BK426,BH426,Data!$A$63:$M$85))</f>
        <v>0</v>
      </c>
      <c r="BM426" s="111">
        <v>1.26</v>
      </c>
      <c r="BN426" s="118">
        <f t="shared" si="211"/>
        <v>0.99895027972067474</v>
      </c>
      <c r="BO426" s="108" t="e">
        <f t="shared" si="212"/>
        <v>#DIV/0!</v>
      </c>
      <c r="BP426" s="6" t="e">
        <f t="shared" si="213"/>
        <v>#DIV/0!</v>
      </c>
      <c r="BQ426" s="16">
        <f t="shared" si="214"/>
        <v>127.25109874278135</v>
      </c>
      <c r="BR426" s="118">
        <f t="shared" si="215"/>
        <v>4.2387607289550546</v>
      </c>
      <c r="BS426" s="108">
        <f t="shared" si="216"/>
        <v>26.151718446965393</v>
      </c>
      <c r="BT426" s="118">
        <f t="shared" si="217"/>
        <v>1.1000000000000001</v>
      </c>
      <c r="BU426" s="108">
        <f t="shared" si="218"/>
        <v>28.766890291661934</v>
      </c>
      <c r="BV426" s="6" cm="1">
        <f t="array" ref="BV426">IF(AP426=0,FactorPhi7121(BR426,"a"),noisuy2chieu(BU426,BR426,Data!$A$63:$M$85))</f>
        <v>0</v>
      </c>
      <c r="BW426" s="111">
        <v>1.26</v>
      </c>
      <c r="BX426" s="111">
        <f t="shared" si="219"/>
        <v>0.99580111888269873</v>
      </c>
      <c r="BY426" s="113" t="e">
        <f t="shared" si="220"/>
        <v>#DIV/0!</v>
      </c>
      <c r="BZ426" s="6" t="e">
        <f t="shared" si="221"/>
        <v>#DIV/0!</v>
      </c>
      <c r="CA426" s="114">
        <f t="shared" si="222"/>
        <v>127.25109874278135</v>
      </c>
      <c r="CB426" s="115" t="e">
        <f t="shared" si="223"/>
        <v>#DIV/0!</v>
      </c>
      <c r="CC426" s="6" t="e">
        <f t="shared" si="224"/>
        <v>#DIV/0!</v>
      </c>
    </row>
    <row r="427" spans="27:81">
      <c r="AA427" s="79" t="s">
        <v>175</v>
      </c>
      <c r="AB427" s="80" t="s">
        <v>202</v>
      </c>
      <c r="AC427" s="81">
        <v>5.48</v>
      </c>
      <c r="AD427" s="81">
        <v>6</v>
      </c>
      <c r="AE427" s="80">
        <v>273</v>
      </c>
      <c r="AF427" s="80">
        <v>6.35</v>
      </c>
      <c r="AG427" s="108" cm="1">
        <f t="array" ref="AG427">_xll.DCEPropSectPipe(AE427, AF427, "Area")/100</f>
        <v>53.19431074856206</v>
      </c>
      <c r="AH427" s="16" cm="1">
        <f t="array" ref="AH427">_xll.DCEPropSectPipe(AE427, AF427, "Ix")/10000</f>
        <v>4730.4733077169503</v>
      </c>
      <c r="AI427" s="16" cm="1">
        <f t="array" ref="AI427">_xll.DCEPropSectPipe(AE427, AF427, "Wx")/1000</f>
        <v>346.55482107816493</v>
      </c>
      <c r="AJ427" s="108">
        <f t="shared" si="193"/>
        <v>9.4301739777164251</v>
      </c>
      <c r="AK427" s="80" t="s">
        <v>210</v>
      </c>
      <c r="AL427" s="82">
        <v>4.1887292236070923</v>
      </c>
      <c r="AM427" s="82">
        <v>1.7655598476660508</v>
      </c>
      <c r="AN427" s="82">
        <v>2.300981610968731E-3</v>
      </c>
      <c r="AO427" s="82">
        <v>-1.2618583154552518E-2</v>
      </c>
      <c r="AP427" s="82">
        <v>-9.682330204600623</v>
      </c>
      <c r="AQ427" s="82">
        <v>-7.285679204208107E-4</v>
      </c>
      <c r="AR427" s="72">
        <v>1</v>
      </c>
      <c r="AS427" s="116">
        <f t="shared" si="194"/>
        <v>6</v>
      </c>
      <c r="AT427" s="82">
        <v>2</v>
      </c>
      <c r="AU427" s="6">
        <f t="shared" si="195"/>
        <v>12</v>
      </c>
      <c r="AV427" s="111">
        <f t="shared" si="196"/>
        <v>3.445047053979623E-3</v>
      </c>
      <c r="AW427" s="117">
        <f t="shared" si="197"/>
        <v>105</v>
      </c>
      <c r="AX427" s="111">
        <f t="shared" si="198"/>
        <v>1</v>
      </c>
      <c r="AY427" s="111">
        <f t="shared" si="199"/>
        <v>1</v>
      </c>
      <c r="AZ427" s="111">
        <f t="shared" si="200"/>
        <v>1</v>
      </c>
      <c r="BA427" s="111">
        <f t="shared" si="201"/>
        <v>3.6263653199785505E-3</v>
      </c>
      <c r="BB427" s="111">
        <f t="shared" si="202"/>
        <v>1.6768456986314672E-4</v>
      </c>
      <c r="BC427" s="111">
        <f t="shared" si="203"/>
        <v>0.12866558438026035</v>
      </c>
      <c r="BD427" s="111">
        <v>0</v>
      </c>
      <c r="BE427" s="111">
        <f t="shared" si="204"/>
        <v>0.13245963427010204</v>
      </c>
      <c r="BF427" s="6" t="str">
        <f t="shared" si="205"/>
        <v>OK</v>
      </c>
      <c r="BG427" s="16">
        <f t="shared" si="206"/>
        <v>63.625549371390676</v>
      </c>
      <c r="BH427" s="118">
        <f t="shared" si="207"/>
        <v>2.1193803644775273</v>
      </c>
      <c r="BI427" s="108">
        <f t="shared" si="208"/>
        <v>4.6240396393416476E-2</v>
      </c>
      <c r="BJ427" s="6">
        <f t="shared" si="209"/>
        <v>1.2426989718380714</v>
      </c>
      <c r="BK427" s="108">
        <f t="shared" si="210"/>
        <v>5.7462893055483522E-2</v>
      </c>
      <c r="BL427" s="118" cm="1">
        <f t="array" ref="BL427">IF(AO427=0,FactorPhi7121(BH427,"a"),noisuy2chieu(BK427,BH427,Data!$A$63:$M$85))</f>
        <v>0</v>
      </c>
      <c r="BM427" s="111">
        <v>1.26</v>
      </c>
      <c r="BN427" s="118">
        <f t="shared" si="211"/>
        <v>0.99845256302136465</v>
      </c>
      <c r="BO427" s="108" t="e">
        <f t="shared" si="212"/>
        <v>#DIV/0!</v>
      </c>
      <c r="BP427" s="6" t="e">
        <f t="shared" si="213"/>
        <v>#DIV/0!</v>
      </c>
      <c r="BQ427" s="16">
        <f t="shared" si="214"/>
        <v>127.25109874278135</v>
      </c>
      <c r="BR427" s="118">
        <f t="shared" si="215"/>
        <v>4.2387607289550546</v>
      </c>
      <c r="BS427" s="108">
        <f t="shared" si="216"/>
        <v>35.480590902248487</v>
      </c>
      <c r="BT427" s="118">
        <f t="shared" si="217"/>
        <v>1.1000000000000001</v>
      </c>
      <c r="BU427" s="108">
        <f t="shared" si="218"/>
        <v>39.028649992473341</v>
      </c>
      <c r="BV427" s="6" cm="1">
        <f t="array" ref="BV427">IF(AP427=0,FactorPhi7121(BR427,"a"),noisuy2chieu(BU427,BR427,Data!$A$63:$M$85))</f>
        <v>0</v>
      </c>
      <c r="BW427" s="111">
        <v>1.26</v>
      </c>
      <c r="BX427" s="111">
        <f t="shared" si="219"/>
        <v>0.9938102520854587</v>
      </c>
      <c r="BY427" s="113" t="e">
        <f t="shared" si="220"/>
        <v>#DIV/0!</v>
      </c>
      <c r="BZ427" s="6" t="e">
        <f t="shared" si="221"/>
        <v>#DIV/0!</v>
      </c>
      <c r="CA427" s="114">
        <f t="shared" si="222"/>
        <v>127.25109874278135</v>
      </c>
      <c r="CB427" s="115" t="e">
        <f t="shared" si="223"/>
        <v>#DIV/0!</v>
      </c>
      <c r="CC427" s="6" t="e">
        <f t="shared" si="224"/>
        <v>#DIV/0!</v>
      </c>
    </row>
    <row r="428" spans="27:81">
      <c r="AA428" s="79" t="s">
        <v>175</v>
      </c>
      <c r="AB428" s="80" t="s">
        <v>202</v>
      </c>
      <c r="AC428" s="81">
        <v>0</v>
      </c>
      <c r="AD428" s="81">
        <v>6</v>
      </c>
      <c r="AE428" s="80">
        <v>273</v>
      </c>
      <c r="AF428" s="80">
        <v>6.35</v>
      </c>
      <c r="AG428" s="108" cm="1">
        <f t="array" ref="AG428">_xll.DCEPropSectPipe(AE428, AF428, "Area")/100</f>
        <v>53.19431074856206</v>
      </c>
      <c r="AH428" s="16" cm="1">
        <f t="array" ref="AH428">_xll.DCEPropSectPipe(AE428, AF428, "Ix")/10000</f>
        <v>4730.4733077169503</v>
      </c>
      <c r="AI428" s="16" cm="1">
        <f t="array" ref="AI428">_xll.DCEPropSectPipe(AE428, AF428, "Wx")/1000</f>
        <v>346.55482107816493</v>
      </c>
      <c r="AJ428" s="108">
        <f t="shared" si="193"/>
        <v>9.4301739777164251</v>
      </c>
      <c r="AK428" s="80" t="s">
        <v>211</v>
      </c>
      <c r="AL428" s="82">
        <v>-79.6029838405194</v>
      </c>
      <c r="AM428" s="82">
        <v>-8.7193309887644208</v>
      </c>
      <c r="AN428" s="82">
        <v>-1.4509423774450388E-2</v>
      </c>
      <c r="AO428" s="82">
        <v>0</v>
      </c>
      <c r="AP428" s="82">
        <v>0</v>
      </c>
      <c r="AQ428" s="82">
        <v>5.0253071414502833E-4</v>
      </c>
      <c r="AR428" s="72">
        <v>1</v>
      </c>
      <c r="AS428" s="116">
        <f t="shared" si="194"/>
        <v>6</v>
      </c>
      <c r="AT428" s="82">
        <v>2</v>
      </c>
      <c r="AU428" s="6">
        <f t="shared" si="195"/>
        <v>12</v>
      </c>
      <c r="AV428" s="111">
        <f t="shared" si="196"/>
        <v>6.5469981545288963E-2</v>
      </c>
      <c r="AW428" s="117">
        <f t="shared" si="197"/>
        <v>105</v>
      </c>
      <c r="AX428" s="111">
        <f t="shared" si="198"/>
        <v>1</v>
      </c>
      <c r="AY428" s="111">
        <f t="shared" si="199"/>
        <v>1</v>
      </c>
      <c r="AZ428" s="111">
        <f t="shared" si="200"/>
        <v>1</v>
      </c>
      <c r="BA428" s="111">
        <f t="shared" si="201"/>
        <v>6.8915770047672589E-2</v>
      </c>
      <c r="BB428" s="111">
        <f t="shared" si="202"/>
        <v>0</v>
      </c>
      <c r="BC428" s="111">
        <f t="shared" si="203"/>
        <v>0</v>
      </c>
      <c r="BD428" s="111">
        <v>0</v>
      </c>
      <c r="BE428" s="111">
        <f t="shared" si="204"/>
        <v>6.8915770047672589E-2</v>
      </c>
      <c r="BF428" s="6" t="str">
        <f t="shared" si="205"/>
        <v>OK</v>
      </c>
      <c r="BG428" s="16">
        <f t="shared" si="206"/>
        <v>63.625549371390676</v>
      </c>
      <c r="BH428" s="118">
        <f t="shared" si="207"/>
        <v>2.1193803644775273</v>
      </c>
      <c r="BI428" s="108">
        <f t="shared" si="208"/>
        <v>0</v>
      </c>
      <c r="BJ428" s="6">
        <f t="shared" si="209"/>
        <v>1.2440309817761237</v>
      </c>
      <c r="BK428" s="108">
        <f t="shared" si="210"/>
        <v>0</v>
      </c>
      <c r="BL428" s="118" cm="1">
        <f t="array" ref="BL428">IF(AO428=0,FactorPhi7121(BH428,"a"),noisuy2chieu(BK428,BH428,Data!$A$63:$M$85))</f>
        <v>0.86214274110469236</v>
      </c>
      <c r="BM428" s="111">
        <v>1.26</v>
      </c>
      <c r="BN428" s="118">
        <f t="shared" si="211"/>
        <v>0.97059236961169504</v>
      </c>
      <c r="BO428" s="108">
        <f t="shared" si="212"/>
        <v>0.16292317689858254</v>
      </c>
      <c r="BP428" s="6" t="str">
        <f t="shared" si="213"/>
        <v>OK</v>
      </c>
      <c r="BQ428" s="16">
        <f t="shared" si="214"/>
        <v>127.25109874278135</v>
      </c>
      <c r="BR428" s="118">
        <f t="shared" si="215"/>
        <v>4.2387607289550546</v>
      </c>
      <c r="BS428" s="108">
        <f t="shared" si="216"/>
        <v>0</v>
      </c>
      <c r="BT428" s="118">
        <f t="shared" si="217"/>
        <v>1.1380619635522473</v>
      </c>
      <c r="BU428" s="108">
        <f t="shared" si="218"/>
        <v>0</v>
      </c>
      <c r="BV428" s="6" cm="1">
        <f t="array" ref="BV428">IF(AP428=0,FactorPhi7121(BR428,"a"),noisuy2chieu(BU428,BR428,Data!$A$63:$M$85))</f>
        <v>0.42299549615688942</v>
      </c>
      <c r="BW428" s="111">
        <v>1.26</v>
      </c>
      <c r="BX428" s="111">
        <f t="shared" si="219"/>
        <v>0.88236947844678015</v>
      </c>
      <c r="BY428" s="113">
        <f t="shared" si="220"/>
        <v>7.9935452404747406E-2</v>
      </c>
      <c r="BZ428" s="6" t="str">
        <f t="shared" si="221"/>
        <v>OK</v>
      </c>
      <c r="CA428" s="114">
        <f t="shared" si="222"/>
        <v>127.25109874278135</v>
      </c>
      <c r="CB428" s="115">
        <f t="shared" si="223"/>
        <v>150</v>
      </c>
      <c r="CC428" s="6" t="str">
        <f t="shared" si="224"/>
        <v>OK</v>
      </c>
    </row>
    <row r="429" spans="27:81">
      <c r="AA429" s="79" t="s">
        <v>175</v>
      </c>
      <c r="AB429" s="80" t="s">
        <v>202</v>
      </c>
      <c r="AC429" s="81">
        <v>2.74</v>
      </c>
      <c r="AD429" s="81">
        <v>6</v>
      </c>
      <c r="AE429" s="80">
        <v>273</v>
      </c>
      <c r="AF429" s="80">
        <v>6.35</v>
      </c>
      <c r="AG429" s="108" cm="1">
        <f t="array" ref="AG429">_xll.DCEPropSectPipe(AE429, AF429, "Area")/100</f>
        <v>53.19431074856206</v>
      </c>
      <c r="AH429" s="16" cm="1">
        <f t="array" ref="AH429">_xll.DCEPropSectPipe(AE429, AF429, "Ix")/10000</f>
        <v>4730.4733077169503</v>
      </c>
      <c r="AI429" s="16" cm="1">
        <f t="array" ref="AI429">_xll.DCEPropSectPipe(AE429, AF429, "Wx")/1000</f>
        <v>346.55482107816493</v>
      </c>
      <c r="AJ429" s="108">
        <f t="shared" si="193"/>
        <v>9.4301739777164251</v>
      </c>
      <c r="AK429" s="80" t="s">
        <v>211</v>
      </c>
      <c r="AL429" s="82">
        <v>-78.255723491787364</v>
      </c>
      <c r="AM429" s="82">
        <v>-8.7193309887644208</v>
      </c>
      <c r="AN429" s="82">
        <v>-1.4509423774450388E-2</v>
      </c>
      <c r="AO429" s="82">
        <v>3.978483998954295E-2</v>
      </c>
      <c r="AP429" s="82">
        <v>23.908405571192041</v>
      </c>
      <c r="AQ429" s="82">
        <v>5.0253071414502833E-4</v>
      </c>
      <c r="AR429" s="72">
        <v>1</v>
      </c>
      <c r="AS429" s="116">
        <f t="shared" si="194"/>
        <v>6</v>
      </c>
      <c r="AT429" s="82">
        <v>2</v>
      </c>
      <c r="AU429" s="6">
        <f t="shared" si="195"/>
        <v>12</v>
      </c>
      <c r="AV429" s="111">
        <f t="shared" si="196"/>
        <v>6.4361918682408079E-2</v>
      </c>
      <c r="AW429" s="117">
        <f t="shared" si="197"/>
        <v>105</v>
      </c>
      <c r="AX429" s="111">
        <f t="shared" si="198"/>
        <v>1</v>
      </c>
      <c r="AY429" s="111">
        <f t="shared" si="199"/>
        <v>1</v>
      </c>
      <c r="AZ429" s="111">
        <f t="shared" si="200"/>
        <v>1</v>
      </c>
      <c r="BA429" s="111">
        <f t="shared" si="201"/>
        <v>6.7749388086745355E-2</v>
      </c>
      <c r="BB429" s="111">
        <f t="shared" si="202"/>
        <v>5.2868881545657231E-4</v>
      </c>
      <c r="BC429" s="111">
        <f t="shared" si="203"/>
        <v>0.31771163649800183</v>
      </c>
      <c r="BD429" s="111">
        <v>0</v>
      </c>
      <c r="BE429" s="111">
        <f t="shared" si="204"/>
        <v>0.38598971340020377</v>
      </c>
      <c r="BF429" s="6" t="str">
        <f t="shared" si="205"/>
        <v>OK</v>
      </c>
      <c r="BG429" s="16">
        <f t="shared" si="206"/>
        <v>63.625549371390676</v>
      </c>
      <c r="BH429" s="118">
        <f t="shared" si="207"/>
        <v>2.1193803644775273</v>
      </c>
      <c r="BI429" s="108">
        <f t="shared" si="208"/>
        <v>7.8035954329158923E-3</v>
      </c>
      <c r="BJ429" s="6">
        <f t="shared" si="209"/>
        <v>1.2438061898738062</v>
      </c>
      <c r="BK429" s="108">
        <f t="shared" si="210"/>
        <v>9.7061603027317513E-3</v>
      </c>
      <c r="BL429" s="118" cm="1">
        <f t="array" ref="BL429">IF(AO429=0,FactorPhi7121(BH429,"a"),noisuy2chieu(BK429,BH429,Data!$A$63:$M$85))</f>
        <v>0</v>
      </c>
      <c r="BM429" s="111">
        <v>1.26</v>
      </c>
      <c r="BN429" s="118">
        <f t="shared" si="211"/>
        <v>0.97109008631100502</v>
      </c>
      <c r="BO429" s="108" t="e">
        <f t="shared" si="212"/>
        <v>#DIV/0!</v>
      </c>
      <c r="BP429" s="6" t="e">
        <f t="shared" si="213"/>
        <v>#DIV/0!</v>
      </c>
      <c r="BQ429" s="16">
        <f t="shared" si="214"/>
        <v>127.25109874278135</v>
      </c>
      <c r="BR429" s="118">
        <f t="shared" si="215"/>
        <v>4.2387607289550546</v>
      </c>
      <c r="BS429" s="108">
        <f t="shared" si="216"/>
        <v>4.6895130047699967</v>
      </c>
      <c r="BT429" s="118">
        <f t="shared" si="217"/>
        <v>1.1023635489391783</v>
      </c>
      <c r="BU429" s="108">
        <f t="shared" si="218"/>
        <v>5.1695481987346836</v>
      </c>
      <c r="BV429" s="6" cm="1">
        <f t="array" ref="BV429">IF(AP429=0,FactorPhi7121(BR429,"a"),noisuy2chieu(BU429,BR429,Data!$A$63:$M$85))</f>
        <v>0</v>
      </c>
      <c r="BW429" s="111">
        <v>1.26</v>
      </c>
      <c r="BX429" s="111">
        <f t="shared" si="219"/>
        <v>0.88436034524402019</v>
      </c>
      <c r="BY429" s="113" t="e">
        <f t="shared" si="220"/>
        <v>#DIV/0!</v>
      </c>
      <c r="BZ429" s="6" t="e">
        <f t="shared" si="221"/>
        <v>#DIV/0!</v>
      </c>
      <c r="CA429" s="114">
        <f t="shared" si="222"/>
        <v>127.25109874278135</v>
      </c>
      <c r="CB429" s="115" t="e">
        <f t="shared" si="223"/>
        <v>#DIV/0!</v>
      </c>
      <c r="CC429" s="6" t="e">
        <f t="shared" si="224"/>
        <v>#DIV/0!</v>
      </c>
    </row>
    <row r="430" spans="27:81">
      <c r="AA430" s="79" t="s">
        <v>175</v>
      </c>
      <c r="AB430" s="80" t="s">
        <v>202</v>
      </c>
      <c r="AC430" s="81">
        <v>5.48</v>
      </c>
      <c r="AD430" s="81">
        <v>6</v>
      </c>
      <c r="AE430" s="80">
        <v>273</v>
      </c>
      <c r="AF430" s="80">
        <v>6.35</v>
      </c>
      <c r="AG430" s="108" cm="1">
        <f t="array" ref="AG430">_xll.DCEPropSectPipe(AE430, AF430, "Area")/100</f>
        <v>53.19431074856206</v>
      </c>
      <c r="AH430" s="16" cm="1">
        <f t="array" ref="AH430">_xll.DCEPropSectPipe(AE430, AF430, "Ix")/10000</f>
        <v>4730.4733077169503</v>
      </c>
      <c r="AI430" s="16" cm="1">
        <f t="array" ref="AI430">_xll.DCEPropSectPipe(AE430, AF430, "Wx")/1000</f>
        <v>346.55482107816493</v>
      </c>
      <c r="AJ430" s="108">
        <f t="shared" si="193"/>
        <v>9.4301739777164251</v>
      </c>
      <c r="AK430" s="80" t="s">
        <v>211</v>
      </c>
      <c r="AL430" s="82">
        <v>-76.908463143055343</v>
      </c>
      <c r="AM430" s="82">
        <v>-8.7193309887644208</v>
      </c>
      <c r="AN430" s="82">
        <v>-1.4509423774450388E-2</v>
      </c>
      <c r="AO430" s="82">
        <v>7.95696799790859E-2</v>
      </c>
      <c r="AP430" s="82">
        <v>47.816811142384083</v>
      </c>
      <c r="AQ430" s="82">
        <v>5.0253071414502833E-4</v>
      </c>
      <c r="AR430" s="72">
        <v>1</v>
      </c>
      <c r="AS430" s="116">
        <f t="shared" si="194"/>
        <v>6</v>
      </c>
      <c r="AT430" s="82">
        <v>2</v>
      </c>
      <c r="AU430" s="6">
        <f t="shared" si="195"/>
        <v>12</v>
      </c>
      <c r="AV430" s="111">
        <f t="shared" si="196"/>
        <v>6.3253855819527222E-2</v>
      </c>
      <c r="AW430" s="117">
        <f t="shared" si="197"/>
        <v>105</v>
      </c>
      <c r="AX430" s="111">
        <f t="shared" si="198"/>
        <v>1</v>
      </c>
      <c r="AY430" s="111">
        <f t="shared" si="199"/>
        <v>1</v>
      </c>
      <c r="AZ430" s="111">
        <f t="shared" si="200"/>
        <v>1</v>
      </c>
      <c r="BA430" s="111">
        <f t="shared" si="201"/>
        <v>6.6583006125818134E-2</v>
      </c>
      <c r="BB430" s="111">
        <f t="shared" si="202"/>
        <v>1.0573776309131446E-3</v>
      </c>
      <c r="BC430" s="111">
        <f t="shared" si="203"/>
        <v>0.63542327299600365</v>
      </c>
      <c r="BD430" s="111">
        <v>0</v>
      </c>
      <c r="BE430" s="111">
        <f t="shared" si="204"/>
        <v>0.70306365675273497</v>
      </c>
      <c r="BF430" s="6" t="str">
        <f t="shared" si="205"/>
        <v>OK</v>
      </c>
      <c r="BG430" s="16">
        <f t="shared" si="206"/>
        <v>63.625549371390676</v>
      </c>
      <c r="BH430" s="118">
        <f t="shared" si="207"/>
        <v>2.1193803644775273</v>
      </c>
      <c r="BI430" s="108">
        <f t="shared" si="208"/>
        <v>1.5880593148874626E-2</v>
      </c>
      <c r="BJ430" s="6">
        <f t="shared" si="209"/>
        <v>1.2435735222916398</v>
      </c>
      <c r="BK430" s="108">
        <f t="shared" si="210"/>
        <v>1.9748685158226503E-2</v>
      </c>
      <c r="BL430" s="118" cm="1">
        <f t="array" ref="BL430">IF(AO430=0,FactorPhi7121(BH430,"a"),noisuy2chieu(BK430,BH430,Data!$A$63:$M$85))</f>
        <v>0</v>
      </c>
      <c r="BM430" s="111">
        <v>1.26</v>
      </c>
      <c r="BN430" s="118">
        <f t="shared" si="211"/>
        <v>0.971587803010315</v>
      </c>
      <c r="BO430" s="108" t="e">
        <f t="shared" si="212"/>
        <v>#DIV/0!</v>
      </c>
      <c r="BP430" s="6" t="e">
        <f t="shared" si="213"/>
        <v>#DIV/0!</v>
      </c>
      <c r="BQ430" s="16">
        <f t="shared" si="214"/>
        <v>127.25109874278135</v>
      </c>
      <c r="BR430" s="118">
        <f t="shared" si="215"/>
        <v>4.2387607289550546</v>
      </c>
      <c r="BS430" s="108">
        <f t="shared" si="216"/>
        <v>9.5433250910191774</v>
      </c>
      <c r="BT430" s="118">
        <f t="shared" si="217"/>
        <v>1.1000000000000001</v>
      </c>
      <c r="BU430" s="108">
        <f t="shared" si="218"/>
        <v>10.497657600121096</v>
      </c>
      <c r="BV430" s="6" cm="1">
        <f t="array" ref="BV430">IF(AP430=0,FactorPhi7121(BR430,"a"),noisuy2chieu(BU430,BR430,Data!$A$63:$M$85))</f>
        <v>0</v>
      </c>
      <c r="BW430" s="111">
        <v>1.26</v>
      </c>
      <c r="BX430" s="111">
        <f t="shared" si="219"/>
        <v>0.88635121204126011</v>
      </c>
      <c r="BY430" s="113" t="e">
        <f t="shared" si="220"/>
        <v>#DIV/0!</v>
      </c>
      <c r="BZ430" s="6" t="e">
        <f t="shared" si="221"/>
        <v>#DIV/0!</v>
      </c>
      <c r="CA430" s="114">
        <f t="shared" si="222"/>
        <v>127.25109874278135</v>
      </c>
      <c r="CB430" s="115" t="e">
        <f t="shared" si="223"/>
        <v>#DIV/0!</v>
      </c>
      <c r="CC430" s="6" t="e">
        <f t="shared" si="224"/>
        <v>#DIV/0!</v>
      </c>
    </row>
    <row r="431" spans="27:81">
      <c r="AA431" s="79" t="s">
        <v>175</v>
      </c>
      <c r="AB431" s="80" t="s">
        <v>202</v>
      </c>
      <c r="AC431" s="81">
        <v>0</v>
      </c>
      <c r="AD431" s="81">
        <v>6</v>
      </c>
      <c r="AE431" s="80">
        <v>273</v>
      </c>
      <c r="AF431" s="80">
        <v>6.35</v>
      </c>
      <c r="AG431" s="108" cm="1">
        <f t="array" ref="AG431">_xll.DCEPropSectPipe(AE431, AF431, "Area")/100</f>
        <v>53.19431074856206</v>
      </c>
      <c r="AH431" s="16" cm="1">
        <f t="array" ref="AH431">_xll.DCEPropSectPipe(AE431, AF431, "Ix")/10000</f>
        <v>4730.4733077169503</v>
      </c>
      <c r="AI431" s="16" cm="1">
        <f t="array" ref="AI431">_xll.DCEPropSectPipe(AE431, AF431, "Wx")/1000</f>
        <v>346.55482107816493</v>
      </c>
      <c r="AJ431" s="108">
        <f t="shared" si="193"/>
        <v>9.4301739777164251</v>
      </c>
      <c r="AK431" s="80" t="s">
        <v>212</v>
      </c>
      <c r="AL431" s="82">
        <v>-67.197820104401799</v>
      </c>
      <c r="AM431" s="82">
        <v>-8.6539166336855242</v>
      </c>
      <c r="AN431" s="82">
        <v>-1.3681072740726937E-2</v>
      </c>
      <c r="AO431" s="82">
        <v>0</v>
      </c>
      <c r="AP431" s="82">
        <v>0</v>
      </c>
      <c r="AQ431" s="82">
        <v>1.1692455593887367E-3</v>
      </c>
      <c r="AR431" s="72">
        <v>1</v>
      </c>
      <c r="AS431" s="116">
        <f t="shared" si="194"/>
        <v>6</v>
      </c>
      <c r="AT431" s="82">
        <v>2</v>
      </c>
      <c r="AU431" s="6">
        <f t="shared" si="195"/>
        <v>12</v>
      </c>
      <c r="AV431" s="111">
        <f t="shared" si="196"/>
        <v>5.5267275545008356E-2</v>
      </c>
      <c r="AW431" s="117">
        <f t="shared" si="197"/>
        <v>105</v>
      </c>
      <c r="AX431" s="111">
        <f t="shared" si="198"/>
        <v>1</v>
      </c>
      <c r="AY431" s="111">
        <f t="shared" si="199"/>
        <v>1</v>
      </c>
      <c r="AZ431" s="111">
        <f t="shared" si="200"/>
        <v>1</v>
      </c>
      <c r="BA431" s="111">
        <f t="shared" si="201"/>
        <v>5.8176079521061429E-2</v>
      </c>
      <c r="BB431" s="111">
        <f t="shared" si="202"/>
        <v>0</v>
      </c>
      <c r="BC431" s="111">
        <f t="shared" si="203"/>
        <v>0</v>
      </c>
      <c r="BD431" s="111">
        <v>0</v>
      </c>
      <c r="BE431" s="111">
        <f t="shared" si="204"/>
        <v>5.8176079521061429E-2</v>
      </c>
      <c r="BF431" s="6" t="str">
        <f t="shared" si="205"/>
        <v>OK</v>
      </c>
      <c r="BG431" s="16">
        <f t="shared" si="206"/>
        <v>63.625549371390676</v>
      </c>
      <c r="BH431" s="118">
        <f t="shared" si="207"/>
        <v>2.1193803644775273</v>
      </c>
      <c r="BI431" s="108">
        <f t="shared" si="208"/>
        <v>0</v>
      </c>
      <c r="BJ431" s="6">
        <f t="shared" si="209"/>
        <v>1.2440309817761237</v>
      </c>
      <c r="BK431" s="108">
        <f t="shared" si="210"/>
        <v>0</v>
      </c>
      <c r="BL431" s="118" cm="1">
        <f t="array" ref="BL431">IF(AO431=0,FactorPhi7121(BH431,"a"),noisuy2chieu(BK431,BH431,Data!$A$63:$M$85))</f>
        <v>0.86214274110469236</v>
      </c>
      <c r="BM431" s="111">
        <v>1.26</v>
      </c>
      <c r="BN431" s="118">
        <f t="shared" si="211"/>
        <v>0.97517519367754946</v>
      </c>
      <c r="BO431" s="108">
        <f t="shared" si="212"/>
        <v>0.13753356725926902</v>
      </c>
      <c r="BP431" s="6" t="str">
        <f t="shared" si="213"/>
        <v>OK</v>
      </c>
      <c r="BQ431" s="16">
        <f t="shared" si="214"/>
        <v>127.25109874278135</v>
      </c>
      <c r="BR431" s="118">
        <f t="shared" si="215"/>
        <v>4.2387607289550546</v>
      </c>
      <c r="BS431" s="108">
        <f t="shared" si="216"/>
        <v>0</v>
      </c>
      <c r="BT431" s="118">
        <f t="shared" si="217"/>
        <v>1.1380619635522473</v>
      </c>
      <c r="BU431" s="108">
        <f t="shared" si="218"/>
        <v>0</v>
      </c>
      <c r="BV431" s="6" cm="1">
        <f t="array" ref="BV431">IF(AP431=0,FactorPhi7121(BR431,"a"),noisuy2chieu(BU431,BR431,Data!$A$63:$M$85))</f>
        <v>0.42299549615688942</v>
      </c>
      <c r="BW431" s="111">
        <v>1.26</v>
      </c>
      <c r="BX431" s="111">
        <f t="shared" si="219"/>
        <v>0.90070077471019772</v>
      </c>
      <c r="BY431" s="113">
        <f t="shared" si="220"/>
        <v>6.7478477457826147E-2</v>
      </c>
      <c r="BZ431" s="6" t="str">
        <f t="shared" si="221"/>
        <v>OK</v>
      </c>
      <c r="CA431" s="114">
        <f t="shared" si="222"/>
        <v>127.25109874278135</v>
      </c>
      <c r="CB431" s="115">
        <f t="shared" si="223"/>
        <v>150</v>
      </c>
      <c r="CC431" s="6" t="str">
        <f t="shared" si="224"/>
        <v>OK</v>
      </c>
    </row>
    <row r="432" spans="27:81">
      <c r="AA432" s="79" t="s">
        <v>175</v>
      </c>
      <c r="AB432" s="80" t="s">
        <v>202</v>
      </c>
      <c r="AC432" s="81">
        <v>2.74</v>
      </c>
      <c r="AD432" s="81">
        <v>6</v>
      </c>
      <c r="AE432" s="80">
        <v>273</v>
      </c>
      <c r="AF432" s="80">
        <v>6.35</v>
      </c>
      <c r="AG432" s="108" cm="1">
        <f t="array" ref="AG432">_xll.DCEPropSectPipe(AE432, AF432, "Area")/100</f>
        <v>53.19431074856206</v>
      </c>
      <c r="AH432" s="16" cm="1">
        <f t="array" ref="AH432">_xll.DCEPropSectPipe(AE432, AF432, "Ix")/10000</f>
        <v>4730.4733077169503</v>
      </c>
      <c r="AI432" s="16" cm="1">
        <f t="array" ref="AI432">_xll.DCEPropSectPipe(AE432, AF432, "Wx")/1000</f>
        <v>346.55482107816493</v>
      </c>
      <c r="AJ432" s="108">
        <f t="shared" si="193"/>
        <v>9.4301739777164251</v>
      </c>
      <c r="AK432" s="80" t="s">
        <v>212</v>
      </c>
      <c r="AL432" s="82">
        <v>-65.850559755669764</v>
      </c>
      <c r="AM432" s="82">
        <v>-8.6539166336855242</v>
      </c>
      <c r="AN432" s="82">
        <v>-1.3681072740726937E-2</v>
      </c>
      <c r="AO432" s="82">
        <v>3.7513501455073248E-2</v>
      </c>
      <c r="AP432" s="82">
        <v>23.729039409565704</v>
      </c>
      <c r="AQ432" s="82">
        <v>1.1692455593887367E-3</v>
      </c>
      <c r="AR432" s="72">
        <v>1</v>
      </c>
      <c r="AS432" s="116">
        <f t="shared" si="194"/>
        <v>6</v>
      </c>
      <c r="AT432" s="82">
        <v>2</v>
      </c>
      <c r="AU432" s="6">
        <f t="shared" si="195"/>
        <v>12</v>
      </c>
      <c r="AV432" s="111">
        <f t="shared" si="196"/>
        <v>5.4159212682127478E-2</v>
      </c>
      <c r="AW432" s="117">
        <f t="shared" si="197"/>
        <v>105</v>
      </c>
      <c r="AX432" s="111">
        <f t="shared" si="198"/>
        <v>1</v>
      </c>
      <c r="AY432" s="111">
        <f t="shared" si="199"/>
        <v>1</v>
      </c>
      <c r="AZ432" s="111">
        <f t="shared" si="200"/>
        <v>1</v>
      </c>
      <c r="BA432" s="111">
        <f t="shared" si="201"/>
        <v>5.7009697560134194E-2</v>
      </c>
      <c r="BB432" s="111">
        <f t="shared" si="202"/>
        <v>4.9850567837206273E-4</v>
      </c>
      <c r="BC432" s="111">
        <f t="shared" si="203"/>
        <v>0.31532809333060069</v>
      </c>
      <c r="BD432" s="111">
        <v>0</v>
      </c>
      <c r="BE432" s="111">
        <f t="shared" si="204"/>
        <v>0.37283629656910694</v>
      </c>
      <c r="BF432" s="6" t="str">
        <f t="shared" si="205"/>
        <v>OK</v>
      </c>
      <c r="BG432" s="16">
        <f t="shared" si="206"/>
        <v>63.625549371390676</v>
      </c>
      <c r="BH432" s="118">
        <f t="shared" si="207"/>
        <v>2.1193803644775273</v>
      </c>
      <c r="BI432" s="108">
        <f t="shared" si="208"/>
        <v>8.7442259774529723E-3</v>
      </c>
      <c r="BJ432" s="6">
        <f t="shared" si="209"/>
        <v>1.2437790938856428</v>
      </c>
      <c r="BK432" s="108">
        <f t="shared" si="210"/>
        <v>1.0875885462967756E-2</v>
      </c>
      <c r="BL432" s="118" cm="1">
        <f t="array" ref="BL432">IF(AO432=0,FactorPhi7121(BH432,"a"),noisuy2chieu(BK432,BH432,Data!$A$63:$M$85))</f>
        <v>0</v>
      </c>
      <c r="BM432" s="111">
        <v>1.26</v>
      </c>
      <c r="BN432" s="118">
        <f t="shared" si="211"/>
        <v>0.97567291037685944</v>
      </c>
      <c r="BO432" s="108" t="e">
        <f t="shared" si="212"/>
        <v>#DIV/0!</v>
      </c>
      <c r="BP432" s="6" t="e">
        <f t="shared" si="213"/>
        <v>#DIV/0!</v>
      </c>
      <c r="BQ432" s="16">
        <f t="shared" si="214"/>
        <v>127.25109874278135</v>
      </c>
      <c r="BR432" s="118">
        <f t="shared" si="215"/>
        <v>4.2387607289550546</v>
      </c>
      <c r="BS432" s="108">
        <f t="shared" si="216"/>
        <v>5.5311307869681405</v>
      </c>
      <c r="BT432" s="118">
        <f t="shared" si="217"/>
        <v>1.1000000000000001</v>
      </c>
      <c r="BU432" s="108">
        <f t="shared" si="218"/>
        <v>6.0842438656649547</v>
      </c>
      <c r="BV432" s="6" cm="1">
        <f t="array" ref="BV432">IF(AP432=0,FactorPhi7121(BR432,"a"),noisuy2chieu(BU432,BR432,Data!$A$63:$M$85))</f>
        <v>0</v>
      </c>
      <c r="BW432" s="111">
        <v>1.26</v>
      </c>
      <c r="BX432" s="111">
        <f t="shared" si="219"/>
        <v>0.90269164150743775</v>
      </c>
      <c r="BY432" s="113" t="e">
        <f t="shared" si="220"/>
        <v>#DIV/0!</v>
      </c>
      <c r="BZ432" s="6" t="e">
        <f t="shared" si="221"/>
        <v>#DIV/0!</v>
      </c>
      <c r="CA432" s="114">
        <f t="shared" si="222"/>
        <v>127.25109874278135</v>
      </c>
      <c r="CB432" s="115" t="e">
        <f t="shared" si="223"/>
        <v>#DIV/0!</v>
      </c>
      <c r="CC432" s="6" t="e">
        <f t="shared" si="224"/>
        <v>#DIV/0!</v>
      </c>
    </row>
    <row r="433" spans="27:81">
      <c r="AA433" s="79" t="s">
        <v>175</v>
      </c>
      <c r="AB433" s="80" t="s">
        <v>202</v>
      </c>
      <c r="AC433" s="81">
        <v>5.48</v>
      </c>
      <c r="AD433" s="81">
        <v>6</v>
      </c>
      <c r="AE433" s="80">
        <v>273</v>
      </c>
      <c r="AF433" s="80">
        <v>6.35</v>
      </c>
      <c r="AG433" s="108" cm="1">
        <f t="array" ref="AG433">_xll.DCEPropSectPipe(AE433, AF433, "Area")/100</f>
        <v>53.19431074856206</v>
      </c>
      <c r="AH433" s="16" cm="1">
        <f t="array" ref="AH433">_xll.DCEPropSectPipe(AE433, AF433, "Ix")/10000</f>
        <v>4730.4733077169503</v>
      </c>
      <c r="AI433" s="16" cm="1">
        <f t="array" ref="AI433">_xll.DCEPropSectPipe(AE433, AF433, "Wx")/1000</f>
        <v>346.55482107816493</v>
      </c>
      <c r="AJ433" s="108">
        <f t="shared" si="193"/>
        <v>9.4301739777164251</v>
      </c>
      <c r="AK433" s="80" t="s">
        <v>212</v>
      </c>
      <c r="AL433" s="82">
        <v>-64.503299406937728</v>
      </c>
      <c r="AM433" s="82">
        <v>-8.6539166336855242</v>
      </c>
      <c r="AN433" s="82">
        <v>-1.3681072740726937E-2</v>
      </c>
      <c r="AO433" s="82">
        <v>7.5027002910146495E-2</v>
      </c>
      <c r="AP433" s="82">
        <v>47.458078819131408</v>
      </c>
      <c r="AQ433" s="82">
        <v>1.1692455593887367E-3</v>
      </c>
      <c r="AR433" s="72">
        <v>1</v>
      </c>
      <c r="AS433" s="116">
        <f t="shared" si="194"/>
        <v>6</v>
      </c>
      <c r="AT433" s="82">
        <v>2</v>
      </c>
      <c r="AU433" s="6">
        <f t="shared" si="195"/>
        <v>12</v>
      </c>
      <c r="AV433" s="111">
        <f t="shared" si="196"/>
        <v>5.30511498192466E-2</v>
      </c>
      <c r="AW433" s="117">
        <f t="shared" si="197"/>
        <v>105</v>
      </c>
      <c r="AX433" s="111">
        <f t="shared" si="198"/>
        <v>1</v>
      </c>
      <c r="AY433" s="111">
        <f t="shared" si="199"/>
        <v>1</v>
      </c>
      <c r="AZ433" s="111">
        <f t="shared" si="200"/>
        <v>1</v>
      </c>
      <c r="BA433" s="111">
        <f t="shared" si="201"/>
        <v>5.5843315599206952E-2</v>
      </c>
      <c r="BB433" s="111">
        <f t="shared" si="202"/>
        <v>9.9701135674412546E-4</v>
      </c>
      <c r="BC433" s="111">
        <f t="shared" si="203"/>
        <v>0.63065618666120138</v>
      </c>
      <c r="BD433" s="111">
        <v>0</v>
      </c>
      <c r="BE433" s="111">
        <f t="shared" si="204"/>
        <v>0.68749651361715247</v>
      </c>
      <c r="BF433" s="6" t="str">
        <f t="shared" si="205"/>
        <v>OK</v>
      </c>
      <c r="BG433" s="16">
        <f t="shared" si="206"/>
        <v>63.625549371390676</v>
      </c>
      <c r="BH433" s="118">
        <f t="shared" si="207"/>
        <v>2.1193803644775273</v>
      </c>
      <c r="BI433" s="108">
        <f t="shared" si="208"/>
        <v>1.7853727810500642E-2</v>
      </c>
      <c r="BJ433" s="6">
        <f t="shared" si="209"/>
        <v>1.2435166837871416</v>
      </c>
      <c r="BK433" s="108">
        <f t="shared" si="210"/>
        <v>2.2201408400152025E-2</v>
      </c>
      <c r="BL433" s="118" cm="1">
        <f t="array" ref="BL433">IF(AO433=0,FactorPhi7121(BH433,"a"),noisuy2chieu(BK433,BH433,Data!$A$63:$M$85))</f>
        <v>0</v>
      </c>
      <c r="BM433" s="111">
        <v>1.26</v>
      </c>
      <c r="BN433" s="118">
        <f t="shared" si="211"/>
        <v>0.97617062707616942</v>
      </c>
      <c r="BO433" s="108" t="e">
        <f t="shared" si="212"/>
        <v>#DIV/0!</v>
      </c>
      <c r="BP433" s="6" t="e">
        <f t="shared" si="213"/>
        <v>#DIV/0!</v>
      </c>
      <c r="BQ433" s="16">
        <f t="shared" si="214"/>
        <v>127.25109874278135</v>
      </c>
      <c r="BR433" s="118">
        <f t="shared" si="215"/>
        <v>4.2387607289550546</v>
      </c>
      <c r="BS433" s="108">
        <f t="shared" si="216"/>
        <v>11.293315590132288</v>
      </c>
      <c r="BT433" s="118">
        <f t="shared" si="217"/>
        <v>1.1000000000000001</v>
      </c>
      <c r="BU433" s="108">
        <f t="shared" si="218"/>
        <v>12.422647149145517</v>
      </c>
      <c r="BV433" s="6" cm="1">
        <f t="array" ref="BV433">IF(AP433=0,FactorPhi7121(BR433,"a"),noisuy2chieu(BU433,BR433,Data!$A$63:$M$85))</f>
        <v>0</v>
      </c>
      <c r="BW433" s="111">
        <v>1.26</v>
      </c>
      <c r="BX433" s="111">
        <f t="shared" si="219"/>
        <v>0.90468250830467767</v>
      </c>
      <c r="BY433" s="113" t="e">
        <f t="shared" si="220"/>
        <v>#DIV/0!</v>
      </c>
      <c r="BZ433" s="6" t="e">
        <f t="shared" si="221"/>
        <v>#DIV/0!</v>
      </c>
      <c r="CA433" s="114">
        <f t="shared" si="222"/>
        <v>127.25109874278135</v>
      </c>
      <c r="CB433" s="115" t="e">
        <f t="shared" si="223"/>
        <v>#DIV/0!</v>
      </c>
      <c r="CC433" s="6" t="e">
        <f t="shared" si="224"/>
        <v>#DIV/0!</v>
      </c>
    </row>
    <row r="434" spans="27:81">
      <c r="AA434" s="79" t="s">
        <v>175</v>
      </c>
      <c r="AB434" s="80" t="s">
        <v>202</v>
      </c>
      <c r="AC434" s="81">
        <v>0</v>
      </c>
      <c r="AD434" s="81">
        <v>6</v>
      </c>
      <c r="AE434" s="80">
        <v>273</v>
      </c>
      <c r="AF434" s="80">
        <v>6.35</v>
      </c>
      <c r="AG434" s="108" cm="1">
        <f t="array" ref="AG434">_xll.DCEPropSectPipe(AE434, AF434, "Area")/100</f>
        <v>53.19431074856206</v>
      </c>
      <c r="AH434" s="16" cm="1">
        <f t="array" ref="AH434">_xll.DCEPropSectPipe(AE434, AF434, "Ix")/10000</f>
        <v>4730.4733077169503</v>
      </c>
      <c r="AI434" s="16" cm="1">
        <f t="array" ref="AI434">_xll.DCEPropSectPipe(AE434, AF434, "Wx")/1000</f>
        <v>346.55482107816493</v>
      </c>
      <c r="AJ434" s="108">
        <f t="shared" si="193"/>
        <v>9.4301739777164251</v>
      </c>
      <c r="AK434" s="80" t="s">
        <v>213</v>
      </c>
      <c r="AL434" s="82">
        <v>-5.3100886750577327</v>
      </c>
      <c r="AM434" s="82">
        <v>-0.85647995523867282</v>
      </c>
      <c r="AN434" s="82">
        <v>-1.0835687364136076E-3</v>
      </c>
      <c r="AO434" s="82">
        <v>0</v>
      </c>
      <c r="AP434" s="82">
        <v>0</v>
      </c>
      <c r="AQ434" s="82">
        <v>3.4308235227460026E-4</v>
      </c>
      <c r="AR434" s="72">
        <v>1</v>
      </c>
      <c r="AS434" s="116">
        <f t="shared" si="194"/>
        <v>6</v>
      </c>
      <c r="AT434" s="82">
        <v>2</v>
      </c>
      <c r="AU434" s="6">
        <f t="shared" si="195"/>
        <v>12</v>
      </c>
      <c r="AV434" s="111">
        <f t="shared" si="196"/>
        <v>4.3673162837259954E-3</v>
      </c>
      <c r="AW434" s="117">
        <f t="shared" si="197"/>
        <v>105</v>
      </c>
      <c r="AX434" s="111">
        <f t="shared" si="198"/>
        <v>1</v>
      </c>
      <c r="AY434" s="111">
        <f t="shared" si="199"/>
        <v>1</v>
      </c>
      <c r="AZ434" s="111">
        <f t="shared" si="200"/>
        <v>1</v>
      </c>
      <c r="BA434" s="111">
        <f t="shared" si="201"/>
        <v>4.5971750355010485E-3</v>
      </c>
      <c r="BB434" s="111">
        <f t="shared" si="202"/>
        <v>0</v>
      </c>
      <c r="BC434" s="111">
        <f t="shared" si="203"/>
        <v>0</v>
      </c>
      <c r="BD434" s="111">
        <v>0</v>
      </c>
      <c r="BE434" s="111">
        <f t="shared" si="204"/>
        <v>4.5971750355010485E-3</v>
      </c>
      <c r="BF434" s="6" t="str">
        <f t="shared" si="205"/>
        <v>OK</v>
      </c>
      <c r="BG434" s="16">
        <f t="shared" si="206"/>
        <v>63.625549371390676</v>
      </c>
      <c r="BH434" s="118">
        <f t="shared" si="207"/>
        <v>2.1193803644775273</v>
      </c>
      <c r="BI434" s="108">
        <f t="shared" si="208"/>
        <v>0</v>
      </c>
      <c r="BJ434" s="6">
        <f t="shared" si="209"/>
        <v>1.2440309817761237</v>
      </c>
      <c r="BK434" s="108">
        <f t="shared" si="210"/>
        <v>0</v>
      </c>
      <c r="BL434" s="118" cm="1">
        <f t="array" ref="BL434">IF(AO434=0,FactorPhi7121(BH434,"a"),noisuy2chieu(BK434,BH434,Data!$A$63:$M$85))</f>
        <v>0.86214274110469236</v>
      </c>
      <c r="BM434" s="111">
        <v>1.26</v>
      </c>
      <c r="BN434" s="118">
        <f t="shared" si="211"/>
        <v>0.9980383006069462</v>
      </c>
      <c r="BO434" s="108">
        <f t="shared" si="212"/>
        <v>1.0868141805925876E-2</v>
      </c>
      <c r="BP434" s="6" t="str">
        <f t="shared" si="213"/>
        <v>OK</v>
      </c>
      <c r="BQ434" s="16">
        <f t="shared" si="214"/>
        <v>127.25109874278135</v>
      </c>
      <c r="BR434" s="118">
        <f t="shared" si="215"/>
        <v>4.2387607289550546</v>
      </c>
      <c r="BS434" s="108">
        <f t="shared" si="216"/>
        <v>0</v>
      </c>
      <c r="BT434" s="118">
        <f t="shared" si="217"/>
        <v>1.1380619635522473</v>
      </c>
      <c r="BU434" s="108">
        <f t="shared" si="218"/>
        <v>0</v>
      </c>
      <c r="BV434" s="6" cm="1">
        <f t="array" ref="BV434">IF(AP434=0,FactorPhi7121(BR434,"a"),noisuy2chieu(BU434,BR434,Data!$A$63:$M$85))</f>
        <v>0.42299549615688942</v>
      </c>
      <c r="BW434" s="111">
        <v>1.26</v>
      </c>
      <c r="BX434" s="111">
        <f t="shared" si="219"/>
        <v>0.9921532024277846</v>
      </c>
      <c r="BY434" s="113">
        <f t="shared" si="220"/>
        <v>5.3322667074950187E-3</v>
      </c>
      <c r="BZ434" s="6" t="str">
        <f t="shared" si="221"/>
        <v>OK</v>
      </c>
      <c r="CA434" s="114">
        <f t="shared" si="222"/>
        <v>127.25109874278135</v>
      </c>
      <c r="CB434" s="115">
        <f t="shared" si="223"/>
        <v>150</v>
      </c>
      <c r="CC434" s="6" t="str">
        <f t="shared" si="224"/>
        <v>OK</v>
      </c>
    </row>
    <row r="435" spans="27:81">
      <c r="AA435" s="79" t="s">
        <v>175</v>
      </c>
      <c r="AB435" s="80" t="s">
        <v>202</v>
      </c>
      <c r="AC435" s="81">
        <v>2.74</v>
      </c>
      <c r="AD435" s="81">
        <v>6</v>
      </c>
      <c r="AE435" s="80">
        <v>273</v>
      </c>
      <c r="AF435" s="80">
        <v>6.35</v>
      </c>
      <c r="AG435" s="108" cm="1">
        <f t="array" ref="AG435">_xll.DCEPropSectPipe(AE435, AF435, "Area")/100</f>
        <v>53.19431074856206</v>
      </c>
      <c r="AH435" s="16" cm="1">
        <f t="array" ref="AH435">_xll.DCEPropSectPipe(AE435, AF435, "Ix")/10000</f>
        <v>4730.4733077169503</v>
      </c>
      <c r="AI435" s="16" cm="1">
        <f t="array" ref="AI435">_xll.DCEPropSectPipe(AE435, AF435, "Wx")/1000</f>
        <v>346.55482107816493</v>
      </c>
      <c r="AJ435" s="108">
        <f t="shared" si="193"/>
        <v>9.4301739777164251</v>
      </c>
      <c r="AK435" s="80" t="s">
        <v>213</v>
      </c>
      <c r="AL435" s="82">
        <v>-3.9628283263257029</v>
      </c>
      <c r="AM435" s="82">
        <v>-0.85647995523867282</v>
      </c>
      <c r="AN435" s="82">
        <v>-1.0835687364136076E-3</v>
      </c>
      <c r="AO435" s="82">
        <v>2.9711454752461095E-3</v>
      </c>
      <c r="AP435" s="82">
        <v>2.3484680372644413</v>
      </c>
      <c r="AQ435" s="82">
        <v>3.4308235227460026E-4</v>
      </c>
      <c r="AR435" s="72">
        <v>1</v>
      </c>
      <c r="AS435" s="116">
        <f t="shared" si="194"/>
        <v>6</v>
      </c>
      <c r="AT435" s="82">
        <v>2</v>
      </c>
      <c r="AU435" s="6">
        <f t="shared" si="195"/>
        <v>12</v>
      </c>
      <c r="AV435" s="111">
        <f t="shared" si="196"/>
        <v>3.2592534208451254E-3</v>
      </c>
      <c r="AW435" s="117">
        <f t="shared" si="197"/>
        <v>105</v>
      </c>
      <c r="AX435" s="111">
        <f t="shared" si="198"/>
        <v>1</v>
      </c>
      <c r="AY435" s="111">
        <f t="shared" si="199"/>
        <v>1</v>
      </c>
      <c r="AZ435" s="111">
        <f t="shared" si="200"/>
        <v>1</v>
      </c>
      <c r="BA435" s="111">
        <f t="shared" si="201"/>
        <v>3.4307930745738164E-3</v>
      </c>
      <c r="BB435" s="111">
        <f t="shared" si="202"/>
        <v>3.9482661794540141E-5</v>
      </c>
      <c r="BC435" s="111">
        <f t="shared" si="203"/>
        <v>3.1208087932119453E-2</v>
      </c>
      <c r="BD435" s="111">
        <v>0</v>
      </c>
      <c r="BE435" s="111">
        <f t="shared" si="204"/>
        <v>3.467836366848781E-2</v>
      </c>
      <c r="BF435" s="6" t="str">
        <f t="shared" si="205"/>
        <v>OK</v>
      </c>
      <c r="BG435" s="16">
        <f t="shared" si="206"/>
        <v>63.625549371390676</v>
      </c>
      <c r="BH435" s="118">
        <f t="shared" si="207"/>
        <v>2.1193803644775273</v>
      </c>
      <c r="BI435" s="108">
        <f t="shared" si="208"/>
        <v>1.1508319195101792E-2</v>
      </c>
      <c r="BJ435" s="6">
        <f t="shared" si="209"/>
        <v>1.2436994708736711</v>
      </c>
      <c r="BK435" s="108">
        <f t="shared" si="210"/>
        <v>1.4312890493593411E-2</v>
      </c>
      <c r="BL435" s="118" cm="1">
        <f t="array" ref="BL435">IF(AO435=0,FactorPhi7121(BH435,"a"),noisuy2chieu(BK435,BH435,Data!$A$63:$M$85))</f>
        <v>0</v>
      </c>
      <c r="BM435" s="111">
        <v>1.26</v>
      </c>
      <c r="BN435" s="118">
        <f t="shared" si="211"/>
        <v>0.99853601730625619</v>
      </c>
      <c r="BO435" s="108" t="e">
        <f t="shared" si="212"/>
        <v>#DIV/0!</v>
      </c>
      <c r="BP435" s="6" t="e">
        <f t="shared" si="213"/>
        <v>#DIV/0!</v>
      </c>
      <c r="BQ435" s="16">
        <f t="shared" si="214"/>
        <v>127.25109874278135</v>
      </c>
      <c r="BR435" s="118">
        <f t="shared" si="215"/>
        <v>4.2387607289550546</v>
      </c>
      <c r="BS435" s="108">
        <f t="shared" si="216"/>
        <v>9.096464652271754</v>
      </c>
      <c r="BT435" s="118">
        <f t="shared" si="217"/>
        <v>1.1000000000000001</v>
      </c>
      <c r="BU435" s="108">
        <f t="shared" si="218"/>
        <v>10.00611111749893</v>
      </c>
      <c r="BV435" s="6" cm="1">
        <f t="array" ref="BV435">IF(AP435=0,FactorPhi7121(BR435,"a"),noisuy2chieu(BU435,BR435,Data!$A$63:$M$85))</f>
        <v>0</v>
      </c>
      <c r="BW435" s="111">
        <v>1.26</v>
      </c>
      <c r="BX435" s="111">
        <f t="shared" si="219"/>
        <v>0.99414406922502463</v>
      </c>
      <c r="BY435" s="113" t="e">
        <f t="shared" si="220"/>
        <v>#DIV/0!</v>
      </c>
      <c r="BZ435" s="6" t="e">
        <f t="shared" si="221"/>
        <v>#DIV/0!</v>
      </c>
      <c r="CA435" s="114">
        <f t="shared" si="222"/>
        <v>127.25109874278135</v>
      </c>
      <c r="CB435" s="115" t="e">
        <f t="shared" si="223"/>
        <v>#DIV/0!</v>
      </c>
      <c r="CC435" s="6" t="e">
        <f t="shared" si="224"/>
        <v>#DIV/0!</v>
      </c>
    </row>
    <row r="436" spans="27:81">
      <c r="AA436" s="79" t="s">
        <v>175</v>
      </c>
      <c r="AB436" s="80" t="s">
        <v>202</v>
      </c>
      <c r="AC436" s="81">
        <v>5.48</v>
      </c>
      <c r="AD436" s="81">
        <v>6</v>
      </c>
      <c r="AE436" s="80">
        <v>273</v>
      </c>
      <c r="AF436" s="80">
        <v>6.35</v>
      </c>
      <c r="AG436" s="108" cm="1">
        <f t="array" ref="AG436">_xll.DCEPropSectPipe(AE436, AF436, "Area")/100</f>
        <v>53.19431074856206</v>
      </c>
      <c r="AH436" s="16" cm="1">
        <f t="array" ref="AH436">_xll.DCEPropSectPipe(AE436, AF436, "Ix")/10000</f>
        <v>4730.4733077169503</v>
      </c>
      <c r="AI436" s="16" cm="1">
        <f t="array" ref="AI436">_xll.DCEPropSectPipe(AE436, AF436, "Wx")/1000</f>
        <v>346.55482107816493</v>
      </c>
      <c r="AJ436" s="108">
        <f t="shared" si="193"/>
        <v>9.4301739777164251</v>
      </c>
      <c r="AK436" s="80" t="s">
        <v>213</v>
      </c>
      <c r="AL436" s="82">
        <v>-2.6155679775936727</v>
      </c>
      <c r="AM436" s="82">
        <v>-0.85647995523867282</v>
      </c>
      <c r="AN436" s="82">
        <v>-1.0835687364136076E-3</v>
      </c>
      <c r="AO436" s="82">
        <v>5.942290950492219E-3</v>
      </c>
      <c r="AP436" s="82">
        <v>4.6969360745288826</v>
      </c>
      <c r="AQ436" s="82">
        <v>3.4308235227460026E-4</v>
      </c>
      <c r="AR436" s="72">
        <v>1</v>
      </c>
      <c r="AS436" s="116">
        <f t="shared" si="194"/>
        <v>6</v>
      </c>
      <c r="AT436" s="82">
        <v>2</v>
      </c>
      <c r="AU436" s="6">
        <f t="shared" si="195"/>
        <v>12</v>
      </c>
      <c r="AV436" s="111">
        <f t="shared" si="196"/>
        <v>2.151190557964255E-3</v>
      </c>
      <c r="AW436" s="117">
        <f t="shared" si="197"/>
        <v>105</v>
      </c>
      <c r="AX436" s="111">
        <f t="shared" si="198"/>
        <v>1</v>
      </c>
      <c r="AY436" s="111">
        <f t="shared" si="199"/>
        <v>1</v>
      </c>
      <c r="AZ436" s="111">
        <f t="shared" si="200"/>
        <v>1</v>
      </c>
      <c r="BA436" s="111">
        <f t="shared" si="201"/>
        <v>2.2644111136465844E-3</v>
      </c>
      <c r="BB436" s="111">
        <f t="shared" si="202"/>
        <v>7.8965323589080282E-5</v>
      </c>
      <c r="BC436" s="111">
        <f t="shared" si="203"/>
        <v>6.2416175864238907E-2</v>
      </c>
      <c r="BD436" s="111">
        <v>0</v>
      </c>
      <c r="BE436" s="111">
        <f t="shared" si="204"/>
        <v>6.4759552301474566E-2</v>
      </c>
      <c r="BF436" s="6" t="str">
        <f t="shared" si="205"/>
        <v>OK</v>
      </c>
      <c r="BG436" s="16">
        <f t="shared" si="206"/>
        <v>63.625549371390676</v>
      </c>
      <c r="BH436" s="118">
        <f t="shared" si="207"/>
        <v>2.1193803644775273</v>
      </c>
      <c r="BI436" s="108">
        <f t="shared" si="208"/>
        <v>3.4872344122139264E-2</v>
      </c>
      <c r="BJ436" s="6">
        <f t="shared" si="209"/>
        <v>1.2430264421839745</v>
      </c>
      <c r="BK436" s="108">
        <f t="shared" si="210"/>
        <v>4.3347245844758006E-2</v>
      </c>
      <c r="BL436" s="118" cm="1">
        <f t="array" ref="BL436">IF(AO436=0,FactorPhi7121(BH436,"a"),noisuy2chieu(BK436,BH436,Data!$A$63:$M$85))</f>
        <v>0</v>
      </c>
      <c r="BM436" s="111">
        <v>1.26</v>
      </c>
      <c r="BN436" s="118">
        <f t="shared" si="211"/>
        <v>0.99903373400556617</v>
      </c>
      <c r="BO436" s="108" t="e">
        <f t="shared" si="212"/>
        <v>#DIV/0!</v>
      </c>
      <c r="BP436" s="6" t="e">
        <f t="shared" si="213"/>
        <v>#DIV/0!</v>
      </c>
      <c r="BQ436" s="16">
        <f t="shared" si="214"/>
        <v>127.25109874278135</v>
      </c>
      <c r="BR436" s="118">
        <f t="shared" si="215"/>
        <v>4.2387607289550546</v>
      </c>
      <c r="BS436" s="108">
        <f t="shared" si="216"/>
        <v>27.563977004036403</v>
      </c>
      <c r="BT436" s="118">
        <f t="shared" si="217"/>
        <v>1.1000000000000001</v>
      </c>
      <c r="BU436" s="108">
        <f t="shared" si="218"/>
        <v>30.320374704440045</v>
      </c>
      <c r="BV436" s="6" cm="1">
        <f t="array" ref="BV436">IF(AP436=0,FactorPhi7121(BR436,"a"),noisuy2chieu(BU436,BR436,Data!$A$63:$M$85))</f>
        <v>0</v>
      </c>
      <c r="BW436" s="111">
        <v>1.26</v>
      </c>
      <c r="BX436" s="111">
        <f t="shared" si="219"/>
        <v>0.99613493602226466</v>
      </c>
      <c r="BY436" s="113" t="e">
        <f t="shared" si="220"/>
        <v>#DIV/0!</v>
      </c>
      <c r="BZ436" s="6" t="e">
        <f t="shared" si="221"/>
        <v>#DIV/0!</v>
      </c>
      <c r="CA436" s="114">
        <f t="shared" si="222"/>
        <v>127.25109874278135</v>
      </c>
      <c r="CB436" s="115" t="e">
        <f t="shared" si="223"/>
        <v>#DIV/0!</v>
      </c>
      <c r="CC436" s="6" t="e">
        <f t="shared" si="224"/>
        <v>#DIV/0!</v>
      </c>
    </row>
    <row r="437" spans="27:81">
      <c r="AA437" s="79" t="s">
        <v>175</v>
      </c>
      <c r="AB437" s="80" t="s">
        <v>202</v>
      </c>
      <c r="AC437" s="81">
        <v>0</v>
      </c>
      <c r="AD437" s="81">
        <v>6</v>
      </c>
      <c r="AE437" s="80">
        <v>273</v>
      </c>
      <c r="AF437" s="80">
        <v>6.35</v>
      </c>
      <c r="AG437" s="108" cm="1">
        <f t="array" ref="AG437">_xll.DCEPropSectPipe(AE437, AF437, "Area")/100</f>
        <v>53.19431074856206</v>
      </c>
      <c r="AH437" s="16" cm="1">
        <f t="array" ref="AH437">_xll.DCEPropSectPipe(AE437, AF437, "Ix")/10000</f>
        <v>4730.4733077169503</v>
      </c>
      <c r="AI437" s="16" cm="1">
        <f t="array" ref="AI437">_xll.DCEPropSectPipe(AE437, AF437, "Wx")/1000</f>
        <v>346.55482107816493</v>
      </c>
      <c r="AJ437" s="108">
        <f t="shared" si="193"/>
        <v>9.4301739777164251</v>
      </c>
      <c r="AK437" s="80" t="s">
        <v>214</v>
      </c>
      <c r="AL437" s="82">
        <v>-18.955768784787125</v>
      </c>
      <c r="AM437" s="82">
        <v>-0.92843574582546518</v>
      </c>
      <c r="AN437" s="82">
        <v>-1.9947548735088378E-3</v>
      </c>
      <c r="AO437" s="82">
        <v>0</v>
      </c>
      <c r="AP437" s="82">
        <v>0</v>
      </c>
      <c r="AQ437" s="82">
        <v>-3.9030397749502648E-4</v>
      </c>
      <c r="AR437" s="72">
        <v>1</v>
      </c>
      <c r="AS437" s="116">
        <f t="shared" si="194"/>
        <v>6</v>
      </c>
      <c r="AT437" s="82">
        <v>2</v>
      </c>
      <c r="AU437" s="6">
        <f t="shared" si="195"/>
        <v>12</v>
      </c>
      <c r="AV437" s="111">
        <f t="shared" si="196"/>
        <v>1.5590292884034684E-2</v>
      </c>
      <c r="AW437" s="117">
        <f t="shared" si="197"/>
        <v>105</v>
      </c>
      <c r="AX437" s="111">
        <f t="shared" si="198"/>
        <v>1</v>
      </c>
      <c r="AY437" s="111">
        <f t="shared" si="199"/>
        <v>1</v>
      </c>
      <c r="AZ437" s="111">
        <f t="shared" si="200"/>
        <v>1</v>
      </c>
      <c r="BA437" s="111">
        <f t="shared" si="201"/>
        <v>1.6410834614773353E-2</v>
      </c>
      <c r="BB437" s="111">
        <f t="shared" si="202"/>
        <v>0</v>
      </c>
      <c r="BC437" s="111">
        <f t="shared" si="203"/>
        <v>0</v>
      </c>
      <c r="BD437" s="111">
        <v>0</v>
      </c>
      <c r="BE437" s="111">
        <f t="shared" si="204"/>
        <v>1.6410834614773353E-2</v>
      </c>
      <c r="BF437" s="6" t="str">
        <f t="shared" si="205"/>
        <v>OK</v>
      </c>
      <c r="BG437" s="16">
        <f t="shared" si="206"/>
        <v>63.625549371390676</v>
      </c>
      <c r="BH437" s="118">
        <f t="shared" si="207"/>
        <v>2.1193803644775273</v>
      </c>
      <c r="BI437" s="108">
        <f t="shared" si="208"/>
        <v>0</v>
      </c>
      <c r="BJ437" s="6">
        <f t="shared" si="209"/>
        <v>1.2440309817761237</v>
      </c>
      <c r="BK437" s="108">
        <f t="shared" si="210"/>
        <v>0</v>
      </c>
      <c r="BL437" s="118" cm="1">
        <f t="array" ref="BL437">IF(AO437=0,FactorPhi7121(BH437,"a"),noisuy2chieu(BK437,BH437,Data!$A$63:$M$85))</f>
        <v>0.86214274110469236</v>
      </c>
      <c r="BM437" s="111">
        <v>1.26</v>
      </c>
      <c r="BN437" s="118">
        <f t="shared" si="211"/>
        <v>0.99299719413450627</v>
      </c>
      <c r="BO437" s="108">
        <f t="shared" si="212"/>
        <v>3.8796712409170805E-2</v>
      </c>
      <c r="BP437" s="6" t="str">
        <f t="shared" si="213"/>
        <v>OK</v>
      </c>
      <c r="BQ437" s="16">
        <f t="shared" si="214"/>
        <v>127.25109874278135</v>
      </c>
      <c r="BR437" s="118">
        <f t="shared" si="215"/>
        <v>4.2387607289550546</v>
      </c>
      <c r="BS437" s="108">
        <f t="shared" si="216"/>
        <v>0</v>
      </c>
      <c r="BT437" s="118">
        <f t="shared" si="217"/>
        <v>1.1380619635522473</v>
      </c>
      <c r="BU437" s="108">
        <f t="shared" si="218"/>
        <v>0</v>
      </c>
      <c r="BV437" s="6" cm="1">
        <f t="array" ref="BV437">IF(AP437=0,FactorPhi7121(BR437,"a"),noisuy2chieu(BU437,BR437,Data!$A$63:$M$85))</f>
        <v>0.42299549615688942</v>
      </c>
      <c r="BW437" s="111">
        <v>1.26</v>
      </c>
      <c r="BX437" s="111">
        <f t="shared" si="219"/>
        <v>0.97198877653802529</v>
      </c>
      <c r="BY437" s="113">
        <f t="shared" si="220"/>
        <v>1.9034939149108421E-2</v>
      </c>
      <c r="BZ437" s="6" t="str">
        <f t="shared" si="221"/>
        <v>OK</v>
      </c>
      <c r="CA437" s="114">
        <f t="shared" si="222"/>
        <v>127.25109874278135</v>
      </c>
      <c r="CB437" s="115">
        <f t="shared" si="223"/>
        <v>150</v>
      </c>
      <c r="CC437" s="6" t="str">
        <f t="shared" si="224"/>
        <v>OK</v>
      </c>
    </row>
    <row r="438" spans="27:81">
      <c r="AA438" s="79" t="s">
        <v>175</v>
      </c>
      <c r="AB438" s="80" t="s">
        <v>202</v>
      </c>
      <c r="AC438" s="81">
        <v>2.74</v>
      </c>
      <c r="AD438" s="81">
        <v>6</v>
      </c>
      <c r="AE438" s="80">
        <v>273</v>
      </c>
      <c r="AF438" s="80">
        <v>6.35</v>
      </c>
      <c r="AG438" s="108" cm="1">
        <f t="array" ref="AG438">_xll.DCEPropSectPipe(AE438, AF438, "Area")/100</f>
        <v>53.19431074856206</v>
      </c>
      <c r="AH438" s="16" cm="1">
        <f t="array" ref="AH438">_xll.DCEPropSectPipe(AE438, AF438, "Ix")/10000</f>
        <v>4730.4733077169503</v>
      </c>
      <c r="AI438" s="16" cm="1">
        <f t="array" ref="AI438">_xll.DCEPropSectPipe(AE438, AF438, "Wx")/1000</f>
        <v>346.55482107816493</v>
      </c>
      <c r="AJ438" s="108">
        <f t="shared" si="193"/>
        <v>9.4301739777164251</v>
      </c>
      <c r="AK438" s="80" t="s">
        <v>214</v>
      </c>
      <c r="AL438" s="82">
        <v>-17.608508436055093</v>
      </c>
      <c r="AM438" s="82">
        <v>-0.92843574582546518</v>
      </c>
      <c r="AN438" s="82">
        <v>-1.9947548735088378E-3</v>
      </c>
      <c r="AO438" s="82">
        <v>5.4696178631612295E-3</v>
      </c>
      <c r="AP438" s="82">
        <v>2.5457708150534253</v>
      </c>
      <c r="AQ438" s="82">
        <v>-3.9030397749502648E-4</v>
      </c>
      <c r="AR438" s="72">
        <v>1</v>
      </c>
      <c r="AS438" s="116">
        <f t="shared" si="194"/>
        <v>6</v>
      </c>
      <c r="AT438" s="82">
        <v>2</v>
      </c>
      <c r="AU438" s="6">
        <f t="shared" si="195"/>
        <v>12</v>
      </c>
      <c r="AV438" s="111">
        <f t="shared" si="196"/>
        <v>1.4482230021153812E-2</v>
      </c>
      <c r="AW438" s="117">
        <f t="shared" si="197"/>
        <v>105</v>
      </c>
      <c r="AX438" s="111">
        <f t="shared" si="198"/>
        <v>1</v>
      </c>
      <c r="AY438" s="111">
        <f t="shared" si="199"/>
        <v>1</v>
      </c>
      <c r="AZ438" s="111">
        <f t="shared" si="200"/>
        <v>1</v>
      </c>
      <c r="BA438" s="111">
        <f t="shared" si="201"/>
        <v>1.524445265384612E-2</v>
      </c>
      <c r="BB438" s="111">
        <f t="shared" si="202"/>
        <v>7.2684112587480067E-5</v>
      </c>
      <c r="BC438" s="111">
        <f t="shared" si="203"/>
        <v>3.3829985416260817E-2</v>
      </c>
      <c r="BD438" s="111">
        <v>0</v>
      </c>
      <c r="BE438" s="111">
        <f t="shared" si="204"/>
        <v>4.9147122182694417E-2</v>
      </c>
      <c r="BF438" s="6" t="str">
        <f t="shared" si="205"/>
        <v>OK</v>
      </c>
      <c r="BG438" s="16">
        <f t="shared" si="206"/>
        <v>63.625549371390676</v>
      </c>
      <c r="BH438" s="118">
        <f t="shared" si="207"/>
        <v>2.1193803644775273</v>
      </c>
      <c r="BI438" s="108">
        <f t="shared" si="208"/>
        <v>4.7679056925105231E-3</v>
      </c>
      <c r="BJ438" s="6">
        <f t="shared" si="209"/>
        <v>1.2438936365485422</v>
      </c>
      <c r="BK438" s="108">
        <f t="shared" si="210"/>
        <v>5.93076755057741E-3</v>
      </c>
      <c r="BL438" s="118" cm="1">
        <f t="array" ref="BL438">IF(AO438=0,FactorPhi7121(BH438,"a"),noisuy2chieu(BK438,BH438,Data!$A$63:$M$85))</f>
        <v>0</v>
      </c>
      <c r="BM438" s="111">
        <v>1.26</v>
      </c>
      <c r="BN438" s="118">
        <f t="shared" si="211"/>
        <v>0.99349491083381636</v>
      </c>
      <c r="BO438" s="108" t="e">
        <f t="shared" si="212"/>
        <v>#DIV/0!</v>
      </c>
      <c r="BP438" s="6" t="e">
        <f t="shared" si="213"/>
        <v>#DIV/0!</v>
      </c>
      <c r="BQ438" s="16">
        <f t="shared" si="214"/>
        <v>127.25109874278135</v>
      </c>
      <c r="BR438" s="118">
        <f t="shared" si="215"/>
        <v>4.2387607289550546</v>
      </c>
      <c r="BS438" s="108">
        <f t="shared" si="216"/>
        <v>2.219166944490174</v>
      </c>
      <c r="BT438" s="118">
        <f t="shared" si="217"/>
        <v>1.1211687932807399</v>
      </c>
      <c r="BU438" s="108">
        <f t="shared" si="218"/>
        <v>2.4880607252425553</v>
      </c>
      <c r="BV438" s="6" cm="1">
        <f t="array" ref="BV438">IF(AP438=0,FactorPhi7121(BR438,"a"),noisuy2chieu(BU438,BR438,Data!$A$63:$M$85))</f>
        <v>0</v>
      </c>
      <c r="BW438" s="111">
        <v>1.26</v>
      </c>
      <c r="BX438" s="111">
        <f t="shared" si="219"/>
        <v>0.97397964333526521</v>
      </c>
      <c r="BY438" s="113" t="e">
        <f t="shared" si="220"/>
        <v>#DIV/0!</v>
      </c>
      <c r="BZ438" s="6" t="e">
        <f t="shared" si="221"/>
        <v>#DIV/0!</v>
      </c>
      <c r="CA438" s="114">
        <f t="shared" si="222"/>
        <v>127.25109874278135</v>
      </c>
      <c r="CB438" s="115" t="e">
        <f t="shared" si="223"/>
        <v>#DIV/0!</v>
      </c>
      <c r="CC438" s="6" t="e">
        <f t="shared" si="224"/>
        <v>#DIV/0!</v>
      </c>
    </row>
    <row r="439" spans="27:81">
      <c r="AA439" s="79" t="s">
        <v>175</v>
      </c>
      <c r="AB439" s="80" t="s">
        <v>202</v>
      </c>
      <c r="AC439" s="81">
        <v>5.48</v>
      </c>
      <c r="AD439" s="81">
        <v>6</v>
      </c>
      <c r="AE439" s="80">
        <v>273</v>
      </c>
      <c r="AF439" s="80">
        <v>6.35</v>
      </c>
      <c r="AG439" s="108" cm="1">
        <f t="array" ref="AG439">_xll.DCEPropSectPipe(AE439, AF439, "Area")/100</f>
        <v>53.19431074856206</v>
      </c>
      <c r="AH439" s="16" cm="1">
        <f t="array" ref="AH439">_xll.DCEPropSectPipe(AE439, AF439, "Ix")/10000</f>
        <v>4730.4733077169503</v>
      </c>
      <c r="AI439" s="16" cm="1">
        <f t="array" ref="AI439">_xll.DCEPropSectPipe(AE439, AF439, "Wx")/1000</f>
        <v>346.55482107816493</v>
      </c>
      <c r="AJ439" s="108">
        <f t="shared" si="193"/>
        <v>9.4301739777164251</v>
      </c>
      <c r="AK439" s="80" t="s">
        <v>214</v>
      </c>
      <c r="AL439" s="82">
        <v>-16.261248087323064</v>
      </c>
      <c r="AM439" s="82">
        <v>-0.92843574582546518</v>
      </c>
      <c r="AN439" s="82">
        <v>-1.9947548735088378E-3</v>
      </c>
      <c r="AO439" s="82">
        <v>1.0939235726322459E-2</v>
      </c>
      <c r="AP439" s="82">
        <v>5.0915416301068506</v>
      </c>
      <c r="AQ439" s="82">
        <v>-3.9030397749502648E-4</v>
      </c>
      <c r="AR439" s="72">
        <v>1</v>
      </c>
      <c r="AS439" s="116">
        <f t="shared" si="194"/>
        <v>6</v>
      </c>
      <c r="AT439" s="82">
        <v>2</v>
      </c>
      <c r="AU439" s="6">
        <f t="shared" si="195"/>
        <v>12</v>
      </c>
      <c r="AV439" s="111">
        <f t="shared" si="196"/>
        <v>1.3374167158272943E-2</v>
      </c>
      <c r="AW439" s="117">
        <f t="shared" si="197"/>
        <v>105</v>
      </c>
      <c r="AX439" s="111">
        <f t="shared" si="198"/>
        <v>1</v>
      </c>
      <c r="AY439" s="111">
        <f t="shared" si="199"/>
        <v>1</v>
      </c>
      <c r="AZ439" s="111">
        <f t="shared" si="200"/>
        <v>1</v>
      </c>
      <c r="BA439" s="111">
        <f t="shared" si="201"/>
        <v>1.4078070692918889E-2</v>
      </c>
      <c r="BB439" s="111">
        <f t="shared" si="202"/>
        <v>1.4536822517496013E-4</v>
      </c>
      <c r="BC439" s="111">
        <f t="shared" si="203"/>
        <v>6.7659970832521635E-2</v>
      </c>
      <c r="BD439" s="111">
        <v>0</v>
      </c>
      <c r="BE439" s="111">
        <f t="shared" si="204"/>
        <v>8.1883409750615477E-2</v>
      </c>
      <c r="BF439" s="6" t="str">
        <f t="shared" si="205"/>
        <v>OK</v>
      </c>
      <c r="BG439" s="16">
        <f t="shared" si="206"/>
        <v>63.625549371390676</v>
      </c>
      <c r="BH439" s="118">
        <f t="shared" si="207"/>
        <v>2.1193803644775273</v>
      </c>
      <c r="BI439" s="108">
        <f t="shared" si="208"/>
        <v>1.0325862708451858E-2</v>
      </c>
      <c r="BJ439" s="6">
        <f t="shared" si="209"/>
        <v>1.2437335329474071</v>
      </c>
      <c r="BK439" s="108">
        <f t="shared" si="210"/>
        <v>1.2842621707112711E-2</v>
      </c>
      <c r="BL439" s="118" cm="1">
        <f t="array" ref="BL439">IF(AO439=0,FactorPhi7121(BH439,"a"),noisuy2chieu(BK439,BH439,Data!$A$63:$M$85))</f>
        <v>0</v>
      </c>
      <c r="BM439" s="111">
        <v>1.26</v>
      </c>
      <c r="BN439" s="118">
        <f t="shared" si="211"/>
        <v>0.99399262753312634</v>
      </c>
      <c r="BO439" s="108" t="e">
        <f t="shared" si="212"/>
        <v>#DIV/0!</v>
      </c>
      <c r="BP439" s="6" t="e">
        <f t="shared" si="213"/>
        <v>#DIV/0!</v>
      </c>
      <c r="BQ439" s="16">
        <f t="shared" si="214"/>
        <v>127.25109874278135</v>
      </c>
      <c r="BR439" s="118">
        <f t="shared" si="215"/>
        <v>4.2387607289550546</v>
      </c>
      <c r="BS439" s="108">
        <f t="shared" si="216"/>
        <v>4.8060542036171077</v>
      </c>
      <c r="BT439" s="118">
        <f t="shared" si="217"/>
        <v>1.1014763915666075</v>
      </c>
      <c r="BU439" s="108">
        <f t="shared" si="218"/>
        <v>5.2937552418736971</v>
      </c>
      <c r="BV439" s="6" cm="1">
        <f t="array" ref="BV439">IF(AP439=0,FactorPhi7121(BR439,"a"),noisuy2chieu(BU439,BR439,Data!$A$63:$M$85))</f>
        <v>0</v>
      </c>
      <c r="BW439" s="111">
        <v>1.26</v>
      </c>
      <c r="BX439" s="111">
        <f t="shared" si="219"/>
        <v>0.97597051013250524</v>
      </c>
      <c r="BY439" s="113" t="e">
        <f t="shared" si="220"/>
        <v>#DIV/0!</v>
      </c>
      <c r="BZ439" s="6" t="e">
        <f t="shared" si="221"/>
        <v>#DIV/0!</v>
      </c>
      <c r="CA439" s="114">
        <f t="shared" si="222"/>
        <v>127.25109874278135</v>
      </c>
      <c r="CB439" s="115" t="e">
        <f t="shared" si="223"/>
        <v>#DIV/0!</v>
      </c>
      <c r="CC439" s="6" t="e">
        <f t="shared" si="224"/>
        <v>#DIV/0!</v>
      </c>
    </row>
    <row r="440" spans="27:81">
      <c r="AA440" s="79" t="s">
        <v>175</v>
      </c>
      <c r="AB440" s="80" t="s">
        <v>202</v>
      </c>
      <c r="AC440" s="81">
        <v>0</v>
      </c>
      <c r="AD440" s="81">
        <v>6</v>
      </c>
      <c r="AE440" s="80">
        <v>273</v>
      </c>
      <c r="AF440" s="80">
        <v>6.35</v>
      </c>
      <c r="AG440" s="108" cm="1">
        <f t="array" ref="AG440">_xll.DCEPropSectPipe(AE440, AF440, "Area")/100</f>
        <v>53.19431074856206</v>
      </c>
      <c r="AH440" s="16" cm="1">
        <f t="array" ref="AH440">_xll.DCEPropSectPipe(AE440, AF440, "Ix")/10000</f>
        <v>4730.4733077169503</v>
      </c>
      <c r="AI440" s="16" cm="1">
        <f t="array" ref="AI440">_xll.DCEPropSectPipe(AE440, AF440, "Wx")/1000</f>
        <v>346.55482107816493</v>
      </c>
      <c r="AJ440" s="108">
        <f t="shared" si="193"/>
        <v>9.4301739777164251</v>
      </c>
      <c r="AK440" s="80" t="s">
        <v>215</v>
      </c>
      <c r="AL440" s="82">
        <v>-82.193964418161684</v>
      </c>
      <c r="AM440" s="82">
        <v>-8.9649039749972417</v>
      </c>
      <c r="AN440" s="82">
        <v>-1.4945196997236503E-2</v>
      </c>
      <c r="AO440" s="82">
        <v>0</v>
      </c>
      <c r="AP440" s="82">
        <v>0</v>
      </c>
      <c r="AQ440" s="82">
        <v>4.9217072392796803E-4</v>
      </c>
      <c r="AR440" s="72">
        <v>1</v>
      </c>
      <c r="AS440" s="116">
        <f t="shared" si="194"/>
        <v>6</v>
      </c>
      <c r="AT440" s="82">
        <v>2</v>
      </c>
      <c r="AU440" s="6">
        <f t="shared" si="195"/>
        <v>12</v>
      </c>
      <c r="AV440" s="111">
        <f t="shared" si="196"/>
        <v>6.7600950039413382E-2</v>
      </c>
      <c r="AW440" s="117">
        <f t="shared" si="197"/>
        <v>105</v>
      </c>
      <c r="AX440" s="111">
        <f t="shared" si="198"/>
        <v>1</v>
      </c>
      <c r="AY440" s="111">
        <f t="shared" si="199"/>
        <v>1</v>
      </c>
      <c r="AZ440" s="111">
        <f t="shared" si="200"/>
        <v>1</v>
      </c>
      <c r="BA440" s="111">
        <f t="shared" si="201"/>
        <v>7.1158894778329873E-2</v>
      </c>
      <c r="BB440" s="111">
        <f t="shared" si="202"/>
        <v>0</v>
      </c>
      <c r="BC440" s="111">
        <f t="shared" si="203"/>
        <v>0</v>
      </c>
      <c r="BD440" s="111">
        <v>0</v>
      </c>
      <c r="BE440" s="111">
        <f t="shared" si="204"/>
        <v>7.1158894778329873E-2</v>
      </c>
      <c r="BF440" s="6" t="str">
        <f t="shared" si="205"/>
        <v>OK</v>
      </c>
      <c r="BG440" s="16">
        <f t="shared" si="206"/>
        <v>63.625549371390676</v>
      </c>
      <c r="BH440" s="118">
        <f t="shared" si="207"/>
        <v>2.1193803644775273</v>
      </c>
      <c r="BI440" s="108">
        <f t="shared" si="208"/>
        <v>0</v>
      </c>
      <c r="BJ440" s="6">
        <f t="shared" si="209"/>
        <v>1.2440309817761237</v>
      </c>
      <c r="BK440" s="108">
        <f t="shared" si="210"/>
        <v>0</v>
      </c>
      <c r="BL440" s="118" cm="1">
        <f t="array" ref="BL440">IF(AO440=0,FactorPhi7121(BH440,"a"),noisuy2chieu(BK440,BH440,Data!$A$63:$M$85))</f>
        <v>0.86214274110469236</v>
      </c>
      <c r="BM440" s="111">
        <v>1.26</v>
      </c>
      <c r="BN440" s="118">
        <f t="shared" si="211"/>
        <v>0.96963518690955874</v>
      </c>
      <c r="BO440" s="108">
        <f t="shared" si="212"/>
        <v>0.1682261287054862</v>
      </c>
      <c r="BP440" s="6" t="str">
        <f t="shared" si="213"/>
        <v>OK</v>
      </c>
      <c r="BQ440" s="16">
        <f t="shared" si="214"/>
        <v>127.25109874278135</v>
      </c>
      <c r="BR440" s="118">
        <f t="shared" si="215"/>
        <v>4.2387607289550546</v>
      </c>
      <c r="BS440" s="108">
        <f t="shared" si="216"/>
        <v>0</v>
      </c>
      <c r="BT440" s="118">
        <f t="shared" si="217"/>
        <v>1.1380619635522473</v>
      </c>
      <c r="BU440" s="108">
        <f t="shared" si="218"/>
        <v>0</v>
      </c>
      <c r="BV440" s="6" cm="1">
        <f t="array" ref="BV440">IF(AP440=0,FactorPhi7121(BR440,"a"),noisuy2chieu(BU440,BR440,Data!$A$63:$M$85))</f>
        <v>0.42299549615688942</v>
      </c>
      <c r="BW440" s="111">
        <v>1.26</v>
      </c>
      <c r="BX440" s="111">
        <f t="shared" si="219"/>
        <v>0.87854074763823498</v>
      </c>
      <c r="BY440" s="113">
        <f t="shared" si="220"/>
        <v>8.2537254430921275E-2</v>
      </c>
      <c r="BZ440" s="6" t="str">
        <f t="shared" si="221"/>
        <v>OK</v>
      </c>
      <c r="CA440" s="114">
        <f t="shared" si="222"/>
        <v>127.25109874278135</v>
      </c>
      <c r="CB440" s="115">
        <f t="shared" si="223"/>
        <v>150</v>
      </c>
      <c r="CC440" s="6" t="str">
        <f t="shared" si="224"/>
        <v>OK</v>
      </c>
    </row>
    <row r="441" spans="27:81">
      <c r="AA441" s="79" t="s">
        <v>175</v>
      </c>
      <c r="AB441" s="80" t="s">
        <v>202</v>
      </c>
      <c r="AC441" s="81">
        <v>2.74</v>
      </c>
      <c r="AD441" s="81">
        <v>6</v>
      </c>
      <c r="AE441" s="80">
        <v>273</v>
      </c>
      <c r="AF441" s="80">
        <v>6.35</v>
      </c>
      <c r="AG441" s="108" cm="1">
        <f t="array" ref="AG441">_xll.DCEPropSectPipe(AE441, AF441, "Area")/100</f>
        <v>53.19431074856206</v>
      </c>
      <c r="AH441" s="16" cm="1">
        <f t="array" ref="AH441">_xll.DCEPropSectPipe(AE441, AF441, "Ix")/10000</f>
        <v>4730.4733077169503</v>
      </c>
      <c r="AI441" s="16" cm="1">
        <f t="array" ref="AI441">_xll.DCEPropSectPipe(AE441, AF441, "Wx")/1000</f>
        <v>346.55482107816493</v>
      </c>
      <c r="AJ441" s="108">
        <f t="shared" si="193"/>
        <v>9.4301739777164251</v>
      </c>
      <c r="AK441" s="80" t="s">
        <v>215</v>
      </c>
      <c r="AL441" s="82">
        <v>-80.846704069429649</v>
      </c>
      <c r="AM441" s="82">
        <v>-8.9649039749972417</v>
      </c>
      <c r="AN441" s="82">
        <v>-1.4945196997236503E-2</v>
      </c>
      <c r="AO441" s="82">
        <v>4.0979730166422486E-2</v>
      </c>
      <c r="AP441" s="82">
        <v>24.581766699442433</v>
      </c>
      <c r="AQ441" s="82">
        <v>4.9217072392796803E-4</v>
      </c>
      <c r="AR441" s="72">
        <v>1</v>
      </c>
      <c r="AS441" s="116">
        <f t="shared" si="194"/>
        <v>6</v>
      </c>
      <c r="AT441" s="82">
        <v>2</v>
      </c>
      <c r="AU441" s="6">
        <f t="shared" si="195"/>
        <v>12</v>
      </c>
      <c r="AV441" s="111">
        <f t="shared" si="196"/>
        <v>6.6492887176532511E-2</v>
      </c>
      <c r="AW441" s="117">
        <f t="shared" si="197"/>
        <v>105</v>
      </c>
      <c r="AX441" s="111">
        <f t="shared" si="198"/>
        <v>1</v>
      </c>
      <c r="AY441" s="111">
        <f t="shared" si="199"/>
        <v>1</v>
      </c>
      <c r="AZ441" s="111">
        <f t="shared" si="200"/>
        <v>1</v>
      </c>
      <c r="BA441" s="111">
        <f t="shared" si="201"/>
        <v>6.9992512817402652E-2</v>
      </c>
      <c r="BB441" s="111">
        <f t="shared" si="202"/>
        <v>5.445673529191128E-4</v>
      </c>
      <c r="BC441" s="111">
        <f t="shared" si="203"/>
        <v>0.32665973073095012</v>
      </c>
      <c r="BD441" s="111">
        <v>0</v>
      </c>
      <c r="BE441" s="111">
        <f t="shared" si="204"/>
        <v>0.3971968109012719</v>
      </c>
      <c r="BF441" s="6" t="str">
        <f t="shared" si="205"/>
        <v>OK</v>
      </c>
      <c r="BG441" s="16">
        <f t="shared" si="206"/>
        <v>63.625549371390676</v>
      </c>
      <c r="BH441" s="118">
        <f t="shared" si="207"/>
        <v>2.1193803644775273</v>
      </c>
      <c r="BI441" s="108">
        <f t="shared" si="208"/>
        <v>7.7803657991217887E-3</v>
      </c>
      <c r="BJ441" s="6">
        <f t="shared" si="209"/>
        <v>1.2438068590311986</v>
      </c>
      <c r="BK441" s="108">
        <f t="shared" si="210"/>
        <v>9.6772723467194333E-3</v>
      </c>
      <c r="BL441" s="118" cm="1">
        <f t="array" ref="BL441">IF(AO441=0,FactorPhi7121(BH441,"a"),noisuy2chieu(BK441,BH441,Data!$A$63:$M$85))</f>
        <v>0</v>
      </c>
      <c r="BM441" s="111">
        <v>1.26</v>
      </c>
      <c r="BN441" s="118">
        <f t="shared" si="211"/>
        <v>0.97013290360886872</v>
      </c>
      <c r="BO441" s="108" t="e">
        <f t="shared" si="212"/>
        <v>#DIV/0!</v>
      </c>
      <c r="BP441" s="6" t="e">
        <f t="shared" si="213"/>
        <v>#DIV/0!</v>
      </c>
      <c r="BQ441" s="16">
        <f t="shared" si="214"/>
        <v>127.25109874278135</v>
      </c>
      <c r="BR441" s="118">
        <f t="shared" si="215"/>
        <v>4.2387607289550546</v>
      </c>
      <c r="BS441" s="108">
        <f t="shared" si="216"/>
        <v>4.6670667701721786</v>
      </c>
      <c r="BT441" s="118">
        <f t="shared" si="217"/>
        <v>1.1025344184918078</v>
      </c>
      <c r="BU441" s="108">
        <f t="shared" si="218"/>
        <v>5.1456017475142222</v>
      </c>
      <c r="BV441" s="6" cm="1">
        <f t="array" ref="BV441">IF(AP441=0,FactorPhi7121(BR441,"a"),noisuy2chieu(BU441,BR441,Data!$A$63:$M$85))</f>
        <v>0</v>
      </c>
      <c r="BW441" s="111">
        <v>1.26</v>
      </c>
      <c r="BX441" s="111">
        <f t="shared" si="219"/>
        <v>0.8805316144354749</v>
      </c>
      <c r="BY441" s="113" t="e">
        <f t="shared" si="220"/>
        <v>#DIV/0!</v>
      </c>
      <c r="BZ441" s="6" t="e">
        <f t="shared" si="221"/>
        <v>#DIV/0!</v>
      </c>
      <c r="CA441" s="114">
        <f t="shared" si="222"/>
        <v>127.25109874278135</v>
      </c>
      <c r="CB441" s="115" t="e">
        <f t="shared" si="223"/>
        <v>#DIV/0!</v>
      </c>
      <c r="CC441" s="6" t="e">
        <f t="shared" si="224"/>
        <v>#DIV/0!</v>
      </c>
    </row>
    <row r="442" spans="27:81">
      <c r="AA442" s="79" t="s">
        <v>175</v>
      </c>
      <c r="AB442" s="80" t="s">
        <v>202</v>
      </c>
      <c r="AC442" s="81">
        <v>5.48</v>
      </c>
      <c r="AD442" s="81">
        <v>6</v>
      </c>
      <c r="AE442" s="80">
        <v>273</v>
      </c>
      <c r="AF442" s="80">
        <v>6.35</v>
      </c>
      <c r="AG442" s="108" cm="1">
        <f t="array" ref="AG442">_xll.DCEPropSectPipe(AE442, AF442, "Area")/100</f>
        <v>53.19431074856206</v>
      </c>
      <c r="AH442" s="16" cm="1">
        <f t="array" ref="AH442">_xll.DCEPropSectPipe(AE442, AF442, "Ix")/10000</f>
        <v>4730.4733077169503</v>
      </c>
      <c r="AI442" s="16" cm="1">
        <f t="array" ref="AI442">_xll.DCEPropSectPipe(AE442, AF442, "Wx")/1000</f>
        <v>346.55482107816493</v>
      </c>
      <c r="AJ442" s="108">
        <f t="shared" si="193"/>
        <v>9.4301739777164251</v>
      </c>
      <c r="AK442" s="80" t="s">
        <v>215</v>
      </c>
      <c r="AL442" s="82">
        <v>-79.499443720697613</v>
      </c>
      <c r="AM442" s="82">
        <v>-8.9649039749972417</v>
      </c>
      <c r="AN442" s="82">
        <v>-1.4945196997236503E-2</v>
      </c>
      <c r="AO442" s="82">
        <v>8.1959460332844972E-2</v>
      </c>
      <c r="AP442" s="82">
        <v>49.163533398884866</v>
      </c>
      <c r="AQ442" s="82">
        <v>4.9217072392796803E-4</v>
      </c>
      <c r="AR442" s="72">
        <v>1</v>
      </c>
      <c r="AS442" s="116">
        <f t="shared" si="194"/>
        <v>6</v>
      </c>
      <c r="AT442" s="82">
        <v>2</v>
      </c>
      <c r="AU442" s="6">
        <f t="shared" si="195"/>
        <v>12</v>
      </c>
      <c r="AV442" s="111">
        <f t="shared" si="196"/>
        <v>6.5384824313651627E-2</v>
      </c>
      <c r="AW442" s="117">
        <f t="shared" si="197"/>
        <v>105</v>
      </c>
      <c r="AX442" s="111">
        <f t="shared" si="198"/>
        <v>1</v>
      </c>
      <c r="AY442" s="111">
        <f t="shared" si="199"/>
        <v>1</v>
      </c>
      <c r="AZ442" s="111">
        <f t="shared" si="200"/>
        <v>1</v>
      </c>
      <c r="BA442" s="111">
        <f t="shared" si="201"/>
        <v>6.8826130856475404E-2</v>
      </c>
      <c r="BB442" s="111">
        <f t="shared" si="202"/>
        <v>1.0891347058382256E-3</v>
      </c>
      <c r="BC442" s="111">
        <f t="shared" si="203"/>
        <v>0.65331946146190023</v>
      </c>
      <c r="BD442" s="111">
        <v>0</v>
      </c>
      <c r="BE442" s="111">
        <f t="shared" si="204"/>
        <v>0.72323472702421387</v>
      </c>
      <c r="BF442" s="6" t="str">
        <f t="shared" si="205"/>
        <v>OK</v>
      </c>
      <c r="BG442" s="16">
        <f t="shared" si="206"/>
        <v>63.625549371390676</v>
      </c>
      <c r="BH442" s="118">
        <f t="shared" si="207"/>
        <v>2.1193803644775273</v>
      </c>
      <c r="BI442" s="108">
        <f t="shared" si="208"/>
        <v>1.5824436043185709E-2</v>
      </c>
      <c r="BJ442" s="6">
        <f t="shared" si="209"/>
        <v>1.243575139964253</v>
      </c>
      <c r="BK442" s="108">
        <f t="shared" si="210"/>
        <v>1.9678875267260039E-2</v>
      </c>
      <c r="BL442" s="118" cm="1">
        <f t="array" ref="BL442">IF(AO442=0,FactorPhi7121(BH442,"a"),noisuy2chieu(BK442,BH442,Data!$A$63:$M$85))</f>
        <v>0</v>
      </c>
      <c r="BM442" s="111">
        <v>1.26</v>
      </c>
      <c r="BN442" s="118">
        <f t="shared" si="211"/>
        <v>0.9706306203081787</v>
      </c>
      <c r="BO442" s="108" t="e">
        <f t="shared" si="212"/>
        <v>#DIV/0!</v>
      </c>
      <c r="BP442" s="6" t="e">
        <f t="shared" si="213"/>
        <v>#DIV/0!</v>
      </c>
      <c r="BQ442" s="16">
        <f t="shared" si="214"/>
        <v>127.25109874278135</v>
      </c>
      <c r="BR442" s="118">
        <f t="shared" si="215"/>
        <v>4.2387607289550546</v>
      </c>
      <c r="BS442" s="108">
        <f t="shared" si="216"/>
        <v>9.4923171378655766</v>
      </c>
      <c r="BT442" s="118">
        <f t="shared" si="217"/>
        <v>1.1000000000000001</v>
      </c>
      <c r="BU442" s="108">
        <f t="shared" si="218"/>
        <v>10.441548851652135</v>
      </c>
      <c r="BV442" s="6" cm="1">
        <f t="array" ref="BV442">IF(AP442=0,FactorPhi7121(BR442,"a"),noisuy2chieu(BU442,BR442,Data!$A$63:$M$85))</f>
        <v>0</v>
      </c>
      <c r="BW442" s="111">
        <v>1.26</v>
      </c>
      <c r="BX442" s="111">
        <f t="shared" si="219"/>
        <v>0.88252248123271493</v>
      </c>
      <c r="BY442" s="113" t="e">
        <f t="shared" si="220"/>
        <v>#DIV/0!</v>
      </c>
      <c r="BZ442" s="6" t="e">
        <f t="shared" si="221"/>
        <v>#DIV/0!</v>
      </c>
      <c r="CA442" s="114">
        <f t="shared" si="222"/>
        <v>127.25109874278135</v>
      </c>
      <c r="CB442" s="115" t="e">
        <f t="shared" si="223"/>
        <v>#DIV/0!</v>
      </c>
      <c r="CC442" s="6" t="e">
        <f t="shared" si="224"/>
        <v>#DIV/0!</v>
      </c>
    </row>
    <row r="443" spans="27:81">
      <c r="AA443" s="79" t="s">
        <v>175</v>
      </c>
      <c r="AB443" s="80" t="s">
        <v>202</v>
      </c>
      <c r="AC443" s="81">
        <v>0</v>
      </c>
      <c r="AD443" s="81">
        <v>6</v>
      </c>
      <c r="AE443" s="80">
        <v>273</v>
      </c>
      <c r="AF443" s="80">
        <v>6.35</v>
      </c>
      <c r="AG443" s="108" cm="1">
        <f t="array" ref="AG443">_xll.DCEPropSectPipe(AE443, AF443, "Area")/100</f>
        <v>53.19431074856206</v>
      </c>
      <c r="AH443" s="16" cm="1">
        <f t="array" ref="AH443">_xll.DCEPropSectPipe(AE443, AF443, "Ix")/10000</f>
        <v>4730.4733077169503</v>
      </c>
      <c r="AI443" s="16" cm="1">
        <f t="array" ref="AI443">_xll.DCEPropSectPipe(AE443, AF443, "Wx")/1000</f>
        <v>346.55482107816493</v>
      </c>
      <c r="AJ443" s="108">
        <f t="shared" si="193"/>
        <v>9.4301739777164251</v>
      </c>
      <c r="AK443" s="80" t="s">
        <v>216</v>
      </c>
      <c r="AL443" s="82">
        <v>-68.410449155808777</v>
      </c>
      <c r="AM443" s="82">
        <v>-8.8922213582429084</v>
      </c>
      <c r="AN443" s="82">
        <v>-1.4024806959766004E-2</v>
      </c>
      <c r="AO443" s="82">
        <v>0</v>
      </c>
      <c r="AP443" s="82">
        <v>0</v>
      </c>
      <c r="AQ443" s="82">
        <v>1.2329649964209777E-3</v>
      </c>
      <c r="AR443" s="72">
        <v>1</v>
      </c>
      <c r="AS443" s="116">
        <f t="shared" si="194"/>
        <v>6</v>
      </c>
      <c r="AT443" s="82">
        <v>2</v>
      </c>
      <c r="AU443" s="6">
        <f t="shared" si="195"/>
        <v>12</v>
      </c>
      <c r="AV443" s="111">
        <f t="shared" si="196"/>
        <v>5.626461003910159E-2</v>
      </c>
      <c r="AW443" s="117">
        <f t="shared" si="197"/>
        <v>105</v>
      </c>
      <c r="AX443" s="111">
        <f t="shared" si="198"/>
        <v>1</v>
      </c>
      <c r="AY443" s="111">
        <f t="shared" si="199"/>
        <v>1</v>
      </c>
      <c r="AZ443" s="111">
        <f t="shared" si="200"/>
        <v>1</v>
      </c>
      <c r="BA443" s="111">
        <f t="shared" si="201"/>
        <v>5.9225905304317462E-2</v>
      </c>
      <c r="BB443" s="111">
        <f t="shared" si="202"/>
        <v>0</v>
      </c>
      <c r="BC443" s="111">
        <f t="shared" si="203"/>
        <v>0</v>
      </c>
      <c r="BD443" s="111">
        <v>0</v>
      </c>
      <c r="BE443" s="111">
        <f t="shared" si="204"/>
        <v>5.9225905304317462E-2</v>
      </c>
      <c r="BF443" s="6" t="str">
        <f t="shared" si="205"/>
        <v>OK</v>
      </c>
      <c r="BG443" s="16">
        <f t="shared" si="206"/>
        <v>63.625549371390676</v>
      </c>
      <c r="BH443" s="118">
        <f t="shared" si="207"/>
        <v>2.1193803644775273</v>
      </c>
      <c r="BI443" s="108">
        <f t="shared" si="208"/>
        <v>0</v>
      </c>
      <c r="BJ443" s="6">
        <f t="shared" si="209"/>
        <v>1.2440309817761237</v>
      </c>
      <c r="BK443" s="108">
        <f t="shared" si="210"/>
        <v>0</v>
      </c>
      <c r="BL443" s="118" cm="1">
        <f t="array" ref="BL443">IF(AO443=0,FactorPhi7121(BH443,"a"),noisuy2chieu(BK443,BH443,Data!$A$63:$M$85))</f>
        <v>0.86214274110469236</v>
      </c>
      <c r="BM443" s="111">
        <v>1.26</v>
      </c>
      <c r="BN443" s="118">
        <f t="shared" si="211"/>
        <v>0.97472721364939696</v>
      </c>
      <c r="BO443" s="108">
        <f t="shared" si="212"/>
        <v>0.14001545132847115</v>
      </c>
      <c r="BP443" s="6" t="str">
        <f t="shared" si="213"/>
        <v>OK</v>
      </c>
      <c r="BQ443" s="16">
        <f t="shared" si="214"/>
        <v>127.25109874278135</v>
      </c>
      <c r="BR443" s="118">
        <f t="shared" si="215"/>
        <v>4.2387607289550546</v>
      </c>
      <c r="BS443" s="108">
        <f t="shared" si="216"/>
        <v>0</v>
      </c>
      <c r="BT443" s="118">
        <f t="shared" si="217"/>
        <v>1.1380619635522473</v>
      </c>
      <c r="BU443" s="108">
        <f t="shared" si="218"/>
        <v>0</v>
      </c>
      <c r="BV443" s="6" cm="1">
        <f t="array" ref="BV443">IF(AP443=0,FactorPhi7121(BR443,"a"),noisuy2chieu(BU443,BR443,Data!$A$63:$M$85))</f>
        <v>0.42299549615688942</v>
      </c>
      <c r="BW443" s="111">
        <v>1.26</v>
      </c>
      <c r="BX443" s="111">
        <f t="shared" si="219"/>
        <v>0.89890885459758785</v>
      </c>
      <c r="BY443" s="113">
        <f t="shared" si="220"/>
        <v>6.8696171156564317E-2</v>
      </c>
      <c r="BZ443" s="6" t="str">
        <f t="shared" si="221"/>
        <v>OK</v>
      </c>
      <c r="CA443" s="114">
        <f t="shared" si="222"/>
        <v>127.25109874278135</v>
      </c>
      <c r="CB443" s="115">
        <f t="shared" si="223"/>
        <v>150</v>
      </c>
      <c r="CC443" s="6" t="str">
        <f t="shared" si="224"/>
        <v>OK</v>
      </c>
    </row>
    <row r="444" spans="27:81">
      <c r="AA444" s="79" t="s">
        <v>175</v>
      </c>
      <c r="AB444" s="80" t="s">
        <v>202</v>
      </c>
      <c r="AC444" s="81">
        <v>2.74</v>
      </c>
      <c r="AD444" s="81">
        <v>6</v>
      </c>
      <c r="AE444" s="80">
        <v>273</v>
      </c>
      <c r="AF444" s="80">
        <v>6.35</v>
      </c>
      <c r="AG444" s="108" cm="1">
        <f t="array" ref="AG444">_xll.DCEPropSectPipe(AE444, AF444, "Area")/100</f>
        <v>53.19431074856206</v>
      </c>
      <c r="AH444" s="16" cm="1">
        <f t="array" ref="AH444">_xll.DCEPropSectPipe(AE444, AF444, "Ix")/10000</f>
        <v>4730.4733077169503</v>
      </c>
      <c r="AI444" s="16" cm="1">
        <f t="array" ref="AI444">_xll.DCEPropSectPipe(AE444, AF444, "Wx")/1000</f>
        <v>346.55482107816493</v>
      </c>
      <c r="AJ444" s="108">
        <f t="shared" si="193"/>
        <v>9.4301739777164251</v>
      </c>
      <c r="AK444" s="80" t="s">
        <v>216</v>
      </c>
      <c r="AL444" s="82">
        <v>-67.063188807076742</v>
      </c>
      <c r="AM444" s="82">
        <v>-8.8922213582429084</v>
      </c>
      <c r="AN444" s="82">
        <v>-1.4024806959766004E-2</v>
      </c>
      <c r="AO444" s="82">
        <v>3.8456020683678378E-2</v>
      </c>
      <c r="AP444" s="82">
        <v>24.382470964302058</v>
      </c>
      <c r="AQ444" s="82">
        <v>1.2329649964209777E-3</v>
      </c>
      <c r="AR444" s="72">
        <v>1</v>
      </c>
      <c r="AS444" s="116">
        <f t="shared" si="194"/>
        <v>6</v>
      </c>
      <c r="AT444" s="82">
        <v>2</v>
      </c>
      <c r="AU444" s="6">
        <f t="shared" si="195"/>
        <v>12</v>
      </c>
      <c r="AV444" s="111">
        <f t="shared" si="196"/>
        <v>5.5156547176220712E-2</v>
      </c>
      <c r="AW444" s="117">
        <f t="shared" si="197"/>
        <v>105</v>
      </c>
      <c r="AX444" s="111">
        <f t="shared" si="198"/>
        <v>1</v>
      </c>
      <c r="AY444" s="111">
        <f t="shared" si="199"/>
        <v>1</v>
      </c>
      <c r="AZ444" s="111">
        <f t="shared" si="200"/>
        <v>1</v>
      </c>
      <c r="BA444" s="111">
        <f t="shared" si="201"/>
        <v>5.8059523343390235E-2</v>
      </c>
      <c r="BB444" s="111">
        <f t="shared" si="202"/>
        <v>5.1103053393632451E-4</v>
      </c>
      <c r="BC444" s="111">
        <f t="shared" si="203"/>
        <v>0.3240113494338378</v>
      </c>
      <c r="BD444" s="111">
        <v>0</v>
      </c>
      <c r="BE444" s="111">
        <f t="shared" si="204"/>
        <v>0.38258190331116437</v>
      </c>
      <c r="BF444" s="6" t="str">
        <f t="shared" si="205"/>
        <v>OK</v>
      </c>
      <c r="BG444" s="16">
        <f t="shared" si="206"/>
        <v>63.625549371390676</v>
      </c>
      <c r="BH444" s="118">
        <f t="shared" si="207"/>
        <v>2.1193803644775273</v>
      </c>
      <c r="BI444" s="108">
        <f t="shared" si="208"/>
        <v>8.801838260260238E-3</v>
      </c>
      <c r="BJ444" s="6">
        <f t="shared" si="209"/>
        <v>1.2437774342949117</v>
      </c>
      <c r="BK444" s="108">
        <f t="shared" si="210"/>
        <v>1.0947527808425268E-2</v>
      </c>
      <c r="BL444" s="118" cm="1">
        <f t="array" ref="BL444">IF(AO444=0,FactorPhi7121(BH444,"a"),noisuy2chieu(BK444,BH444,Data!$A$63:$M$85))</f>
        <v>0</v>
      </c>
      <c r="BM444" s="111">
        <v>1.26</v>
      </c>
      <c r="BN444" s="118">
        <f t="shared" si="211"/>
        <v>0.97522493034870694</v>
      </c>
      <c r="BO444" s="108" t="e">
        <f t="shared" si="212"/>
        <v>#DIV/0!</v>
      </c>
      <c r="BP444" s="6" t="e">
        <f t="shared" si="213"/>
        <v>#DIV/0!</v>
      </c>
      <c r="BQ444" s="16">
        <f t="shared" si="214"/>
        <v>127.25109874278135</v>
      </c>
      <c r="BR444" s="118">
        <f t="shared" si="215"/>
        <v>4.2387607289550546</v>
      </c>
      <c r="BS444" s="108">
        <f t="shared" si="216"/>
        <v>5.5806753272411225</v>
      </c>
      <c r="BT444" s="118">
        <f t="shared" si="217"/>
        <v>1.1000000000000001</v>
      </c>
      <c r="BU444" s="108">
        <f t="shared" si="218"/>
        <v>6.1387428599652356</v>
      </c>
      <c r="BV444" s="6" cm="1">
        <f t="array" ref="BV444">IF(AP444=0,FactorPhi7121(BR444,"a"),noisuy2chieu(BU444,BR444,Data!$A$63:$M$85))</f>
        <v>0</v>
      </c>
      <c r="BW444" s="111">
        <v>1.26</v>
      </c>
      <c r="BX444" s="111">
        <f t="shared" si="219"/>
        <v>0.90089972139482777</v>
      </c>
      <c r="BY444" s="113" t="e">
        <f t="shared" si="220"/>
        <v>#DIV/0!</v>
      </c>
      <c r="BZ444" s="6" t="e">
        <f t="shared" si="221"/>
        <v>#DIV/0!</v>
      </c>
      <c r="CA444" s="114">
        <f t="shared" si="222"/>
        <v>127.25109874278135</v>
      </c>
      <c r="CB444" s="115" t="e">
        <f t="shared" si="223"/>
        <v>#DIV/0!</v>
      </c>
      <c r="CC444" s="6" t="e">
        <f t="shared" si="224"/>
        <v>#DIV/0!</v>
      </c>
    </row>
    <row r="445" spans="27:81">
      <c r="AA445" s="79" t="s">
        <v>175</v>
      </c>
      <c r="AB445" s="80" t="s">
        <v>202</v>
      </c>
      <c r="AC445" s="81">
        <v>5.48</v>
      </c>
      <c r="AD445" s="81">
        <v>6</v>
      </c>
      <c r="AE445" s="80">
        <v>273</v>
      </c>
      <c r="AF445" s="80">
        <v>6.35</v>
      </c>
      <c r="AG445" s="108" cm="1">
        <f t="array" ref="AG445">_xll.DCEPropSectPipe(AE445, AF445, "Area")/100</f>
        <v>53.19431074856206</v>
      </c>
      <c r="AH445" s="16" cm="1">
        <f t="array" ref="AH445">_xll.DCEPropSectPipe(AE445, AF445, "Ix")/10000</f>
        <v>4730.4733077169503</v>
      </c>
      <c r="AI445" s="16" cm="1">
        <f t="array" ref="AI445">_xll.DCEPropSectPipe(AE445, AF445, "Wx")/1000</f>
        <v>346.55482107816493</v>
      </c>
      <c r="AJ445" s="108">
        <f t="shared" si="193"/>
        <v>9.4301739777164251</v>
      </c>
      <c r="AK445" s="80" t="s">
        <v>216</v>
      </c>
      <c r="AL445" s="82">
        <v>-65.71592845834472</v>
      </c>
      <c r="AM445" s="82">
        <v>-8.8922213582429084</v>
      </c>
      <c r="AN445" s="82">
        <v>-1.4024806959766004E-2</v>
      </c>
      <c r="AO445" s="82">
        <v>7.6912041367356757E-2</v>
      </c>
      <c r="AP445" s="82">
        <v>48.764941928604117</v>
      </c>
      <c r="AQ445" s="82">
        <v>1.2329649964209777E-3</v>
      </c>
      <c r="AR445" s="72">
        <v>1</v>
      </c>
      <c r="AS445" s="116">
        <f t="shared" si="194"/>
        <v>6</v>
      </c>
      <c r="AT445" s="82">
        <v>2</v>
      </c>
      <c r="AU445" s="6">
        <f t="shared" si="195"/>
        <v>12</v>
      </c>
      <c r="AV445" s="111">
        <f t="shared" si="196"/>
        <v>5.4048484313339855E-2</v>
      </c>
      <c r="AW445" s="117">
        <f t="shared" si="197"/>
        <v>105</v>
      </c>
      <c r="AX445" s="111">
        <f t="shared" si="198"/>
        <v>1</v>
      </c>
      <c r="AY445" s="111">
        <f t="shared" si="199"/>
        <v>1</v>
      </c>
      <c r="AZ445" s="111">
        <f t="shared" si="200"/>
        <v>1</v>
      </c>
      <c r="BA445" s="111">
        <f t="shared" si="201"/>
        <v>5.6893141382463007E-2</v>
      </c>
      <c r="BB445" s="111">
        <f t="shared" si="202"/>
        <v>1.022061067872649E-3</v>
      </c>
      <c r="BC445" s="111">
        <f t="shared" si="203"/>
        <v>0.64802269886767561</v>
      </c>
      <c r="BD445" s="111">
        <v>0</v>
      </c>
      <c r="BE445" s="111">
        <f t="shared" si="204"/>
        <v>0.70593790131801126</v>
      </c>
      <c r="BF445" s="6" t="str">
        <f t="shared" si="205"/>
        <v>OK</v>
      </c>
      <c r="BG445" s="16">
        <f t="shared" si="206"/>
        <v>63.625549371390676</v>
      </c>
      <c r="BH445" s="118">
        <f t="shared" si="207"/>
        <v>2.1193803644775273</v>
      </c>
      <c r="BI445" s="108">
        <f t="shared" si="208"/>
        <v>1.7964574341252558E-2</v>
      </c>
      <c r="BJ445" s="6">
        <f t="shared" si="209"/>
        <v>1.2435134907202114</v>
      </c>
      <c r="BK445" s="108">
        <f t="shared" si="210"/>
        <v>2.2339190548393711E-2</v>
      </c>
      <c r="BL445" s="118" cm="1">
        <f t="array" ref="BL445">IF(AO445=0,FactorPhi7121(BH445,"a"),noisuy2chieu(BK445,BH445,Data!$A$63:$M$85))</f>
        <v>0</v>
      </c>
      <c r="BM445" s="111">
        <v>1.26</v>
      </c>
      <c r="BN445" s="118">
        <f t="shared" si="211"/>
        <v>0.97572264704801692</v>
      </c>
      <c r="BO445" s="108" t="e">
        <f t="shared" si="212"/>
        <v>#DIV/0!</v>
      </c>
      <c r="BP445" s="6" t="e">
        <f t="shared" si="213"/>
        <v>#DIV/0!</v>
      </c>
      <c r="BQ445" s="16">
        <f t="shared" si="214"/>
        <v>127.25109874278135</v>
      </c>
      <c r="BR445" s="118">
        <f t="shared" si="215"/>
        <v>4.2387607289550546</v>
      </c>
      <c r="BS445" s="108">
        <f t="shared" si="216"/>
        <v>11.390172578296497</v>
      </c>
      <c r="BT445" s="118">
        <f t="shared" si="217"/>
        <v>1.1000000000000001</v>
      </c>
      <c r="BU445" s="108">
        <f t="shared" si="218"/>
        <v>12.529189836126147</v>
      </c>
      <c r="BV445" s="6" cm="1">
        <f t="array" ref="BV445">IF(AP445=0,FactorPhi7121(BR445,"a"),noisuy2chieu(BU445,BR445,Data!$A$63:$M$85))</f>
        <v>0</v>
      </c>
      <c r="BW445" s="111">
        <v>1.26</v>
      </c>
      <c r="BX445" s="111">
        <f t="shared" si="219"/>
        <v>0.9028905881920678</v>
      </c>
      <c r="BY445" s="113" t="e">
        <f t="shared" si="220"/>
        <v>#DIV/0!</v>
      </c>
      <c r="BZ445" s="6" t="e">
        <f t="shared" si="221"/>
        <v>#DIV/0!</v>
      </c>
      <c r="CA445" s="114">
        <f t="shared" si="222"/>
        <v>127.25109874278135</v>
      </c>
      <c r="CB445" s="115" t="e">
        <f t="shared" si="223"/>
        <v>#DIV/0!</v>
      </c>
      <c r="CC445" s="6" t="e">
        <f t="shared" si="224"/>
        <v>#DIV/0!</v>
      </c>
    </row>
    <row r="446" spans="27:81">
      <c r="AA446" s="79" t="s">
        <v>175</v>
      </c>
      <c r="AB446" s="80" t="s">
        <v>202</v>
      </c>
      <c r="AC446" s="81">
        <v>0</v>
      </c>
      <c r="AD446" s="81">
        <v>6</v>
      </c>
      <c r="AE446" s="80">
        <v>273</v>
      </c>
      <c r="AF446" s="80">
        <v>6.35</v>
      </c>
      <c r="AG446" s="108" cm="1">
        <f t="array" ref="AG446">_xll.DCEPropSectPipe(AE446, AF446, "Area")/100</f>
        <v>53.19431074856206</v>
      </c>
      <c r="AH446" s="16" cm="1">
        <f t="array" ref="AH446">_xll.DCEPropSectPipe(AE446, AF446, "Ix")/10000</f>
        <v>4730.4733077169503</v>
      </c>
      <c r="AI446" s="16" cm="1">
        <f t="array" ref="AI446">_xll.DCEPropSectPipe(AE446, AF446, "Wx")/1000</f>
        <v>346.55482107816493</v>
      </c>
      <c r="AJ446" s="108">
        <f t="shared" si="193"/>
        <v>9.4301739777164251</v>
      </c>
      <c r="AK446" s="80" t="s">
        <v>217</v>
      </c>
      <c r="AL446" s="82">
        <v>0.3536968767957368</v>
      </c>
      <c r="AM446" s="82">
        <v>-0.22840282663529657</v>
      </c>
      <c r="AN446" s="82">
        <v>-2.7580288306747742E-5</v>
      </c>
      <c r="AO446" s="82">
        <v>0</v>
      </c>
      <c r="AP446" s="82">
        <v>0</v>
      </c>
      <c r="AQ446" s="82">
        <v>3.1500587740527011E-4</v>
      </c>
      <c r="AR446" s="72">
        <v>1</v>
      </c>
      <c r="AS446" s="116">
        <f t="shared" si="194"/>
        <v>6</v>
      </c>
      <c r="AT446" s="82">
        <v>2</v>
      </c>
      <c r="AU446" s="6">
        <f t="shared" si="195"/>
        <v>12</v>
      </c>
      <c r="AV446" s="111">
        <f t="shared" si="196"/>
        <v>2.9090025121214275E-4</v>
      </c>
      <c r="AW446" s="117">
        <f t="shared" si="197"/>
        <v>105</v>
      </c>
      <c r="AX446" s="111">
        <f t="shared" si="198"/>
        <v>1</v>
      </c>
      <c r="AY446" s="111">
        <f t="shared" si="199"/>
        <v>1</v>
      </c>
      <c r="AZ446" s="111">
        <f t="shared" si="200"/>
        <v>1</v>
      </c>
      <c r="BA446" s="111">
        <f t="shared" si="201"/>
        <v>3.0621079074962394E-4</v>
      </c>
      <c r="BB446" s="111">
        <f t="shared" si="202"/>
        <v>0</v>
      </c>
      <c r="BC446" s="111">
        <f t="shared" si="203"/>
        <v>0</v>
      </c>
      <c r="BD446" s="111">
        <v>0</v>
      </c>
      <c r="BE446" s="111">
        <f t="shared" si="204"/>
        <v>3.0621079074962394E-4</v>
      </c>
      <c r="BF446" s="6" t="str">
        <f t="shared" si="205"/>
        <v>OK</v>
      </c>
      <c r="BG446" s="16">
        <f t="shared" si="206"/>
        <v>63.625549371390676</v>
      </c>
      <c r="BH446" s="118">
        <f t="shared" si="207"/>
        <v>2.1193803644775273</v>
      </c>
      <c r="BI446" s="108">
        <f t="shared" si="208"/>
        <v>0</v>
      </c>
      <c r="BJ446" s="6">
        <f t="shared" si="209"/>
        <v>1.2440309817761237</v>
      </c>
      <c r="BK446" s="108">
        <f t="shared" si="210"/>
        <v>0</v>
      </c>
      <c r="BL446" s="118" cm="1">
        <f t="array" ref="BL446">IF(AO446=0,FactorPhi7121(BH446,"a"),noisuy2chieu(BK446,BH446,Data!$A$63:$M$85))</f>
        <v>0.86214274110469236</v>
      </c>
      <c r="BM446" s="111">
        <v>1.26</v>
      </c>
      <c r="BN446" s="118">
        <f t="shared" si="211"/>
        <v>0.99986933420682889</v>
      </c>
      <c r="BO446" s="108">
        <f t="shared" si="212"/>
        <v>7.2391028635456216E-4</v>
      </c>
      <c r="BP446" s="6" t="str">
        <f t="shared" si="213"/>
        <v>OK</v>
      </c>
      <c r="BQ446" s="16">
        <f t="shared" si="214"/>
        <v>127.25109874278135</v>
      </c>
      <c r="BR446" s="118">
        <f t="shared" si="215"/>
        <v>4.2387607289550546</v>
      </c>
      <c r="BS446" s="108">
        <f t="shared" si="216"/>
        <v>0</v>
      </c>
      <c r="BT446" s="118">
        <f t="shared" si="217"/>
        <v>1.1380619635522473</v>
      </c>
      <c r="BU446" s="108">
        <f t="shared" si="218"/>
        <v>0</v>
      </c>
      <c r="BV446" s="6" cm="1">
        <f t="array" ref="BV446">IF(AP446=0,FactorPhi7121(BR446,"a"),noisuy2chieu(BU446,BR446,Data!$A$63:$M$85))</f>
        <v>0.42299549615688942</v>
      </c>
      <c r="BW446" s="111">
        <v>1.26</v>
      </c>
      <c r="BX446" s="111">
        <f t="shared" si="219"/>
        <v>0.99947733682731565</v>
      </c>
      <c r="BY446" s="113">
        <f t="shared" si="220"/>
        <v>3.5517412158138199E-4</v>
      </c>
      <c r="BZ446" s="6" t="str">
        <f t="shared" si="221"/>
        <v>OK</v>
      </c>
      <c r="CA446" s="114">
        <f t="shared" si="222"/>
        <v>127.25109874278135</v>
      </c>
      <c r="CB446" s="115">
        <f t="shared" si="223"/>
        <v>150</v>
      </c>
      <c r="CC446" s="6" t="str">
        <f t="shared" si="224"/>
        <v>OK</v>
      </c>
    </row>
    <row r="447" spans="27:81">
      <c r="AA447" s="79" t="s">
        <v>175</v>
      </c>
      <c r="AB447" s="80" t="s">
        <v>202</v>
      </c>
      <c r="AC447" s="81">
        <v>2.74</v>
      </c>
      <c r="AD447" s="81">
        <v>6</v>
      </c>
      <c r="AE447" s="80">
        <v>273</v>
      </c>
      <c r="AF447" s="80">
        <v>6.35</v>
      </c>
      <c r="AG447" s="108" cm="1">
        <f t="array" ref="AG447">_xll.DCEPropSectPipe(AE447, AF447, "Area")/100</f>
        <v>53.19431074856206</v>
      </c>
      <c r="AH447" s="16" cm="1">
        <f t="array" ref="AH447">_xll.DCEPropSectPipe(AE447, AF447, "Ix")/10000</f>
        <v>4730.4733077169503</v>
      </c>
      <c r="AI447" s="16" cm="1">
        <f t="array" ref="AI447">_xll.DCEPropSectPipe(AE447, AF447, "Wx")/1000</f>
        <v>346.55482107816493</v>
      </c>
      <c r="AJ447" s="108">
        <f t="shared" si="193"/>
        <v>9.4301739777164251</v>
      </c>
      <c r="AK447" s="80" t="s">
        <v>217</v>
      </c>
      <c r="AL447" s="82">
        <v>1.7009572255277741</v>
      </c>
      <c r="AM447" s="82">
        <v>-0.22840282663529657</v>
      </c>
      <c r="AN447" s="82">
        <v>-2.7580288306747742E-5</v>
      </c>
      <c r="AO447" s="82">
        <v>7.5625150537100101E-5</v>
      </c>
      <c r="AP447" s="82">
        <v>0.62628055063398358</v>
      </c>
      <c r="AQ447" s="82">
        <v>3.1500587740527011E-4</v>
      </c>
      <c r="AR447" s="72">
        <v>1</v>
      </c>
      <c r="AS447" s="116">
        <f t="shared" si="194"/>
        <v>6</v>
      </c>
      <c r="AT447" s="82">
        <v>2</v>
      </c>
      <c r="AU447" s="6">
        <f t="shared" si="195"/>
        <v>12</v>
      </c>
      <c r="AV447" s="111">
        <f t="shared" si="196"/>
        <v>1.3989631140930189E-3</v>
      </c>
      <c r="AW447" s="117">
        <f t="shared" si="197"/>
        <v>105</v>
      </c>
      <c r="AX447" s="111">
        <f t="shared" si="198"/>
        <v>1</v>
      </c>
      <c r="AY447" s="111">
        <f t="shared" si="199"/>
        <v>1</v>
      </c>
      <c r="AZ447" s="111">
        <f t="shared" si="200"/>
        <v>1</v>
      </c>
      <c r="BA447" s="111">
        <f t="shared" si="201"/>
        <v>1.472592751676862E-3</v>
      </c>
      <c r="BB447" s="111">
        <f t="shared" si="202"/>
        <v>1.0049599612991617E-6</v>
      </c>
      <c r="BC447" s="111">
        <f t="shared" si="203"/>
        <v>8.3224545466363316E-3</v>
      </c>
      <c r="BD447" s="111">
        <v>0</v>
      </c>
      <c r="BE447" s="111">
        <f t="shared" si="204"/>
        <v>9.7960522582744933E-3</v>
      </c>
      <c r="BF447" s="6" t="str">
        <f t="shared" si="205"/>
        <v>OK</v>
      </c>
      <c r="BG447" s="16">
        <f t="shared" si="206"/>
        <v>63.625549371390676</v>
      </c>
      <c r="BH447" s="118">
        <f t="shared" si="207"/>
        <v>2.1193803644775273</v>
      </c>
      <c r="BI447" s="108">
        <f t="shared" si="208"/>
        <v>6.8244255593055149E-4</v>
      </c>
      <c r="BJ447" s="6">
        <f t="shared" si="209"/>
        <v>1.2440113232018564</v>
      </c>
      <c r="BK447" s="108">
        <f t="shared" si="210"/>
        <v>8.489662670124222E-4</v>
      </c>
      <c r="BL447" s="118" cm="1">
        <f t="array" ref="BL447">IF(AO447=0,FactorPhi7121(BH447,"a"),noisuy2chieu(BK447,BH447,Data!$A$63:$M$85))</f>
        <v>0</v>
      </c>
      <c r="BM447" s="111">
        <v>1.26</v>
      </c>
      <c r="BN447" s="118">
        <f t="shared" si="211"/>
        <v>0.99937161750751891</v>
      </c>
      <c r="BO447" s="108" t="e">
        <f t="shared" si="212"/>
        <v>#DIV/0!</v>
      </c>
      <c r="BP447" s="6" t="e">
        <f t="shared" si="213"/>
        <v>#DIV/0!</v>
      </c>
      <c r="BQ447" s="16">
        <f t="shared" si="214"/>
        <v>127.25109874278135</v>
      </c>
      <c r="BR447" s="118">
        <f t="shared" si="215"/>
        <v>4.2387607289550546</v>
      </c>
      <c r="BS447" s="108">
        <f t="shared" si="216"/>
        <v>5.6515656057382042</v>
      </c>
      <c r="BT447" s="118">
        <f t="shared" si="217"/>
        <v>1.1000000000000001</v>
      </c>
      <c r="BU447" s="108">
        <f t="shared" si="218"/>
        <v>6.2167221663120253</v>
      </c>
      <c r="BV447" s="6" cm="1">
        <f t="array" ref="BV447">IF(AP447=0,FactorPhi7121(BR447,"a"),noisuy2chieu(BU447,BR447,Data!$A$63:$M$85))</f>
        <v>0</v>
      </c>
      <c r="BW447" s="111">
        <v>1.26</v>
      </c>
      <c r="BX447" s="111">
        <f t="shared" si="219"/>
        <v>0.99748647003007562</v>
      </c>
      <c r="BY447" s="113" t="e">
        <f t="shared" si="220"/>
        <v>#DIV/0!</v>
      </c>
      <c r="BZ447" s="6" t="e">
        <f t="shared" si="221"/>
        <v>#DIV/0!</v>
      </c>
      <c r="CA447" s="114">
        <f t="shared" si="222"/>
        <v>127.25109874278135</v>
      </c>
      <c r="CB447" s="115" t="e">
        <f t="shared" si="223"/>
        <v>#DIV/0!</v>
      </c>
      <c r="CC447" s="6" t="e">
        <f t="shared" si="224"/>
        <v>#DIV/0!</v>
      </c>
    </row>
    <row r="448" spans="27:81">
      <c r="AA448" s="79" t="s">
        <v>175</v>
      </c>
      <c r="AB448" s="80" t="s">
        <v>202</v>
      </c>
      <c r="AC448" s="81">
        <v>5.48</v>
      </c>
      <c r="AD448" s="81">
        <v>6</v>
      </c>
      <c r="AE448" s="80">
        <v>273</v>
      </c>
      <c r="AF448" s="80">
        <v>6.35</v>
      </c>
      <c r="AG448" s="108" cm="1">
        <f t="array" ref="AG448">_xll.DCEPropSectPipe(AE448, AF448, "Area")/100</f>
        <v>53.19431074856206</v>
      </c>
      <c r="AH448" s="16" cm="1">
        <f t="array" ref="AH448">_xll.DCEPropSectPipe(AE448, AF448, "Ix")/10000</f>
        <v>4730.4733077169503</v>
      </c>
      <c r="AI448" s="16" cm="1">
        <f t="array" ref="AI448">_xll.DCEPropSectPipe(AE448, AF448, "Wx")/1000</f>
        <v>346.55482107816493</v>
      </c>
      <c r="AJ448" s="108">
        <f t="shared" si="193"/>
        <v>9.4301739777164251</v>
      </c>
      <c r="AK448" s="80" t="s">
        <v>217</v>
      </c>
      <c r="AL448" s="82">
        <v>3.0482175742598039</v>
      </c>
      <c r="AM448" s="82">
        <v>-0.22840282663529657</v>
      </c>
      <c r="AN448" s="82">
        <v>-2.7580288306747742E-5</v>
      </c>
      <c r="AO448" s="82">
        <v>1.512503010742002E-4</v>
      </c>
      <c r="AP448" s="82">
        <v>1.2525611012679672</v>
      </c>
      <c r="AQ448" s="82">
        <v>3.1500587740527011E-4</v>
      </c>
      <c r="AR448" s="72">
        <v>1</v>
      </c>
      <c r="AS448" s="116">
        <f t="shared" si="194"/>
        <v>6</v>
      </c>
      <c r="AT448" s="82">
        <v>2</v>
      </c>
      <c r="AU448" s="6">
        <f t="shared" si="195"/>
        <v>12</v>
      </c>
      <c r="AV448" s="111">
        <f t="shared" si="196"/>
        <v>2.5070259769738885E-3</v>
      </c>
      <c r="AW448" s="117">
        <f t="shared" si="197"/>
        <v>105</v>
      </c>
      <c r="AX448" s="111">
        <f t="shared" si="198"/>
        <v>1</v>
      </c>
      <c r="AY448" s="111">
        <f t="shared" si="199"/>
        <v>1</v>
      </c>
      <c r="AZ448" s="111">
        <f t="shared" si="200"/>
        <v>1</v>
      </c>
      <c r="BA448" s="111">
        <f t="shared" si="201"/>
        <v>2.6389747126040934E-3</v>
      </c>
      <c r="BB448" s="111">
        <f t="shared" si="202"/>
        <v>2.0099199225983234E-6</v>
      </c>
      <c r="BC448" s="111">
        <f t="shared" si="203"/>
        <v>1.6644909093272663E-2</v>
      </c>
      <c r="BD448" s="111">
        <v>0</v>
      </c>
      <c r="BE448" s="111">
        <f t="shared" si="204"/>
        <v>1.9285893725799357E-2</v>
      </c>
      <c r="BF448" s="6" t="str">
        <f t="shared" si="205"/>
        <v>OK</v>
      </c>
      <c r="BG448" s="16">
        <f t="shared" si="206"/>
        <v>63.625549371390676</v>
      </c>
      <c r="BH448" s="118">
        <f t="shared" si="207"/>
        <v>2.1193803644775273</v>
      </c>
      <c r="BI448" s="108">
        <f t="shared" si="208"/>
        <v>7.6162909519317441E-4</v>
      </c>
      <c r="BJ448" s="6">
        <f t="shared" si="209"/>
        <v>1.2440090421388579</v>
      </c>
      <c r="BK448" s="108">
        <f t="shared" si="210"/>
        <v>9.4747348117634595E-4</v>
      </c>
      <c r="BL448" s="118" cm="1">
        <f t="array" ref="BL448">IF(AO448=0,FactorPhi7121(BH448,"a"),noisuy2chieu(BK448,BH448,Data!$A$63:$M$85))</f>
        <v>0</v>
      </c>
      <c r="BM448" s="111">
        <v>1.26</v>
      </c>
      <c r="BN448" s="118">
        <f t="shared" si="211"/>
        <v>0.99887390080820893</v>
      </c>
      <c r="BO448" s="108" t="e">
        <f t="shared" si="212"/>
        <v>#DIV/0!</v>
      </c>
      <c r="BP448" s="6" t="e">
        <f t="shared" si="213"/>
        <v>#DIV/0!</v>
      </c>
      <c r="BQ448" s="16">
        <f t="shared" si="214"/>
        <v>127.25109874278135</v>
      </c>
      <c r="BR448" s="118">
        <f t="shared" si="215"/>
        <v>4.2387607289550546</v>
      </c>
      <c r="BS448" s="108">
        <f t="shared" si="216"/>
        <v>6.3073393669800506</v>
      </c>
      <c r="BT448" s="118">
        <f t="shared" si="217"/>
        <v>1.1000000000000001</v>
      </c>
      <c r="BU448" s="108">
        <f t="shared" si="218"/>
        <v>6.9380733036780562</v>
      </c>
      <c r="BV448" s="6" cm="1">
        <f t="array" ref="BV448">IF(AP448=0,FactorPhi7121(BR448,"a"),noisuy2chieu(BU448,BR448,Data!$A$63:$M$85))</f>
        <v>0</v>
      </c>
      <c r="BW448" s="111">
        <v>1.26</v>
      </c>
      <c r="BX448" s="111">
        <f t="shared" si="219"/>
        <v>0.9954956032328357</v>
      </c>
      <c r="BY448" s="113" t="e">
        <f t="shared" si="220"/>
        <v>#DIV/0!</v>
      </c>
      <c r="BZ448" s="6" t="e">
        <f t="shared" si="221"/>
        <v>#DIV/0!</v>
      </c>
      <c r="CA448" s="114">
        <f t="shared" si="222"/>
        <v>127.25109874278135</v>
      </c>
      <c r="CB448" s="115" t="e">
        <f t="shared" si="223"/>
        <v>#DIV/0!</v>
      </c>
      <c r="CC448" s="6" t="e">
        <f t="shared" si="224"/>
        <v>#DIV/0!</v>
      </c>
    </row>
    <row r="449" spans="27:81">
      <c r="AA449" s="79" t="s">
        <v>175</v>
      </c>
      <c r="AB449" s="80" t="s">
        <v>202</v>
      </c>
      <c r="AC449" s="81">
        <v>0</v>
      </c>
      <c r="AD449" s="81">
        <v>6</v>
      </c>
      <c r="AE449" s="80">
        <v>273</v>
      </c>
      <c r="AF449" s="80">
        <v>6.35</v>
      </c>
      <c r="AG449" s="108" cm="1">
        <f t="array" ref="AG449">_xll.DCEPropSectPipe(AE449, AF449, "Area")/100</f>
        <v>53.19431074856206</v>
      </c>
      <c r="AH449" s="16" cm="1">
        <f t="array" ref="AH449">_xll.DCEPropSectPipe(AE449, AF449, "Ix")/10000</f>
        <v>4730.4733077169503</v>
      </c>
      <c r="AI449" s="16" cm="1">
        <f t="array" ref="AI449">_xll.DCEPropSectPipe(AE449, AF449, "Wx")/1000</f>
        <v>346.55482107816493</v>
      </c>
      <c r="AJ449" s="108">
        <f t="shared" si="193"/>
        <v>9.4301739777164251</v>
      </c>
      <c r="AK449" s="80" t="s">
        <v>218</v>
      </c>
      <c r="AL449" s="82">
        <v>-14.808169911792481</v>
      </c>
      <c r="AM449" s="82">
        <v>-0.30835370506506565</v>
      </c>
      <c r="AN449" s="82">
        <v>-1.0400093295236698E-3</v>
      </c>
      <c r="AO449" s="82">
        <v>0</v>
      </c>
      <c r="AP449" s="82">
        <v>0</v>
      </c>
      <c r="AQ449" s="82">
        <v>-4.9986782233875956E-4</v>
      </c>
      <c r="AR449" s="72">
        <v>1</v>
      </c>
      <c r="AS449" s="116">
        <f t="shared" si="194"/>
        <v>6</v>
      </c>
      <c r="AT449" s="82">
        <v>2</v>
      </c>
      <c r="AU449" s="6">
        <f t="shared" si="195"/>
        <v>12</v>
      </c>
      <c r="AV449" s="111">
        <f t="shared" si="196"/>
        <v>1.2179073749130848E-2</v>
      </c>
      <c r="AW449" s="117">
        <f t="shared" si="197"/>
        <v>105</v>
      </c>
      <c r="AX449" s="111">
        <f t="shared" si="198"/>
        <v>1</v>
      </c>
      <c r="AY449" s="111">
        <f t="shared" si="199"/>
        <v>1</v>
      </c>
      <c r="AZ449" s="111">
        <f t="shared" si="200"/>
        <v>1</v>
      </c>
      <c r="BA449" s="111">
        <f t="shared" si="201"/>
        <v>1.2820077630664051E-2</v>
      </c>
      <c r="BB449" s="111">
        <f t="shared" si="202"/>
        <v>0</v>
      </c>
      <c r="BC449" s="111">
        <f t="shared" si="203"/>
        <v>0</v>
      </c>
      <c r="BD449" s="111">
        <v>0</v>
      </c>
      <c r="BE449" s="111">
        <f t="shared" si="204"/>
        <v>1.2820077630664051E-2</v>
      </c>
      <c r="BF449" s="6" t="str">
        <f t="shared" si="205"/>
        <v>OK</v>
      </c>
      <c r="BG449" s="16">
        <f t="shared" si="206"/>
        <v>63.625549371390676</v>
      </c>
      <c r="BH449" s="118">
        <f t="shared" si="207"/>
        <v>2.1193803644775273</v>
      </c>
      <c r="BI449" s="108">
        <f t="shared" si="208"/>
        <v>0</v>
      </c>
      <c r="BJ449" s="6">
        <f t="shared" si="209"/>
        <v>1.2440309817761237</v>
      </c>
      <c r="BK449" s="108">
        <f t="shared" si="210"/>
        <v>0</v>
      </c>
      <c r="BL449" s="118" cm="1">
        <f t="array" ref="BL449">IF(AO449=0,FactorPhi7121(BH449,"a"),noisuy2chieu(BK449,BH449,Data!$A$63:$M$85))</f>
        <v>0.86214274110469236</v>
      </c>
      <c r="BM449" s="111">
        <v>1.26</v>
      </c>
      <c r="BN449" s="118">
        <f t="shared" si="211"/>
        <v>0.99452943637934899</v>
      </c>
      <c r="BO449" s="108">
        <f t="shared" si="212"/>
        <v>3.0307834828362034E-2</v>
      </c>
      <c r="BP449" s="6" t="str">
        <f t="shared" si="213"/>
        <v>OK</v>
      </c>
      <c r="BQ449" s="16">
        <f t="shared" si="214"/>
        <v>127.25109874278135</v>
      </c>
      <c r="BR449" s="118">
        <f t="shared" si="215"/>
        <v>4.2387607289550546</v>
      </c>
      <c r="BS449" s="108">
        <f t="shared" si="216"/>
        <v>0</v>
      </c>
      <c r="BT449" s="118">
        <f t="shared" si="217"/>
        <v>1.1380619635522473</v>
      </c>
      <c r="BU449" s="108">
        <f t="shared" si="218"/>
        <v>0</v>
      </c>
      <c r="BV449" s="6" cm="1">
        <f t="array" ref="BV449">IF(AP449=0,FactorPhi7121(BR449,"a"),noisuy2chieu(BU449,BR449,Data!$A$63:$M$85))</f>
        <v>0.42299549615688942</v>
      </c>
      <c r="BW449" s="111">
        <v>1.26</v>
      </c>
      <c r="BX449" s="111">
        <f t="shared" si="219"/>
        <v>0.97811774551739616</v>
      </c>
      <c r="BY449" s="113">
        <f t="shared" si="220"/>
        <v>1.487001748021129E-2</v>
      </c>
      <c r="BZ449" s="6" t="str">
        <f t="shared" si="221"/>
        <v>OK</v>
      </c>
      <c r="CA449" s="114">
        <f t="shared" si="222"/>
        <v>127.25109874278135</v>
      </c>
      <c r="CB449" s="115">
        <f t="shared" si="223"/>
        <v>150</v>
      </c>
      <c r="CC449" s="6" t="str">
        <f t="shared" si="224"/>
        <v>OK</v>
      </c>
    </row>
    <row r="450" spans="27:81">
      <c r="AA450" s="79" t="s">
        <v>175</v>
      </c>
      <c r="AB450" s="80" t="s">
        <v>202</v>
      </c>
      <c r="AC450" s="81">
        <v>2.74</v>
      </c>
      <c r="AD450" s="81">
        <v>6</v>
      </c>
      <c r="AE450" s="80">
        <v>273</v>
      </c>
      <c r="AF450" s="80">
        <v>6.35</v>
      </c>
      <c r="AG450" s="108" cm="1">
        <f t="array" ref="AG450">_xll.DCEPropSectPipe(AE450, AF450, "Area")/100</f>
        <v>53.19431074856206</v>
      </c>
      <c r="AH450" s="16" cm="1">
        <f t="array" ref="AH450">_xll.DCEPropSectPipe(AE450, AF450, "Ix")/10000</f>
        <v>4730.4733077169503</v>
      </c>
      <c r="AI450" s="16" cm="1">
        <f t="array" ref="AI450">_xll.DCEPropSectPipe(AE450, AF450, "Wx")/1000</f>
        <v>346.55482107816493</v>
      </c>
      <c r="AJ450" s="108">
        <f t="shared" si="193"/>
        <v>9.4301739777164251</v>
      </c>
      <c r="AK450" s="80" t="s">
        <v>218</v>
      </c>
      <c r="AL450" s="82">
        <v>-13.460909563060444</v>
      </c>
      <c r="AM450" s="82">
        <v>-0.30835370506506565</v>
      </c>
      <c r="AN450" s="82">
        <v>-1.0400093295236698E-3</v>
      </c>
      <c r="AO450" s="82">
        <v>2.8517055815539018E-3</v>
      </c>
      <c r="AP450" s="82">
        <v>0.84550585928840916</v>
      </c>
      <c r="AQ450" s="82">
        <v>-4.9986782233875956E-4</v>
      </c>
      <c r="AR450" s="72">
        <v>1</v>
      </c>
      <c r="AS450" s="116">
        <f t="shared" si="194"/>
        <v>6</v>
      </c>
      <c r="AT450" s="82">
        <v>2</v>
      </c>
      <c r="AU450" s="6">
        <f t="shared" si="195"/>
        <v>12</v>
      </c>
      <c r="AV450" s="111">
        <f t="shared" si="196"/>
        <v>1.1071010886249972E-2</v>
      </c>
      <c r="AW450" s="117">
        <f t="shared" si="197"/>
        <v>105</v>
      </c>
      <c r="AX450" s="111">
        <f t="shared" si="198"/>
        <v>1</v>
      </c>
      <c r="AY450" s="111">
        <f t="shared" si="199"/>
        <v>1</v>
      </c>
      <c r="AZ450" s="111">
        <f t="shared" si="200"/>
        <v>1</v>
      </c>
      <c r="BA450" s="111">
        <f t="shared" si="201"/>
        <v>1.1653695669736813E-2</v>
      </c>
      <c r="BB450" s="111">
        <f t="shared" si="202"/>
        <v>3.7895460842343536E-5</v>
      </c>
      <c r="BC450" s="111">
        <f t="shared" si="203"/>
        <v>1.123567397346005E-2</v>
      </c>
      <c r="BD450" s="111">
        <v>0</v>
      </c>
      <c r="BE450" s="111">
        <f t="shared" si="204"/>
        <v>2.2927265104039207E-2</v>
      </c>
      <c r="BF450" s="6" t="str">
        <f t="shared" si="205"/>
        <v>OK</v>
      </c>
      <c r="BG450" s="16">
        <f t="shared" si="206"/>
        <v>63.625549371390676</v>
      </c>
      <c r="BH450" s="118">
        <f t="shared" si="207"/>
        <v>2.1193803644775273</v>
      </c>
      <c r="BI450" s="108">
        <f t="shared" si="208"/>
        <v>3.2517977057486837E-3</v>
      </c>
      <c r="BJ450" s="6">
        <f t="shared" si="209"/>
        <v>1.2439373098529045</v>
      </c>
      <c r="BK450" s="108">
        <f t="shared" si="210"/>
        <v>4.0450324902748646E-3</v>
      </c>
      <c r="BL450" s="118" cm="1">
        <f t="array" ref="BL450">IF(AO450=0,FactorPhi7121(BH450,"a"),noisuy2chieu(BK450,BH450,Data!$A$63:$M$85))</f>
        <v>0</v>
      </c>
      <c r="BM450" s="111">
        <v>1.26</v>
      </c>
      <c r="BN450" s="118">
        <f t="shared" si="211"/>
        <v>0.99502715307865908</v>
      </c>
      <c r="BO450" s="108" t="e">
        <f t="shared" si="212"/>
        <v>#DIV/0!</v>
      </c>
      <c r="BP450" s="6" t="e">
        <f t="shared" si="213"/>
        <v>#DIV/0!</v>
      </c>
      <c r="BQ450" s="16">
        <f t="shared" si="214"/>
        <v>127.25109874278135</v>
      </c>
      <c r="BR450" s="118">
        <f t="shared" si="215"/>
        <v>4.2387607289550546</v>
      </c>
      <c r="BS450" s="108">
        <f t="shared" si="216"/>
        <v>0.96412968828744061</v>
      </c>
      <c r="BT450" s="118">
        <f t="shared" si="217"/>
        <v>1.1307226297412001</v>
      </c>
      <c r="BU450" s="108">
        <f t="shared" si="218"/>
        <v>1.0901632565519384</v>
      </c>
      <c r="BV450" s="6" cm="1">
        <f t="array" ref="BV450">IF(AP450=0,FactorPhi7121(BR450,"a"),noisuy2chieu(BU450,BR450,Data!$A$63:$M$85))</f>
        <v>0</v>
      </c>
      <c r="BW450" s="111">
        <v>1.26</v>
      </c>
      <c r="BX450" s="111">
        <f t="shared" si="219"/>
        <v>0.9801086123146362</v>
      </c>
      <c r="BY450" s="113" t="e">
        <f t="shared" si="220"/>
        <v>#DIV/0!</v>
      </c>
      <c r="BZ450" s="6" t="e">
        <f t="shared" si="221"/>
        <v>#DIV/0!</v>
      </c>
      <c r="CA450" s="114">
        <f t="shared" si="222"/>
        <v>127.25109874278135</v>
      </c>
      <c r="CB450" s="115" t="e">
        <f t="shared" si="223"/>
        <v>#DIV/0!</v>
      </c>
      <c r="CC450" s="6" t="e">
        <f t="shared" si="224"/>
        <v>#DIV/0!</v>
      </c>
    </row>
    <row r="451" spans="27:81">
      <c r="AA451" s="79" t="s">
        <v>175</v>
      </c>
      <c r="AB451" s="80" t="s">
        <v>202</v>
      </c>
      <c r="AC451" s="81">
        <v>5.48</v>
      </c>
      <c r="AD451" s="81">
        <v>6</v>
      </c>
      <c r="AE451" s="80">
        <v>273</v>
      </c>
      <c r="AF451" s="80">
        <v>6.35</v>
      </c>
      <c r="AG451" s="108" cm="1">
        <f t="array" ref="AG451">_xll.DCEPropSectPipe(AE451, AF451, "Area")/100</f>
        <v>53.19431074856206</v>
      </c>
      <c r="AH451" s="16" cm="1">
        <f t="array" ref="AH451">_xll.DCEPropSectPipe(AE451, AF451, "Ix")/10000</f>
        <v>4730.4733077169503</v>
      </c>
      <c r="AI451" s="16" cm="1">
        <f t="array" ref="AI451">_xll.DCEPropSectPipe(AE451, AF451, "Wx")/1000</f>
        <v>346.55482107816493</v>
      </c>
      <c r="AJ451" s="108">
        <f t="shared" si="193"/>
        <v>9.4301739777164251</v>
      </c>
      <c r="AK451" s="80" t="s">
        <v>218</v>
      </c>
      <c r="AL451" s="82">
        <v>-12.113649214328413</v>
      </c>
      <c r="AM451" s="82">
        <v>-0.30835370506506565</v>
      </c>
      <c r="AN451" s="82">
        <v>-1.0400093295236698E-3</v>
      </c>
      <c r="AO451" s="82">
        <v>5.7034111631078035E-3</v>
      </c>
      <c r="AP451" s="82">
        <v>1.6910117185768183</v>
      </c>
      <c r="AQ451" s="82">
        <v>-4.9986782233875956E-4</v>
      </c>
      <c r="AR451" s="72">
        <v>1</v>
      </c>
      <c r="AS451" s="116">
        <f t="shared" si="194"/>
        <v>6</v>
      </c>
      <c r="AT451" s="82">
        <v>2</v>
      </c>
      <c r="AU451" s="6">
        <f t="shared" si="195"/>
        <v>12</v>
      </c>
      <c r="AV451" s="111">
        <f t="shared" si="196"/>
        <v>9.9629480233691028E-3</v>
      </c>
      <c r="AW451" s="117">
        <f t="shared" si="197"/>
        <v>105</v>
      </c>
      <c r="AX451" s="111">
        <f t="shared" si="198"/>
        <v>1</v>
      </c>
      <c r="AY451" s="111">
        <f t="shared" si="199"/>
        <v>1</v>
      </c>
      <c r="AZ451" s="111">
        <f t="shared" si="200"/>
        <v>1</v>
      </c>
      <c r="BA451" s="111">
        <f t="shared" si="201"/>
        <v>1.0487313708809582E-2</v>
      </c>
      <c r="BB451" s="111">
        <f t="shared" si="202"/>
        <v>7.5790921684687072E-5</v>
      </c>
      <c r="BC451" s="111">
        <f t="shared" si="203"/>
        <v>2.2471347946920101E-2</v>
      </c>
      <c r="BD451" s="111">
        <v>0</v>
      </c>
      <c r="BE451" s="111">
        <f t="shared" si="204"/>
        <v>3.3034452577414372E-2</v>
      </c>
      <c r="BF451" s="6" t="str">
        <f t="shared" si="205"/>
        <v>OK</v>
      </c>
      <c r="BG451" s="16">
        <f t="shared" si="206"/>
        <v>63.625549371390676</v>
      </c>
      <c r="BH451" s="118">
        <f t="shared" si="207"/>
        <v>2.1193803644775273</v>
      </c>
      <c r="BI451" s="108">
        <f t="shared" si="208"/>
        <v>7.2269147075309662E-3</v>
      </c>
      <c r="BJ451" s="6">
        <f t="shared" si="209"/>
        <v>1.2438228018520161</v>
      </c>
      <c r="BK451" s="108">
        <f t="shared" si="210"/>
        <v>8.989001300266709E-3</v>
      </c>
      <c r="BL451" s="118" cm="1">
        <f t="array" ref="BL451">IF(AO451=0,FactorPhi7121(BH451,"a"),noisuy2chieu(BK451,BH451,Data!$A$63:$M$85))</f>
        <v>0</v>
      </c>
      <c r="BM451" s="111">
        <v>1.26</v>
      </c>
      <c r="BN451" s="118">
        <f t="shared" si="211"/>
        <v>0.99552486977796906</v>
      </c>
      <c r="BO451" s="108" t="e">
        <f t="shared" si="212"/>
        <v>#DIV/0!</v>
      </c>
      <c r="BP451" s="6" t="e">
        <f t="shared" si="213"/>
        <v>#DIV/0!</v>
      </c>
      <c r="BQ451" s="16">
        <f t="shared" si="214"/>
        <v>127.25109874278135</v>
      </c>
      <c r="BR451" s="118">
        <f t="shared" si="215"/>
        <v>4.2387607289550546</v>
      </c>
      <c r="BS451" s="108">
        <f t="shared" si="216"/>
        <v>2.1427172458895418</v>
      </c>
      <c r="BT451" s="118">
        <f t="shared" si="217"/>
        <v>1.1217507584090833</v>
      </c>
      <c r="BU451" s="108">
        <f t="shared" si="218"/>
        <v>2.4035946956328158</v>
      </c>
      <c r="BV451" s="6" cm="1">
        <f t="array" ref="BV451">IF(AP451=0,FactorPhi7121(BR451,"a"),noisuy2chieu(BU451,BR451,Data!$A$63:$M$85))</f>
        <v>0</v>
      </c>
      <c r="BW451" s="111">
        <v>1.26</v>
      </c>
      <c r="BX451" s="111">
        <f t="shared" si="219"/>
        <v>0.98209947911187612</v>
      </c>
      <c r="BY451" s="113" t="e">
        <f t="shared" si="220"/>
        <v>#DIV/0!</v>
      </c>
      <c r="BZ451" s="6" t="e">
        <f t="shared" si="221"/>
        <v>#DIV/0!</v>
      </c>
      <c r="CA451" s="114">
        <f t="shared" si="222"/>
        <v>127.25109874278135</v>
      </c>
      <c r="CB451" s="115" t="e">
        <f t="shared" si="223"/>
        <v>#DIV/0!</v>
      </c>
      <c r="CC451" s="6" t="e">
        <f t="shared" si="224"/>
        <v>#DIV/0!</v>
      </c>
    </row>
    <row r="452" spans="27:81">
      <c r="AA452" s="79" t="s">
        <v>175</v>
      </c>
      <c r="AB452" s="80" t="s">
        <v>203</v>
      </c>
      <c r="AC452" s="81">
        <v>0</v>
      </c>
      <c r="AD452" s="81">
        <v>6</v>
      </c>
      <c r="AE452" s="80">
        <v>273</v>
      </c>
      <c r="AF452" s="80">
        <v>6.35</v>
      </c>
      <c r="AG452" s="108" cm="1">
        <f t="array" ref="AG452">_xll.DCEPropSectPipe(AE452, AF452, "Area")/100</f>
        <v>53.19431074856206</v>
      </c>
      <c r="AH452" s="16" cm="1">
        <f t="array" ref="AH452">_xll.DCEPropSectPipe(AE452, AF452, "Ix")/10000</f>
        <v>4730.4733077169503</v>
      </c>
      <c r="AI452" s="16" cm="1">
        <f t="array" ref="AI452">_xll.DCEPropSectPipe(AE452, AF452, "Wx")/1000</f>
        <v>346.55482107816493</v>
      </c>
      <c r="AJ452" s="108">
        <f t="shared" si="193"/>
        <v>9.4301739777164251</v>
      </c>
      <c r="AK452" s="80" t="s">
        <v>206</v>
      </c>
      <c r="AL452" s="82">
        <v>-38.670735689427772</v>
      </c>
      <c r="AM452" s="82">
        <v>-4.6448647123233808</v>
      </c>
      <c r="AN452" s="82">
        <v>-0.92258323653336727</v>
      </c>
      <c r="AO452" s="82">
        <v>0</v>
      </c>
      <c r="AP452" s="82">
        <v>0</v>
      </c>
      <c r="AQ452" s="82">
        <v>5.3212733185041043E-2</v>
      </c>
      <c r="AR452" s="72">
        <v>1</v>
      </c>
      <c r="AS452" s="116">
        <f t="shared" si="194"/>
        <v>6</v>
      </c>
      <c r="AT452" s="82">
        <v>2</v>
      </c>
      <c r="AU452" s="6">
        <f t="shared" si="195"/>
        <v>12</v>
      </c>
      <c r="AV452" s="111">
        <f t="shared" si="196"/>
        <v>3.1804993101789539E-2</v>
      </c>
      <c r="AW452" s="117">
        <f t="shared" si="197"/>
        <v>105</v>
      </c>
      <c r="AX452" s="111">
        <f t="shared" si="198"/>
        <v>1</v>
      </c>
      <c r="AY452" s="111">
        <f t="shared" si="199"/>
        <v>1</v>
      </c>
      <c r="AZ452" s="111">
        <f t="shared" si="200"/>
        <v>1</v>
      </c>
      <c r="BA452" s="111">
        <f t="shared" si="201"/>
        <v>3.347894010714688E-2</v>
      </c>
      <c r="BB452" s="111">
        <f t="shared" si="202"/>
        <v>0</v>
      </c>
      <c r="BC452" s="111">
        <f t="shared" si="203"/>
        <v>0</v>
      </c>
      <c r="BD452" s="111">
        <v>0</v>
      </c>
      <c r="BE452" s="111">
        <f t="shared" si="204"/>
        <v>3.347894010714688E-2</v>
      </c>
      <c r="BF452" s="6" t="str">
        <f t="shared" si="205"/>
        <v>OK</v>
      </c>
      <c r="BG452" s="16">
        <f t="shared" si="206"/>
        <v>63.625549371390676</v>
      </c>
      <c r="BH452" s="118">
        <f t="shared" si="207"/>
        <v>2.1193803644775273</v>
      </c>
      <c r="BI452" s="108">
        <f t="shared" si="208"/>
        <v>0</v>
      </c>
      <c r="BJ452" s="6">
        <f t="shared" si="209"/>
        <v>1.2440309817761237</v>
      </c>
      <c r="BK452" s="108">
        <f t="shared" si="210"/>
        <v>0</v>
      </c>
      <c r="BL452" s="118" cm="1">
        <f t="array" ref="BL452">IF(AO452=0,FactorPhi7121(BH452,"a"),noisuy2chieu(BK452,BH452,Data!$A$63:$M$85))</f>
        <v>0.86214274110469236</v>
      </c>
      <c r="BM452" s="111">
        <v>1.26</v>
      </c>
      <c r="BN452" s="118">
        <f t="shared" si="211"/>
        <v>0.98571391866067637</v>
      </c>
      <c r="BO452" s="108">
        <f t="shared" si="212"/>
        <v>7.914727322470004E-2</v>
      </c>
      <c r="BP452" s="6" t="str">
        <f t="shared" si="213"/>
        <v>OK</v>
      </c>
      <c r="BQ452" s="16">
        <f t="shared" si="214"/>
        <v>127.25109874278135</v>
      </c>
      <c r="BR452" s="118">
        <f t="shared" si="215"/>
        <v>4.2387607289550546</v>
      </c>
      <c r="BS452" s="108">
        <f t="shared" si="216"/>
        <v>0</v>
      </c>
      <c r="BT452" s="118">
        <f t="shared" si="217"/>
        <v>1.1380619635522473</v>
      </c>
      <c r="BU452" s="108">
        <f t="shared" si="218"/>
        <v>0</v>
      </c>
      <c r="BV452" s="6" cm="1">
        <f t="array" ref="BV452">IF(AP452=0,FactorPhi7121(BR452,"a"),noisuy2chieu(BU452,BR452,Data!$A$63:$M$85))</f>
        <v>0.42299549615688942</v>
      </c>
      <c r="BW452" s="111">
        <v>1.26</v>
      </c>
      <c r="BX452" s="111">
        <f t="shared" si="219"/>
        <v>0.94285567464270548</v>
      </c>
      <c r="BY452" s="113">
        <f t="shared" si="220"/>
        <v>3.883224727293904E-2</v>
      </c>
      <c r="BZ452" s="6" t="str">
        <f t="shared" si="221"/>
        <v>OK</v>
      </c>
      <c r="CA452" s="114">
        <f t="shared" si="222"/>
        <v>127.25109874278135</v>
      </c>
      <c r="CB452" s="115">
        <f t="shared" si="223"/>
        <v>150</v>
      </c>
      <c r="CC452" s="6" t="str">
        <f t="shared" si="224"/>
        <v>OK</v>
      </c>
    </row>
    <row r="453" spans="27:81">
      <c r="AA453" s="79" t="s">
        <v>175</v>
      </c>
      <c r="AB453" s="80" t="s">
        <v>203</v>
      </c>
      <c r="AC453" s="81">
        <v>2.74</v>
      </c>
      <c r="AD453" s="81">
        <v>6</v>
      </c>
      <c r="AE453" s="80">
        <v>273</v>
      </c>
      <c r="AF453" s="80">
        <v>6.35</v>
      </c>
      <c r="AG453" s="108" cm="1">
        <f t="array" ref="AG453">_xll.DCEPropSectPipe(AE453, AF453, "Area")/100</f>
        <v>53.19431074856206</v>
      </c>
      <c r="AH453" s="16" cm="1">
        <f t="array" ref="AH453">_xll.DCEPropSectPipe(AE453, AF453, "Ix")/10000</f>
        <v>4730.4733077169503</v>
      </c>
      <c r="AI453" s="16" cm="1">
        <f t="array" ref="AI453">_xll.DCEPropSectPipe(AE453, AF453, "Wx")/1000</f>
        <v>346.55482107816493</v>
      </c>
      <c r="AJ453" s="108">
        <f t="shared" si="193"/>
        <v>9.4301739777164251</v>
      </c>
      <c r="AK453" s="80" t="s">
        <v>206</v>
      </c>
      <c r="AL453" s="82">
        <v>-37.32347534069573</v>
      </c>
      <c r="AM453" s="82">
        <v>-4.6448647123233808</v>
      </c>
      <c r="AN453" s="82">
        <v>-0.92258323653336727</v>
      </c>
      <c r="AO453" s="82">
        <v>2.5297232345744924</v>
      </c>
      <c r="AP453" s="82">
        <v>12.736219041190708</v>
      </c>
      <c r="AQ453" s="82">
        <v>5.3212733185041043E-2</v>
      </c>
      <c r="AR453" s="72">
        <v>1</v>
      </c>
      <c r="AS453" s="116">
        <f t="shared" si="194"/>
        <v>6</v>
      </c>
      <c r="AT453" s="82">
        <v>2</v>
      </c>
      <c r="AU453" s="6">
        <f t="shared" si="195"/>
        <v>12</v>
      </c>
      <c r="AV453" s="111">
        <f t="shared" si="196"/>
        <v>3.0696930238908654E-2</v>
      </c>
      <c r="AW453" s="117">
        <f t="shared" si="197"/>
        <v>105</v>
      </c>
      <c r="AX453" s="111">
        <f t="shared" si="198"/>
        <v>1</v>
      </c>
      <c r="AY453" s="111">
        <f t="shared" si="199"/>
        <v>1</v>
      </c>
      <c r="AZ453" s="111">
        <f t="shared" si="200"/>
        <v>1</v>
      </c>
      <c r="BA453" s="111">
        <f t="shared" si="201"/>
        <v>3.2312558146219639E-2</v>
      </c>
      <c r="BB453" s="111">
        <f t="shared" si="202"/>
        <v>3.3616733928594135E-2</v>
      </c>
      <c r="BC453" s="111">
        <f t="shared" si="203"/>
        <v>0.16924779790624744</v>
      </c>
      <c r="BD453" s="111">
        <v>0</v>
      </c>
      <c r="BE453" s="111">
        <f t="shared" si="204"/>
        <v>0.23517708998106121</v>
      </c>
      <c r="BF453" s="6" t="str">
        <f t="shared" si="205"/>
        <v>OK</v>
      </c>
      <c r="BG453" s="16">
        <f t="shared" si="206"/>
        <v>63.625549371390676</v>
      </c>
      <c r="BH453" s="118">
        <f t="shared" si="207"/>
        <v>2.1193803644775273</v>
      </c>
      <c r="BI453" s="108">
        <f t="shared" si="208"/>
        <v>1.0403612668632698</v>
      </c>
      <c r="BJ453" s="6">
        <f t="shared" si="209"/>
        <v>1.2140621308424899</v>
      </c>
      <c r="BK453" s="108">
        <f t="shared" si="210"/>
        <v>1.2630632164940137</v>
      </c>
      <c r="BL453" s="118" cm="1">
        <f t="array" ref="BL453">IF(AO453=0,FactorPhi7121(BH453,"a"),noisuy2chieu(BK453,BH453,Data!$A$63:$M$85))</f>
        <v>0</v>
      </c>
      <c r="BM453" s="111">
        <v>1.26</v>
      </c>
      <c r="BN453" s="118">
        <f t="shared" si="211"/>
        <v>0.98621163535998635</v>
      </c>
      <c r="BO453" s="108" t="e">
        <f t="shared" si="212"/>
        <v>#DIV/0!</v>
      </c>
      <c r="BP453" s="6" t="e">
        <f t="shared" si="213"/>
        <v>#DIV/0!</v>
      </c>
      <c r="BQ453" s="16">
        <f t="shared" si="214"/>
        <v>127.25109874278135</v>
      </c>
      <c r="BR453" s="118">
        <f t="shared" si="215"/>
        <v>4.2387607289550546</v>
      </c>
      <c r="BS453" s="108">
        <f t="shared" si="216"/>
        <v>5.2378334497805268</v>
      </c>
      <c r="BT453" s="118">
        <f t="shared" si="217"/>
        <v>1.1000000000000001</v>
      </c>
      <c r="BU453" s="108">
        <f t="shared" si="218"/>
        <v>5.7616167947585799</v>
      </c>
      <c r="BV453" s="6" cm="1">
        <f t="array" ref="BV453">IF(AP453=0,FactorPhi7121(BR453,"a"),noisuy2chieu(BU453,BR453,Data!$A$63:$M$85))</f>
        <v>0</v>
      </c>
      <c r="BW453" s="111">
        <v>1.26</v>
      </c>
      <c r="BX453" s="111">
        <f t="shared" si="219"/>
        <v>0.94484654143994551</v>
      </c>
      <c r="BY453" s="113" t="e">
        <f t="shared" si="220"/>
        <v>#DIV/0!</v>
      </c>
      <c r="BZ453" s="6" t="e">
        <f t="shared" si="221"/>
        <v>#DIV/0!</v>
      </c>
      <c r="CA453" s="114">
        <f t="shared" si="222"/>
        <v>127.25109874278135</v>
      </c>
      <c r="CB453" s="115" t="e">
        <f t="shared" si="223"/>
        <v>#DIV/0!</v>
      </c>
      <c r="CC453" s="6" t="e">
        <f t="shared" si="224"/>
        <v>#DIV/0!</v>
      </c>
    </row>
    <row r="454" spans="27:81">
      <c r="AA454" s="79" t="s">
        <v>175</v>
      </c>
      <c r="AB454" s="80" t="s">
        <v>203</v>
      </c>
      <c r="AC454" s="81">
        <v>5.48</v>
      </c>
      <c r="AD454" s="81">
        <v>6</v>
      </c>
      <c r="AE454" s="80">
        <v>273</v>
      </c>
      <c r="AF454" s="80">
        <v>6.35</v>
      </c>
      <c r="AG454" s="108" cm="1">
        <f t="array" ref="AG454">_xll.DCEPropSectPipe(AE454, AF454, "Area")/100</f>
        <v>53.19431074856206</v>
      </c>
      <c r="AH454" s="16" cm="1">
        <f t="array" ref="AH454">_xll.DCEPropSectPipe(AE454, AF454, "Ix")/10000</f>
        <v>4730.4733077169503</v>
      </c>
      <c r="AI454" s="16" cm="1">
        <f t="array" ref="AI454">_xll.DCEPropSectPipe(AE454, AF454, "Wx")/1000</f>
        <v>346.55482107816493</v>
      </c>
      <c r="AJ454" s="108">
        <f t="shared" si="193"/>
        <v>9.4301739777164251</v>
      </c>
      <c r="AK454" s="80" t="s">
        <v>206</v>
      </c>
      <c r="AL454" s="82">
        <v>-35.976214991963701</v>
      </c>
      <c r="AM454" s="82">
        <v>-4.6448647123233808</v>
      </c>
      <c r="AN454" s="82">
        <v>-0.92258323653336727</v>
      </c>
      <c r="AO454" s="82">
        <v>5.0594464691489849</v>
      </c>
      <c r="AP454" s="82">
        <v>25.472438082381416</v>
      </c>
      <c r="AQ454" s="82">
        <v>5.3212733185041043E-2</v>
      </c>
      <c r="AR454" s="72">
        <v>1</v>
      </c>
      <c r="AS454" s="116">
        <f t="shared" si="194"/>
        <v>6</v>
      </c>
      <c r="AT454" s="82">
        <v>2</v>
      </c>
      <c r="AU454" s="6">
        <f t="shared" si="195"/>
        <v>12</v>
      </c>
      <c r="AV454" s="111">
        <f t="shared" si="196"/>
        <v>2.9588867376027783E-2</v>
      </c>
      <c r="AW454" s="117">
        <f t="shared" si="197"/>
        <v>105</v>
      </c>
      <c r="AX454" s="111">
        <f t="shared" si="198"/>
        <v>1</v>
      </c>
      <c r="AY454" s="111">
        <f t="shared" si="199"/>
        <v>1</v>
      </c>
      <c r="AZ454" s="111">
        <f t="shared" si="200"/>
        <v>1</v>
      </c>
      <c r="BA454" s="111">
        <f t="shared" si="201"/>
        <v>3.1146176185292411E-2</v>
      </c>
      <c r="BB454" s="111">
        <f t="shared" si="202"/>
        <v>6.723346785718827E-2</v>
      </c>
      <c r="BC454" s="111">
        <f t="shared" si="203"/>
        <v>0.33849559581249489</v>
      </c>
      <c r="BD454" s="111">
        <v>0</v>
      </c>
      <c r="BE454" s="111">
        <f t="shared" si="204"/>
        <v>0.43687523985497556</v>
      </c>
      <c r="BF454" s="6" t="str">
        <f t="shared" si="205"/>
        <v>OK</v>
      </c>
      <c r="BG454" s="16">
        <f t="shared" si="206"/>
        <v>63.625549371390676</v>
      </c>
      <c r="BH454" s="118">
        <f t="shared" si="207"/>
        <v>2.1193803644775273</v>
      </c>
      <c r="BI454" s="108">
        <f t="shared" si="208"/>
        <v>2.1586427642741168</v>
      </c>
      <c r="BJ454" s="6">
        <f t="shared" si="209"/>
        <v>1.1818486944476585</v>
      </c>
      <c r="BK454" s="108">
        <f t="shared" si="210"/>
        <v>2.5511891327362495</v>
      </c>
      <c r="BL454" s="118" cm="1">
        <f t="array" ref="BL454">IF(AO454=0,FactorPhi7121(BH454,"a"),noisuy2chieu(BK454,BH454,Data!$A$63:$M$85))</f>
        <v>0</v>
      </c>
      <c r="BM454" s="111">
        <v>1.26</v>
      </c>
      <c r="BN454" s="118">
        <f t="shared" si="211"/>
        <v>0.98670935205929633</v>
      </c>
      <c r="BO454" s="108" t="e">
        <f t="shared" si="212"/>
        <v>#DIV/0!</v>
      </c>
      <c r="BP454" s="6" t="e">
        <f t="shared" si="213"/>
        <v>#DIV/0!</v>
      </c>
      <c r="BQ454" s="16">
        <f t="shared" si="214"/>
        <v>127.25109874278135</v>
      </c>
      <c r="BR454" s="118">
        <f t="shared" si="215"/>
        <v>4.2387607289550546</v>
      </c>
      <c r="BS454" s="108">
        <f t="shared" si="216"/>
        <v>10.867966385303394</v>
      </c>
      <c r="BT454" s="118">
        <f t="shared" si="217"/>
        <v>1.1000000000000001</v>
      </c>
      <c r="BU454" s="108">
        <f t="shared" si="218"/>
        <v>11.954763023833735</v>
      </c>
      <c r="BV454" s="6" cm="1">
        <f t="array" ref="BV454">IF(AP454=0,FactorPhi7121(BR454,"a"),noisuy2chieu(BU454,BR454,Data!$A$63:$M$85))</f>
        <v>0</v>
      </c>
      <c r="BW454" s="111">
        <v>1.26</v>
      </c>
      <c r="BX454" s="111">
        <f t="shared" si="219"/>
        <v>0.94683740823718543</v>
      </c>
      <c r="BY454" s="113" t="e">
        <f t="shared" si="220"/>
        <v>#DIV/0!</v>
      </c>
      <c r="BZ454" s="6" t="e">
        <f t="shared" si="221"/>
        <v>#DIV/0!</v>
      </c>
      <c r="CA454" s="114">
        <f t="shared" si="222"/>
        <v>127.25109874278135</v>
      </c>
      <c r="CB454" s="115" t="e">
        <f t="shared" si="223"/>
        <v>#DIV/0!</v>
      </c>
      <c r="CC454" s="6" t="e">
        <f t="shared" si="224"/>
        <v>#DIV/0!</v>
      </c>
    </row>
    <row r="455" spans="27:81">
      <c r="AA455" s="79" t="s">
        <v>175</v>
      </c>
      <c r="AB455" s="80" t="s">
        <v>203</v>
      </c>
      <c r="AC455" s="81">
        <v>0</v>
      </c>
      <c r="AD455" s="81">
        <v>6</v>
      </c>
      <c r="AE455" s="80">
        <v>273</v>
      </c>
      <c r="AF455" s="80">
        <v>6.35</v>
      </c>
      <c r="AG455" s="108" cm="1">
        <f t="array" ref="AG455">_xll.DCEPropSectPipe(AE455, AF455, "Area")/100</f>
        <v>53.19431074856206</v>
      </c>
      <c r="AH455" s="16" cm="1">
        <f t="array" ref="AH455">_xll.DCEPropSectPipe(AE455, AF455, "Ix")/10000</f>
        <v>4730.4733077169503</v>
      </c>
      <c r="AI455" s="16" cm="1">
        <f t="array" ref="AI455">_xll.DCEPropSectPipe(AE455, AF455, "Wx")/1000</f>
        <v>346.55482107816493</v>
      </c>
      <c r="AJ455" s="108">
        <f t="shared" si="193"/>
        <v>9.4301739777164251</v>
      </c>
      <c r="AK455" s="80" t="s">
        <v>207</v>
      </c>
      <c r="AL455" s="82">
        <v>-63.932879882095037</v>
      </c>
      <c r="AM455" s="82">
        <v>-7.2058642715191716</v>
      </c>
      <c r="AN455" s="82">
        <v>-1.484947833065198</v>
      </c>
      <c r="AO455" s="82">
        <v>0</v>
      </c>
      <c r="AP455" s="82">
        <v>0</v>
      </c>
      <c r="AQ455" s="82">
        <v>4.1856359361314426E-2</v>
      </c>
      <c r="AR455" s="72">
        <v>1</v>
      </c>
      <c r="AS455" s="116">
        <f t="shared" si="194"/>
        <v>6</v>
      </c>
      <c r="AT455" s="82">
        <v>2</v>
      </c>
      <c r="AU455" s="6">
        <f t="shared" si="195"/>
        <v>12</v>
      </c>
      <c r="AV455" s="111">
        <f t="shared" si="196"/>
        <v>5.2582004644496083E-2</v>
      </c>
      <c r="AW455" s="117">
        <f t="shared" si="197"/>
        <v>105</v>
      </c>
      <c r="AX455" s="111">
        <f t="shared" si="198"/>
        <v>1</v>
      </c>
      <c r="AY455" s="111">
        <f t="shared" si="199"/>
        <v>1</v>
      </c>
      <c r="AZ455" s="111">
        <f t="shared" si="200"/>
        <v>1</v>
      </c>
      <c r="BA455" s="111">
        <f t="shared" si="201"/>
        <v>5.5349478573153775E-2</v>
      </c>
      <c r="BB455" s="111">
        <f t="shared" si="202"/>
        <v>0</v>
      </c>
      <c r="BC455" s="111">
        <f t="shared" si="203"/>
        <v>0</v>
      </c>
      <c r="BD455" s="111">
        <v>0</v>
      </c>
      <c r="BE455" s="111">
        <f t="shared" si="204"/>
        <v>5.5349478573153775E-2</v>
      </c>
      <c r="BF455" s="6" t="str">
        <f t="shared" si="205"/>
        <v>OK</v>
      </c>
      <c r="BG455" s="16">
        <f t="shared" si="206"/>
        <v>63.625549371390676</v>
      </c>
      <c r="BH455" s="118">
        <f t="shared" si="207"/>
        <v>2.1193803644775273</v>
      </c>
      <c r="BI455" s="108">
        <f t="shared" si="208"/>
        <v>0</v>
      </c>
      <c r="BJ455" s="6">
        <f t="shared" si="209"/>
        <v>1.2440309817761237</v>
      </c>
      <c r="BK455" s="108">
        <f t="shared" si="210"/>
        <v>0</v>
      </c>
      <c r="BL455" s="118" cm="1">
        <f t="array" ref="BL455">IF(AO455=0,FactorPhi7121(BH455,"a"),noisuy2chieu(BK455,BH455,Data!$A$63:$M$85))</f>
        <v>0.86214274110469236</v>
      </c>
      <c r="BM455" s="111">
        <v>1.26</v>
      </c>
      <c r="BN455" s="118">
        <f t="shared" si="211"/>
        <v>0.97638135644513946</v>
      </c>
      <c r="BO455" s="108">
        <f t="shared" si="212"/>
        <v>0.13085122436534075</v>
      </c>
      <c r="BP455" s="6" t="str">
        <f t="shared" si="213"/>
        <v>OK</v>
      </c>
      <c r="BQ455" s="16">
        <f t="shared" si="214"/>
        <v>127.25109874278135</v>
      </c>
      <c r="BR455" s="118">
        <f t="shared" si="215"/>
        <v>4.2387607289550546</v>
      </c>
      <c r="BS455" s="108">
        <f t="shared" si="216"/>
        <v>0</v>
      </c>
      <c r="BT455" s="118">
        <f t="shared" si="217"/>
        <v>1.1380619635522473</v>
      </c>
      <c r="BU455" s="108">
        <f t="shared" si="218"/>
        <v>0</v>
      </c>
      <c r="BV455" s="6" cm="1">
        <f t="array" ref="BV455">IF(AP455=0,FactorPhi7121(BR455,"a"),noisuy2chieu(BU455,BR455,Data!$A$63:$M$85))</f>
        <v>0.42299549615688942</v>
      </c>
      <c r="BW455" s="111">
        <v>1.26</v>
      </c>
      <c r="BX455" s="111">
        <f t="shared" si="219"/>
        <v>0.90552542578055795</v>
      </c>
      <c r="BY455" s="113">
        <f t="shared" si="220"/>
        <v>6.4199900937787435E-2</v>
      </c>
      <c r="BZ455" s="6" t="str">
        <f t="shared" si="221"/>
        <v>OK</v>
      </c>
      <c r="CA455" s="114">
        <f t="shared" si="222"/>
        <v>127.25109874278135</v>
      </c>
      <c r="CB455" s="115">
        <f t="shared" si="223"/>
        <v>150</v>
      </c>
      <c r="CC455" s="6" t="str">
        <f t="shared" si="224"/>
        <v>OK</v>
      </c>
    </row>
    <row r="456" spans="27:81">
      <c r="AA456" s="79" t="s">
        <v>175</v>
      </c>
      <c r="AB456" s="80" t="s">
        <v>203</v>
      </c>
      <c r="AC456" s="81">
        <v>2.74</v>
      </c>
      <c r="AD456" s="81">
        <v>6</v>
      </c>
      <c r="AE456" s="80">
        <v>273</v>
      </c>
      <c r="AF456" s="80">
        <v>6.35</v>
      </c>
      <c r="AG456" s="108" cm="1">
        <f t="array" ref="AG456">_xll.DCEPropSectPipe(AE456, AF456, "Area")/100</f>
        <v>53.19431074856206</v>
      </c>
      <c r="AH456" s="16" cm="1">
        <f t="array" ref="AH456">_xll.DCEPropSectPipe(AE456, AF456, "Ix")/10000</f>
        <v>4730.4733077169503</v>
      </c>
      <c r="AI456" s="16" cm="1">
        <f t="array" ref="AI456">_xll.DCEPropSectPipe(AE456, AF456, "Wx")/1000</f>
        <v>346.55482107816493</v>
      </c>
      <c r="AJ456" s="108">
        <f t="shared" si="193"/>
        <v>9.4301739777164251</v>
      </c>
      <c r="AK456" s="80" t="s">
        <v>207</v>
      </c>
      <c r="AL456" s="82">
        <v>-62.585619533363001</v>
      </c>
      <c r="AM456" s="82">
        <v>-7.2058642715191716</v>
      </c>
      <c r="AN456" s="82">
        <v>-1.484947833065198</v>
      </c>
      <c r="AO456" s="82">
        <v>4.0717269582647724</v>
      </c>
      <c r="AP456" s="82">
        <v>19.758479832505568</v>
      </c>
      <c r="AQ456" s="82">
        <v>4.1856359361314426E-2</v>
      </c>
      <c r="AR456" s="72">
        <v>1</v>
      </c>
      <c r="AS456" s="116">
        <f t="shared" si="194"/>
        <v>6</v>
      </c>
      <c r="AT456" s="82">
        <v>2</v>
      </c>
      <c r="AU456" s="6">
        <f t="shared" si="195"/>
        <v>12</v>
      </c>
      <c r="AV456" s="111">
        <f t="shared" si="196"/>
        <v>5.1473941781615205E-2</v>
      </c>
      <c r="AW456" s="117">
        <f t="shared" si="197"/>
        <v>105</v>
      </c>
      <c r="AX456" s="111">
        <f t="shared" si="198"/>
        <v>1</v>
      </c>
      <c r="AY456" s="111">
        <f t="shared" si="199"/>
        <v>1</v>
      </c>
      <c r="AZ456" s="111">
        <f t="shared" si="200"/>
        <v>1</v>
      </c>
      <c r="BA456" s="111">
        <f t="shared" si="201"/>
        <v>5.4183096612226533E-2</v>
      </c>
      <c r="BB456" s="111">
        <f t="shared" si="202"/>
        <v>5.4107959287844433E-2</v>
      </c>
      <c r="BC456" s="111">
        <f t="shared" si="203"/>
        <v>0.26256451705261585</v>
      </c>
      <c r="BD456" s="111">
        <v>0</v>
      </c>
      <c r="BE456" s="111">
        <f t="shared" si="204"/>
        <v>0.37085557295268679</v>
      </c>
      <c r="BF456" s="6" t="str">
        <f t="shared" si="205"/>
        <v>OK</v>
      </c>
      <c r="BG456" s="16">
        <f t="shared" si="206"/>
        <v>63.625549371390676</v>
      </c>
      <c r="BH456" s="118">
        <f t="shared" si="207"/>
        <v>2.1193803644775273</v>
      </c>
      <c r="BI456" s="108">
        <f t="shared" si="208"/>
        <v>0.99861327002183287</v>
      </c>
      <c r="BJ456" s="6">
        <f t="shared" si="209"/>
        <v>1.2152647318369418</v>
      </c>
      <c r="BK456" s="108">
        <f t="shared" si="210"/>
        <v>1.2135794878018944</v>
      </c>
      <c r="BL456" s="118" cm="1">
        <f t="array" ref="BL456">IF(AO456=0,FactorPhi7121(BH456,"a"),noisuy2chieu(BK456,BH456,Data!$A$63:$M$85))</f>
        <v>0</v>
      </c>
      <c r="BM456" s="111">
        <v>1.26</v>
      </c>
      <c r="BN456" s="118">
        <f t="shared" si="211"/>
        <v>0.97687907314444944</v>
      </c>
      <c r="BO456" s="108" t="e">
        <f t="shared" si="212"/>
        <v>#DIV/0!</v>
      </c>
      <c r="BP456" s="6" t="e">
        <f t="shared" si="213"/>
        <v>#DIV/0!</v>
      </c>
      <c r="BQ456" s="16">
        <f t="shared" si="214"/>
        <v>127.25109874278135</v>
      </c>
      <c r="BR456" s="118">
        <f t="shared" si="215"/>
        <v>4.2387607289550546</v>
      </c>
      <c r="BS456" s="108">
        <f t="shared" si="216"/>
        <v>4.8458750693360626</v>
      </c>
      <c r="BT456" s="118">
        <f t="shared" si="217"/>
        <v>1.1011732594986847</v>
      </c>
      <c r="BU456" s="108">
        <f t="shared" si="218"/>
        <v>5.3361480452242072</v>
      </c>
      <c r="BV456" s="6" cm="1">
        <f t="array" ref="BV456">IF(AP456=0,FactorPhi7121(BR456,"a"),noisuy2chieu(BU456,BR456,Data!$A$63:$M$85))</f>
        <v>0</v>
      </c>
      <c r="BW456" s="111">
        <v>1.26</v>
      </c>
      <c r="BX456" s="111">
        <f t="shared" si="219"/>
        <v>0.90751629257779798</v>
      </c>
      <c r="BY456" s="113" t="e">
        <f t="shared" si="220"/>
        <v>#DIV/0!</v>
      </c>
      <c r="BZ456" s="6" t="e">
        <f t="shared" si="221"/>
        <v>#DIV/0!</v>
      </c>
      <c r="CA456" s="114">
        <f t="shared" si="222"/>
        <v>127.25109874278135</v>
      </c>
      <c r="CB456" s="115" t="e">
        <f t="shared" si="223"/>
        <v>#DIV/0!</v>
      </c>
      <c r="CC456" s="6" t="e">
        <f t="shared" si="224"/>
        <v>#DIV/0!</v>
      </c>
    </row>
    <row r="457" spans="27:81">
      <c r="AA457" s="79" t="s">
        <v>175</v>
      </c>
      <c r="AB457" s="80" t="s">
        <v>203</v>
      </c>
      <c r="AC457" s="81">
        <v>5.48</v>
      </c>
      <c r="AD457" s="81">
        <v>6</v>
      </c>
      <c r="AE457" s="80">
        <v>273</v>
      </c>
      <c r="AF457" s="80">
        <v>6.35</v>
      </c>
      <c r="AG457" s="108" cm="1">
        <f t="array" ref="AG457">_xll.DCEPropSectPipe(AE457, AF457, "Area")/100</f>
        <v>53.19431074856206</v>
      </c>
      <c r="AH457" s="16" cm="1">
        <f t="array" ref="AH457">_xll.DCEPropSectPipe(AE457, AF457, "Ix")/10000</f>
        <v>4730.4733077169503</v>
      </c>
      <c r="AI457" s="16" cm="1">
        <f t="array" ref="AI457">_xll.DCEPropSectPipe(AE457, AF457, "Wx")/1000</f>
        <v>346.55482107816493</v>
      </c>
      <c r="AJ457" s="108">
        <f t="shared" si="193"/>
        <v>9.4301739777164251</v>
      </c>
      <c r="AK457" s="80" t="s">
        <v>207</v>
      </c>
      <c r="AL457" s="82">
        <v>-61.238359184630973</v>
      </c>
      <c r="AM457" s="82">
        <v>-7.2058642715191716</v>
      </c>
      <c r="AN457" s="82">
        <v>-1.484947833065198</v>
      </c>
      <c r="AO457" s="82">
        <v>8.1434539165295448</v>
      </c>
      <c r="AP457" s="82">
        <v>39.516959665011136</v>
      </c>
      <c r="AQ457" s="82">
        <v>4.1856359361314426E-2</v>
      </c>
      <c r="AR457" s="72">
        <v>1</v>
      </c>
      <c r="AS457" s="116">
        <f t="shared" si="194"/>
        <v>6</v>
      </c>
      <c r="AT457" s="82">
        <v>2</v>
      </c>
      <c r="AU457" s="6">
        <f t="shared" si="195"/>
        <v>12</v>
      </c>
      <c r="AV457" s="111">
        <f t="shared" si="196"/>
        <v>5.0365878918734341E-2</v>
      </c>
      <c r="AW457" s="117">
        <f t="shared" si="197"/>
        <v>105</v>
      </c>
      <c r="AX457" s="111">
        <f t="shared" si="198"/>
        <v>1</v>
      </c>
      <c r="AY457" s="111">
        <f t="shared" si="199"/>
        <v>1</v>
      </c>
      <c r="AZ457" s="111">
        <f t="shared" si="200"/>
        <v>1</v>
      </c>
      <c r="BA457" s="111">
        <f t="shared" si="201"/>
        <v>5.3016714651299313E-2</v>
      </c>
      <c r="BB457" s="111">
        <f t="shared" si="202"/>
        <v>0.10821591857568887</v>
      </c>
      <c r="BC457" s="111">
        <f t="shared" si="203"/>
        <v>0.52512903410523171</v>
      </c>
      <c r="BD457" s="111">
        <v>0</v>
      </c>
      <c r="BE457" s="111">
        <f t="shared" si="204"/>
        <v>0.68636166733221993</v>
      </c>
      <c r="BF457" s="6" t="str">
        <f t="shared" si="205"/>
        <v>OK</v>
      </c>
      <c r="BG457" s="16">
        <f t="shared" si="206"/>
        <v>63.625549371390676</v>
      </c>
      <c r="BH457" s="118">
        <f t="shared" si="207"/>
        <v>2.1193803644775273</v>
      </c>
      <c r="BI457" s="108">
        <f t="shared" si="208"/>
        <v>2.0411660603159754</v>
      </c>
      <c r="BJ457" s="6">
        <f t="shared" si="209"/>
        <v>1.1852327514490413</v>
      </c>
      <c r="BK457" s="108">
        <f t="shared" si="210"/>
        <v>2.4192568658327032</v>
      </c>
      <c r="BL457" s="118" cm="1">
        <f t="array" ref="BL457">IF(AO457=0,FactorPhi7121(BH457,"a"),noisuy2chieu(BK457,BH457,Data!$A$63:$M$85))</f>
        <v>0</v>
      </c>
      <c r="BM457" s="111">
        <v>1.26</v>
      </c>
      <c r="BN457" s="118">
        <f t="shared" si="211"/>
        <v>0.97737678984375953</v>
      </c>
      <c r="BO457" s="108" t="e">
        <f t="shared" si="212"/>
        <v>#DIV/0!</v>
      </c>
      <c r="BP457" s="6" t="e">
        <f t="shared" si="213"/>
        <v>#DIV/0!</v>
      </c>
      <c r="BQ457" s="16">
        <f t="shared" si="214"/>
        <v>127.25109874278135</v>
      </c>
      <c r="BR457" s="118">
        <f t="shared" si="215"/>
        <v>4.2387607289550546</v>
      </c>
      <c r="BS457" s="108">
        <f t="shared" si="216"/>
        <v>9.9049712446178919</v>
      </c>
      <c r="BT457" s="118">
        <f t="shared" si="217"/>
        <v>1.1000000000000001</v>
      </c>
      <c r="BU457" s="108">
        <f t="shared" si="218"/>
        <v>10.895468369079682</v>
      </c>
      <c r="BV457" s="6" cm="1">
        <f t="array" ref="BV457">IF(AP457=0,FactorPhi7121(BR457,"a"),noisuy2chieu(BU457,BR457,Data!$A$63:$M$85))</f>
        <v>0</v>
      </c>
      <c r="BW457" s="111">
        <v>1.26</v>
      </c>
      <c r="BX457" s="111">
        <f t="shared" si="219"/>
        <v>0.9095071593750379</v>
      </c>
      <c r="BY457" s="113" t="e">
        <f t="shared" si="220"/>
        <v>#DIV/0!</v>
      </c>
      <c r="BZ457" s="6" t="e">
        <f t="shared" si="221"/>
        <v>#DIV/0!</v>
      </c>
      <c r="CA457" s="114">
        <f t="shared" si="222"/>
        <v>127.25109874278135</v>
      </c>
      <c r="CB457" s="115" t="e">
        <f t="shared" si="223"/>
        <v>#DIV/0!</v>
      </c>
      <c r="CC457" s="6" t="e">
        <f t="shared" si="224"/>
        <v>#DIV/0!</v>
      </c>
    </row>
    <row r="458" spans="27:81">
      <c r="AA458" s="79" t="s">
        <v>175</v>
      </c>
      <c r="AB458" s="80" t="s">
        <v>203</v>
      </c>
      <c r="AC458" s="81">
        <v>0</v>
      </c>
      <c r="AD458" s="81">
        <v>6</v>
      </c>
      <c r="AE458" s="80">
        <v>273</v>
      </c>
      <c r="AF458" s="80">
        <v>6.35</v>
      </c>
      <c r="AG458" s="108" cm="1">
        <f t="array" ref="AG458">_xll.DCEPropSectPipe(AE458, AF458, "Area")/100</f>
        <v>53.19431074856206</v>
      </c>
      <c r="AH458" s="16" cm="1">
        <f t="array" ref="AH458">_xll.DCEPropSectPipe(AE458, AF458, "Ix")/10000</f>
        <v>4730.4733077169503</v>
      </c>
      <c r="AI458" s="16" cm="1">
        <f t="array" ref="AI458">_xll.DCEPropSectPipe(AE458, AF458, "Wx")/1000</f>
        <v>346.55482107816493</v>
      </c>
      <c r="AJ458" s="108">
        <f t="shared" si="193"/>
        <v>9.4301739777164251</v>
      </c>
      <c r="AK458" s="80" t="s">
        <v>208</v>
      </c>
      <c r="AL458" s="82">
        <v>-49.951903708470056</v>
      </c>
      <c r="AM458" s="82">
        <v>-7.1501534281037209</v>
      </c>
      <c r="AN458" s="82">
        <v>-1.3770346025305813</v>
      </c>
      <c r="AO458" s="82">
        <v>0</v>
      </c>
      <c r="AP458" s="82">
        <v>0</v>
      </c>
      <c r="AQ458" s="82">
        <v>0.12444697800649551</v>
      </c>
      <c r="AR458" s="72">
        <v>1</v>
      </c>
      <c r="AS458" s="116">
        <f t="shared" si="194"/>
        <v>6</v>
      </c>
      <c r="AT458" s="82">
        <v>2</v>
      </c>
      <c r="AU458" s="6">
        <f t="shared" si="195"/>
        <v>12</v>
      </c>
      <c r="AV458" s="111">
        <f t="shared" si="196"/>
        <v>4.1083261658854009E-2</v>
      </c>
      <c r="AW458" s="117">
        <f t="shared" si="197"/>
        <v>105</v>
      </c>
      <c r="AX458" s="111">
        <f t="shared" si="198"/>
        <v>1</v>
      </c>
      <c r="AY458" s="111">
        <f t="shared" si="199"/>
        <v>1</v>
      </c>
      <c r="AZ458" s="111">
        <f t="shared" si="200"/>
        <v>1</v>
      </c>
      <c r="BA458" s="111">
        <f t="shared" si="201"/>
        <v>4.3245538588267379E-2</v>
      </c>
      <c r="BB458" s="111">
        <f t="shared" si="202"/>
        <v>0</v>
      </c>
      <c r="BC458" s="111">
        <f t="shared" si="203"/>
        <v>0</v>
      </c>
      <c r="BD458" s="111">
        <v>0</v>
      </c>
      <c r="BE458" s="111">
        <f t="shared" si="204"/>
        <v>4.3245538588267379E-2</v>
      </c>
      <c r="BF458" s="6" t="str">
        <f t="shared" si="205"/>
        <v>OK</v>
      </c>
      <c r="BG458" s="16">
        <f t="shared" si="206"/>
        <v>63.625549371390676</v>
      </c>
      <c r="BH458" s="118">
        <f t="shared" si="207"/>
        <v>2.1193803644775273</v>
      </c>
      <c r="BI458" s="108">
        <f t="shared" si="208"/>
        <v>0</v>
      </c>
      <c r="BJ458" s="6">
        <f t="shared" si="209"/>
        <v>1.2440309817761237</v>
      </c>
      <c r="BK458" s="108">
        <f t="shared" si="210"/>
        <v>0</v>
      </c>
      <c r="BL458" s="118" cm="1">
        <f t="array" ref="BL458">IF(AO458=0,FactorPhi7121(BH458,"a"),noisuy2chieu(BK458,BH458,Data!$A$63:$M$85))</f>
        <v>0.86214274110469236</v>
      </c>
      <c r="BM458" s="111">
        <v>1.26</v>
      </c>
      <c r="BN458" s="118">
        <f t="shared" si="211"/>
        <v>0.98154633092154076</v>
      </c>
      <c r="BO458" s="108">
        <f t="shared" si="212"/>
        <v>0.10223640436168513</v>
      </c>
      <c r="BP458" s="6" t="str">
        <f t="shared" si="213"/>
        <v>OK</v>
      </c>
      <c r="BQ458" s="16">
        <f t="shared" si="214"/>
        <v>127.25109874278135</v>
      </c>
      <c r="BR458" s="118">
        <f t="shared" si="215"/>
        <v>4.2387607289550546</v>
      </c>
      <c r="BS458" s="108">
        <f t="shared" si="216"/>
        <v>0</v>
      </c>
      <c r="BT458" s="118">
        <f t="shared" si="217"/>
        <v>1.1380619635522473</v>
      </c>
      <c r="BU458" s="108">
        <f t="shared" si="218"/>
        <v>0</v>
      </c>
      <c r="BV458" s="6" cm="1">
        <f t="array" ref="BV458">IF(AP458=0,FactorPhi7121(BR458,"a"),noisuy2chieu(BU458,BR458,Data!$A$63:$M$85))</f>
        <v>0.42299549615688942</v>
      </c>
      <c r="BW458" s="111">
        <v>1.26</v>
      </c>
      <c r="BX458" s="111">
        <f t="shared" si="219"/>
        <v>0.9261853236861628</v>
      </c>
      <c r="BY458" s="113">
        <f t="shared" si="220"/>
        <v>5.0160532040037155E-2</v>
      </c>
      <c r="BZ458" s="6" t="str">
        <f t="shared" si="221"/>
        <v>OK</v>
      </c>
      <c r="CA458" s="114">
        <f t="shared" si="222"/>
        <v>127.25109874278135</v>
      </c>
      <c r="CB458" s="115">
        <f t="shared" si="223"/>
        <v>150</v>
      </c>
      <c r="CC458" s="6" t="str">
        <f t="shared" si="224"/>
        <v>OK</v>
      </c>
    </row>
    <row r="459" spans="27:81">
      <c r="AA459" s="79" t="s">
        <v>175</v>
      </c>
      <c r="AB459" s="80" t="s">
        <v>203</v>
      </c>
      <c r="AC459" s="81">
        <v>2.74</v>
      </c>
      <c r="AD459" s="81">
        <v>6</v>
      </c>
      <c r="AE459" s="80">
        <v>273</v>
      </c>
      <c r="AF459" s="80">
        <v>6.35</v>
      </c>
      <c r="AG459" s="108" cm="1">
        <f t="array" ref="AG459">_xll.DCEPropSectPipe(AE459, AF459, "Area")/100</f>
        <v>53.19431074856206</v>
      </c>
      <c r="AH459" s="16" cm="1">
        <f t="array" ref="AH459">_xll.DCEPropSectPipe(AE459, AF459, "Ix")/10000</f>
        <v>4730.4733077169503</v>
      </c>
      <c r="AI459" s="16" cm="1">
        <f t="array" ref="AI459">_xll.DCEPropSectPipe(AE459, AF459, "Wx")/1000</f>
        <v>346.55482107816493</v>
      </c>
      <c r="AJ459" s="108">
        <f t="shared" si="193"/>
        <v>9.4301739777164251</v>
      </c>
      <c r="AK459" s="80" t="s">
        <v>208</v>
      </c>
      <c r="AL459" s="82">
        <v>-48.60464335973802</v>
      </c>
      <c r="AM459" s="82">
        <v>-7.1501534281037209</v>
      </c>
      <c r="AN459" s="82">
        <v>-1.3770346025305813</v>
      </c>
      <c r="AO459" s="82">
        <v>3.775828880138854</v>
      </c>
      <c r="AP459" s="82">
        <v>19.605720699860399</v>
      </c>
      <c r="AQ459" s="82">
        <v>0.12444697800649551</v>
      </c>
      <c r="AR459" s="72">
        <v>1</v>
      </c>
      <c r="AS459" s="116">
        <f t="shared" si="194"/>
        <v>6</v>
      </c>
      <c r="AT459" s="82">
        <v>2</v>
      </c>
      <c r="AU459" s="6">
        <f t="shared" si="195"/>
        <v>12</v>
      </c>
      <c r="AV459" s="111">
        <f t="shared" si="196"/>
        <v>3.9975198795973131E-2</v>
      </c>
      <c r="AW459" s="117">
        <f t="shared" si="197"/>
        <v>105</v>
      </c>
      <c r="AX459" s="111">
        <f t="shared" si="198"/>
        <v>1</v>
      </c>
      <c r="AY459" s="111">
        <f t="shared" si="199"/>
        <v>1</v>
      </c>
      <c r="AZ459" s="111">
        <f t="shared" si="200"/>
        <v>1</v>
      </c>
      <c r="BA459" s="111">
        <f t="shared" si="201"/>
        <v>4.2079156627340138E-2</v>
      </c>
      <c r="BB459" s="111">
        <f t="shared" si="202"/>
        <v>5.0175858405664527E-2</v>
      </c>
      <c r="BC459" s="111">
        <f t="shared" si="203"/>
        <v>0.26053454671945442</v>
      </c>
      <c r="BD459" s="111">
        <v>0</v>
      </c>
      <c r="BE459" s="111">
        <f t="shared" si="204"/>
        <v>0.35278956175245907</v>
      </c>
      <c r="BF459" s="6" t="str">
        <f t="shared" si="205"/>
        <v>OK</v>
      </c>
      <c r="BG459" s="16">
        <f t="shared" si="206"/>
        <v>63.625549371390676</v>
      </c>
      <c r="BH459" s="118">
        <f t="shared" si="207"/>
        <v>2.1193803644775273</v>
      </c>
      <c r="BI459" s="108">
        <f t="shared" si="208"/>
        <v>1.1924159709290303</v>
      </c>
      <c r="BJ459" s="6">
        <f t="shared" si="209"/>
        <v>1.2096820131804362</v>
      </c>
      <c r="BK459" s="108">
        <f t="shared" si="210"/>
        <v>1.4424441522619338</v>
      </c>
      <c r="BL459" s="118" cm="1">
        <f t="array" ref="BL459">IF(AO459=0,FactorPhi7121(BH459,"a"),noisuy2chieu(BK459,BH459,Data!$A$63:$M$85))</f>
        <v>0</v>
      </c>
      <c r="BM459" s="111">
        <v>1.26</v>
      </c>
      <c r="BN459" s="118">
        <f t="shared" si="211"/>
        <v>0.98204404762085074</v>
      </c>
      <c r="BO459" s="108" t="e">
        <f t="shared" si="212"/>
        <v>#DIV/0!</v>
      </c>
      <c r="BP459" s="6" t="e">
        <f t="shared" si="213"/>
        <v>#DIV/0!</v>
      </c>
      <c r="BQ459" s="16">
        <f t="shared" si="214"/>
        <v>127.25109874278135</v>
      </c>
      <c r="BR459" s="118">
        <f t="shared" si="215"/>
        <v>4.2387607289550546</v>
      </c>
      <c r="BS459" s="108">
        <f t="shared" si="216"/>
        <v>6.1915344222982123</v>
      </c>
      <c r="BT459" s="118">
        <f t="shared" si="217"/>
        <v>1.1000000000000001</v>
      </c>
      <c r="BU459" s="108">
        <f t="shared" si="218"/>
        <v>6.8106878645280338</v>
      </c>
      <c r="BV459" s="6" cm="1">
        <f t="array" ref="BV459">IF(AP459=0,FactorPhi7121(BR459,"a"),noisuy2chieu(BU459,BR459,Data!$A$63:$M$85))</f>
        <v>0</v>
      </c>
      <c r="BW459" s="111">
        <v>1.26</v>
      </c>
      <c r="BX459" s="111">
        <f t="shared" si="219"/>
        <v>0.92817619048340283</v>
      </c>
      <c r="BY459" s="113" t="e">
        <f t="shared" si="220"/>
        <v>#DIV/0!</v>
      </c>
      <c r="BZ459" s="6" t="e">
        <f t="shared" si="221"/>
        <v>#DIV/0!</v>
      </c>
      <c r="CA459" s="114">
        <f t="shared" si="222"/>
        <v>127.25109874278135</v>
      </c>
      <c r="CB459" s="115" t="e">
        <f t="shared" si="223"/>
        <v>#DIV/0!</v>
      </c>
      <c r="CC459" s="6" t="e">
        <f t="shared" si="224"/>
        <v>#DIV/0!</v>
      </c>
    </row>
    <row r="460" spans="27:81">
      <c r="AA460" s="79" t="s">
        <v>175</v>
      </c>
      <c r="AB460" s="80" t="s">
        <v>203</v>
      </c>
      <c r="AC460" s="81">
        <v>5.48</v>
      </c>
      <c r="AD460" s="81">
        <v>6</v>
      </c>
      <c r="AE460" s="80">
        <v>273</v>
      </c>
      <c r="AF460" s="80">
        <v>6.35</v>
      </c>
      <c r="AG460" s="108" cm="1">
        <f t="array" ref="AG460">_xll.DCEPropSectPipe(AE460, AF460, "Area")/100</f>
        <v>53.19431074856206</v>
      </c>
      <c r="AH460" s="16" cm="1">
        <f t="array" ref="AH460">_xll.DCEPropSectPipe(AE460, AF460, "Ix")/10000</f>
        <v>4730.4733077169503</v>
      </c>
      <c r="AI460" s="16" cm="1">
        <f t="array" ref="AI460">_xll.DCEPropSectPipe(AE460, AF460, "Wx")/1000</f>
        <v>346.55482107816493</v>
      </c>
      <c r="AJ460" s="108">
        <f t="shared" si="193"/>
        <v>9.4301739777164251</v>
      </c>
      <c r="AK460" s="80" t="s">
        <v>208</v>
      </c>
      <c r="AL460" s="82">
        <v>-47.257383011005992</v>
      </c>
      <c r="AM460" s="82">
        <v>-7.1501534281037209</v>
      </c>
      <c r="AN460" s="82">
        <v>-1.3770346025305813</v>
      </c>
      <c r="AO460" s="82">
        <v>7.551657760277708</v>
      </c>
      <c r="AP460" s="82">
        <v>39.211441399720798</v>
      </c>
      <c r="AQ460" s="82">
        <v>0.12444697800649551</v>
      </c>
      <c r="AR460" s="72">
        <v>1</v>
      </c>
      <c r="AS460" s="116">
        <f t="shared" si="194"/>
        <v>6</v>
      </c>
      <c r="AT460" s="82">
        <v>2</v>
      </c>
      <c r="AU460" s="6">
        <f t="shared" si="195"/>
        <v>12</v>
      </c>
      <c r="AV460" s="111">
        <f t="shared" si="196"/>
        <v>3.886713593309226E-2</v>
      </c>
      <c r="AW460" s="117">
        <f t="shared" si="197"/>
        <v>105</v>
      </c>
      <c r="AX460" s="111">
        <f t="shared" si="198"/>
        <v>1</v>
      </c>
      <c r="AY460" s="111">
        <f t="shared" si="199"/>
        <v>1</v>
      </c>
      <c r="AZ460" s="111">
        <f t="shared" si="200"/>
        <v>1</v>
      </c>
      <c r="BA460" s="111">
        <f t="shared" si="201"/>
        <v>4.091277466641291E-2</v>
      </c>
      <c r="BB460" s="111">
        <f t="shared" si="202"/>
        <v>0.10035171681132905</v>
      </c>
      <c r="BC460" s="111">
        <f t="shared" si="203"/>
        <v>0.52106909343890884</v>
      </c>
      <c r="BD460" s="111">
        <v>0</v>
      </c>
      <c r="BE460" s="111">
        <f t="shared" si="204"/>
        <v>0.66233358491665073</v>
      </c>
      <c r="BF460" s="6" t="str">
        <f t="shared" si="205"/>
        <v>OK</v>
      </c>
      <c r="BG460" s="16">
        <f t="shared" si="206"/>
        <v>63.625549371390676</v>
      </c>
      <c r="BH460" s="118">
        <f t="shared" si="207"/>
        <v>2.1193803644775273</v>
      </c>
      <c r="BI460" s="108">
        <f t="shared" si="208"/>
        <v>2.4528210963338108</v>
      </c>
      <c r="BJ460" s="6">
        <f t="shared" si="209"/>
        <v>1.1733745356508944</v>
      </c>
      <c r="BK460" s="108">
        <f t="shared" si="210"/>
        <v>2.8780778149454029</v>
      </c>
      <c r="BL460" s="118" cm="1">
        <f t="array" ref="BL460">IF(AO460=0,FactorPhi7121(BH460,"a"),noisuy2chieu(BK460,BH460,Data!$A$63:$M$85))</f>
        <v>0</v>
      </c>
      <c r="BM460" s="111">
        <v>1.26</v>
      </c>
      <c r="BN460" s="118">
        <f t="shared" si="211"/>
        <v>0.98254176432016072</v>
      </c>
      <c r="BO460" s="108" t="e">
        <f t="shared" si="212"/>
        <v>#DIV/0!</v>
      </c>
      <c r="BP460" s="6" t="e">
        <f t="shared" si="213"/>
        <v>#DIV/0!</v>
      </c>
      <c r="BQ460" s="16">
        <f t="shared" si="214"/>
        <v>127.25109874278135</v>
      </c>
      <c r="BR460" s="118">
        <f t="shared" si="215"/>
        <v>4.2387607289550546</v>
      </c>
      <c r="BS460" s="108">
        <f t="shared" si="216"/>
        <v>12.736097653789228</v>
      </c>
      <c r="BT460" s="118">
        <f t="shared" si="217"/>
        <v>1.1000000000000001</v>
      </c>
      <c r="BU460" s="108">
        <f t="shared" si="218"/>
        <v>14.009707419168151</v>
      </c>
      <c r="BV460" s="6" cm="1">
        <f t="array" ref="BV460">IF(AP460=0,FactorPhi7121(BR460,"a"),noisuy2chieu(BU460,BR460,Data!$A$63:$M$85))</f>
        <v>0</v>
      </c>
      <c r="BW460" s="111">
        <v>1.26</v>
      </c>
      <c r="BX460" s="111">
        <f t="shared" si="219"/>
        <v>0.93016705728064286</v>
      </c>
      <c r="BY460" s="113" t="e">
        <f t="shared" si="220"/>
        <v>#DIV/0!</v>
      </c>
      <c r="BZ460" s="6" t="e">
        <f t="shared" si="221"/>
        <v>#DIV/0!</v>
      </c>
      <c r="CA460" s="114">
        <f t="shared" si="222"/>
        <v>127.25109874278135</v>
      </c>
      <c r="CB460" s="115" t="e">
        <f t="shared" si="223"/>
        <v>#DIV/0!</v>
      </c>
      <c r="CC460" s="6" t="e">
        <f t="shared" si="224"/>
        <v>#DIV/0!</v>
      </c>
    </row>
    <row r="461" spans="27:81">
      <c r="AA461" s="79" t="s">
        <v>175</v>
      </c>
      <c r="AB461" s="80" t="s">
        <v>203</v>
      </c>
      <c r="AC461" s="81">
        <v>0</v>
      </c>
      <c r="AD461" s="81">
        <v>6</v>
      </c>
      <c r="AE461" s="80">
        <v>273</v>
      </c>
      <c r="AF461" s="80">
        <v>6.35</v>
      </c>
      <c r="AG461" s="108" cm="1">
        <f t="array" ref="AG461">_xll.DCEPropSectPipe(AE461, AF461, "Area")/100</f>
        <v>53.19431074856206</v>
      </c>
      <c r="AH461" s="16" cm="1">
        <f t="array" ref="AH461">_xll.DCEPropSectPipe(AE461, AF461, "Ix")/10000</f>
        <v>4730.4733077169503</v>
      </c>
      <c r="AI461" s="16" cm="1">
        <f t="array" ref="AI461">_xll.DCEPropSectPipe(AE461, AF461, "Wx")/1000</f>
        <v>346.55482107816493</v>
      </c>
      <c r="AJ461" s="108">
        <f t="shared" si="193"/>
        <v>9.4301739777164251</v>
      </c>
      <c r="AK461" s="80" t="s">
        <v>209</v>
      </c>
      <c r="AL461" s="82">
        <v>16.150410287088938</v>
      </c>
      <c r="AM461" s="82">
        <v>1.9200038301770688</v>
      </c>
      <c r="AN461" s="82">
        <v>0.44820387067833461</v>
      </c>
      <c r="AO461" s="82">
        <v>0</v>
      </c>
      <c r="AP461" s="82">
        <v>0</v>
      </c>
      <c r="AQ461" s="82">
        <v>2.1410298798799503E-2</v>
      </c>
      <c r="AR461" s="72">
        <v>1</v>
      </c>
      <c r="AS461" s="116">
        <f t="shared" si="194"/>
        <v>6</v>
      </c>
      <c r="AT461" s="82">
        <v>2</v>
      </c>
      <c r="AU461" s="6">
        <f t="shared" si="195"/>
        <v>12</v>
      </c>
      <c r="AV461" s="111">
        <f t="shared" si="196"/>
        <v>1.3283007902856253E-2</v>
      </c>
      <c r="AW461" s="117">
        <f t="shared" si="197"/>
        <v>105</v>
      </c>
      <c r="AX461" s="111">
        <f t="shared" si="198"/>
        <v>1</v>
      </c>
      <c r="AY461" s="111">
        <f t="shared" si="199"/>
        <v>1</v>
      </c>
      <c r="AZ461" s="111">
        <f t="shared" si="200"/>
        <v>1</v>
      </c>
      <c r="BA461" s="111">
        <f t="shared" si="201"/>
        <v>1.3982113581953951E-2</v>
      </c>
      <c r="BB461" s="111">
        <f t="shared" si="202"/>
        <v>0</v>
      </c>
      <c r="BC461" s="111">
        <f t="shared" si="203"/>
        <v>0</v>
      </c>
      <c r="BD461" s="111">
        <v>0</v>
      </c>
      <c r="BE461" s="111">
        <f t="shared" si="204"/>
        <v>1.3982113581953951E-2</v>
      </c>
      <c r="BF461" s="6" t="str">
        <f t="shared" si="205"/>
        <v>OK</v>
      </c>
      <c r="BG461" s="16">
        <f t="shared" si="206"/>
        <v>63.625549371390676</v>
      </c>
      <c r="BH461" s="118">
        <f t="shared" si="207"/>
        <v>2.1193803644775273</v>
      </c>
      <c r="BI461" s="108">
        <f t="shared" si="208"/>
        <v>0</v>
      </c>
      <c r="BJ461" s="6">
        <f t="shared" si="209"/>
        <v>1.2440309817761237</v>
      </c>
      <c r="BK461" s="108">
        <f t="shared" si="210"/>
        <v>0</v>
      </c>
      <c r="BL461" s="118" cm="1">
        <f t="array" ref="BL461">IF(AO461=0,FactorPhi7121(BH461,"a"),noisuy2chieu(BK461,BH461,Data!$A$63:$M$85))</f>
        <v>0.86214274110469236</v>
      </c>
      <c r="BM461" s="111">
        <v>1.26</v>
      </c>
      <c r="BN461" s="118">
        <f t="shared" si="211"/>
        <v>0.99403357420252336</v>
      </c>
      <c r="BO461" s="108">
        <f t="shared" si="212"/>
        <v>3.3054993986905173E-2</v>
      </c>
      <c r="BP461" s="6" t="str">
        <f t="shared" si="213"/>
        <v>OK</v>
      </c>
      <c r="BQ461" s="16">
        <f t="shared" si="214"/>
        <v>127.25109874278135</v>
      </c>
      <c r="BR461" s="118">
        <f t="shared" si="215"/>
        <v>4.2387607289550546</v>
      </c>
      <c r="BS461" s="108">
        <f t="shared" si="216"/>
        <v>0</v>
      </c>
      <c r="BT461" s="118">
        <f t="shared" si="217"/>
        <v>1.1380619635522473</v>
      </c>
      <c r="BU461" s="108">
        <f t="shared" si="218"/>
        <v>0</v>
      </c>
      <c r="BV461" s="6" cm="1">
        <f t="array" ref="BV461">IF(AP461=0,FactorPhi7121(BR461,"a"),noisuy2chieu(BU461,BR461,Data!$A$63:$M$85))</f>
        <v>0.42299549615688942</v>
      </c>
      <c r="BW461" s="111">
        <v>1.26</v>
      </c>
      <c r="BX461" s="111">
        <f t="shared" si="219"/>
        <v>0.97613429681009356</v>
      </c>
      <c r="BY461" s="113">
        <f t="shared" si="220"/>
        <v>1.6217863835445857E-2</v>
      </c>
      <c r="BZ461" s="6" t="str">
        <f t="shared" si="221"/>
        <v>OK</v>
      </c>
      <c r="CA461" s="114">
        <f t="shared" si="222"/>
        <v>127.25109874278135</v>
      </c>
      <c r="CB461" s="115">
        <f t="shared" si="223"/>
        <v>150</v>
      </c>
      <c r="CC461" s="6" t="str">
        <f t="shared" si="224"/>
        <v>OK</v>
      </c>
    </row>
    <row r="462" spans="27:81">
      <c r="AA462" s="79" t="s">
        <v>175</v>
      </c>
      <c r="AB462" s="80" t="s">
        <v>203</v>
      </c>
      <c r="AC462" s="81">
        <v>2.74</v>
      </c>
      <c r="AD462" s="81">
        <v>6</v>
      </c>
      <c r="AE462" s="80">
        <v>273</v>
      </c>
      <c r="AF462" s="80">
        <v>6.35</v>
      </c>
      <c r="AG462" s="108" cm="1">
        <f t="array" ref="AG462">_xll.DCEPropSectPipe(AE462, AF462, "Area")/100</f>
        <v>53.19431074856206</v>
      </c>
      <c r="AH462" s="16" cm="1">
        <f t="array" ref="AH462">_xll.DCEPropSectPipe(AE462, AF462, "Ix")/10000</f>
        <v>4730.4733077169503</v>
      </c>
      <c r="AI462" s="16" cm="1">
        <f t="array" ref="AI462">_xll.DCEPropSectPipe(AE462, AF462, "Wx")/1000</f>
        <v>346.55482107816493</v>
      </c>
      <c r="AJ462" s="108">
        <f t="shared" si="193"/>
        <v>9.4301739777164251</v>
      </c>
      <c r="AK462" s="80" t="s">
        <v>209</v>
      </c>
      <c r="AL462" s="82">
        <v>17.49767063582097</v>
      </c>
      <c r="AM462" s="82">
        <v>1.9200038301770688</v>
      </c>
      <c r="AN462" s="82">
        <v>0.44820387067833461</v>
      </c>
      <c r="AO462" s="82">
        <v>-1.2289750133999933</v>
      </c>
      <c r="AP462" s="82">
        <v>-5.2646505023455221</v>
      </c>
      <c r="AQ462" s="82">
        <v>2.1410298798799503E-2</v>
      </c>
      <c r="AR462" s="72">
        <v>1</v>
      </c>
      <c r="AS462" s="116">
        <f t="shared" si="194"/>
        <v>6</v>
      </c>
      <c r="AT462" s="82">
        <v>2</v>
      </c>
      <c r="AU462" s="6">
        <f t="shared" si="195"/>
        <v>12</v>
      </c>
      <c r="AV462" s="111">
        <f t="shared" si="196"/>
        <v>1.4391070765737125E-2</v>
      </c>
      <c r="AW462" s="117">
        <f t="shared" si="197"/>
        <v>105</v>
      </c>
      <c r="AX462" s="111">
        <f t="shared" si="198"/>
        <v>1</v>
      </c>
      <c r="AY462" s="111">
        <f t="shared" si="199"/>
        <v>1</v>
      </c>
      <c r="AZ462" s="111">
        <f t="shared" si="200"/>
        <v>1</v>
      </c>
      <c r="BA462" s="111">
        <f t="shared" si="201"/>
        <v>1.5148495542881184E-2</v>
      </c>
      <c r="BB462" s="111">
        <f t="shared" si="202"/>
        <v>1.6331480640136963E-2</v>
      </c>
      <c r="BC462" s="111">
        <f t="shared" si="203"/>
        <v>6.9960362756504274E-2</v>
      </c>
      <c r="BD462" s="111">
        <v>0</v>
      </c>
      <c r="BE462" s="111">
        <f t="shared" si="204"/>
        <v>0.10144033893952242</v>
      </c>
      <c r="BF462" s="6" t="str">
        <f t="shared" si="205"/>
        <v>OK</v>
      </c>
      <c r="BG462" s="16">
        <f t="shared" si="206"/>
        <v>63.625549371390676</v>
      </c>
      <c r="BH462" s="118">
        <f t="shared" si="207"/>
        <v>2.1193803644775273</v>
      </c>
      <c r="BI462" s="108">
        <f t="shared" si="208"/>
        <v>1.0780925798147465</v>
      </c>
      <c r="BJ462" s="6">
        <f t="shared" si="209"/>
        <v>1.2129752352328693</v>
      </c>
      <c r="BK462" s="108">
        <f t="shared" si="210"/>
        <v>1.307699600603603</v>
      </c>
      <c r="BL462" s="118" cm="1">
        <f t="array" ref="BL462">IF(AO462=0,FactorPhi7121(BH462,"a"),noisuy2chieu(BK462,BH462,Data!$A$63:$M$85))</f>
        <v>0</v>
      </c>
      <c r="BM462" s="111">
        <v>1.26</v>
      </c>
      <c r="BN462" s="118">
        <f t="shared" si="211"/>
        <v>0.99353585750321338</v>
      </c>
      <c r="BO462" s="108" t="e">
        <f t="shared" si="212"/>
        <v>#DIV/0!</v>
      </c>
      <c r="BP462" s="6" t="e">
        <f t="shared" si="213"/>
        <v>#DIV/0!</v>
      </c>
      <c r="BQ462" s="16">
        <f t="shared" si="214"/>
        <v>127.25109874278135</v>
      </c>
      <c r="BR462" s="118">
        <f t="shared" si="215"/>
        <v>4.2387607289550546</v>
      </c>
      <c r="BS462" s="108">
        <f t="shared" si="216"/>
        <v>4.6183043430594095</v>
      </c>
      <c r="BT462" s="118">
        <f t="shared" si="217"/>
        <v>1.1029056172365048</v>
      </c>
      <c r="BU462" s="108">
        <f t="shared" si="218"/>
        <v>5.0935538020679694</v>
      </c>
      <c r="BV462" s="6" cm="1">
        <f t="array" ref="BV462">IF(AP462=0,FactorPhi7121(BR462,"a"),noisuy2chieu(BU462,BR462,Data!$A$63:$M$85))</f>
        <v>0</v>
      </c>
      <c r="BW462" s="111">
        <v>1.26</v>
      </c>
      <c r="BX462" s="111">
        <f t="shared" si="219"/>
        <v>0.97414343001285353</v>
      </c>
      <c r="BY462" s="113" t="e">
        <f t="shared" si="220"/>
        <v>#DIV/0!</v>
      </c>
      <c r="BZ462" s="6" t="e">
        <f t="shared" si="221"/>
        <v>#DIV/0!</v>
      </c>
      <c r="CA462" s="114">
        <f t="shared" si="222"/>
        <v>127.25109874278135</v>
      </c>
      <c r="CB462" s="115" t="e">
        <f t="shared" si="223"/>
        <v>#DIV/0!</v>
      </c>
      <c r="CC462" s="6" t="e">
        <f t="shared" si="224"/>
        <v>#DIV/0!</v>
      </c>
    </row>
    <row r="463" spans="27:81">
      <c r="AA463" s="79" t="s">
        <v>175</v>
      </c>
      <c r="AB463" s="80" t="s">
        <v>203</v>
      </c>
      <c r="AC463" s="81">
        <v>5.48</v>
      </c>
      <c r="AD463" s="81">
        <v>6</v>
      </c>
      <c r="AE463" s="80">
        <v>273</v>
      </c>
      <c r="AF463" s="80">
        <v>6.35</v>
      </c>
      <c r="AG463" s="108" cm="1">
        <f t="array" ref="AG463">_xll.DCEPropSectPipe(AE463, AF463, "Area")/100</f>
        <v>53.19431074856206</v>
      </c>
      <c r="AH463" s="16" cm="1">
        <f t="array" ref="AH463">_xll.DCEPropSectPipe(AE463, AF463, "Ix")/10000</f>
        <v>4730.4733077169503</v>
      </c>
      <c r="AI463" s="16" cm="1">
        <f t="array" ref="AI463">_xll.DCEPropSectPipe(AE463, AF463, "Wx")/1000</f>
        <v>346.55482107816493</v>
      </c>
      <c r="AJ463" s="108">
        <f t="shared" si="193"/>
        <v>9.4301739777164251</v>
      </c>
      <c r="AK463" s="80" t="s">
        <v>209</v>
      </c>
      <c r="AL463" s="82">
        <v>18.844930984552999</v>
      </c>
      <c r="AM463" s="82">
        <v>1.9200038301770688</v>
      </c>
      <c r="AN463" s="82">
        <v>0.44820387067833461</v>
      </c>
      <c r="AO463" s="82">
        <v>-2.4579500267999865</v>
      </c>
      <c r="AP463" s="82">
        <v>-10.529301004691044</v>
      </c>
      <c r="AQ463" s="82">
        <v>2.1410298798799503E-2</v>
      </c>
      <c r="AR463" s="72">
        <v>1</v>
      </c>
      <c r="AS463" s="116">
        <f t="shared" si="194"/>
        <v>6</v>
      </c>
      <c r="AT463" s="82">
        <v>2</v>
      </c>
      <c r="AU463" s="6">
        <f t="shared" si="195"/>
        <v>12</v>
      </c>
      <c r="AV463" s="111">
        <f t="shared" si="196"/>
        <v>1.5499133628617994E-2</v>
      </c>
      <c r="AW463" s="117">
        <f t="shared" si="197"/>
        <v>105</v>
      </c>
      <c r="AX463" s="111">
        <f t="shared" si="198"/>
        <v>1</v>
      </c>
      <c r="AY463" s="111">
        <f t="shared" si="199"/>
        <v>1</v>
      </c>
      <c r="AZ463" s="111">
        <f t="shared" si="200"/>
        <v>1</v>
      </c>
      <c r="BA463" s="111">
        <f t="shared" si="201"/>
        <v>1.6314877503808414E-2</v>
      </c>
      <c r="BB463" s="111">
        <f t="shared" si="202"/>
        <v>3.2662961280273926E-2</v>
      </c>
      <c r="BC463" s="111">
        <f t="shared" si="203"/>
        <v>0.13992072551300855</v>
      </c>
      <c r="BD463" s="111">
        <v>0</v>
      </c>
      <c r="BE463" s="111">
        <f t="shared" si="204"/>
        <v>0.1888985642970909</v>
      </c>
      <c r="BF463" s="6" t="str">
        <f t="shared" si="205"/>
        <v>OK</v>
      </c>
      <c r="BG463" s="16">
        <f t="shared" si="206"/>
        <v>63.625549371390676</v>
      </c>
      <c r="BH463" s="118">
        <f t="shared" si="207"/>
        <v>2.1193803644775273</v>
      </c>
      <c r="BI463" s="108">
        <f t="shared" si="208"/>
        <v>2.0020353369278654</v>
      </c>
      <c r="BJ463" s="6">
        <f t="shared" si="209"/>
        <v>1.1863599587504812</v>
      </c>
      <c r="BK463" s="108">
        <f t="shared" si="210"/>
        <v>2.375134559734748</v>
      </c>
      <c r="BL463" s="118" cm="1">
        <f t="array" ref="BL463">IF(AO463=0,FactorPhi7121(BH463,"a"),noisuy2chieu(BK463,BH463,Data!$A$63:$M$85))</f>
        <v>0</v>
      </c>
      <c r="BM463" s="111">
        <v>1.26</v>
      </c>
      <c r="BN463" s="118">
        <f t="shared" si="211"/>
        <v>0.9930381408039034</v>
      </c>
      <c r="BO463" s="108" t="e">
        <f t="shared" si="212"/>
        <v>#DIV/0!</v>
      </c>
      <c r="BP463" s="6" t="e">
        <f t="shared" si="213"/>
        <v>#DIV/0!</v>
      </c>
      <c r="BQ463" s="16">
        <f t="shared" si="214"/>
        <v>127.25109874278135</v>
      </c>
      <c r="BR463" s="118">
        <f t="shared" si="215"/>
        <v>4.2387607289550546</v>
      </c>
      <c r="BS463" s="108">
        <f t="shared" si="216"/>
        <v>8.5762657721669449</v>
      </c>
      <c r="BT463" s="118">
        <f t="shared" si="217"/>
        <v>1.1000000000000001</v>
      </c>
      <c r="BU463" s="108">
        <f t="shared" si="218"/>
        <v>9.4338923493836404</v>
      </c>
      <c r="BV463" s="6" cm="1">
        <f t="array" ref="BV463">IF(AP463=0,FactorPhi7121(BR463,"a"),noisuy2chieu(BU463,BR463,Data!$A$63:$M$85))</f>
        <v>0</v>
      </c>
      <c r="BW463" s="111">
        <v>1.26</v>
      </c>
      <c r="BX463" s="111">
        <f t="shared" si="219"/>
        <v>0.9721525632156135</v>
      </c>
      <c r="BY463" s="113" t="e">
        <f t="shared" si="220"/>
        <v>#DIV/0!</v>
      </c>
      <c r="BZ463" s="6" t="e">
        <f t="shared" si="221"/>
        <v>#DIV/0!</v>
      </c>
      <c r="CA463" s="114">
        <f t="shared" si="222"/>
        <v>127.25109874278135</v>
      </c>
      <c r="CB463" s="115" t="e">
        <f t="shared" si="223"/>
        <v>#DIV/0!</v>
      </c>
      <c r="CC463" s="6" t="e">
        <f t="shared" si="224"/>
        <v>#DIV/0!</v>
      </c>
    </row>
    <row r="464" spans="27:81">
      <c r="AA464" s="79" t="s">
        <v>175</v>
      </c>
      <c r="AB464" s="80" t="s">
        <v>203</v>
      </c>
      <c r="AC464" s="81">
        <v>0</v>
      </c>
      <c r="AD464" s="81">
        <v>6</v>
      </c>
      <c r="AE464" s="80">
        <v>273</v>
      </c>
      <c r="AF464" s="80">
        <v>6.35</v>
      </c>
      <c r="AG464" s="108" cm="1">
        <f t="array" ref="AG464">_xll.DCEPropSectPipe(AE464, AF464, "Area")/100</f>
        <v>53.19431074856206</v>
      </c>
      <c r="AH464" s="16" cm="1">
        <f t="array" ref="AH464">_xll.DCEPropSectPipe(AE464, AF464, "Ix")/10000</f>
        <v>4730.4733077169503</v>
      </c>
      <c r="AI464" s="16" cm="1">
        <f t="array" ref="AI464">_xll.DCEPropSectPipe(AE464, AF464, "Wx")/1000</f>
        <v>346.55482107816493</v>
      </c>
      <c r="AJ464" s="108">
        <f t="shared" si="193"/>
        <v>9.4301739777164251</v>
      </c>
      <c r="AK464" s="80" t="s">
        <v>210</v>
      </c>
      <c r="AL464" s="82">
        <v>0.77133649610149568</v>
      </c>
      <c r="AM464" s="82">
        <v>1.8587219024200714</v>
      </c>
      <c r="AN464" s="82">
        <v>0.32949931709025576</v>
      </c>
      <c r="AO464" s="82">
        <v>0</v>
      </c>
      <c r="AP464" s="82">
        <v>0</v>
      </c>
      <c r="AQ464" s="82">
        <v>-6.9439381710900361E-2</v>
      </c>
      <c r="AR464" s="72">
        <v>1</v>
      </c>
      <c r="AS464" s="116">
        <f t="shared" si="194"/>
        <v>6</v>
      </c>
      <c r="AT464" s="82">
        <v>2</v>
      </c>
      <c r="AU464" s="6">
        <f t="shared" si="195"/>
        <v>12</v>
      </c>
      <c r="AV464" s="111">
        <f t="shared" si="196"/>
        <v>6.3439061864999644E-4</v>
      </c>
      <c r="AW464" s="117">
        <f t="shared" si="197"/>
        <v>105</v>
      </c>
      <c r="AX464" s="111">
        <f t="shared" si="198"/>
        <v>1</v>
      </c>
      <c r="AY464" s="111">
        <f t="shared" si="199"/>
        <v>1</v>
      </c>
      <c r="AZ464" s="111">
        <f t="shared" si="200"/>
        <v>1</v>
      </c>
      <c r="BA464" s="111">
        <f t="shared" si="201"/>
        <v>6.6777959857894365E-4</v>
      </c>
      <c r="BB464" s="111">
        <f t="shared" si="202"/>
        <v>0</v>
      </c>
      <c r="BC464" s="111">
        <f t="shared" si="203"/>
        <v>0</v>
      </c>
      <c r="BD464" s="111">
        <v>0</v>
      </c>
      <c r="BE464" s="111">
        <f t="shared" si="204"/>
        <v>6.6777959857894365E-4</v>
      </c>
      <c r="BF464" s="6" t="str">
        <f t="shared" si="205"/>
        <v>OK</v>
      </c>
      <c r="BG464" s="16">
        <f t="shared" si="206"/>
        <v>63.625549371390676</v>
      </c>
      <c r="BH464" s="118">
        <f t="shared" si="207"/>
        <v>2.1193803644775273</v>
      </c>
      <c r="BI464" s="108">
        <f t="shared" si="208"/>
        <v>0</v>
      </c>
      <c r="BJ464" s="6">
        <f t="shared" si="209"/>
        <v>1.2440309817761237</v>
      </c>
      <c r="BK464" s="108">
        <f t="shared" si="210"/>
        <v>0</v>
      </c>
      <c r="BL464" s="118" cm="1">
        <f t="array" ref="BL464">IF(AO464=0,FactorPhi7121(BH464,"a"),noisuy2chieu(BK464,BH464,Data!$A$63:$M$85))</f>
        <v>0.86214274110469236</v>
      </c>
      <c r="BM464" s="111">
        <v>1.26</v>
      </c>
      <c r="BN464" s="118">
        <f t="shared" si="211"/>
        <v>0.9997150461265647</v>
      </c>
      <c r="BO464" s="108">
        <f t="shared" si="212"/>
        <v>1.5786919828840533E-3</v>
      </c>
      <c r="BP464" s="6" t="str">
        <f t="shared" si="213"/>
        <v>OK</v>
      </c>
      <c r="BQ464" s="16">
        <f t="shared" si="214"/>
        <v>127.25109874278135</v>
      </c>
      <c r="BR464" s="118">
        <f t="shared" si="215"/>
        <v>4.2387607289550546</v>
      </c>
      <c r="BS464" s="108">
        <f t="shared" si="216"/>
        <v>0</v>
      </c>
      <c r="BT464" s="118">
        <f t="shared" si="217"/>
        <v>1.1380619635522473</v>
      </c>
      <c r="BU464" s="108">
        <f t="shared" si="218"/>
        <v>0</v>
      </c>
      <c r="BV464" s="6" cm="1">
        <f t="array" ref="BV464">IF(AP464=0,FactorPhi7121(BR464,"a"),noisuy2chieu(BU464,BR464,Data!$A$63:$M$85))</f>
        <v>0.42299549615688942</v>
      </c>
      <c r="BW464" s="111">
        <v>1.26</v>
      </c>
      <c r="BX464" s="111">
        <f t="shared" si="219"/>
        <v>0.9988601845062588</v>
      </c>
      <c r="BY464" s="113">
        <f t="shared" si="220"/>
        <v>7.7455804792057447E-4</v>
      </c>
      <c r="BZ464" s="6" t="str">
        <f t="shared" si="221"/>
        <v>OK</v>
      </c>
      <c r="CA464" s="114">
        <f t="shared" si="222"/>
        <v>127.25109874278135</v>
      </c>
      <c r="CB464" s="115">
        <f t="shared" si="223"/>
        <v>150</v>
      </c>
      <c r="CC464" s="6" t="str">
        <f t="shared" si="224"/>
        <v>OK</v>
      </c>
    </row>
    <row r="465" spans="27:81">
      <c r="AA465" s="79" t="s">
        <v>175</v>
      </c>
      <c r="AB465" s="80" t="s">
        <v>203</v>
      </c>
      <c r="AC465" s="81">
        <v>2.74</v>
      </c>
      <c r="AD465" s="81">
        <v>6</v>
      </c>
      <c r="AE465" s="80">
        <v>273</v>
      </c>
      <c r="AF465" s="80">
        <v>6.35</v>
      </c>
      <c r="AG465" s="108" cm="1">
        <f t="array" ref="AG465">_xll.DCEPropSectPipe(AE465, AF465, "Area")/100</f>
        <v>53.19431074856206</v>
      </c>
      <c r="AH465" s="16" cm="1">
        <f t="array" ref="AH465">_xll.DCEPropSectPipe(AE465, AF465, "Ix")/10000</f>
        <v>4730.4733077169503</v>
      </c>
      <c r="AI465" s="16" cm="1">
        <f t="array" ref="AI465">_xll.DCEPropSectPipe(AE465, AF465, "Wx")/1000</f>
        <v>346.55482107816493</v>
      </c>
      <c r="AJ465" s="108">
        <f t="shared" si="193"/>
        <v>9.4301739777164251</v>
      </c>
      <c r="AK465" s="80" t="s">
        <v>210</v>
      </c>
      <c r="AL465" s="82">
        <v>2.1185968448335295</v>
      </c>
      <c r="AM465" s="82">
        <v>1.8587219024200714</v>
      </c>
      <c r="AN465" s="82">
        <v>0.32949931709025576</v>
      </c>
      <c r="AO465" s="82">
        <v>-0.90348712746148119</v>
      </c>
      <c r="AP465" s="82">
        <v>-5.0966154564358348</v>
      </c>
      <c r="AQ465" s="82">
        <v>-6.9439381710900361E-2</v>
      </c>
      <c r="AR465" s="72">
        <v>1</v>
      </c>
      <c r="AS465" s="116">
        <f t="shared" si="194"/>
        <v>6</v>
      </c>
      <c r="AT465" s="82">
        <v>2</v>
      </c>
      <c r="AU465" s="6">
        <f t="shared" si="195"/>
        <v>12</v>
      </c>
      <c r="AV465" s="111">
        <f t="shared" si="196"/>
        <v>1.7424534815308696E-3</v>
      </c>
      <c r="AW465" s="117">
        <f t="shared" si="197"/>
        <v>105</v>
      </c>
      <c r="AX465" s="111">
        <f t="shared" si="198"/>
        <v>1</v>
      </c>
      <c r="AY465" s="111">
        <f t="shared" si="199"/>
        <v>1</v>
      </c>
      <c r="AZ465" s="111">
        <f t="shared" si="200"/>
        <v>1</v>
      </c>
      <c r="BA465" s="111">
        <f t="shared" si="201"/>
        <v>1.834161559506179E-3</v>
      </c>
      <c r="BB465" s="111">
        <f t="shared" si="202"/>
        <v>1.2006169669739046E-2</v>
      </c>
      <c r="BC465" s="111">
        <f t="shared" si="203"/>
        <v>6.7727395390026646E-2</v>
      </c>
      <c r="BD465" s="111">
        <v>0</v>
      </c>
      <c r="BE465" s="111">
        <f t="shared" si="204"/>
        <v>8.1567726619271863E-2</v>
      </c>
      <c r="BF465" s="6" t="str">
        <f t="shared" si="205"/>
        <v>OK</v>
      </c>
      <c r="BG465" s="16">
        <f t="shared" si="206"/>
        <v>63.625549371390676</v>
      </c>
      <c r="BH465" s="118">
        <f t="shared" si="207"/>
        <v>2.1193803644775273</v>
      </c>
      <c r="BI465" s="108">
        <f t="shared" si="208"/>
        <v>6.5458626627043337</v>
      </c>
      <c r="BJ465" s="6">
        <f t="shared" si="209"/>
        <v>1.1000000000000001</v>
      </c>
      <c r="BK465" s="108">
        <f t="shared" si="210"/>
        <v>7.200448928974768</v>
      </c>
      <c r="BL465" s="118" cm="1">
        <f t="array" ref="BL465">IF(AO465=0,FactorPhi7121(BH465,"a"),noisuy2chieu(BK465,BH465,Data!$A$63:$M$85))</f>
        <v>0</v>
      </c>
      <c r="BM465" s="111">
        <v>1.26</v>
      </c>
      <c r="BN465" s="118">
        <f t="shared" si="211"/>
        <v>0.99921732942725472</v>
      </c>
      <c r="BO465" s="108" t="e">
        <f t="shared" si="212"/>
        <v>#DIV/0!</v>
      </c>
      <c r="BP465" s="6" t="e">
        <f t="shared" si="213"/>
        <v>#DIV/0!</v>
      </c>
      <c r="BQ465" s="16">
        <f t="shared" si="214"/>
        <v>127.25109874278135</v>
      </c>
      <c r="BR465" s="118">
        <f t="shared" si="215"/>
        <v>4.2387607289550546</v>
      </c>
      <c r="BS465" s="108">
        <f t="shared" si="216"/>
        <v>36.925534197904177</v>
      </c>
      <c r="BT465" s="118">
        <f t="shared" si="217"/>
        <v>1.1000000000000001</v>
      </c>
      <c r="BU465" s="108">
        <f t="shared" si="218"/>
        <v>40.618087617694599</v>
      </c>
      <c r="BV465" s="6" cm="1">
        <f t="array" ref="BV465">IF(AP465=0,FactorPhi7121(BR465,"a"),noisuy2chieu(BU465,BR465,Data!$A$63:$M$85))</f>
        <v>0</v>
      </c>
      <c r="BW465" s="111">
        <v>1.26</v>
      </c>
      <c r="BX465" s="111">
        <f t="shared" si="219"/>
        <v>0.99686931770901888</v>
      </c>
      <c r="BY465" s="113" t="e">
        <f t="shared" si="220"/>
        <v>#DIV/0!</v>
      </c>
      <c r="BZ465" s="6" t="e">
        <f t="shared" si="221"/>
        <v>#DIV/0!</v>
      </c>
      <c r="CA465" s="114">
        <f t="shared" si="222"/>
        <v>127.25109874278135</v>
      </c>
      <c r="CB465" s="115" t="e">
        <f t="shared" si="223"/>
        <v>#DIV/0!</v>
      </c>
      <c r="CC465" s="6" t="e">
        <f t="shared" si="224"/>
        <v>#DIV/0!</v>
      </c>
    </row>
    <row r="466" spans="27:81">
      <c r="AA466" s="79" t="s">
        <v>175</v>
      </c>
      <c r="AB466" s="80" t="s">
        <v>203</v>
      </c>
      <c r="AC466" s="81">
        <v>5.48</v>
      </c>
      <c r="AD466" s="81">
        <v>6</v>
      </c>
      <c r="AE466" s="80">
        <v>273</v>
      </c>
      <c r="AF466" s="80">
        <v>6.35</v>
      </c>
      <c r="AG466" s="108" cm="1">
        <f t="array" ref="AG466">_xll.DCEPropSectPipe(AE466, AF466, "Area")/100</f>
        <v>53.19431074856206</v>
      </c>
      <c r="AH466" s="16" cm="1">
        <f t="array" ref="AH466">_xll.DCEPropSectPipe(AE466, AF466, "Ix")/10000</f>
        <v>4730.4733077169503</v>
      </c>
      <c r="AI466" s="16" cm="1">
        <f t="array" ref="AI466">_xll.DCEPropSectPipe(AE466, AF466, "Wx")/1000</f>
        <v>346.55482107816493</v>
      </c>
      <c r="AJ466" s="108">
        <f t="shared" si="193"/>
        <v>9.4301739777164251</v>
      </c>
      <c r="AK466" s="80" t="s">
        <v>210</v>
      </c>
      <c r="AL466" s="82">
        <v>3.4658571935655593</v>
      </c>
      <c r="AM466" s="82">
        <v>1.8587219024200714</v>
      </c>
      <c r="AN466" s="82">
        <v>0.32949931709025576</v>
      </c>
      <c r="AO466" s="82">
        <v>-1.8069742549229624</v>
      </c>
      <c r="AP466" s="82">
        <v>-10.19323091287167</v>
      </c>
      <c r="AQ466" s="82">
        <v>-6.9439381710900361E-2</v>
      </c>
      <c r="AR466" s="72">
        <v>1</v>
      </c>
      <c r="AS466" s="116">
        <f t="shared" si="194"/>
        <v>6</v>
      </c>
      <c r="AT466" s="82">
        <v>2</v>
      </c>
      <c r="AU466" s="6">
        <f t="shared" si="195"/>
        <v>12</v>
      </c>
      <c r="AV466" s="111">
        <f t="shared" si="196"/>
        <v>2.8505163444117396E-3</v>
      </c>
      <c r="AW466" s="117">
        <f t="shared" si="197"/>
        <v>105</v>
      </c>
      <c r="AX466" s="111">
        <f t="shared" si="198"/>
        <v>1</v>
      </c>
      <c r="AY466" s="111">
        <f t="shared" si="199"/>
        <v>1</v>
      </c>
      <c r="AZ466" s="111">
        <f t="shared" si="200"/>
        <v>1</v>
      </c>
      <c r="BA466" s="111">
        <f t="shared" si="201"/>
        <v>3.0005435204334104E-3</v>
      </c>
      <c r="BB466" s="111">
        <f t="shared" si="202"/>
        <v>2.4012339339478092E-2</v>
      </c>
      <c r="BC466" s="111">
        <f t="shared" si="203"/>
        <v>0.13545479078005329</v>
      </c>
      <c r="BD466" s="111">
        <v>0</v>
      </c>
      <c r="BE466" s="111">
        <f t="shared" si="204"/>
        <v>0.16246767363996478</v>
      </c>
      <c r="BF466" s="6" t="str">
        <f t="shared" si="205"/>
        <v>OK</v>
      </c>
      <c r="BG466" s="16">
        <f t="shared" si="206"/>
        <v>63.625549371390676</v>
      </c>
      <c r="BH466" s="118">
        <f t="shared" si="207"/>
        <v>2.1193803644775273</v>
      </c>
      <c r="BI466" s="108">
        <f t="shared" si="208"/>
        <v>8.0026632428279711</v>
      </c>
      <c r="BJ466" s="6">
        <f t="shared" si="209"/>
        <v>1.1000000000000001</v>
      </c>
      <c r="BK466" s="108">
        <f t="shared" si="210"/>
        <v>8.8029295671107697</v>
      </c>
      <c r="BL466" s="118" cm="1">
        <f t="array" ref="BL466">IF(AO466=0,FactorPhi7121(BH466,"a"),noisuy2chieu(BK466,BH466,Data!$A$63:$M$85))</f>
        <v>0</v>
      </c>
      <c r="BM466" s="111">
        <v>1.26</v>
      </c>
      <c r="BN466" s="118">
        <f t="shared" si="211"/>
        <v>0.99871961272794474</v>
      </c>
      <c r="BO466" s="108" t="e">
        <f t="shared" si="212"/>
        <v>#DIV/0!</v>
      </c>
      <c r="BP466" s="6" t="e">
        <f t="shared" si="213"/>
        <v>#DIV/0!</v>
      </c>
      <c r="BQ466" s="16">
        <f t="shared" si="214"/>
        <v>127.25109874278135</v>
      </c>
      <c r="BR466" s="118">
        <f t="shared" si="215"/>
        <v>4.2387607289550546</v>
      </c>
      <c r="BS466" s="108">
        <f t="shared" si="216"/>
        <v>45.143418136620696</v>
      </c>
      <c r="BT466" s="118">
        <f t="shared" si="217"/>
        <v>1.1000000000000001</v>
      </c>
      <c r="BU466" s="108">
        <f t="shared" si="218"/>
        <v>49.657759950282767</v>
      </c>
      <c r="BV466" s="6" cm="1">
        <f t="array" ref="BV466">IF(AP466=0,FactorPhi7121(BR466,"a"),noisuy2chieu(BU466,BR466,Data!$A$63:$M$85))</f>
        <v>0</v>
      </c>
      <c r="BW466" s="111">
        <v>1.26</v>
      </c>
      <c r="BX466" s="111">
        <f t="shared" si="219"/>
        <v>0.99487845091177884</v>
      </c>
      <c r="BY466" s="113" t="e">
        <f t="shared" si="220"/>
        <v>#DIV/0!</v>
      </c>
      <c r="BZ466" s="6" t="e">
        <f t="shared" si="221"/>
        <v>#DIV/0!</v>
      </c>
      <c r="CA466" s="114">
        <f t="shared" si="222"/>
        <v>127.25109874278135</v>
      </c>
      <c r="CB466" s="115" t="e">
        <f t="shared" si="223"/>
        <v>#DIV/0!</v>
      </c>
      <c r="CC466" s="6" t="e">
        <f t="shared" si="224"/>
        <v>#DIV/0!</v>
      </c>
    </row>
    <row r="467" spans="27:81">
      <c r="AA467" s="79" t="s">
        <v>175</v>
      </c>
      <c r="AB467" s="80" t="s">
        <v>203</v>
      </c>
      <c r="AC467" s="81">
        <v>0</v>
      </c>
      <c r="AD467" s="81">
        <v>6</v>
      </c>
      <c r="AE467" s="80">
        <v>273</v>
      </c>
      <c r="AF467" s="80">
        <v>6.35</v>
      </c>
      <c r="AG467" s="108" cm="1">
        <f t="array" ref="AG467">_xll.DCEPropSectPipe(AE467, AF467, "Area")/100</f>
        <v>53.19431074856206</v>
      </c>
      <c r="AH467" s="16" cm="1">
        <f t="array" ref="AH467">_xll.DCEPropSectPipe(AE467, AF467, "Ix")/10000</f>
        <v>4730.4733077169503</v>
      </c>
      <c r="AI467" s="16" cm="1">
        <f t="array" ref="AI467">_xll.DCEPropSectPipe(AE467, AF467, "Wx")/1000</f>
        <v>346.55482107816493</v>
      </c>
      <c r="AJ467" s="108">
        <f t="shared" si="193"/>
        <v>9.4301739777164251</v>
      </c>
      <c r="AK467" s="80" t="s">
        <v>211</v>
      </c>
      <c r="AL467" s="82">
        <v>-77.069232422935357</v>
      </c>
      <c r="AM467" s="82">
        <v>-9.1211897979507057</v>
      </c>
      <c r="AN467" s="82">
        <v>-1.8645215705542899</v>
      </c>
      <c r="AO467" s="82">
        <v>0</v>
      </c>
      <c r="AP467" s="82">
        <v>0</v>
      </c>
      <c r="AQ467" s="82">
        <v>6.8655821590687657E-2</v>
      </c>
      <c r="AR467" s="72">
        <v>1</v>
      </c>
      <c r="AS467" s="116">
        <f t="shared" si="194"/>
        <v>6</v>
      </c>
      <c r="AT467" s="82">
        <v>2</v>
      </c>
      <c r="AU467" s="6">
        <f t="shared" si="195"/>
        <v>12</v>
      </c>
      <c r="AV467" s="111">
        <f t="shared" si="196"/>
        <v>6.3386081538702288E-2</v>
      </c>
      <c r="AW467" s="117">
        <f t="shared" si="197"/>
        <v>105</v>
      </c>
      <c r="AX467" s="111">
        <f t="shared" si="198"/>
        <v>1</v>
      </c>
      <c r="AY467" s="111">
        <f t="shared" si="199"/>
        <v>1</v>
      </c>
      <c r="AZ467" s="111">
        <f t="shared" si="200"/>
        <v>1</v>
      </c>
      <c r="BA467" s="111">
        <f t="shared" si="201"/>
        <v>6.6722191093370839E-2</v>
      </c>
      <c r="BB467" s="111">
        <f t="shared" si="202"/>
        <v>0</v>
      </c>
      <c r="BC467" s="111">
        <f t="shared" si="203"/>
        <v>0</v>
      </c>
      <c r="BD467" s="111">
        <v>0</v>
      </c>
      <c r="BE467" s="111">
        <f t="shared" si="204"/>
        <v>6.6722191093370839E-2</v>
      </c>
      <c r="BF467" s="6" t="str">
        <f t="shared" si="205"/>
        <v>OK</v>
      </c>
      <c r="BG467" s="16">
        <f t="shared" si="206"/>
        <v>63.625549371390676</v>
      </c>
      <c r="BH467" s="118">
        <f t="shared" si="207"/>
        <v>2.1193803644775273</v>
      </c>
      <c r="BI467" s="108">
        <f t="shared" si="208"/>
        <v>0</v>
      </c>
      <c r="BJ467" s="6">
        <f t="shared" si="209"/>
        <v>1.2440309817761237</v>
      </c>
      <c r="BK467" s="108">
        <f t="shared" si="210"/>
        <v>0</v>
      </c>
      <c r="BL467" s="118" cm="1">
        <f t="array" ref="BL467">IF(AO467=0,FactorPhi7121(BH467,"a"),noisuy2chieu(BK467,BH467,Data!$A$63:$M$85))</f>
        <v>0.86214274110469236</v>
      </c>
      <c r="BM467" s="111">
        <v>1.26</v>
      </c>
      <c r="BN467" s="118">
        <f t="shared" si="211"/>
        <v>0.97152841021707526</v>
      </c>
      <c r="BO467" s="108">
        <f t="shared" si="212"/>
        <v>0.15773735583374512</v>
      </c>
      <c r="BP467" s="6" t="str">
        <f t="shared" si="213"/>
        <v>OK</v>
      </c>
      <c r="BQ467" s="16">
        <f t="shared" si="214"/>
        <v>127.25109874278135</v>
      </c>
      <c r="BR467" s="118">
        <f t="shared" si="215"/>
        <v>4.2387607289550546</v>
      </c>
      <c r="BS467" s="108">
        <f t="shared" si="216"/>
        <v>0</v>
      </c>
      <c r="BT467" s="118">
        <f t="shared" si="217"/>
        <v>1.1380619635522473</v>
      </c>
      <c r="BU467" s="108">
        <f t="shared" si="218"/>
        <v>0</v>
      </c>
      <c r="BV467" s="6" cm="1">
        <f t="array" ref="BV467">IF(AP467=0,FactorPhi7121(BR467,"a"),noisuy2chieu(BU467,BR467,Data!$A$63:$M$85))</f>
        <v>0.42299549615688942</v>
      </c>
      <c r="BW467" s="111">
        <v>1.26</v>
      </c>
      <c r="BX467" s="111">
        <f t="shared" si="219"/>
        <v>0.88611364086830124</v>
      </c>
      <c r="BY467" s="113">
        <f t="shared" si="220"/>
        <v>7.7391118561037184E-2</v>
      </c>
      <c r="BZ467" s="6" t="str">
        <f t="shared" si="221"/>
        <v>OK</v>
      </c>
      <c r="CA467" s="114">
        <f t="shared" si="222"/>
        <v>127.25109874278135</v>
      </c>
      <c r="CB467" s="115">
        <f t="shared" si="223"/>
        <v>150</v>
      </c>
      <c r="CC467" s="6" t="str">
        <f t="shared" si="224"/>
        <v>OK</v>
      </c>
    </row>
    <row r="468" spans="27:81">
      <c r="AA468" s="79" t="s">
        <v>175</v>
      </c>
      <c r="AB468" s="80" t="s">
        <v>203</v>
      </c>
      <c r="AC468" s="81">
        <v>2.74</v>
      </c>
      <c r="AD468" s="81">
        <v>6</v>
      </c>
      <c r="AE468" s="80">
        <v>273</v>
      </c>
      <c r="AF468" s="80">
        <v>6.35</v>
      </c>
      <c r="AG468" s="108" cm="1">
        <f t="array" ref="AG468">_xll.DCEPropSectPipe(AE468, AF468, "Area")/100</f>
        <v>53.19431074856206</v>
      </c>
      <c r="AH468" s="16" cm="1">
        <f t="array" ref="AH468">_xll.DCEPropSectPipe(AE468, AF468, "Ix")/10000</f>
        <v>4730.4733077169503</v>
      </c>
      <c r="AI468" s="16" cm="1">
        <f t="array" ref="AI468">_xll.DCEPropSectPipe(AE468, AF468, "Wx")/1000</f>
        <v>346.55482107816493</v>
      </c>
      <c r="AJ468" s="108">
        <f t="shared" si="193"/>
        <v>9.4301739777164251</v>
      </c>
      <c r="AK468" s="80" t="s">
        <v>211</v>
      </c>
      <c r="AL468" s="82">
        <v>-75.721972074203322</v>
      </c>
      <c r="AM468" s="82">
        <v>-9.1211897979507057</v>
      </c>
      <c r="AN468" s="82">
        <v>-1.8645215705542899</v>
      </c>
      <c r="AO468" s="82">
        <v>5.1125181464598626</v>
      </c>
      <c r="AP468" s="82">
        <v>25.010302425980829</v>
      </c>
      <c r="AQ468" s="82">
        <v>6.8655821590687657E-2</v>
      </c>
      <c r="AR468" s="72">
        <v>1</v>
      </c>
      <c r="AS468" s="116">
        <f t="shared" si="194"/>
        <v>6</v>
      </c>
      <c r="AT468" s="82">
        <v>2</v>
      </c>
      <c r="AU468" s="6">
        <f t="shared" si="195"/>
        <v>12</v>
      </c>
      <c r="AV468" s="111">
        <f t="shared" si="196"/>
        <v>6.2278018675821417E-2</v>
      </c>
      <c r="AW468" s="117">
        <f t="shared" si="197"/>
        <v>105</v>
      </c>
      <c r="AX468" s="111">
        <f t="shared" si="198"/>
        <v>1</v>
      </c>
      <c r="AY468" s="111">
        <f t="shared" si="199"/>
        <v>1</v>
      </c>
      <c r="AZ468" s="111">
        <f t="shared" si="200"/>
        <v>1</v>
      </c>
      <c r="BA468" s="111">
        <f t="shared" si="201"/>
        <v>6.555580913244359E-2</v>
      </c>
      <c r="BB468" s="111">
        <f t="shared" si="202"/>
        <v>6.7938721471860503E-2</v>
      </c>
      <c r="BC468" s="111">
        <f t="shared" si="203"/>
        <v>0.33235441357255402</v>
      </c>
      <c r="BD468" s="111">
        <v>0</v>
      </c>
      <c r="BE468" s="111">
        <f t="shared" si="204"/>
        <v>0.46584894417685813</v>
      </c>
      <c r="BF468" s="6" t="str">
        <f t="shared" si="205"/>
        <v>OK</v>
      </c>
      <c r="BG468" s="16">
        <f t="shared" si="206"/>
        <v>63.625549371390676</v>
      </c>
      <c r="BH468" s="118">
        <f t="shared" si="207"/>
        <v>2.1193803644775273</v>
      </c>
      <c r="BI468" s="108">
        <f t="shared" si="208"/>
        <v>1.0363493696584944</v>
      </c>
      <c r="BJ468" s="6">
        <f t="shared" si="209"/>
        <v>1.2141776983411279</v>
      </c>
      <c r="BK468" s="108">
        <f t="shared" si="210"/>
        <v>1.2583122923292296</v>
      </c>
      <c r="BL468" s="118" cm="1">
        <f t="array" ref="BL468">IF(AO468=0,FactorPhi7121(BH468,"a"),noisuy2chieu(BK468,BH468,Data!$A$63:$M$85))</f>
        <v>0</v>
      </c>
      <c r="BM468" s="111">
        <v>1.26</v>
      </c>
      <c r="BN468" s="118">
        <f t="shared" si="211"/>
        <v>0.97202612691638535</v>
      </c>
      <c r="BO468" s="108" t="e">
        <f t="shared" si="212"/>
        <v>#DIV/0!</v>
      </c>
      <c r="BP468" s="6" t="e">
        <f t="shared" si="213"/>
        <v>#DIV/0!</v>
      </c>
      <c r="BQ468" s="16">
        <f t="shared" si="214"/>
        <v>127.25109874278135</v>
      </c>
      <c r="BR468" s="118">
        <f t="shared" si="215"/>
        <v>4.2387607289550546</v>
      </c>
      <c r="BS468" s="108">
        <f t="shared" si="216"/>
        <v>5.0697934778150984</v>
      </c>
      <c r="BT468" s="118">
        <f t="shared" si="217"/>
        <v>1.1000000000000001</v>
      </c>
      <c r="BU468" s="108">
        <f t="shared" si="218"/>
        <v>5.5767728255966089</v>
      </c>
      <c r="BV468" s="6" cm="1">
        <f t="array" ref="BV468">IF(AP468=0,FactorPhi7121(BR468,"a"),noisuy2chieu(BU468,BR468,Data!$A$63:$M$85))</f>
        <v>0</v>
      </c>
      <c r="BW468" s="111">
        <v>1.26</v>
      </c>
      <c r="BX468" s="111">
        <f t="shared" si="219"/>
        <v>0.88810450766554117</v>
      </c>
      <c r="BY468" s="113" t="e">
        <f t="shared" si="220"/>
        <v>#DIV/0!</v>
      </c>
      <c r="BZ468" s="6" t="e">
        <f t="shared" si="221"/>
        <v>#DIV/0!</v>
      </c>
      <c r="CA468" s="114">
        <f t="shared" si="222"/>
        <v>127.25109874278135</v>
      </c>
      <c r="CB468" s="115" t="e">
        <f t="shared" si="223"/>
        <v>#DIV/0!</v>
      </c>
      <c r="CC468" s="6" t="e">
        <f t="shared" si="224"/>
        <v>#DIV/0!</v>
      </c>
    </row>
    <row r="469" spans="27:81">
      <c r="AA469" s="79" t="s">
        <v>175</v>
      </c>
      <c r="AB469" s="80" t="s">
        <v>203</v>
      </c>
      <c r="AC469" s="81">
        <v>5.48</v>
      </c>
      <c r="AD469" s="81">
        <v>6</v>
      </c>
      <c r="AE469" s="80">
        <v>273</v>
      </c>
      <c r="AF469" s="80">
        <v>6.35</v>
      </c>
      <c r="AG469" s="108" cm="1">
        <f t="array" ref="AG469">_xll.DCEPropSectPipe(AE469, AF469, "Area")/100</f>
        <v>53.19431074856206</v>
      </c>
      <c r="AH469" s="16" cm="1">
        <f t="array" ref="AH469">_xll.DCEPropSectPipe(AE469, AF469, "Ix")/10000</f>
        <v>4730.4733077169503</v>
      </c>
      <c r="AI469" s="16" cm="1">
        <f t="array" ref="AI469">_xll.DCEPropSectPipe(AE469, AF469, "Wx")/1000</f>
        <v>346.55482107816493</v>
      </c>
      <c r="AJ469" s="108">
        <f t="shared" si="193"/>
        <v>9.4301739777164251</v>
      </c>
      <c r="AK469" s="80" t="s">
        <v>211</v>
      </c>
      <c r="AL469" s="82">
        <v>-74.3747117254713</v>
      </c>
      <c r="AM469" s="82">
        <v>-9.1211897979507057</v>
      </c>
      <c r="AN469" s="82">
        <v>-1.8645215705542899</v>
      </c>
      <c r="AO469" s="82">
        <v>10.225036292919725</v>
      </c>
      <c r="AP469" s="82">
        <v>50.020604851961657</v>
      </c>
      <c r="AQ469" s="82">
        <v>6.8655821590687657E-2</v>
      </c>
      <c r="AR469" s="72">
        <v>1</v>
      </c>
      <c r="AS469" s="116">
        <f t="shared" si="194"/>
        <v>6</v>
      </c>
      <c r="AT469" s="82">
        <v>2</v>
      </c>
      <c r="AU469" s="6">
        <f t="shared" si="195"/>
        <v>12</v>
      </c>
      <c r="AV469" s="111">
        <f t="shared" si="196"/>
        <v>6.1169955812940546E-2</v>
      </c>
      <c r="AW469" s="117">
        <f t="shared" si="197"/>
        <v>105</v>
      </c>
      <c r="AX469" s="111">
        <f t="shared" si="198"/>
        <v>1</v>
      </c>
      <c r="AY469" s="111">
        <f t="shared" si="199"/>
        <v>1</v>
      </c>
      <c r="AZ469" s="111">
        <f t="shared" si="200"/>
        <v>1</v>
      </c>
      <c r="BA469" s="111">
        <f t="shared" si="201"/>
        <v>6.438942717151637E-2</v>
      </c>
      <c r="BB469" s="111">
        <f t="shared" si="202"/>
        <v>0.13587744294372101</v>
      </c>
      <c r="BC469" s="111">
        <f t="shared" si="203"/>
        <v>0.66470882714510804</v>
      </c>
      <c r="BD469" s="111">
        <v>0</v>
      </c>
      <c r="BE469" s="111">
        <f t="shared" si="204"/>
        <v>0.8649756972603454</v>
      </c>
      <c r="BF469" s="6" t="str">
        <f t="shared" si="205"/>
        <v>OK</v>
      </c>
      <c r="BG469" s="16">
        <f t="shared" si="206"/>
        <v>63.625549371390676</v>
      </c>
      <c r="BH469" s="118">
        <f t="shared" si="207"/>
        <v>2.1193803644775273</v>
      </c>
      <c r="BI469" s="108">
        <f t="shared" si="208"/>
        <v>2.1102446304077143</v>
      </c>
      <c r="BJ469" s="6">
        <f t="shared" si="209"/>
        <v>1.1832428605950405</v>
      </c>
      <c r="BK469" s="108">
        <f t="shared" si="210"/>
        <v>2.4969318930389477</v>
      </c>
      <c r="BL469" s="118" cm="1">
        <f t="array" ref="BL469">IF(AO469=0,FactorPhi7121(BH469,"a"),noisuy2chieu(BK469,BH469,Data!$A$63:$M$85))</f>
        <v>0</v>
      </c>
      <c r="BM469" s="111">
        <v>1.26</v>
      </c>
      <c r="BN469" s="118">
        <f t="shared" si="211"/>
        <v>0.97252384361569533</v>
      </c>
      <c r="BO469" s="108" t="e">
        <f t="shared" si="212"/>
        <v>#DIV/0!</v>
      </c>
      <c r="BP469" s="6" t="e">
        <f t="shared" si="213"/>
        <v>#DIV/0!</v>
      </c>
      <c r="BQ469" s="16">
        <f t="shared" si="214"/>
        <v>127.25109874278135</v>
      </c>
      <c r="BR469" s="118">
        <f t="shared" si="215"/>
        <v>4.2387607289550546</v>
      </c>
      <c r="BS469" s="108">
        <f t="shared" si="216"/>
        <v>10.323260453529116</v>
      </c>
      <c r="BT469" s="118">
        <f t="shared" si="217"/>
        <v>1.1000000000000001</v>
      </c>
      <c r="BU469" s="108">
        <f t="shared" si="218"/>
        <v>11.355586498882028</v>
      </c>
      <c r="BV469" s="6" cm="1">
        <f t="array" ref="BV469">IF(AP469=0,FactorPhi7121(BR469,"a"),noisuy2chieu(BU469,BR469,Data!$A$63:$M$85))</f>
        <v>0</v>
      </c>
      <c r="BW469" s="111">
        <v>1.26</v>
      </c>
      <c r="BX469" s="111">
        <f t="shared" si="219"/>
        <v>0.8900953744627812</v>
      </c>
      <c r="BY469" s="113" t="e">
        <f t="shared" si="220"/>
        <v>#DIV/0!</v>
      </c>
      <c r="BZ469" s="6" t="e">
        <f t="shared" si="221"/>
        <v>#DIV/0!</v>
      </c>
      <c r="CA469" s="114">
        <f t="shared" si="222"/>
        <v>127.25109874278135</v>
      </c>
      <c r="CB469" s="115" t="e">
        <f t="shared" si="223"/>
        <v>#DIV/0!</v>
      </c>
      <c r="CC469" s="6" t="e">
        <f t="shared" si="224"/>
        <v>#DIV/0!</v>
      </c>
    </row>
    <row r="470" spans="27:81">
      <c r="AA470" s="79" t="s">
        <v>175</v>
      </c>
      <c r="AB470" s="80" t="s">
        <v>203</v>
      </c>
      <c r="AC470" s="81">
        <v>0</v>
      </c>
      <c r="AD470" s="81">
        <v>6</v>
      </c>
      <c r="AE470" s="80">
        <v>273</v>
      </c>
      <c r="AF470" s="80">
        <v>6.35</v>
      </c>
      <c r="AG470" s="108" cm="1">
        <f t="array" ref="AG470">_xll.DCEPropSectPipe(AE470, AF470, "Area")/100</f>
        <v>53.19431074856206</v>
      </c>
      <c r="AH470" s="16" cm="1">
        <f t="array" ref="AH470">_xll.DCEPropSectPipe(AE470, AF470, "Ix")/10000</f>
        <v>4730.4733077169503</v>
      </c>
      <c r="AI470" s="16" cm="1">
        <f t="array" ref="AI470">_xll.DCEPropSectPipe(AE470, AF470, "Wx")/1000</f>
        <v>346.55482107816493</v>
      </c>
      <c r="AJ470" s="108">
        <f t="shared" si="193"/>
        <v>9.4301739777164251</v>
      </c>
      <c r="AK470" s="80" t="s">
        <v>212</v>
      </c>
      <c r="AL470" s="82">
        <v>-64.486353866672872</v>
      </c>
      <c r="AM470" s="82">
        <v>-9.0710500388768001</v>
      </c>
      <c r="AN470" s="82">
        <v>-1.767399663073135</v>
      </c>
      <c r="AO470" s="82">
        <v>0</v>
      </c>
      <c r="AP470" s="82">
        <v>0</v>
      </c>
      <c r="AQ470" s="82">
        <v>0.14298737837135064</v>
      </c>
      <c r="AR470" s="72">
        <v>1</v>
      </c>
      <c r="AS470" s="116">
        <f t="shared" si="194"/>
        <v>6</v>
      </c>
      <c r="AT470" s="82">
        <v>2</v>
      </c>
      <c r="AU470" s="6">
        <f t="shared" si="195"/>
        <v>12</v>
      </c>
      <c r="AV470" s="111">
        <f t="shared" si="196"/>
        <v>5.303721285162441E-2</v>
      </c>
      <c r="AW470" s="117">
        <f t="shared" si="197"/>
        <v>105</v>
      </c>
      <c r="AX470" s="111">
        <f t="shared" si="198"/>
        <v>1</v>
      </c>
      <c r="AY470" s="111">
        <f t="shared" si="199"/>
        <v>1</v>
      </c>
      <c r="AZ470" s="111">
        <f t="shared" si="200"/>
        <v>1</v>
      </c>
      <c r="BA470" s="111">
        <f t="shared" si="201"/>
        <v>5.5828645106973072E-2</v>
      </c>
      <c r="BB470" s="111">
        <f t="shared" si="202"/>
        <v>0</v>
      </c>
      <c r="BC470" s="111">
        <f t="shared" si="203"/>
        <v>0</v>
      </c>
      <c r="BD470" s="111">
        <v>0</v>
      </c>
      <c r="BE470" s="111">
        <f t="shared" si="204"/>
        <v>5.5828645106973072E-2</v>
      </c>
      <c r="BF470" s="6" t="str">
        <f t="shared" si="205"/>
        <v>OK</v>
      </c>
      <c r="BG470" s="16">
        <f t="shared" si="206"/>
        <v>63.625549371390676</v>
      </c>
      <c r="BH470" s="118">
        <f t="shared" si="207"/>
        <v>2.1193803644775273</v>
      </c>
      <c r="BI470" s="108">
        <f t="shared" si="208"/>
        <v>0</v>
      </c>
      <c r="BJ470" s="6">
        <f t="shared" si="209"/>
        <v>1.2440309817761237</v>
      </c>
      <c r="BK470" s="108">
        <f t="shared" si="210"/>
        <v>0</v>
      </c>
      <c r="BL470" s="118" cm="1">
        <f t="array" ref="BL470">IF(AO470=0,FactorPhi7121(BH470,"a"),noisuy2chieu(BK470,BH470,Data!$A$63:$M$85))</f>
        <v>0.86214274110469236</v>
      </c>
      <c r="BM470" s="111">
        <v>1.26</v>
      </c>
      <c r="BN470" s="118">
        <f t="shared" si="211"/>
        <v>0.9761768872458364</v>
      </c>
      <c r="BO470" s="108">
        <f t="shared" si="212"/>
        <v>0.13198401783045505</v>
      </c>
      <c r="BP470" s="6" t="str">
        <f t="shared" si="213"/>
        <v>OK</v>
      </c>
      <c r="BQ470" s="16">
        <f t="shared" si="214"/>
        <v>127.25109874278135</v>
      </c>
      <c r="BR470" s="118">
        <f t="shared" si="215"/>
        <v>4.2387607289550546</v>
      </c>
      <c r="BS470" s="108">
        <f t="shared" si="216"/>
        <v>0</v>
      </c>
      <c r="BT470" s="118">
        <f t="shared" si="217"/>
        <v>1.1380619635522473</v>
      </c>
      <c r="BU470" s="108">
        <f t="shared" si="218"/>
        <v>0</v>
      </c>
      <c r="BV470" s="6" cm="1">
        <f t="array" ref="BV470">IF(AP470=0,FactorPhi7121(BR470,"a"),noisuy2chieu(BU470,BR470,Data!$A$63:$M$85))</f>
        <v>0.42299549615688942</v>
      </c>
      <c r="BW470" s="111">
        <v>1.26</v>
      </c>
      <c r="BX470" s="111">
        <f t="shared" si="219"/>
        <v>0.9047075489833456</v>
      </c>
      <c r="BY470" s="113">
        <f t="shared" si="220"/>
        <v>6.4755686553061922E-2</v>
      </c>
      <c r="BZ470" s="6" t="str">
        <f t="shared" si="221"/>
        <v>OK</v>
      </c>
      <c r="CA470" s="114">
        <f t="shared" si="222"/>
        <v>127.25109874278135</v>
      </c>
      <c r="CB470" s="115">
        <f t="shared" si="223"/>
        <v>150</v>
      </c>
      <c r="CC470" s="6" t="str">
        <f t="shared" si="224"/>
        <v>OK</v>
      </c>
    </row>
    <row r="471" spans="27:81">
      <c r="AA471" s="79" t="s">
        <v>175</v>
      </c>
      <c r="AB471" s="80" t="s">
        <v>203</v>
      </c>
      <c r="AC471" s="81">
        <v>2.74</v>
      </c>
      <c r="AD471" s="81">
        <v>6</v>
      </c>
      <c r="AE471" s="80">
        <v>273</v>
      </c>
      <c r="AF471" s="80">
        <v>6.35</v>
      </c>
      <c r="AG471" s="108" cm="1">
        <f t="array" ref="AG471">_xll.DCEPropSectPipe(AE471, AF471, "Area")/100</f>
        <v>53.19431074856206</v>
      </c>
      <c r="AH471" s="16" cm="1">
        <f t="array" ref="AH471">_xll.DCEPropSectPipe(AE471, AF471, "Ix")/10000</f>
        <v>4730.4733077169503</v>
      </c>
      <c r="AI471" s="16" cm="1">
        <f t="array" ref="AI471">_xll.DCEPropSectPipe(AE471, AF471, "Wx")/1000</f>
        <v>346.55482107816493</v>
      </c>
      <c r="AJ471" s="108">
        <f t="shared" si="193"/>
        <v>9.4301739777164251</v>
      </c>
      <c r="AK471" s="80" t="s">
        <v>212</v>
      </c>
      <c r="AL471" s="82">
        <v>-63.139093517940836</v>
      </c>
      <c r="AM471" s="82">
        <v>-9.0710500388768001</v>
      </c>
      <c r="AN471" s="82">
        <v>-1.767399663073135</v>
      </c>
      <c r="AO471" s="82">
        <v>4.8462098761465349</v>
      </c>
      <c r="AP471" s="82">
        <v>24.872819206600184</v>
      </c>
      <c r="AQ471" s="82">
        <v>0.14298737837135064</v>
      </c>
      <c r="AR471" s="72">
        <v>1</v>
      </c>
      <c r="AS471" s="116">
        <f t="shared" si="194"/>
        <v>6</v>
      </c>
      <c r="AT471" s="82">
        <v>2</v>
      </c>
      <c r="AU471" s="6">
        <f t="shared" si="195"/>
        <v>12</v>
      </c>
      <c r="AV471" s="111">
        <f t="shared" si="196"/>
        <v>5.1929149988743539E-2</v>
      </c>
      <c r="AW471" s="117">
        <f t="shared" si="197"/>
        <v>105</v>
      </c>
      <c r="AX471" s="111">
        <f t="shared" si="198"/>
        <v>1</v>
      </c>
      <c r="AY471" s="111">
        <f t="shared" si="199"/>
        <v>1</v>
      </c>
      <c r="AZ471" s="111">
        <f t="shared" si="200"/>
        <v>1</v>
      </c>
      <c r="BA471" s="111">
        <f t="shared" si="201"/>
        <v>5.4662263146045838E-2</v>
      </c>
      <c r="BB471" s="111">
        <f t="shared" si="202"/>
        <v>6.4399830677898562E-2</v>
      </c>
      <c r="BC471" s="111">
        <f t="shared" si="203"/>
        <v>0.33052744027270881</v>
      </c>
      <c r="BD471" s="111">
        <v>0</v>
      </c>
      <c r="BE471" s="111">
        <f t="shared" si="204"/>
        <v>0.4495895340966532</v>
      </c>
      <c r="BF471" s="6" t="str">
        <f t="shared" si="205"/>
        <v>OK</v>
      </c>
      <c r="BG471" s="16">
        <f t="shared" si="206"/>
        <v>63.625549371390676</v>
      </c>
      <c r="BH471" s="118">
        <f t="shared" si="207"/>
        <v>2.1193803644775273</v>
      </c>
      <c r="BI471" s="108">
        <f t="shared" si="208"/>
        <v>1.1781405849559512</v>
      </c>
      <c r="BJ471" s="6">
        <f t="shared" si="209"/>
        <v>1.2100932327518232</v>
      </c>
      <c r="BK471" s="108">
        <f t="shared" si="210"/>
        <v>1.4256599490854711</v>
      </c>
      <c r="BL471" s="118" cm="1">
        <f t="array" ref="BL471">IF(AO471=0,FactorPhi7121(BH471,"a"),noisuy2chieu(BK471,BH471,Data!$A$63:$M$85))</f>
        <v>0</v>
      </c>
      <c r="BM471" s="111">
        <v>1.26</v>
      </c>
      <c r="BN471" s="118">
        <f t="shared" si="211"/>
        <v>0.97667460394514638</v>
      </c>
      <c r="BO471" s="108" t="e">
        <f t="shared" si="212"/>
        <v>#DIV/0!</v>
      </c>
      <c r="BP471" s="6" t="e">
        <f t="shared" si="213"/>
        <v>#DIV/0!</v>
      </c>
      <c r="BQ471" s="16">
        <f t="shared" si="214"/>
        <v>127.25109874278135</v>
      </c>
      <c r="BR471" s="118">
        <f t="shared" si="215"/>
        <v>4.2387607289550546</v>
      </c>
      <c r="BS471" s="108">
        <f t="shared" si="216"/>
        <v>6.0467207402227459</v>
      </c>
      <c r="BT471" s="118">
        <f t="shared" si="217"/>
        <v>1.1000000000000001</v>
      </c>
      <c r="BU471" s="108">
        <f t="shared" si="218"/>
        <v>6.6513928142450212</v>
      </c>
      <c r="BV471" s="6" cm="1">
        <f t="array" ref="BV471">IF(AP471=0,FactorPhi7121(BR471,"a"),noisuy2chieu(BU471,BR471,Data!$A$63:$M$85))</f>
        <v>0</v>
      </c>
      <c r="BW471" s="111">
        <v>1.26</v>
      </c>
      <c r="BX471" s="111">
        <f t="shared" si="219"/>
        <v>0.90669841578058563</v>
      </c>
      <c r="BY471" s="113" t="e">
        <f t="shared" si="220"/>
        <v>#DIV/0!</v>
      </c>
      <c r="BZ471" s="6" t="e">
        <f t="shared" si="221"/>
        <v>#DIV/0!</v>
      </c>
      <c r="CA471" s="114">
        <f t="shared" si="222"/>
        <v>127.25109874278135</v>
      </c>
      <c r="CB471" s="115" t="e">
        <f t="shared" si="223"/>
        <v>#DIV/0!</v>
      </c>
      <c r="CC471" s="6" t="e">
        <f t="shared" si="224"/>
        <v>#DIV/0!</v>
      </c>
    </row>
    <row r="472" spans="27:81">
      <c r="AA472" s="79" t="s">
        <v>175</v>
      </c>
      <c r="AB472" s="80" t="s">
        <v>203</v>
      </c>
      <c r="AC472" s="81">
        <v>5.48</v>
      </c>
      <c r="AD472" s="81">
        <v>6</v>
      </c>
      <c r="AE472" s="80">
        <v>273</v>
      </c>
      <c r="AF472" s="80">
        <v>6.35</v>
      </c>
      <c r="AG472" s="108" cm="1">
        <f t="array" ref="AG472">_xll.DCEPropSectPipe(AE472, AF472, "Area")/100</f>
        <v>53.19431074856206</v>
      </c>
      <c r="AH472" s="16" cm="1">
        <f t="array" ref="AH472">_xll.DCEPropSectPipe(AE472, AF472, "Ix")/10000</f>
        <v>4730.4733077169503</v>
      </c>
      <c r="AI472" s="16" cm="1">
        <f t="array" ref="AI472">_xll.DCEPropSectPipe(AE472, AF472, "Wx")/1000</f>
        <v>346.55482107816493</v>
      </c>
      <c r="AJ472" s="108">
        <f t="shared" ref="AJ472:AJ535" si="225">SQRT(AH472/AG472)</f>
        <v>9.4301739777164251</v>
      </c>
      <c r="AK472" s="80" t="s">
        <v>212</v>
      </c>
      <c r="AL472" s="82">
        <v>-61.791833169208807</v>
      </c>
      <c r="AM472" s="82">
        <v>-9.0710500388768001</v>
      </c>
      <c r="AN472" s="82">
        <v>-1.767399663073135</v>
      </c>
      <c r="AO472" s="82">
        <v>9.6924197522930697</v>
      </c>
      <c r="AP472" s="82">
        <v>49.745638413200368</v>
      </c>
      <c r="AQ472" s="82">
        <v>0.14298737837135064</v>
      </c>
      <c r="AR472" s="72">
        <v>1</v>
      </c>
      <c r="AS472" s="116">
        <f t="shared" ref="AS472:AS535" si="226">AR472*AD472</f>
        <v>6</v>
      </c>
      <c r="AT472" s="82">
        <v>2</v>
      </c>
      <c r="AU472" s="6">
        <f t="shared" ref="AU472:AU535" si="227">AT472*AD472</f>
        <v>12</v>
      </c>
      <c r="AV472" s="111">
        <f t="shared" ref="AV472:AV535" si="228">ABS(AL472)/(AG472*$F$23)*10</f>
        <v>5.0821087125862668E-2</v>
      </c>
      <c r="AW472" s="117">
        <f t="shared" ref="AW472:AW535" si="229">IF(AV472&gt;0.1,104,105)</f>
        <v>105</v>
      </c>
      <c r="AX472" s="111">
        <f t="shared" ref="AX472:AX535" si="230">IF(AW472=104,1.5,1)</f>
        <v>1</v>
      </c>
      <c r="AY472" s="111">
        <f t="shared" ref="AY472:AY535" si="231">IF(AW472=104,1.26,1)</f>
        <v>1</v>
      </c>
      <c r="AZ472" s="111">
        <f t="shared" ref="AZ472:AZ535" si="232">IF(AW472=104,1.26,1)</f>
        <v>1</v>
      </c>
      <c r="BA472" s="111">
        <f t="shared" ref="BA472:BA535" si="233">(ABS(AL472)/(AG472*$F$23*$I$23)*10)^AX472</f>
        <v>5.349588118511861E-2</v>
      </c>
      <c r="BB472" s="111">
        <f t="shared" ref="BB472:BB535" si="234">ABS(AO472)/(AY472*AI472*$F$23*$I$23)*1000</f>
        <v>0.12879966135579712</v>
      </c>
      <c r="BC472" s="111">
        <f t="shared" ref="BC472:BC535" si="235">ABS(AP472)/(AZ472*AI472*$F$23*$I$23)*1000</f>
        <v>0.66105488054541761</v>
      </c>
      <c r="BD472" s="111">
        <v>0</v>
      </c>
      <c r="BE472" s="111">
        <f t="shared" ref="BE472:BE535" si="236">BA472+BB472+BC472+BD472</f>
        <v>0.84335042308633335</v>
      </c>
      <c r="BF472" s="6" t="str">
        <f t="shared" ref="BF472:BF535" si="237">IF(BE472&lt;=1,"OK","Check")</f>
        <v>OK</v>
      </c>
      <c r="BG472" s="16">
        <f t="shared" ref="BG472:BG535" si="238">AS472*100/AJ472</f>
        <v>63.625549371390676</v>
      </c>
      <c r="BH472" s="118">
        <f t="shared" ref="BH472:BH535" si="239">BG472*SQRT($F$23/$D$23)</f>
        <v>2.1193803644775273</v>
      </c>
      <c r="BI472" s="108">
        <f t="shared" ref="BI472:BI535" si="240">ABS((AO472/AL472)*100*AG472/AI472)</f>
        <v>2.4076556643696603</v>
      </c>
      <c r="BJ472" s="6">
        <f t="shared" ref="BJ472:BJ535" si="241">IF(AND(BH472&lt;=5,BI472&lt;=5),(1.35-0.05*BI472)-0.01*(5-BI472)*BH472,1.1)</f>
        <v>1.1746755799525224</v>
      </c>
      <c r="BK472" s="108">
        <f t="shared" ref="BK472:BK535" si="242">BI472*BJ472</f>
        <v>2.828214313869406</v>
      </c>
      <c r="BL472" s="118" cm="1">
        <f t="array" ref="BL472">IF(AO472=0,FactorPhi7121(BH472,"a"),noisuy2chieu(BK472,BH472,Data!$A$63:$M$85))</f>
        <v>0</v>
      </c>
      <c r="BM472" s="111">
        <v>1.26</v>
      </c>
      <c r="BN472" s="118">
        <f t="shared" ref="BN472:BN535" si="243">IF(BH472&lt;=1,1,1-0.1*ABS(AL472)*BH472^2/(AG472*$F$23)*10)</f>
        <v>0.97717232064445636</v>
      </c>
      <c r="BO472" s="108" t="e">
        <f t="shared" ref="BO472:BO535" si="244">ABS(AL472)/(BV472*AG472*$F$23*$I$23)*10+ABS(AO472)*1000/(BM472*BN472*AI472*$F$23*$I$23)</f>
        <v>#DIV/0!</v>
      </c>
      <c r="BP472" s="6" t="e">
        <f t="shared" ref="BP472:BP535" si="245">IF(BO472&lt;=1,"OK","Check")</f>
        <v>#DIV/0!</v>
      </c>
      <c r="BQ472" s="16">
        <f t="shared" ref="BQ472:BQ535" si="246">AU472*100/AJ472</f>
        <v>127.25109874278135</v>
      </c>
      <c r="BR472" s="118">
        <f t="shared" ref="BR472:BR535" si="247">BQ472*SQRT($F$23/$D$23)</f>
        <v>4.2387607289550546</v>
      </c>
      <c r="BS472" s="108">
        <f t="shared" ref="BS472:BS535" si="248">ABS((AP472/AL472)*100*AG472/AI472)</f>
        <v>12.357117331292951</v>
      </c>
      <c r="BT472" s="118">
        <f t="shared" ref="BT472:BT535" si="249">IF(AND(BR472&lt;=5,BS472&lt;=5),(1.35-0.05*BS472)-0.01*(5-BS472)*BR472,1.1)</f>
        <v>1.1000000000000001</v>
      </c>
      <c r="BU472" s="108">
        <f t="shared" ref="BU472:BU535" si="250">BS472*BT472</f>
        <v>13.592829064422247</v>
      </c>
      <c r="BV472" s="6" cm="1">
        <f t="array" ref="BV472">IF(AP472=0,FactorPhi7121(BR472,"a"),noisuy2chieu(BU472,BR472,Data!$A$63:$M$85))</f>
        <v>0</v>
      </c>
      <c r="BW472" s="111">
        <v>1.26</v>
      </c>
      <c r="BX472" s="111">
        <f t="shared" ref="BX472:BX535" si="251">IF(BR472&lt;=1,1,1-0.1*ABS(AL472)*BR472^2/(AG472*$F$23)*10)</f>
        <v>0.90868928257782566</v>
      </c>
      <c r="BY472" s="113" t="e">
        <f t="shared" ref="BY472:BY535" si="252">ABS(AL472)/(BL472*AG472*$F$23*$I$23)*10+ABS(AP472)*1000/(BW472*BX472*AI472*$F$23*$I$23)</f>
        <v>#DIV/0!</v>
      </c>
      <c r="BZ472" s="6" t="e">
        <f t="shared" ref="BZ472:BZ535" si="253">IF(BY472&lt;=1,"OK","Check")</f>
        <v>#DIV/0!</v>
      </c>
      <c r="CA472" s="114">
        <f t="shared" ref="CA472:CA535" si="254">MAX(BG472,BQ472)</f>
        <v>127.25109874278135</v>
      </c>
      <c r="CB472" s="115" t="e">
        <f t="shared" ref="CB472:CB535" si="255">180-60*MAX(ABS(AL472)/(BV472*AG472*$F$23*$I$23)*10,ABS(AL472)/(BL472*AG472*$F$23*$I$23)*10,0.5)</f>
        <v>#DIV/0!</v>
      </c>
      <c r="CC472" s="6" t="e">
        <f t="shared" ref="CC472:CC535" si="256">IF(CA472&lt;=CB472,"OK","Check")</f>
        <v>#DIV/0!</v>
      </c>
    </row>
    <row r="473" spans="27:81">
      <c r="AA473" s="79" t="s">
        <v>175</v>
      </c>
      <c r="AB473" s="80" t="s">
        <v>203</v>
      </c>
      <c r="AC473" s="81">
        <v>0</v>
      </c>
      <c r="AD473" s="81">
        <v>6</v>
      </c>
      <c r="AE473" s="80">
        <v>273</v>
      </c>
      <c r="AF473" s="80">
        <v>6.35</v>
      </c>
      <c r="AG473" s="108" cm="1">
        <f t="array" ref="AG473">_xll.DCEPropSectPipe(AE473, AF473, "Area")/100</f>
        <v>53.19431074856206</v>
      </c>
      <c r="AH473" s="16" cm="1">
        <f t="array" ref="AH473">_xll.DCEPropSectPipe(AE473, AF473, "Ix")/10000</f>
        <v>4730.4733077169503</v>
      </c>
      <c r="AI473" s="16" cm="1">
        <f t="array" ref="AI473">_xll.DCEPropSectPipe(AE473, AF473, "Wx")/1000</f>
        <v>346.55482107816493</v>
      </c>
      <c r="AJ473" s="108">
        <f t="shared" si="225"/>
        <v>9.4301739777164251</v>
      </c>
      <c r="AK473" s="80" t="s">
        <v>213</v>
      </c>
      <c r="AL473" s="82">
        <v>-4.9942712706697847</v>
      </c>
      <c r="AM473" s="82">
        <v>-0.90790850642408971</v>
      </c>
      <c r="AN473" s="82">
        <v>-0.12468503718511087</v>
      </c>
      <c r="AO473" s="82">
        <v>0</v>
      </c>
      <c r="AP473" s="82">
        <v>0</v>
      </c>
      <c r="AQ473" s="82">
        <v>5.0254367084424233E-2</v>
      </c>
      <c r="AR473" s="72">
        <v>1</v>
      </c>
      <c r="AS473" s="116">
        <f t="shared" si="226"/>
        <v>6</v>
      </c>
      <c r="AT473" s="82">
        <v>2</v>
      </c>
      <c r="AU473" s="6">
        <f t="shared" si="227"/>
        <v>12</v>
      </c>
      <c r="AV473" s="111">
        <f t="shared" si="228"/>
        <v>4.1075702460851892E-3</v>
      </c>
      <c r="AW473" s="117">
        <f t="shared" si="229"/>
        <v>105</v>
      </c>
      <c r="AX473" s="111">
        <f t="shared" si="230"/>
        <v>1</v>
      </c>
      <c r="AY473" s="111">
        <f t="shared" si="231"/>
        <v>1</v>
      </c>
      <c r="AZ473" s="111">
        <f t="shared" si="232"/>
        <v>1</v>
      </c>
      <c r="BA473" s="111">
        <f t="shared" si="233"/>
        <v>4.3237581537738838E-3</v>
      </c>
      <c r="BB473" s="111">
        <f t="shared" si="234"/>
        <v>0</v>
      </c>
      <c r="BC473" s="111">
        <f t="shared" si="235"/>
        <v>0</v>
      </c>
      <c r="BD473" s="111">
        <v>0</v>
      </c>
      <c r="BE473" s="111">
        <f t="shared" si="236"/>
        <v>4.3237581537738838E-3</v>
      </c>
      <c r="BF473" s="6" t="str">
        <f t="shared" si="237"/>
        <v>OK</v>
      </c>
      <c r="BG473" s="16">
        <f t="shared" si="238"/>
        <v>63.625549371390676</v>
      </c>
      <c r="BH473" s="118">
        <f t="shared" si="239"/>
        <v>2.1193803644775273</v>
      </c>
      <c r="BI473" s="108">
        <f t="shared" si="240"/>
        <v>0</v>
      </c>
      <c r="BJ473" s="6">
        <f t="shared" si="241"/>
        <v>1.2440309817761237</v>
      </c>
      <c r="BK473" s="108">
        <f t="shared" si="242"/>
        <v>0</v>
      </c>
      <c r="BL473" s="118" cm="1">
        <f t="array" ref="BL473">IF(AO473=0,FactorPhi7121(BH473,"a"),noisuy2chieu(BK473,BH473,Data!$A$63:$M$85))</f>
        <v>0.86214274110469236</v>
      </c>
      <c r="BM473" s="111">
        <v>1.26</v>
      </c>
      <c r="BN473" s="118">
        <f t="shared" si="243"/>
        <v>0.99815497263417874</v>
      </c>
      <c r="BO473" s="108">
        <f t="shared" si="244"/>
        <v>1.0221759316723783E-2</v>
      </c>
      <c r="BP473" s="6" t="str">
        <f t="shared" si="245"/>
        <v>OK</v>
      </c>
      <c r="BQ473" s="16">
        <f t="shared" si="246"/>
        <v>127.25109874278135</v>
      </c>
      <c r="BR473" s="118">
        <f t="shared" si="247"/>
        <v>4.2387607289550546</v>
      </c>
      <c r="BS473" s="108">
        <f t="shared" si="248"/>
        <v>0</v>
      </c>
      <c r="BT473" s="118">
        <f t="shared" si="249"/>
        <v>1.1380619635522473</v>
      </c>
      <c r="BU473" s="108">
        <f t="shared" si="250"/>
        <v>0</v>
      </c>
      <c r="BV473" s="6" cm="1">
        <f t="array" ref="BV473">IF(AP473=0,FactorPhi7121(BR473,"a"),noisuy2chieu(BU473,BR473,Data!$A$63:$M$85))</f>
        <v>0.42299549615688942</v>
      </c>
      <c r="BW473" s="111">
        <v>1.26</v>
      </c>
      <c r="BX473" s="111">
        <f t="shared" si="251"/>
        <v>0.99261989053671484</v>
      </c>
      <c r="BY473" s="113">
        <f t="shared" si="252"/>
        <v>5.0151302651272201E-3</v>
      </c>
      <c r="BZ473" s="6" t="str">
        <f t="shared" si="253"/>
        <v>OK</v>
      </c>
      <c r="CA473" s="114">
        <f t="shared" si="254"/>
        <v>127.25109874278135</v>
      </c>
      <c r="CB473" s="115">
        <f t="shared" si="255"/>
        <v>150</v>
      </c>
      <c r="CC473" s="6" t="str">
        <f t="shared" si="256"/>
        <v>OK</v>
      </c>
    </row>
    <row r="474" spans="27:81">
      <c r="AA474" s="79" t="s">
        <v>175</v>
      </c>
      <c r="AB474" s="80" t="s">
        <v>203</v>
      </c>
      <c r="AC474" s="81">
        <v>2.74</v>
      </c>
      <c r="AD474" s="81">
        <v>6</v>
      </c>
      <c r="AE474" s="80">
        <v>273</v>
      </c>
      <c r="AF474" s="80">
        <v>6.35</v>
      </c>
      <c r="AG474" s="108" cm="1">
        <f t="array" ref="AG474">_xll.DCEPropSectPipe(AE474, AF474, "Area")/100</f>
        <v>53.19431074856206</v>
      </c>
      <c r="AH474" s="16" cm="1">
        <f t="array" ref="AH474">_xll.DCEPropSectPipe(AE474, AF474, "Ix")/10000</f>
        <v>4730.4733077169503</v>
      </c>
      <c r="AI474" s="16" cm="1">
        <f t="array" ref="AI474">_xll.DCEPropSectPipe(AE474, AF474, "Wx")/1000</f>
        <v>346.55482107816493</v>
      </c>
      <c r="AJ474" s="108">
        <f t="shared" si="225"/>
        <v>9.4301739777164251</v>
      </c>
      <c r="AK474" s="80" t="s">
        <v>213</v>
      </c>
      <c r="AL474" s="82">
        <v>-3.6470109219377473</v>
      </c>
      <c r="AM474" s="82">
        <v>-0.90790850642408971</v>
      </c>
      <c r="AN474" s="82">
        <v>-0.12468503718511087</v>
      </c>
      <c r="AO474" s="82">
        <v>0.34188637196157351</v>
      </c>
      <c r="AP474" s="82">
        <v>2.4894851246148546</v>
      </c>
      <c r="AQ474" s="82">
        <v>5.0254367084424233E-2</v>
      </c>
      <c r="AR474" s="72">
        <v>1</v>
      </c>
      <c r="AS474" s="116">
        <f t="shared" si="226"/>
        <v>6</v>
      </c>
      <c r="AT474" s="82">
        <v>2</v>
      </c>
      <c r="AU474" s="6">
        <f t="shared" si="227"/>
        <v>12</v>
      </c>
      <c r="AV474" s="111">
        <f t="shared" si="228"/>
        <v>2.9995073832043131E-3</v>
      </c>
      <c r="AW474" s="117">
        <f t="shared" si="229"/>
        <v>105</v>
      </c>
      <c r="AX474" s="111">
        <f t="shared" si="230"/>
        <v>1</v>
      </c>
      <c r="AY474" s="111">
        <f t="shared" si="231"/>
        <v>1</v>
      </c>
      <c r="AZ474" s="111">
        <f t="shared" si="232"/>
        <v>1</v>
      </c>
      <c r="BA474" s="111">
        <f t="shared" si="233"/>
        <v>3.1573761928466457E-3</v>
      </c>
      <c r="BB474" s="111">
        <f t="shared" si="234"/>
        <v>4.5432255366772405E-3</v>
      </c>
      <c r="BC474" s="111">
        <f t="shared" si="235"/>
        <v>3.308202174434597E-2</v>
      </c>
      <c r="BD474" s="111">
        <v>0</v>
      </c>
      <c r="BE474" s="111">
        <f t="shared" si="236"/>
        <v>4.0782623473869857E-2</v>
      </c>
      <c r="BF474" s="6" t="str">
        <f t="shared" si="237"/>
        <v>OK</v>
      </c>
      <c r="BG474" s="16">
        <f t="shared" si="238"/>
        <v>63.625549371390676</v>
      </c>
      <c r="BH474" s="118">
        <f t="shared" si="239"/>
        <v>2.1193803644775273</v>
      </c>
      <c r="BI474" s="108">
        <f t="shared" si="240"/>
        <v>1.4389243660512727</v>
      </c>
      <c r="BJ474" s="6">
        <f t="shared" si="241"/>
        <v>1.2025810439473335</v>
      </c>
      <c r="BK474" s="108">
        <f t="shared" si="242"/>
        <v>1.7304231662871945</v>
      </c>
      <c r="BL474" s="118" cm="1">
        <f t="array" ref="BL474">IF(AO474=0,FactorPhi7121(BH474,"a"),noisuy2chieu(BK474,BH474,Data!$A$63:$M$85))</f>
        <v>0</v>
      </c>
      <c r="BM474" s="111">
        <v>1.26</v>
      </c>
      <c r="BN474" s="118">
        <f t="shared" si="243"/>
        <v>0.99865268933348872</v>
      </c>
      <c r="BO474" s="108" t="e">
        <f t="shared" si="244"/>
        <v>#DIV/0!</v>
      </c>
      <c r="BP474" s="6" t="e">
        <f t="shared" si="245"/>
        <v>#DIV/0!</v>
      </c>
      <c r="BQ474" s="16">
        <f t="shared" si="246"/>
        <v>127.25109874278135</v>
      </c>
      <c r="BR474" s="118">
        <f t="shared" si="247"/>
        <v>4.2387607289550546</v>
      </c>
      <c r="BS474" s="108">
        <f t="shared" si="248"/>
        <v>10.477694048398991</v>
      </c>
      <c r="BT474" s="118">
        <f t="shared" si="249"/>
        <v>1.1000000000000001</v>
      </c>
      <c r="BU474" s="108">
        <f t="shared" si="250"/>
        <v>11.525463453238892</v>
      </c>
      <c r="BV474" s="6" cm="1">
        <f t="array" ref="BV474">IF(AP474=0,FactorPhi7121(BR474,"a"),noisuy2chieu(BU474,BR474,Data!$A$63:$M$85))</f>
        <v>0</v>
      </c>
      <c r="BW474" s="111">
        <v>1.26</v>
      </c>
      <c r="BX474" s="111">
        <f t="shared" si="251"/>
        <v>0.99461075733395488</v>
      </c>
      <c r="BY474" s="113" t="e">
        <f t="shared" si="252"/>
        <v>#DIV/0!</v>
      </c>
      <c r="BZ474" s="6" t="e">
        <f t="shared" si="253"/>
        <v>#DIV/0!</v>
      </c>
      <c r="CA474" s="114">
        <f t="shared" si="254"/>
        <v>127.25109874278135</v>
      </c>
      <c r="CB474" s="115" t="e">
        <f t="shared" si="255"/>
        <v>#DIV/0!</v>
      </c>
      <c r="CC474" s="6" t="e">
        <f t="shared" si="256"/>
        <v>#DIV/0!</v>
      </c>
    </row>
    <row r="475" spans="27:81">
      <c r="AA475" s="79" t="s">
        <v>175</v>
      </c>
      <c r="AB475" s="80" t="s">
        <v>203</v>
      </c>
      <c r="AC475" s="81">
        <v>5.48</v>
      </c>
      <c r="AD475" s="81">
        <v>6</v>
      </c>
      <c r="AE475" s="80">
        <v>273</v>
      </c>
      <c r="AF475" s="80">
        <v>6.35</v>
      </c>
      <c r="AG475" s="108" cm="1">
        <f t="array" ref="AG475">_xll.DCEPropSectPipe(AE475, AF475, "Area")/100</f>
        <v>53.19431074856206</v>
      </c>
      <c r="AH475" s="16" cm="1">
        <f t="array" ref="AH475">_xll.DCEPropSectPipe(AE475, AF475, "Ix")/10000</f>
        <v>4730.4733077169503</v>
      </c>
      <c r="AI475" s="16" cm="1">
        <f t="array" ref="AI475">_xll.DCEPropSectPipe(AE475, AF475, "Wx")/1000</f>
        <v>346.55482107816493</v>
      </c>
      <c r="AJ475" s="108">
        <f t="shared" si="225"/>
        <v>9.4301739777164251</v>
      </c>
      <c r="AK475" s="80" t="s">
        <v>213</v>
      </c>
      <c r="AL475" s="82">
        <v>-2.2997505732057175</v>
      </c>
      <c r="AM475" s="82">
        <v>-0.90790850642408971</v>
      </c>
      <c r="AN475" s="82">
        <v>-0.12468503718511087</v>
      </c>
      <c r="AO475" s="82">
        <v>0.68377274392314702</v>
      </c>
      <c r="AP475" s="82">
        <v>4.9789702492297092</v>
      </c>
      <c r="AQ475" s="82">
        <v>5.0254367084424233E-2</v>
      </c>
      <c r="AR475" s="72">
        <v>1</v>
      </c>
      <c r="AS475" s="116">
        <f t="shared" si="226"/>
        <v>6</v>
      </c>
      <c r="AT475" s="82">
        <v>2</v>
      </c>
      <c r="AU475" s="6">
        <f t="shared" si="227"/>
        <v>12</v>
      </c>
      <c r="AV475" s="111">
        <f t="shared" si="228"/>
        <v>1.8914445203234433E-3</v>
      </c>
      <c r="AW475" s="117">
        <f t="shared" si="229"/>
        <v>105</v>
      </c>
      <c r="AX475" s="111">
        <f t="shared" si="230"/>
        <v>1</v>
      </c>
      <c r="AY475" s="111">
        <f t="shared" si="231"/>
        <v>1</v>
      </c>
      <c r="AZ475" s="111">
        <f t="shared" si="232"/>
        <v>1</v>
      </c>
      <c r="BA475" s="111">
        <f t="shared" si="233"/>
        <v>1.9909942319194141E-3</v>
      </c>
      <c r="BB475" s="111">
        <f t="shared" si="234"/>
        <v>9.0864510733544811E-3</v>
      </c>
      <c r="BC475" s="111">
        <f t="shared" si="235"/>
        <v>6.616404348869194E-2</v>
      </c>
      <c r="BD475" s="111">
        <v>0</v>
      </c>
      <c r="BE475" s="111">
        <f t="shared" si="236"/>
        <v>7.7241488793965835E-2</v>
      </c>
      <c r="BF475" s="6" t="str">
        <f t="shared" si="237"/>
        <v>OK</v>
      </c>
      <c r="BG475" s="16">
        <f t="shared" si="238"/>
        <v>63.625549371390676</v>
      </c>
      <c r="BH475" s="118">
        <f t="shared" si="239"/>
        <v>2.1193803644775273</v>
      </c>
      <c r="BI475" s="108">
        <f t="shared" si="240"/>
        <v>4.5637756893924832</v>
      </c>
      <c r="BJ475" s="6">
        <f t="shared" si="241"/>
        <v>1.1125659631462828</v>
      </c>
      <c r="BK475" s="108">
        <f t="shared" si="242"/>
        <v>5.0775014954525384</v>
      </c>
      <c r="BL475" s="118" cm="1">
        <f t="array" ref="BL475">IF(AO475=0,FactorPhi7121(BH475,"a"),noisuy2chieu(BK475,BH475,Data!$A$63:$M$85))</f>
        <v>0</v>
      </c>
      <c r="BM475" s="111">
        <v>1.26</v>
      </c>
      <c r="BN475" s="118">
        <f t="shared" si="243"/>
        <v>0.9991504060327987</v>
      </c>
      <c r="BO475" s="108" t="e">
        <f t="shared" si="244"/>
        <v>#DIV/0!</v>
      </c>
      <c r="BP475" s="6" t="e">
        <f t="shared" si="245"/>
        <v>#DIV/0!</v>
      </c>
      <c r="BQ475" s="16">
        <f t="shared" si="246"/>
        <v>127.25109874278135</v>
      </c>
      <c r="BR475" s="118">
        <f t="shared" si="247"/>
        <v>4.2387607289550546</v>
      </c>
      <c r="BS475" s="108">
        <f t="shared" si="248"/>
        <v>33.231660056044774</v>
      </c>
      <c r="BT475" s="118">
        <f t="shared" si="249"/>
        <v>1.1000000000000001</v>
      </c>
      <c r="BU475" s="108">
        <f t="shared" si="250"/>
        <v>36.554826061649251</v>
      </c>
      <c r="BV475" s="6" cm="1">
        <f t="array" ref="BV475">IF(AP475=0,FactorPhi7121(BR475,"a"),noisuy2chieu(BU475,BR475,Data!$A$63:$M$85))</f>
        <v>0</v>
      </c>
      <c r="BW475" s="111">
        <v>1.26</v>
      </c>
      <c r="BX475" s="111">
        <f t="shared" si="251"/>
        <v>0.99660162413119491</v>
      </c>
      <c r="BY475" s="113" t="e">
        <f t="shared" si="252"/>
        <v>#DIV/0!</v>
      </c>
      <c r="BZ475" s="6" t="e">
        <f t="shared" si="253"/>
        <v>#DIV/0!</v>
      </c>
      <c r="CA475" s="114">
        <f t="shared" si="254"/>
        <v>127.25109874278135</v>
      </c>
      <c r="CB475" s="115" t="e">
        <f t="shared" si="255"/>
        <v>#DIV/0!</v>
      </c>
      <c r="CC475" s="6" t="e">
        <f t="shared" si="256"/>
        <v>#DIV/0!</v>
      </c>
    </row>
    <row r="476" spans="27:81">
      <c r="AA476" s="79" t="s">
        <v>175</v>
      </c>
      <c r="AB476" s="80" t="s">
        <v>203</v>
      </c>
      <c r="AC476" s="81">
        <v>0</v>
      </c>
      <c r="AD476" s="81">
        <v>6</v>
      </c>
      <c r="AE476" s="80">
        <v>273</v>
      </c>
      <c r="AF476" s="80">
        <v>6.35</v>
      </c>
      <c r="AG476" s="108" cm="1">
        <f t="array" ref="AG476">_xll.DCEPropSectPipe(AE476, AF476, "Area")/100</f>
        <v>53.19431074856206</v>
      </c>
      <c r="AH476" s="16" cm="1">
        <f t="array" ref="AH476">_xll.DCEPropSectPipe(AE476, AF476, "Ix")/10000</f>
        <v>4730.4733077169503</v>
      </c>
      <c r="AI476" s="16" cm="1">
        <f t="array" ref="AI476">_xll.DCEPropSectPipe(AE476, AF476, "Wx")/1000</f>
        <v>346.55482107816493</v>
      </c>
      <c r="AJ476" s="108">
        <f t="shared" si="225"/>
        <v>9.4301739777164251</v>
      </c>
      <c r="AK476" s="80" t="s">
        <v>214</v>
      </c>
      <c r="AL476" s="82">
        <v>-18.835437682558485</v>
      </c>
      <c r="AM476" s="82">
        <v>-0.9630622414053871</v>
      </c>
      <c r="AN476" s="82">
        <v>-0.23151913541438177</v>
      </c>
      <c r="AO476" s="82">
        <v>0</v>
      </c>
      <c r="AP476" s="82">
        <v>0</v>
      </c>
      <c r="AQ476" s="82">
        <v>-3.1510345374305637E-2</v>
      </c>
      <c r="AR476" s="72">
        <v>1</v>
      </c>
      <c r="AS476" s="116">
        <f t="shared" si="226"/>
        <v>6</v>
      </c>
      <c r="AT476" s="82">
        <v>2</v>
      </c>
      <c r="AU476" s="6">
        <f t="shared" si="227"/>
        <v>12</v>
      </c>
      <c r="AV476" s="111">
        <f t="shared" si="228"/>
        <v>1.5491325801870822E-2</v>
      </c>
      <c r="AW476" s="117">
        <f t="shared" si="229"/>
        <v>105</v>
      </c>
      <c r="AX476" s="111">
        <f t="shared" si="230"/>
        <v>1</v>
      </c>
      <c r="AY476" s="111">
        <f t="shared" si="231"/>
        <v>1</v>
      </c>
      <c r="AZ476" s="111">
        <f t="shared" si="232"/>
        <v>1</v>
      </c>
      <c r="BA476" s="111">
        <f t="shared" si="233"/>
        <v>1.6306658738811392E-2</v>
      </c>
      <c r="BB476" s="111">
        <f t="shared" si="234"/>
        <v>0</v>
      </c>
      <c r="BC476" s="111">
        <f t="shared" si="235"/>
        <v>0</v>
      </c>
      <c r="BD476" s="111">
        <v>0</v>
      </c>
      <c r="BE476" s="111">
        <f t="shared" si="236"/>
        <v>1.6306658738811392E-2</v>
      </c>
      <c r="BF476" s="6" t="str">
        <f t="shared" si="237"/>
        <v>OK</v>
      </c>
      <c r="BG476" s="16">
        <f t="shared" si="238"/>
        <v>63.625549371390676</v>
      </c>
      <c r="BH476" s="118">
        <f t="shared" si="239"/>
        <v>2.1193803644775273</v>
      </c>
      <c r="BI476" s="108">
        <f t="shared" si="240"/>
        <v>0</v>
      </c>
      <c r="BJ476" s="6">
        <f t="shared" si="241"/>
        <v>1.2440309817761237</v>
      </c>
      <c r="BK476" s="108">
        <f t="shared" si="242"/>
        <v>0</v>
      </c>
      <c r="BL476" s="118" cm="1">
        <f t="array" ref="BL476">IF(AO476=0,FactorPhi7121(BH476,"a"),noisuy2chieu(BK476,BH476,Data!$A$63:$M$85))</f>
        <v>0.86214274110469236</v>
      </c>
      <c r="BM476" s="111">
        <v>1.26</v>
      </c>
      <c r="BN476" s="118">
        <f t="shared" si="243"/>
        <v>0.99304164790254157</v>
      </c>
      <c r="BO476" s="108">
        <f t="shared" si="244"/>
        <v>3.8550431120342794E-2</v>
      </c>
      <c r="BP476" s="6" t="str">
        <f t="shared" si="245"/>
        <v>OK</v>
      </c>
      <c r="BQ476" s="16">
        <f t="shared" si="246"/>
        <v>127.25109874278135</v>
      </c>
      <c r="BR476" s="118">
        <f t="shared" si="247"/>
        <v>4.2387607289550546</v>
      </c>
      <c r="BS476" s="108">
        <f t="shared" si="248"/>
        <v>0</v>
      </c>
      <c r="BT476" s="118">
        <f t="shared" si="249"/>
        <v>1.1380619635522473</v>
      </c>
      <c r="BU476" s="108">
        <f t="shared" si="250"/>
        <v>0</v>
      </c>
      <c r="BV476" s="6" cm="1">
        <f t="array" ref="BV476">IF(AP476=0,FactorPhi7121(BR476,"a"),noisuy2chieu(BU476,BR476,Data!$A$63:$M$85))</f>
        <v>0.42299549615688942</v>
      </c>
      <c r="BW476" s="111">
        <v>1.26</v>
      </c>
      <c r="BX476" s="111">
        <f t="shared" si="251"/>
        <v>0.97216659161016605</v>
      </c>
      <c r="BY476" s="113">
        <f t="shared" si="252"/>
        <v>1.8914105473899979E-2</v>
      </c>
      <c r="BZ476" s="6" t="str">
        <f t="shared" si="253"/>
        <v>OK</v>
      </c>
      <c r="CA476" s="114">
        <f t="shared" si="254"/>
        <v>127.25109874278135</v>
      </c>
      <c r="CB476" s="115">
        <f t="shared" si="255"/>
        <v>150</v>
      </c>
      <c r="CC476" s="6" t="str">
        <f t="shared" si="256"/>
        <v>OK</v>
      </c>
    </row>
    <row r="477" spans="27:81">
      <c r="AA477" s="79" t="s">
        <v>175</v>
      </c>
      <c r="AB477" s="80" t="s">
        <v>203</v>
      </c>
      <c r="AC477" s="81">
        <v>2.74</v>
      </c>
      <c r="AD477" s="81">
        <v>6</v>
      </c>
      <c r="AE477" s="80">
        <v>273</v>
      </c>
      <c r="AF477" s="80">
        <v>6.35</v>
      </c>
      <c r="AG477" s="108" cm="1">
        <f t="array" ref="AG477">_xll.DCEPropSectPipe(AE477, AF477, "Area")/100</f>
        <v>53.19431074856206</v>
      </c>
      <c r="AH477" s="16" cm="1">
        <f t="array" ref="AH477">_xll.DCEPropSectPipe(AE477, AF477, "Ix")/10000</f>
        <v>4730.4733077169503</v>
      </c>
      <c r="AI477" s="16" cm="1">
        <f t="array" ref="AI477">_xll.DCEPropSectPipe(AE477, AF477, "Wx")/1000</f>
        <v>346.55482107816493</v>
      </c>
      <c r="AJ477" s="108">
        <f t="shared" si="225"/>
        <v>9.4301739777164251</v>
      </c>
      <c r="AK477" s="80" t="s">
        <v>214</v>
      </c>
      <c r="AL477" s="82">
        <v>-17.488177333826446</v>
      </c>
      <c r="AM477" s="82">
        <v>-0.9630622414053871</v>
      </c>
      <c r="AN477" s="82">
        <v>-0.23151913541438177</v>
      </c>
      <c r="AO477" s="82">
        <v>0.63482546930623462</v>
      </c>
      <c r="AP477" s="82">
        <v>2.640716665933573</v>
      </c>
      <c r="AQ477" s="82">
        <v>-3.1510345374305637E-2</v>
      </c>
      <c r="AR477" s="72">
        <v>1</v>
      </c>
      <c r="AS477" s="116">
        <f t="shared" si="226"/>
        <v>6</v>
      </c>
      <c r="AT477" s="82">
        <v>2</v>
      </c>
      <c r="AU477" s="6">
        <f t="shared" si="227"/>
        <v>12</v>
      </c>
      <c r="AV477" s="111">
        <f t="shared" si="228"/>
        <v>1.4383262938989942E-2</v>
      </c>
      <c r="AW477" s="117">
        <f t="shared" si="229"/>
        <v>105</v>
      </c>
      <c r="AX477" s="111">
        <f t="shared" si="230"/>
        <v>1</v>
      </c>
      <c r="AY477" s="111">
        <f t="shared" si="231"/>
        <v>1</v>
      </c>
      <c r="AZ477" s="111">
        <f t="shared" si="232"/>
        <v>1</v>
      </c>
      <c r="BA477" s="111">
        <f t="shared" si="233"/>
        <v>1.5140276777884152E-2</v>
      </c>
      <c r="BB477" s="111">
        <f t="shared" si="234"/>
        <v>8.4360054100353684E-3</v>
      </c>
      <c r="BC477" s="111">
        <f t="shared" si="235"/>
        <v>3.509169237417583E-2</v>
      </c>
      <c r="BD477" s="111">
        <v>0</v>
      </c>
      <c r="BE477" s="111">
        <f t="shared" si="236"/>
        <v>5.8667974562095354E-2</v>
      </c>
      <c r="BF477" s="6" t="str">
        <f t="shared" si="237"/>
        <v>OK</v>
      </c>
      <c r="BG477" s="16">
        <f t="shared" si="238"/>
        <v>63.625549371390676</v>
      </c>
      <c r="BH477" s="118">
        <f t="shared" si="239"/>
        <v>2.1193803644775273</v>
      </c>
      <c r="BI477" s="108">
        <f t="shared" si="240"/>
        <v>0.55718964281802896</v>
      </c>
      <c r="BJ477" s="6">
        <f t="shared" si="241"/>
        <v>1.2279804675180099</v>
      </c>
      <c r="BK477" s="108">
        <f t="shared" si="242"/>
        <v>0.68421799808387618</v>
      </c>
      <c r="BL477" s="118" cm="1">
        <f t="array" ref="BL477">IF(AO477=0,FactorPhi7121(BH477,"a"),noisuy2chieu(BK477,BH477,Data!$A$63:$M$85))</f>
        <v>0</v>
      </c>
      <c r="BM477" s="111">
        <v>1.26</v>
      </c>
      <c r="BN477" s="118">
        <f t="shared" si="243"/>
        <v>0.99353936460185155</v>
      </c>
      <c r="BO477" s="108" t="e">
        <f t="shared" si="244"/>
        <v>#DIV/0!</v>
      </c>
      <c r="BP477" s="6" t="e">
        <f t="shared" si="245"/>
        <v>#DIV/0!</v>
      </c>
      <c r="BQ477" s="16">
        <f t="shared" si="246"/>
        <v>127.25109874278135</v>
      </c>
      <c r="BR477" s="118">
        <f t="shared" si="247"/>
        <v>4.2387607289550546</v>
      </c>
      <c r="BS477" s="108">
        <f t="shared" si="248"/>
        <v>2.3177708630422993</v>
      </c>
      <c r="BT477" s="118">
        <f t="shared" si="249"/>
        <v>1.1204181815299319</v>
      </c>
      <c r="BU477" s="108">
        <f t="shared" si="250"/>
        <v>2.5968726155729138</v>
      </c>
      <c r="BV477" s="6" cm="1">
        <f t="array" ref="BV477">IF(AP477=0,FactorPhi7121(BR477,"a"),noisuy2chieu(BU477,BR477,Data!$A$63:$M$85))</f>
        <v>0</v>
      </c>
      <c r="BW477" s="111">
        <v>1.26</v>
      </c>
      <c r="BX477" s="111">
        <f t="shared" si="251"/>
        <v>0.97415745840740608</v>
      </c>
      <c r="BY477" s="113" t="e">
        <f t="shared" si="252"/>
        <v>#DIV/0!</v>
      </c>
      <c r="BZ477" s="6" t="e">
        <f t="shared" si="253"/>
        <v>#DIV/0!</v>
      </c>
      <c r="CA477" s="114">
        <f t="shared" si="254"/>
        <v>127.25109874278135</v>
      </c>
      <c r="CB477" s="115" t="e">
        <f t="shared" si="255"/>
        <v>#DIV/0!</v>
      </c>
      <c r="CC477" s="6" t="e">
        <f t="shared" si="256"/>
        <v>#DIV/0!</v>
      </c>
    </row>
    <row r="478" spans="27:81">
      <c r="AA478" s="79" t="s">
        <v>175</v>
      </c>
      <c r="AB478" s="80" t="s">
        <v>203</v>
      </c>
      <c r="AC478" s="81">
        <v>5.48</v>
      </c>
      <c r="AD478" s="81">
        <v>6</v>
      </c>
      <c r="AE478" s="80">
        <v>273</v>
      </c>
      <c r="AF478" s="80">
        <v>6.35</v>
      </c>
      <c r="AG478" s="108" cm="1">
        <f t="array" ref="AG478">_xll.DCEPropSectPipe(AE478, AF478, "Area")/100</f>
        <v>53.19431074856206</v>
      </c>
      <c r="AH478" s="16" cm="1">
        <f t="array" ref="AH478">_xll.DCEPropSectPipe(AE478, AF478, "Ix")/10000</f>
        <v>4730.4733077169503</v>
      </c>
      <c r="AI478" s="16" cm="1">
        <f t="array" ref="AI478">_xll.DCEPropSectPipe(AE478, AF478, "Wx")/1000</f>
        <v>346.55482107816493</v>
      </c>
      <c r="AJ478" s="108">
        <f t="shared" si="225"/>
        <v>9.4301739777164251</v>
      </c>
      <c r="AK478" s="80" t="s">
        <v>214</v>
      </c>
      <c r="AL478" s="82">
        <v>-16.140916985094417</v>
      </c>
      <c r="AM478" s="82">
        <v>-0.9630622414053871</v>
      </c>
      <c r="AN478" s="82">
        <v>-0.23151913541438177</v>
      </c>
      <c r="AO478" s="82">
        <v>1.2696509386124692</v>
      </c>
      <c r="AP478" s="82">
        <v>5.281433331867146</v>
      </c>
      <c r="AQ478" s="82">
        <v>-3.1510345374305637E-2</v>
      </c>
      <c r="AR478" s="72">
        <v>1</v>
      </c>
      <c r="AS478" s="116">
        <f t="shared" si="226"/>
        <v>6</v>
      </c>
      <c r="AT478" s="82">
        <v>2</v>
      </c>
      <c r="AU478" s="6">
        <f t="shared" si="227"/>
        <v>12</v>
      </c>
      <c r="AV478" s="111">
        <f t="shared" si="228"/>
        <v>1.3275200076109075E-2</v>
      </c>
      <c r="AW478" s="117">
        <f t="shared" si="229"/>
        <v>105</v>
      </c>
      <c r="AX478" s="111">
        <f t="shared" si="230"/>
        <v>1</v>
      </c>
      <c r="AY478" s="111">
        <f t="shared" si="231"/>
        <v>1</v>
      </c>
      <c r="AZ478" s="111">
        <f t="shared" si="232"/>
        <v>1</v>
      </c>
      <c r="BA478" s="111">
        <f t="shared" si="233"/>
        <v>1.3973894816956923E-2</v>
      </c>
      <c r="BB478" s="111">
        <f t="shared" si="234"/>
        <v>1.6872010820070737E-2</v>
      </c>
      <c r="BC478" s="111">
        <f t="shared" si="235"/>
        <v>7.018338474835166E-2</v>
      </c>
      <c r="BD478" s="111">
        <v>0</v>
      </c>
      <c r="BE478" s="111">
        <f t="shared" si="236"/>
        <v>0.10102929038537932</v>
      </c>
      <c r="BF478" s="6" t="str">
        <f t="shared" si="237"/>
        <v>OK</v>
      </c>
      <c r="BG478" s="16">
        <f t="shared" si="238"/>
        <v>63.625549371390676</v>
      </c>
      <c r="BH478" s="118">
        <f t="shared" si="239"/>
        <v>2.1193803644775273</v>
      </c>
      <c r="BI478" s="108">
        <f t="shared" si="240"/>
        <v>1.2073950062653283</v>
      </c>
      <c r="BJ478" s="6">
        <f t="shared" si="241"/>
        <v>1.209250524147327</v>
      </c>
      <c r="BK478" s="108">
        <f t="shared" si="242"/>
        <v>1.4600430441792134</v>
      </c>
      <c r="BL478" s="118" cm="1">
        <f t="array" ref="BL478">IF(AO478=0,FactorPhi7121(BH478,"a"),noisuy2chieu(BK478,BH478,Data!$A$63:$M$85))</f>
        <v>0</v>
      </c>
      <c r="BM478" s="111">
        <v>1.26</v>
      </c>
      <c r="BN478" s="118">
        <f t="shared" si="243"/>
        <v>0.99403708130116153</v>
      </c>
      <c r="BO478" s="108" t="e">
        <f t="shared" si="244"/>
        <v>#DIV/0!</v>
      </c>
      <c r="BP478" s="6" t="e">
        <f t="shared" si="245"/>
        <v>#DIV/0!</v>
      </c>
      <c r="BQ478" s="16">
        <f t="shared" si="246"/>
        <v>127.25109874278135</v>
      </c>
      <c r="BR478" s="118">
        <f t="shared" si="247"/>
        <v>4.2387607289550546</v>
      </c>
      <c r="BS478" s="108">
        <f t="shared" si="248"/>
        <v>5.0224640780311383</v>
      </c>
      <c r="BT478" s="118">
        <f t="shared" si="249"/>
        <v>1.1000000000000001</v>
      </c>
      <c r="BU478" s="108">
        <f t="shared" si="250"/>
        <v>5.5247104858342526</v>
      </c>
      <c r="BV478" s="6" cm="1">
        <f t="array" ref="BV478">IF(AP478=0,FactorPhi7121(BR478,"a"),noisuy2chieu(BU478,BR478,Data!$A$63:$M$85))</f>
        <v>0</v>
      </c>
      <c r="BW478" s="111">
        <v>1.26</v>
      </c>
      <c r="BX478" s="111">
        <f t="shared" si="251"/>
        <v>0.97614832520464612</v>
      </c>
      <c r="BY478" s="113" t="e">
        <f t="shared" si="252"/>
        <v>#DIV/0!</v>
      </c>
      <c r="BZ478" s="6" t="e">
        <f t="shared" si="253"/>
        <v>#DIV/0!</v>
      </c>
      <c r="CA478" s="114">
        <f t="shared" si="254"/>
        <v>127.25109874278135</v>
      </c>
      <c r="CB478" s="115" t="e">
        <f t="shared" si="255"/>
        <v>#DIV/0!</v>
      </c>
      <c r="CC478" s="6" t="e">
        <f t="shared" si="256"/>
        <v>#DIV/0!</v>
      </c>
    </row>
    <row r="479" spans="27:81">
      <c r="AA479" s="79" t="s">
        <v>175</v>
      </c>
      <c r="AB479" s="80" t="s">
        <v>203</v>
      </c>
      <c r="AC479" s="81">
        <v>0</v>
      </c>
      <c r="AD479" s="81">
        <v>6</v>
      </c>
      <c r="AE479" s="80">
        <v>273</v>
      </c>
      <c r="AF479" s="80">
        <v>6.35</v>
      </c>
      <c r="AG479" s="108" cm="1">
        <f t="array" ref="AG479">_xll.DCEPropSectPipe(AE479, AF479, "Area")/100</f>
        <v>53.19431074856206</v>
      </c>
      <c r="AH479" s="16" cm="1">
        <f t="array" ref="AH479">_xll.DCEPropSectPipe(AE479, AF479, "Ix")/10000</f>
        <v>4730.4733077169503</v>
      </c>
      <c r="AI479" s="16" cm="1">
        <f t="array" ref="AI479">_xll.DCEPropSectPipe(AE479, AF479, "Wx")/1000</f>
        <v>346.55482107816493</v>
      </c>
      <c r="AJ479" s="108">
        <f t="shared" si="225"/>
        <v>9.4301739777164251</v>
      </c>
      <c r="AK479" s="80" t="s">
        <v>215</v>
      </c>
      <c r="AL479" s="82">
        <v>-79.59544684220208</v>
      </c>
      <c r="AM479" s="82">
        <v>-9.3772897538702829</v>
      </c>
      <c r="AN479" s="82">
        <v>-1.9207580302074732</v>
      </c>
      <c r="AO479" s="82">
        <v>0</v>
      </c>
      <c r="AP479" s="82">
        <v>0</v>
      </c>
      <c r="AQ479" s="82">
        <v>6.7520184208314987E-2</v>
      </c>
      <c r="AR479" s="72">
        <v>1</v>
      </c>
      <c r="AS479" s="116">
        <f t="shared" si="226"/>
        <v>6</v>
      </c>
      <c r="AT479" s="82">
        <v>2</v>
      </c>
      <c r="AU479" s="6">
        <f t="shared" si="227"/>
        <v>12</v>
      </c>
      <c r="AV479" s="111">
        <f t="shared" si="228"/>
        <v>6.5463782692972941E-2</v>
      </c>
      <c r="AW479" s="117">
        <f t="shared" si="229"/>
        <v>105</v>
      </c>
      <c r="AX479" s="111">
        <f t="shared" si="230"/>
        <v>1</v>
      </c>
      <c r="AY479" s="111">
        <f t="shared" si="231"/>
        <v>1</v>
      </c>
      <c r="AZ479" s="111">
        <f t="shared" si="232"/>
        <v>1</v>
      </c>
      <c r="BA479" s="111">
        <f t="shared" si="233"/>
        <v>6.8909244939971526E-2</v>
      </c>
      <c r="BB479" s="111">
        <f t="shared" si="234"/>
        <v>0</v>
      </c>
      <c r="BC479" s="111">
        <f t="shared" si="235"/>
        <v>0</v>
      </c>
      <c r="BD479" s="111">
        <v>0</v>
      </c>
      <c r="BE479" s="111">
        <f t="shared" si="236"/>
        <v>6.8909244939971526E-2</v>
      </c>
      <c r="BF479" s="6" t="str">
        <f t="shared" si="237"/>
        <v>OK</v>
      </c>
      <c r="BG479" s="16">
        <f t="shared" si="238"/>
        <v>63.625549371390676</v>
      </c>
      <c r="BH479" s="118">
        <f t="shared" si="239"/>
        <v>2.1193803644775273</v>
      </c>
      <c r="BI479" s="108">
        <f t="shared" si="240"/>
        <v>0</v>
      </c>
      <c r="BJ479" s="6">
        <f t="shared" si="241"/>
        <v>1.2440309817761237</v>
      </c>
      <c r="BK479" s="108">
        <f t="shared" si="242"/>
        <v>0</v>
      </c>
      <c r="BL479" s="118" cm="1">
        <f t="array" ref="BL479">IF(AO479=0,FactorPhi7121(BH479,"a"),noisuy2chieu(BK479,BH479,Data!$A$63:$M$85))</f>
        <v>0.86214274110469236</v>
      </c>
      <c r="BM479" s="111">
        <v>1.26</v>
      </c>
      <c r="BN479" s="118">
        <f t="shared" si="243"/>
        <v>0.97059515399552165</v>
      </c>
      <c r="BO479" s="108">
        <f t="shared" si="244"/>
        <v>0.16290775094780918</v>
      </c>
      <c r="BP479" s="6" t="str">
        <f t="shared" si="245"/>
        <v>OK</v>
      </c>
      <c r="BQ479" s="16">
        <f t="shared" si="246"/>
        <v>127.25109874278135</v>
      </c>
      <c r="BR479" s="118">
        <f t="shared" si="247"/>
        <v>4.2387607289550546</v>
      </c>
      <c r="BS479" s="108">
        <f t="shared" si="248"/>
        <v>0</v>
      </c>
      <c r="BT479" s="118">
        <f t="shared" si="249"/>
        <v>1.1380619635522473</v>
      </c>
      <c r="BU479" s="108">
        <f t="shared" si="250"/>
        <v>0</v>
      </c>
      <c r="BV479" s="6" cm="1">
        <f t="array" ref="BV479">IF(AP479=0,FactorPhi7121(BR479,"a"),noisuy2chieu(BU479,BR479,Data!$A$63:$M$85))</f>
        <v>0.42299549615688942</v>
      </c>
      <c r="BW479" s="111">
        <v>1.26</v>
      </c>
      <c r="BX479" s="111">
        <f t="shared" si="251"/>
        <v>0.8823806159820865</v>
      </c>
      <c r="BY479" s="113">
        <f t="shared" si="252"/>
        <v>7.9927883927522009E-2</v>
      </c>
      <c r="BZ479" s="6" t="str">
        <f t="shared" si="253"/>
        <v>OK</v>
      </c>
      <c r="CA479" s="114">
        <f t="shared" si="254"/>
        <v>127.25109874278135</v>
      </c>
      <c r="CB479" s="115">
        <f t="shared" si="255"/>
        <v>150</v>
      </c>
      <c r="CC479" s="6" t="str">
        <f t="shared" si="256"/>
        <v>OK</v>
      </c>
    </row>
    <row r="480" spans="27:81">
      <c r="AA480" s="79" t="s">
        <v>175</v>
      </c>
      <c r="AB480" s="80" t="s">
        <v>203</v>
      </c>
      <c r="AC480" s="81">
        <v>2.74</v>
      </c>
      <c r="AD480" s="81">
        <v>6</v>
      </c>
      <c r="AE480" s="80">
        <v>273</v>
      </c>
      <c r="AF480" s="80">
        <v>6.35</v>
      </c>
      <c r="AG480" s="108" cm="1">
        <f t="array" ref="AG480">_xll.DCEPropSectPipe(AE480, AF480, "Area")/100</f>
        <v>53.19431074856206</v>
      </c>
      <c r="AH480" s="16" cm="1">
        <f t="array" ref="AH480">_xll.DCEPropSectPipe(AE480, AF480, "Ix")/10000</f>
        <v>4730.4733077169503</v>
      </c>
      <c r="AI480" s="16" cm="1">
        <f t="array" ref="AI480">_xll.DCEPropSectPipe(AE480, AF480, "Wx")/1000</f>
        <v>346.55482107816493</v>
      </c>
      <c r="AJ480" s="108">
        <f t="shared" si="225"/>
        <v>9.4301739777164251</v>
      </c>
      <c r="AK480" s="80" t="s">
        <v>215</v>
      </c>
      <c r="AL480" s="82">
        <v>-78.248186493470058</v>
      </c>
      <c r="AM480" s="82">
        <v>-9.3772897538702829</v>
      </c>
      <c r="AN480" s="82">
        <v>-1.9207580302074732</v>
      </c>
      <c r="AO480" s="82">
        <v>5.2667185188288901</v>
      </c>
      <c r="AP480" s="82">
        <v>25.712528505112317</v>
      </c>
      <c r="AQ480" s="82">
        <v>6.7520184208314987E-2</v>
      </c>
      <c r="AR480" s="72">
        <v>1</v>
      </c>
      <c r="AS480" s="116">
        <f t="shared" si="226"/>
        <v>6</v>
      </c>
      <c r="AT480" s="82">
        <v>2</v>
      </c>
      <c r="AU480" s="6">
        <f t="shared" si="227"/>
        <v>12</v>
      </c>
      <c r="AV480" s="111">
        <f t="shared" si="228"/>
        <v>6.435571983009207E-2</v>
      </c>
      <c r="AW480" s="117">
        <f t="shared" si="229"/>
        <v>105</v>
      </c>
      <c r="AX480" s="111">
        <f t="shared" si="230"/>
        <v>1</v>
      </c>
      <c r="AY480" s="111">
        <f t="shared" si="231"/>
        <v>1</v>
      </c>
      <c r="AZ480" s="111">
        <f t="shared" si="232"/>
        <v>1</v>
      </c>
      <c r="BA480" s="111">
        <f t="shared" si="233"/>
        <v>6.7742862979044291E-2</v>
      </c>
      <c r="BB480" s="111">
        <f t="shared" si="234"/>
        <v>6.9987844007785516E-2</v>
      </c>
      <c r="BC480" s="111">
        <f t="shared" si="235"/>
        <v>0.34168608548719087</v>
      </c>
      <c r="BD480" s="111">
        <v>0</v>
      </c>
      <c r="BE480" s="111">
        <f t="shared" si="236"/>
        <v>0.47941679247402069</v>
      </c>
      <c r="BF480" s="6" t="str">
        <f t="shared" si="237"/>
        <v>OK</v>
      </c>
      <c r="BG480" s="16">
        <f t="shared" si="238"/>
        <v>63.625549371390676</v>
      </c>
      <c r="BH480" s="118">
        <f t="shared" si="239"/>
        <v>2.1193803644775273</v>
      </c>
      <c r="BI480" s="108">
        <f t="shared" si="240"/>
        <v>1.0331397424026159</v>
      </c>
      <c r="BJ480" s="6">
        <f t="shared" si="241"/>
        <v>1.2142701554940876</v>
      </c>
      <c r="BK480" s="108">
        <f t="shared" si="242"/>
        <v>1.254510755654346</v>
      </c>
      <c r="BL480" s="118" cm="1">
        <f t="array" ref="BL480">IF(AO480=0,FactorPhi7121(BH480,"a"),noisuy2chieu(BK480,BH480,Data!$A$63:$M$85))</f>
        <v>0</v>
      </c>
      <c r="BM480" s="111">
        <v>1.26</v>
      </c>
      <c r="BN480" s="118">
        <f t="shared" si="243"/>
        <v>0.97109287069483163</v>
      </c>
      <c r="BO480" s="108" t="e">
        <f t="shared" si="244"/>
        <v>#DIV/0!</v>
      </c>
      <c r="BP480" s="6" t="e">
        <f t="shared" si="245"/>
        <v>#DIV/0!</v>
      </c>
      <c r="BQ480" s="16">
        <f t="shared" si="246"/>
        <v>127.25109874278135</v>
      </c>
      <c r="BR480" s="118">
        <f t="shared" si="247"/>
        <v>4.2387607289550546</v>
      </c>
      <c r="BS480" s="108">
        <f t="shared" si="248"/>
        <v>5.0438683938245816</v>
      </c>
      <c r="BT480" s="118">
        <f t="shared" si="249"/>
        <v>1.1000000000000001</v>
      </c>
      <c r="BU480" s="108">
        <f t="shared" si="250"/>
        <v>5.5482552332070405</v>
      </c>
      <c r="BV480" s="6" cm="1">
        <f t="array" ref="BV480">IF(AP480=0,FactorPhi7121(BR480,"a"),noisuy2chieu(BU480,BR480,Data!$A$63:$M$85))</f>
        <v>0</v>
      </c>
      <c r="BW480" s="111">
        <v>1.26</v>
      </c>
      <c r="BX480" s="111">
        <f t="shared" si="251"/>
        <v>0.88437148277932653</v>
      </c>
      <c r="BY480" s="113" t="e">
        <f t="shared" si="252"/>
        <v>#DIV/0!</v>
      </c>
      <c r="BZ480" s="6" t="e">
        <f t="shared" si="253"/>
        <v>#DIV/0!</v>
      </c>
      <c r="CA480" s="114">
        <f t="shared" si="254"/>
        <v>127.25109874278135</v>
      </c>
      <c r="CB480" s="115" t="e">
        <f t="shared" si="255"/>
        <v>#DIV/0!</v>
      </c>
      <c r="CC480" s="6" t="e">
        <f t="shared" si="256"/>
        <v>#DIV/0!</v>
      </c>
    </row>
    <row r="481" spans="27:81">
      <c r="AA481" s="79" t="s">
        <v>175</v>
      </c>
      <c r="AB481" s="80" t="s">
        <v>203</v>
      </c>
      <c r="AC481" s="81">
        <v>5.48</v>
      </c>
      <c r="AD481" s="81">
        <v>6</v>
      </c>
      <c r="AE481" s="80">
        <v>273</v>
      </c>
      <c r="AF481" s="80">
        <v>6.35</v>
      </c>
      <c r="AG481" s="108" cm="1">
        <f t="array" ref="AG481">_xll.DCEPropSectPipe(AE481, AF481, "Area")/100</f>
        <v>53.19431074856206</v>
      </c>
      <c r="AH481" s="16" cm="1">
        <f t="array" ref="AH481">_xll.DCEPropSectPipe(AE481, AF481, "Ix")/10000</f>
        <v>4730.4733077169503</v>
      </c>
      <c r="AI481" s="16" cm="1">
        <f t="array" ref="AI481">_xll.DCEPropSectPipe(AE481, AF481, "Wx")/1000</f>
        <v>346.55482107816493</v>
      </c>
      <c r="AJ481" s="108">
        <f t="shared" si="225"/>
        <v>9.4301739777164251</v>
      </c>
      <c r="AK481" s="80" t="s">
        <v>215</v>
      </c>
      <c r="AL481" s="82">
        <v>-76.900926144738023</v>
      </c>
      <c r="AM481" s="82">
        <v>-9.3772897538702829</v>
      </c>
      <c r="AN481" s="82">
        <v>-1.9207580302074732</v>
      </c>
      <c r="AO481" s="82">
        <v>10.53343703765778</v>
      </c>
      <c r="AP481" s="82">
        <v>51.425057010224634</v>
      </c>
      <c r="AQ481" s="82">
        <v>6.7520184208314987E-2</v>
      </c>
      <c r="AR481" s="72">
        <v>1</v>
      </c>
      <c r="AS481" s="116">
        <f t="shared" si="226"/>
        <v>6</v>
      </c>
      <c r="AT481" s="82">
        <v>2</v>
      </c>
      <c r="AU481" s="6">
        <f t="shared" si="227"/>
        <v>12</v>
      </c>
      <c r="AV481" s="111">
        <f t="shared" si="228"/>
        <v>6.3247656967211199E-2</v>
      </c>
      <c r="AW481" s="117">
        <f t="shared" si="229"/>
        <v>105</v>
      </c>
      <c r="AX481" s="111">
        <f t="shared" si="230"/>
        <v>1</v>
      </c>
      <c r="AY481" s="111">
        <f t="shared" si="231"/>
        <v>1</v>
      </c>
      <c r="AZ481" s="111">
        <f t="shared" si="232"/>
        <v>1</v>
      </c>
      <c r="BA481" s="111">
        <f t="shared" si="233"/>
        <v>6.6576481018117056E-2</v>
      </c>
      <c r="BB481" s="111">
        <f t="shared" si="234"/>
        <v>0.13997568801557103</v>
      </c>
      <c r="BC481" s="111">
        <f t="shared" si="235"/>
        <v>0.68337217097438174</v>
      </c>
      <c r="BD481" s="111">
        <v>0</v>
      </c>
      <c r="BE481" s="111">
        <f t="shared" si="236"/>
        <v>0.88992434000806986</v>
      </c>
      <c r="BF481" s="6" t="str">
        <f t="shared" si="237"/>
        <v>OK</v>
      </c>
      <c r="BG481" s="16">
        <f t="shared" si="238"/>
        <v>63.625549371390676</v>
      </c>
      <c r="BH481" s="118">
        <f t="shared" si="239"/>
        <v>2.1193803644775273</v>
      </c>
      <c r="BI481" s="108">
        <f t="shared" si="240"/>
        <v>2.1024795224229456</v>
      </c>
      <c r="BJ481" s="6">
        <f t="shared" si="241"/>
        <v>1.1834665438203693</v>
      </c>
      <c r="BK481" s="108">
        <f t="shared" si="242"/>
        <v>2.4882141738549839</v>
      </c>
      <c r="BL481" s="118" cm="1">
        <f t="array" ref="BL481">IF(AO481=0,FactorPhi7121(BH481,"a"),noisuy2chieu(BK481,BH481,Data!$A$63:$M$85))</f>
        <v>0</v>
      </c>
      <c r="BM481" s="111">
        <v>1.26</v>
      </c>
      <c r="BN481" s="118">
        <f t="shared" si="243"/>
        <v>0.97159058739414161</v>
      </c>
      <c r="BO481" s="108" t="e">
        <f t="shared" si="244"/>
        <v>#DIV/0!</v>
      </c>
      <c r="BP481" s="6" t="e">
        <f t="shared" si="245"/>
        <v>#DIV/0!</v>
      </c>
      <c r="BQ481" s="16">
        <f t="shared" si="246"/>
        <v>127.25109874278135</v>
      </c>
      <c r="BR481" s="118">
        <f t="shared" si="247"/>
        <v>4.2387607289550546</v>
      </c>
      <c r="BS481" s="108">
        <f t="shared" si="248"/>
        <v>10.264468180413736</v>
      </c>
      <c r="BT481" s="118">
        <f t="shared" si="249"/>
        <v>1.1000000000000001</v>
      </c>
      <c r="BU481" s="108">
        <f t="shared" si="250"/>
        <v>11.290914998455111</v>
      </c>
      <c r="BV481" s="6" cm="1">
        <f t="array" ref="BV481">IF(AP481=0,FactorPhi7121(BR481,"a"),noisuy2chieu(BU481,BR481,Data!$A$63:$M$85))</f>
        <v>0</v>
      </c>
      <c r="BW481" s="111">
        <v>1.26</v>
      </c>
      <c r="BX481" s="111">
        <f t="shared" si="251"/>
        <v>0.88636234957656646</v>
      </c>
      <c r="BY481" s="113" t="e">
        <f t="shared" si="252"/>
        <v>#DIV/0!</v>
      </c>
      <c r="BZ481" s="6" t="e">
        <f t="shared" si="253"/>
        <v>#DIV/0!</v>
      </c>
      <c r="CA481" s="114">
        <f t="shared" si="254"/>
        <v>127.25109874278135</v>
      </c>
      <c r="CB481" s="115" t="e">
        <f t="shared" si="255"/>
        <v>#DIV/0!</v>
      </c>
      <c r="CC481" s="6" t="e">
        <f t="shared" si="256"/>
        <v>#DIV/0!</v>
      </c>
    </row>
    <row r="482" spans="27:81">
      <c r="AA482" s="79" t="s">
        <v>175</v>
      </c>
      <c r="AB482" s="80" t="s">
        <v>203</v>
      </c>
      <c r="AC482" s="81">
        <v>0</v>
      </c>
      <c r="AD482" s="81">
        <v>6</v>
      </c>
      <c r="AE482" s="80">
        <v>273</v>
      </c>
      <c r="AF482" s="80">
        <v>6.35</v>
      </c>
      <c r="AG482" s="108" cm="1">
        <f t="array" ref="AG482">_xll.DCEPropSectPipe(AE482, AF482, "Area")/100</f>
        <v>53.19431074856206</v>
      </c>
      <c r="AH482" s="16" cm="1">
        <f t="array" ref="AH482">_xll.DCEPropSectPipe(AE482, AF482, "Ix")/10000</f>
        <v>4730.4733077169503</v>
      </c>
      <c r="AI482" s="16" cm="1">
        <f t="array" ref="AI482">_xll.DCEPropSectPipe(AE482, AF482, "Wx")/1000</f>
        <v>346.55482107816493</v>
      </c>
      <c r="AJ482" s="108">
        <f t="shared" si="225"/>
        <v>9.4301739777164251</v>
      </c>
      <c r="AK482" s="80" t="s">
        <v>216</v>
      </c>
      <c r="AL482" s="82">
        <v>-65.614470668577098</v>
      </c>
      <c r="AM482" s="82">
        <v>-9.3215789104548339</v>
      </c>
      <c r="AN482" s="82">
        <v>-1.8128447996728565</v>
      </c>
      <c r="AO482" s="82">
        <v>0</v>
      </c>
      <c r="AP482" s="82">
        <v>0</v>
      </c>
      <c r="AQ482" s="82">
        <v>0.15011080285349609</v>
      </c>
      <c r="AR482" s="72">
        <v>1</v>
      </c>
      <c r="AS482" s="116">
        <f t="shared" si="226"/>
        <v>6</v>
      </c>
      <c r="AT482" s="82">
        <v>2</v>
      </c>
      <c r="AU482" s="6">
        <f t="shared" si="227"/>
        <v>12</v>
      </c>
      <c r="AV482" s="111">
        <f t="shared" si="228"/>
        <v>5.3965039707330867E-2</v>
      </c>
      <c r="AW482" s="117">
        <f t="shared" si="229"/>
        <v>105</v>
      </c>
      <c r="AX482" s="111">
        <f t="shared" si="230"/>
        <v>1</v>
      </c>
      <c r="AY482" s="111">
        <f t="shared" si="231"/>
        <v>1</v>
      </c>
      <c r="AZ482" s="111">
        <f t="shared" si="232"/>
        <v>1</v>
      </c>
      <c r="BA482" s="111">
        <f t="shared" si="233"/>
        <v>5.6805304955085123E-2</v>
      </c>
      <c r="BB482" s="111">
        <f t="shared" si="234"/>
        <v>0</v>
      </c>
      <c r="BC482" s="111">
        <f t="shared" si="235"/>
        <v>0</v>
      </c>
      <c r="BD482" s="111">
        <v>0</v>
      </c>
      <c r="BE482" s="111">
        <f t="shared" si="236"/>
        <v>5.6805304955085123E-2</v>
      </c>
      <c r="BF482" s="6" t="str">
        <f t="shared" si="237"/>
        <v>OK</v>
      </c>
      <c r="BG482" s="16">
        <f t="shared" si="238"/>
        <v>63.625549371390676</v>
      </c>
      <c r="BH482" s="118">
        <f t="shared" si="239"/>
        <v>2.1193803644775273</v>
      </c>
      <c r="BI482" s="108">
        <f t="shared" si="240"/>
        <v>0</v>
      </c>
      <c r="BJ482" s="6">
        <f t="shared" si="241"/>
        <v>1.2440309817761237</v>
      </c>
      <c r="BK482" s="108">
        <f t="shared" si="242"/>
        <v>0</v>
      </c>
      <c r="BL482" s="118" cm="1">
        <f t="array" ref="BL482">IF(AO482=0,FactorPhi7121(BH482,"a"),noisuy2chieu(BK482,BH482,Data!$A$63:$M$85))</f>
        <v>0.86214274110469236</v>
      </c>
      <c r="BM482" s="111">
        <v>1.26</v>
      </c>
      <c r="BN482" s="118">
        <f t="shared" si="243"/>
        <v>0.97576012847192284</v>
      </c>
      <c r="BO482" s="108">
        <f t="shared" si="244"/>
        <v>0.13429293094415354</v>
      </c>
      <c r="BP482" s="6" t="str">
        <f t="shared" si="245"/>
        <v>OK</v>
      </c>
      <c r="BQ482" s="16">
        <f t="shared" si="246"/>
        <v>127.25109874278135</v>
      </c>
      <c r="BR482" s="118">
        <f t="shared" si="247"/>
        <v>4.2387607289550546</v>
      </c>
      <c r="BS482" s="108">
        <f t="shared" si="248"/>
        <v>0</v>
      </c>
      <c r="BT482" s="118">
        <f t="shared" si="249"/>
        <v>1.1380619635522473</v>
      </c>
      <c r="BU482" s="108">
        <f t="shared" si="250"/>
        <v>0</v>
      </c>
      <c r="BV482" s="6" cm="1">
        <f t="array" ref="BV482">IF(AP482=0,FactorPhi7121(BR482,"a"),noisuy2chieu(BU482,BR482,Data!$A$63:$M$85))</f>
        <v>0.42299549615688942</v>
      </c>
      <c r="BW482" s="111">
        <v>1.26</v>
      </c>
      <c r="BX482" s="111">
        <f t="shared" si="251"/>
        <v>0.90304051388769135</v>
      </c>
      <c r="BY482" s="113">
        <f t="shared" si="252"/>
        <v>6.5888515029771721E-2</v>
      </c>
      <c r="BZ482" s="6" t="str">
        <f t="shared" si="253"/>
        <v>OK</v>
      </c>
      <c r="CA482" s="114">
        <f t="shared" si="254"/>
        <v>127.25109874278135</v>
      </c>
      <c r="CB482" s="115">
        <f t="shared" si="255"/>
        <v>150</v>
      </c>
      <c r="CC482" s="6" t="str">
        <f t="shared" si="256"/>
        <v>OK</v>
      </c>
    </row>
    <row r="483" spans="27:81">
      <c r="AA483" s="79" t="s">
        <v>175</v>
      </c>
      <c r="AB483" s="80" t="s">
        <v>203</v>
      </c>
      <c r="AC483" s="81">
        <v>2.74</v>
      </c>
      <c r="AD483" s="81">
        <v>6</v>
      </c>
      <c r="AE483" s="80">
        <v>273</v>
      </c>
      <c r="AF483" s="80">
        <v>6.35</v>
      </c>
      <c r="AG483" s="108" cm="1">
        <f t="array" ref="AG483">_xll.DCEPropSectPipe(AE483, AF483, "Area")/100</f>
        <v>53.19431074856206</v>
      </c>
      <c r="AH483" s="16" cm="1">
        <f t="array" ref="AH483">_xll.DCEPropSectPipe(AE483, AF483, "Ix")/10000</f>
        <v>4730.4733077169503</v>
      </c>
      <c r="AI483" s="16" cm="1">
        <f t="array" ref="AI483">_xll.DCEPropSectPipe(AE483, AF483, "Wx")/1000</f>
        <v>346.55482107816493</v>
      </c>
      <c r="AJ483" s="108">
        <f t="shared" si="225"/>
        <v>9.4301739777164251</v>
      </c>
      <c r="AK483" s="80" t="s">
        <v>216</v>
      </c>
      <c r="AL483" s="82">
        <v>-64.267210319845063</v>
      </c>
      <c r="AM483" s="82">
        <v>-9.3215789104548339</v>
      </c>
      <c r="AN483" s="82">
        <v>-1.8128447996728565</v>
      </c>
      <c r="AO483" s="82">
        <v>4.9708204407029717</v>
      </c>
      <c r="AP483" s="82">
        <v>25.559769372467155</v>
      </c>
      <c r="AQ483" s="82">
        <v>0.15011080285349609</v>
      </c>
      <c r="AR483" s="72">
        <v>1</v>
      </c>
      <c r="AS483" s="116">
        <f t="shared" si="226"/>
        <v>6</v>
      </c>
      <c r="AT483" s="82">
        <v>2</v>
      </c>
      <c r="AU483" s="6">
        <f t="shared" si="227"/>
        <v>12</v>
      </c>
      <c r="AV483" s="111">
        <f t="shared" si="228"/>
        <v>5.2856976844449989E-2</v>
      </c>
      <c r="AW483" s="117">
        <f t="shared" si="229"/>
        <v>105</v>
      </c>
      <c r="AX483" s="111">
        <f t="shared" si="230"/>
        <v>1</v>
      </c>
      <c r="AY483" s="111">
        <f t="shared" si="231"/>
        <v>1</v>
      </c>
      <c r="AZ483" s="111">
        <f t="shared" si="232"/>
        <v>1</v>
      </c>
      <c r="BA483" s="111">
        <f t="shared" si="233"/>
        <v>5.5638922994157881E-2</v>
      </c>
      <c r="BB483" s="111">
        <f t="shared" si="234"/>
        <v>6.6055743125605609E-2</v>
      </c>
      <c r="BC483" s="111">
        <f t="shared" si="235"/>
        <v>0.33965611515402949</v>
      </c>
      <c r="BD483" s="111">
        <v>0</v>
      </c>
      <c r="BE483" s="111">
        <f t="shared" si="236"/>
        <v>0.46135078127379298</v>
      </c>
      <c r="BF483" s="6" t="str">
        <f t="shared" si="237"/>
        <v>OK</v>
      </c>
      <c r="BG483" s="16">
        <f t="shared" si="238"/>
        <v>63.625549371390676</v>
      </c>
      <c r="BH483" s="118">
        <f t="shared" si="239"/>
        <v>2.1193803644775273</v>
      </c>
      <c r="BI483" s="108">
        <f t="shared" si="240"/>
        <v>1.1872218147094886</v>
      </c>
      <c r="BJ483" s="6">
        <f t="shared" si="241"/>
        <v>1.209831637064396</v>
      </c>
      <c r="BK483" s="108">
        <f t="shared" si="242"/>
        <v>1.4363385116485436</v>
      </c>
      <c r="BL483" s="118" cm="1">
        <f t="array" ref="BL483">IF(AO483=0,FactorPhi7121(BH483,"a"),noisuy2chieu(BK483,BH483,Data!$A$63:$M$85))</f>
        <v>0</v>
      </c>
      <c r="BM483" s="111">
        <v>1.26</v>
      </c>
      <c r="BN483" s="118">
        <f t="shared" si="243"/>
        <v>0.97625784517123282</v>
      </c>
      <c r="BO483" s="108" t="e">
        <f t="shared" si="244"/>
        <v>#DIV/0!</v>
      </c>
      <c r="BP483" s="6" t="e">
        <f t="shared" si="245"/>
        <v>#DIV/0!</v>
      </c>
      <c r="BQ483" s="16">
        <f t="shared" si="246"/>
        <v>127.25109874278135</v>
      </c>
      <c r="BR483" s="118">
        <f t="shared" si="247"/>
        <v>4.2387607289550546</v>
      </c>
      <c r="BS483" s="108">
        <f t="shared" si="248"/>
        <v>6.1046493511330837</v>
      </c>
      <c r="BT483" s="118">
        <f t="shared" si="249"/>
        <v>1.1000000000000001</v>
      </c>
      <c r="BU483" s="108">
        <f t="shared" si="250"/>
        <v>6.7151142862463926</v>
      </c>
      <c r="BV483" s="6" cm="1">
        <f t="array" ref="BV483">IF(AP483=0,FactorPhi7121(BR483,"a"),noisuy2chieu(BU483,BR483,Data!$A$63:$M$85))</f>
        <v>0</v>
      </c>
      <c r="BW483" s="111">
        <v>1.26</v>
      </c>
      <c r="BX483" s="111">
        <f t="shared" si="251"/>
        <v>0.90503138068493139</v>
      </c>
      <c r="BY483" s="113" t="e">
        <f t="shared" si="252"/>
        <v>#DIV/0!</v>
      </c>
      <c r="BZ483" s="6" t="e">
        <f t="shared" si="253"/>
        <v>#DIV/0!</v>
      </c>
      <c r="CA483" s="114">
        <f t="shared" si="254"/>
        <v>127.25109874278135</v>
      </c>
      <c r="CB483" s="115" t="e">
        <f t="shared" si="255"/>
        <v>#DIV/0!</v>
      </c>
      <c r="CC483" s="6" t="e">
        <f t="shared" si="256"/>
        <v>#DIV/0!</v>
      </c>
    </row>
    <row r="484" spans="27:81">
      <c r="AA484" s="79" t="s">
        <v>175</v>
      </c>
      <c r="AB484" s="80" t="s">
        <v>203</v>
      </c>
      <c r="AC484" s="81">
        <v>5.48</v>
      </c>
      <c r="AD484" s="81">
        <v>6</v>
      </c>
      <c r="AE484" s="80">
        <v>273</v>
      </c>
      <c r="AF484" s="80">
        <v>6.35</v>
      </c>
      <c r="AG484" s="108" cm="1">
        <f t="array" ref="AG484">_xll.DCEPropSectPipe(AE484, AF484, "Area")/100</f>
        <v>53.19431074856206</v>
      </c>
      <c r="AH484" s="16" cm="1">
        <f t="array" ref="AH484">_xll.DCEPropSectPipe(AE484, AF484, "Ix")/10000</f>
        <v>4730.4733077169503</v>
      </c>
      <c r="AI484" s="16" cm="1">
        <f t="array" ref="AI484">_xll.DCEPropSectPipe(AE484, AF484, "Wx")/1000</f>
        <v>346.55482107816493</v>
      </c>
      <c r="AJ484" s="108">
        <f t="shared" si="225"/>
        <v>9.4301739777164251</v>
      </c>
      <c r="AK484" s="80" t="s">
        <v>216</v>
      </c>
      <c r="AL484" s="82">
        <v>-62.919949971113034</v>
      </c>
      <c r="AM484" s="82">
        <v>-9.3215789104548339</v>
      </c>
      <c r="AN484" s="82">
        <v>-1.8128447996728565</v>
      </c>
      <c r="AO484" s="82">
        <v>9.9416408814059434</v>
      </c>
      <c r="AP484" s="82">
        <v>51.11953874493431</v>
      </c>
      <c r="AQ484" s="82">
        <v>0.15011080285349609</v>
      </c>
      <c r="AR484" s="72">
        <v>1</v>
      </c>
      <c r="AS484" s="116">
        <f t="shared" si="226"/>
        <v>6</v>
      </c>
      <c r="AT484" s="82">
        <v>2</v>
      </c>
      <c r="AU484" s="6">
        <f t="shared" si="227"/>
        <v>12</v>
      </c>
      <c r="AV484" s="111">
        <f t="shared" si="228"/>
        <v>5.1748913981569118E-2</v>
      </c>
      <c r="AW484" s="117">
        <f t="shared" si="229"/>
        <v>105</v>
      </c>
      <c r="AX484" s="111">
        <f t="shared" si="230"/>
        <v>1</v>
      </c>
      <c r="AY484" s="111">
        <f t="shared" si="231"/>
        <v>1</v>
      </c>
      <c r="AZ484" s="111">
        <f t="shared" si="232"/>
        <v>1</v>
      </c>
      <c r="BA484" s="111">
        <f t="shared" si="233"/>
        <v>5.4472541033230654E-2</v>
      </c>
      <c r="BB484" s="111">
        <f t="shared" si="234"/>
        <v>0.13211148625121122</v>
      </c>
      <c r="BC484" s="111">
        <f t="shared" si="235"/>
        <v>0.67931223030805898</v>
      </c>
      <c r="BD484" s="111">
        <v>0</v>
      </c>
      <c r="BE484" s="111">
        <f t="shared" si="236"/>
        <v>0.86589625759250088</v>
      </c>
      <c r="BF484" s="6" t="str">
        <f t="shared" si="237"/>
        <v>OK</v>
      </c>
      <c r="BG484" s="16">
        <f t="shared" si="238"/>
        <v>63.625549371390676</v>
      </c>
      <c r="BH484" s="118">
        <f t="shared" si="239"/>
        <v>2.1193803644775273</v>
      </c>
      <c r="BI484" s="108">
        <f t="shared" si="240"/>
        <v>2.4252859100260702</v>
      </c>
      <c r="BJ484" s="6">
        <f t="shared" si="241"/>
        <v>1.174167719634353</v>
      </c>
      <c r="BK484" s="108">
        <f t="shared" si="242"/>
        <v>2.8476924264366374</v>
      </c>
      <c r="BL484" s="118" cm="1">
        <f t="array" ref="BL484">IF(AO484=0,FactorPhi7121(BH484,"a"),noisuy2chieu(BK484,BH484,Data!$A$63:$M$85))</f>
        <v>0</v>
      </c>
      <c r="BM484" s="111">
        <v>1.26</v>
      </c>
      <c r="BN484" s="118">
        <f t="shared" si="243"/>
        <v>0.9767555618705428</v>
      </c>
      <c r="BO484" s="108" t="e">
        <f t="shared" si="244"/>
        <v>#DIV/0!</v>
      </c>
      <c r="BP484" s="6" t="e">
        <f t="shared" si="245"/>
        <v>#DIV/0!</v>
      </c>
      <c r="BQ484" s="16">
        <f t="shared" si="246"/>
        <v>127.25109874278135</v>
      </c>
      <c r="BR484" s="118">
        <f t="shared" si="247"/>
        <v>4.2387607289550546</v>
      </c>
      <c r="BS484" s="108">
        <f t="shared" si="248"/>
        <v>12.470727772615724</v>
      </c>
      <c r="BT484" s="118">
        <f t="shared" si="249"/>
        <v>1.1000000000000001</v>
      </c>
      <c r="BU484" s="108">
        <f t="shared" si="250"/>
        <v>13.717800549877298</v>
      </c>
      <c r="BV484" s="6" cm="1">
        <f t="array" ref="BV484">IF(AP484=0,FactorPhi7121(BR484,"a"),noisuy2chieu(BU484,BR484,Data!$A$63:$M$85))</f>
        <v>0</v>
      </c>
      <c r="BW484" s="111">
        <v>1.26</v>
      </c>
      <c r="BX484" s="111">
        <f t="shared" si="251"/>
        <v>0.90702224748217131</v>
      </c>
      <c r="BY484" s="113" t="e">
        <f t="shared" si="252"/>
        <v>#DIV/0!</v>
      </c>
      <c r="BZ484" s="6" t="e">
        <f t="shared" si="253"/>
        <v>#DIV/0!</v>
      </c>
      <c r="CA484" s="114">
        <f t="shared" si="254"/>
        <v>127.25109874278135</v>
      </c>
      <c r="CB484" s="115" t="e">
        <f t="shared" si="255"/>
        <v>#DIV/0!</v>
      </c>
      <c r="CC484" s="6" t="e">
        <f t="shared" si="256"/>
        <v>#DIV/0!</v>
      </c>
    </row>
    <row r="485" spans="27:81">
      <c r="AA485" s="79" t="s">
        <v>175</v>
      </c>
      <c r="AB485" s="80" t="s">
        <v>203</v>
      </c>
      <c r="AC485" s="81">
        <v>0</v>
      </c>
      <c r="AD485" s="81">
        <v>6</v>
      </c>
      <c r="AE485" s="80">
        <v>273</v>
      </c>
      <c r="AF485" s="80">
        <v>6.35</v>
      </c>
      <c r="AG485" s="108" cm="1">
        <f t="array" ref="AG485">_xll.DCEPropSectPipe(AE485, AF485, "Area")/100</f>
        <v>53.19431074856206</v>
      </c>
      <c r="AH485" s="16" cm="1">
        <f t="array" ref="AH485">_xll.DCEPropSectPipe(AE485, AF485, "Ix")/10000</f>
        <v>4730.4733077169503</v>
      </c>
      <c r="AI485" s="16" cm="1">
        <f t="array" ref="AI485">_xll.DCEPropSectPipe(AE485, AF485, "Wx")/1000</f>
        <v>346.55482107816493</v>
      </c>
      <c r="AJ485" s="108">
        <f t="shared" si="225"/>
        <v>9.4301739777164251</v>
      </c>
      <c r="AK485" s="80" t="s">
        <v>217</v>
      </c>
      <c r="AL485" s="82">
        <v>0.48784332698189237</v>
      </c>
      <c r="AM485" s="82">
        <v>-0.2514216521740445</v>
      </c>
      <c r="AN485" s="82">
        <v>1.2393673536059507E-2</v>
      </c>
      <c r="AO485" s="82">
        <v>0</v>
      </c>
      <c r="AP485" s="82">
        <v>0</v>
      </c>
      <c r="AQ485" s="82">
        <v>4.7074123645800076E-2</v>
      </c>
      <c r="AR485" s="72">
        <v>1</v>
      </c>
      <c r="AS485" s="116">
        <f t="shared" si="226"/>
        <v>6</v>
      </c>
      <c r="AT485" s="82">
        <v>2</v>
      </c>
      <c r="AU485" s="6">
        <f t="shared" si="227"/>
        <v>12</v>
      </c>
      <c r="AV485" s="111">
        <f t="shared" si="228"/>
        <v>4.0122985437939407E-4</v>
      </c>
      <c r="AW485" s="117">
        <f t="shared" si="229"/>
        <v>105</v>
      </c>
      <c r="AX485" s="111">
        <f t="shared" si="230"/>
        <v>1</v>
      </c>
      <c r="AY485" s="111">
        <f t="shared" si="231"/>
        <v>1</v>
      </c>
      <c r="AZ485" s="111">
        <f t="shared" si="232"/>
        <v>1</v>
      </c>
      <c r="BA485" s="111">
        <f t="shared" si="233"/>
        <v>4.2234721513620432E-4</v>
      </c>
      <c r="BB485" s="111">
        <f t="shared" si="234"/>
        <v>0</v>
      </c>
      <c r="BC485" s="111">
        <f t="shared" si="235"/>
        <v>0</v>
      </c>
      <c r="BD485" s="111">
        <v>0</v>
      </c>
      <c r="BE485" s="111">
        <f t="shared" si="236"/>
        <v>4.2234721513620432E-4</v>
      </c>
      <c r="BF485" s="6" t="str">
        <f t="shared" si="237"/>
        <v>OK</v>
      </c>
      <c r="BG485" s="16">
        <f t="shared" si="238"/>
        <v>63.625549371390676</v>
      </c>
      <c r="BH485" s="118">
        <f t="shared" si="239"/>
        <v>2.1193803644775273</v>
      </c>
      <c r="BI485" s="108">
        <f t="shared" si="240"/>
        <v>0</v>
      </c>
      <c r="BJ485" s="6">
        <f t="shared" si="241"/>
        <v>1.2440309817761237</v>
      </c>
      <c r="BK485" s="108">
        <f t="shared" si="242"/>
        <v>0</v>
      </c>
      <c r="BL485" s="118" cm="1">
        <f t="array" ref="BL485">IF(AO485=0,FactorPhi7121(BH485,"a"),noisuy2chieu(BK485,BH485,Data!$A$63:$M$85))</f>
        <v>0.86214274110469236</v>
      </c>
      <c r="BM485" s="111">
        <v>1.26</v>
      </c>
      <c r="BN485" s="118">
        <f t="shared" si="243"/>
        <v>0.99981977665214128</v>
      </c>
      <c r="BO485" s="108">
        <f t="shared" si="244"/>
        <v>9.9846740443674934E-4</v>
      </c>
      <c r="BP485" s="6" t="str">
        <f t="shared" si="245"/>
        <v>OK</v>
      </c>
      <c r="BQ485" s="16">
        <f t="shared" si="246"/>
        <v>127.25109874278135</v>
      </c>
      <c r="BR485" s="118">
        <f t="shared" si="247"/>
        <v>4.2387607289550546</v>
      </c>
      <c r="BS485" s="108">
        <f t="shared" si="248"/>
        <v>0</v>
      </c>
      <c r="BT485" s="118">
        <f t="shared" si="249"/>
        <v>1.1380619635522473</v>
      </c>
      <c r="BU485" s="108">
        <f t="shared" si="250"/>
        <v>0</v>
      </c>
      <c r="BV485" s="6" cm="1">
        <f t="array" ref="BV485">IF(AP485=0,FactorPhi7121(BR485,"a"),noisuy2chieu(BU485,BR485,Data!$A$63:$M$85))</f>
        <v>0.42299549615688942</v>
      </c>
      <c r="BW485" s="111">
        <v>1.26</v>
      </c>
      <c r="BX485" s="111">
        <f t="shared" si="251"/>
        <v>0.999279106608565</v>
      </c>
      <c r="BY485" s="113">
        <f t="shared" si="252"/>
        <v>4.898808457112759E-4</v>
      </c>
      <c r="BZ485" s="6" t="str">
        <f t="shared" si="253"/>
        <v>OK</v>
      </c>
      <c r="CA485" s="114">
        <f t="shared" si="254"/>
        <v>127.25109874278135</v>
      </c>
      <c r="CB485" s="115">
        <f t="shared" si="255"/>
        <v>150</v>
      </c>
      <c r="CC485" s="6" t="str">
        <f t="shared" si="256"/>
        <v>OK</v>
      </c>
    </row>
    <row r="486" spans="27:81">
      <c r="AA486" s="79" t="s">
        <v>175</v>
      </c>
      <c r="AB486" s="80" t="s">
        <v>203</v>
      </c>
      <c r="AC486" s="81">
        <v>2.74</v>
      </c>
      <c r="AD486" s="81">
        <v>6</v>
      </c>
      <c r="AE486" s="80">
        <v>273</v>
      </c>
      <c r="AF486" s="80">
        <v>6.35</v>
      </c>
      <c r="AG486" s="108" cm="1">
        <f t="array" ref="AG486">_xll.DCEPropSectPipe(AE486, AF486, "Area")/100</f>
        <v>53.19431074856206</v>
      </c>
      <c r="AH486" s="16" cm="1">
        <f t="array" ref="AH486">_xll.DCEPropSectPipe(AE486, AF486, "Ix")/10000</f>
        <v>4730.4733077169503</v>
      </c>
      <c r="AI486" s="16" cm="1">
        <f t="array" ref="AI486">_xll.DCEPropSectPipe(AE486, AF486, "Wx")/1000</f>
        <v>346.55482107816493</v>
      </c>
      <c r="AJ486" s="108">
        <f t="shared" si="225"/>
        <v>9.4301739777164251</v>
      </c>
      <c r="AK486" s="80" t="s">
        <v>217</v>
      </c>
      <c r="AL486" s="82">
        <v>1.8351036757139223</v>
      </c>
      <c r="AM486" s="82">
        <v>-0.2514216521740445</v>
      </c>
      <c r="AN486" s="82">
        <v>1.2393673536059507E-2</v>
      </c>
      <c r="AO486" s="82">
        <v>-3.3983452835875089E-2</v>
      </c>
      <c r="AP486" s="82">
        <v>0.68939817026122829</v>
      </c>
      <c r="AQ486" s="82">
        <v>4.7074123645800076E-2</v>
      </c>
      <c r="AR486" s="72">
        <v>1</v>
      </c>
      <c r="AS486" s="116">
        <f t="shared" si="226"/>
        <v>6</v>
      </c>
      <c r="AT486" s="82">
        <v>2</v>
      </c>
      <c r="AU486" s="6">
        <f t="shared" si="227"/>
        <v>12</v>
      </c>
      <c r="AV486" s="111">
        <f t="shared" si="228"/>
        <v>1.5092927172602642E-3</v>
      </c>
      <c r="AW486" s="117">
        <f t="shared" si="229"/>
        <v>105</v>
      </c>
      <c r="AX486" s="111">
        <f t="shared" si="230"/>
        <v>1</v>
      </c>
      <c r="AY486" s="111">
        <f t="shared" si="231"/>
        <v>1</v>
      </c>
      <c r="AZ486" s="111">
        <f t="shared" si="232"/>
        <v>1</v>
      </c>
      <c r="BA486" s="111">
        <f t="shared" si="233"/>
        <v>1.5887291760634361E-3</v>
      </c>
      <c r="BB486" s="111">
        <f t="shared" si="234"/>
        <v>4.5159592019586997E-4</v>
      </c>
      <c r="BC486" s="111">
        <f t="shared" si="235"/>
        <v>9.1612056780707527E-3</v>
      </c>
      <c r="BD486" s="111">
        <v>0</v>
      </c>
      <c r="BE486" s="111">
        <f t="shared" si="236"/>
        <v>1.120153077433006E-2</v>
      </c>
      <c r="BF486" s="6" t="str">
        <f t="shared" si="237"/>
        <v>OK</v>
      </c>
      <c r="BG486" s="16">
        <f t="shared" si="238"/>
        <v>63.625549371390676</v>
      </c>
      <c r="BH486" s="118">
        <f t="shared" si="239"/>
        <v>2.1193803644775273</v>
      </c>
      <c r="BI486" s="108">
        <f t="shared" si="240"/>
        <v>0.28424978089395792</v>
      </c>
      <c r="BJ486" s="6">
        <f t="shared" si="241"/>
        <v>1.2358428267737627</v>
      </c>
      <c r="BK486" s="108">
        <f t="shared" si="242"/>
        <v>0.35128805272981162</v>
      </c>
      <c r="BL486" s="118" cm="1">
        <f t="array" ref="BL486">IF(AO486=0,FactorPhi7121(BH486,"a"),noisuy2chieu(BK486,BH486,Data!$A$63:$M$85))</f>
        <v>0</v>
      </c>
      <c r="BM486" s="111">
        <v>1.26</v>
      </c>
      <c r="BN486" s="118">
        <f t="shared" si="243"/>
        <v>0.9993220599528313</v>
      </c>
      <c r="BO486" s="108" t="e">
        <f t="shared" si="244"/>
        <v>#DIV/0!</v>
      </c>
      <c r="BP486" s="6" t="e">
        <f t="shared" si="245"/>
        <v>#DIV/0!</v>
      </c>
      <c r="BQ486" s="16">
        <f t="shared" si="246"/>
        <v>127.25109874278135</v>
      </c>
      <c r="BR486" s="118">
        <f t="shared" si="247"/>
        <v>4.2387607289550546</v>
      </c>
      <c r="BS486" s="108">
        <f t="shared" si="248"/>
        <v>5.7663734109613625</v>
      </c>
      <c r="BT486" s="118">
        <f t="shared" si="249"/>
        <v>1.1000000000000001</v>
      </c>
      <c r="BU486" s="108">
        <f t="shared" si="250"/>
        <v>6.3430107520574994</v>
      </c>
      <c r="BV486" s="6" cm="1">
        <f t="array" ref="BV486">IF(AP486=0,FactorPhi7121(BR486,"a"),noisuy2chieu(BU486,BR486,Data!$A$63:$M$85))</f>
        <v>0</v>
      </c>
      <c r="BW486" s="111">
        <v>1.26</v>
      </c>
      <c r="BX486" s="111">
        <f t="shared" si="251"/>
        <v>0.99728823981132497</v>
      </c>
      <c r="BY486" s="113" t="e">
        <f t="shared" si="252"/>
        <v>#DIV/0!</v>
      </c>
      <c r="BZ486" s="6" t="e">
        <f t="shared" si="253"/>
        <v>#DIV/0!</v>
      </c>
      <c r="CA486" s="114">
        <f t="shared" si="254"/>
        <v>127.25109874278135</v>
      </c>
      <c r="CB486" s="115" t="e">
        <f t="shared" si="255"/>
        <v>#DIV/0!</v>
      </c>
      <c r="CC486" s="6" t="e">
        <f t="shared" si="256"/>
        <v>#DIV/0!</v>
      </c>
    </row>
    <row r="487" spans="27:81">
      <c r="AA487" s="79" t="s">
        <v>175</v>
      </c>
      <c r="AB487" s="80" t="s">
        <v>203</v>
      </c>
      <c r="AC487" s="81">
        <v>5.48</v>
      </c>
      <c r="AD487" s="81">
        <v>6</v>
      </c>
      <c r="AE487" s="80">
        <v>273</v>
      </c>
      <c r="AF487" s="80">
        <v>6.35</v>
      </c>
      <c r="AG487" s="108" cm="1">
        <f t="array" ref="AG487">_xll.DCEPropSectPipe(AE487, AF487, "Area")/100</f>
        <v>53.19431074856206</v>
      </c>
      <c r="AH487" s="16" cm="1">
        <f t="array" ref="AH487">_xll.DCEPropSectPipe(AE487, AF487, "Ix")/10000</f>
        <v>4730.4733077169503</v>
      </c>
      <c r="AI487" s="16" cm="1">
        <f t="array" ref="AI487">_xll.DCEPropSectPipe(AE487, AF487, "Wx")/1000</f>
        <v>346.55482107816493</v>
      </c>
      <c r="AJ487" s="108">
        <f t="shared" si="225"/>
        <v>9.4301739777164251</v>
      </c>
      <c r="AK487" s="80" t="s">
        <v>217</v>
      </c>
      <c r="AL487" s="82">
        <v>3.1823640244459521</v>
      </c>
      <c r="AM487" s="82">
        <v>-0.2514216521740445</v>
      </c>
      <c r="AN487" s="82">
        <v>1.2393673536059507E-2</v>
      </c>
      <c r="AO487" s="82">
        <v>-6.7966905671750177E-2</v>
      </c>
      <c r="AP487" s="82">
        <v>1.3787963405224566</v>
      </c>
      <c r="AQ487" s="82">
        <v>4.7074123645800076E-2</v>
      </c>
      <c r="AR487" s="72">
        <v>1</v>
      </c>
      <c r="AS487" s="116">
        <f t="shared" si="226"/>
        <v>6</v>
      </c>
      <c r="AT487" s="82">
        <v>2</v>
      </c>
      <c r="AU487" s="6">
        <f t="shared" si="227"/>
        <v>12</v>
      </c>
      <c r="AV487" s="111">
        <f t="shared" si="228"/>
        <v>2.6173555801411339E-3</v>
      </c>
      <c r="AW487" s="117">
        <f t="shared" si="229"/>
        <v>105</v>
      </c>
      <c r="AX487" s="111">
        <f t="shared" si="230"/>
        <v>1</v>
      </c>
      <c r="AY487" s="111">
        <f t="shared" si="231"/>
        <v>1</v>
      </c>
      <c r="AZ487" s="111">
        <f t="shared" si="232"/>
        <v>1</v>
      </c>
      <c r="BA487" s="111">
        <f t="shared" si="233"/>
        <v>2.7551111369906681E-3</v>
      </c>
      <c r="BB487" s="111">
        <f t="shared" si="234"/>
        <v>9.0319184039173994E-4</v>
      </c>
      <c r="BC487" s="111">
        <f t="shared" si="235"/>
        <v>1.8322411356141505E-2</v>
      </c>
      <c r="BD487" s="111">
        <v>0</v>
      </c>
      <c r="BE487" s="111">
        <f t="shared" si="236"/>
        <v>2.1980714333523915E-2</v>
      </c>
      <c r="BF487" s="6" t="str">
        <f t="shared" si="237"/>
        <v>OK</v>
      </c>
      <c r="BG487" s="16">
        <f t="shared" si="238"/>
        <v>63.625549371390676</v>
      </c>
      <c r="BH487" s="118">
        <f t="shared" si="239"/>
        <v>2.1193803644775273</v>
      </c>
      <c r="BI487" s="108">
        <f t="shared" si="240"/>
        <v>0.32782410417689056</v>
      </c>
      <c r="BJ487" s="6">
        <f t="shared" si="241"/>
        <v>1.2345876162612284</v>
      </c>
      <c r="BK487" s="108">
        <f t="shared" si="242"/>
        <v>0.40472757932871994</v>
      </c>
      <c r="BL487" s="118" cm="1">
        <f t="array" ref="BL487">IF(AO487=0,FactorPhi7121(BH487,"a"),noisuy2chieu(BK487,BH487,Data!$A$63:$M$85))</f>
        <v>0</v>
      </c>
      <c r="BM487" s="111">
        <v>1.26</v>
      </c>
      <c r="BN487" s="118">
        <f t="shared" si="243"/>
        <v>0.99882434325352121</v>
      </c>
      <c r="BO487" s="108" t="e">
        <f t="shared" si="244"/>
        <v>#DIV/0!</v>
      </c>
      <c r="BP487" s="6" t="e">
        <f t="shared" si="245"/>
        <v>#DIV/0!</v>
      </c>
      <c r="BQ487" s="16">
        <f t="shared" si="246"/>
        <v>127.25109874278135</v>
      </c>
      <c r="BR487" s="118">
        <f t="shared" si="247"/>
        <v>4.2387607289550546</v>
      </c>
      <c r="BS487" s="108">
        <f t="shared" si="248"/>
        <v>6.6503347578764354</v>
      </c>
      <c r="BT487" s="118">
        <f t="shared" si="249"/>
        <v>1.1000000000000001</v>
      </c>
      <c r="BU487" s="108">
        <f t="shared" si="250"/>
        <v>7.3153682336640795</v>
      </c>
      <c r="BV487" s="6" cm="1">
        <f t="array" ref="BV487">IF(AP487=0,FactorPhi7121(BR487,"a"),noisuy2chieu(BU487,BR487,Data!$A$63:$M$85))</f>
        <v>0</v>
      </c>
      <c r="BW487" s="111">
        <v>1.26</v>
      </c>
      <c r="BX487" s="111">
        <f t="shared" si="251"/>
        <v>0.99529737301408505</v>
      </c>
      <c r="BY487" s="113" t="e">
        <f t="shared" si="252"/>
        <v>#DIV/0!</v>
      </c>
      <c r="BZ487" s="6" t="e">
        <f t="shared" si="253"/>
        <v>#DIV/0!</v>
      </c>
      <c r="CA487" s="114">
        <f t="shared" si="254"/>
        <v>127.25109874278135</v>
      </c>
      <c r="CB487" s="115" t="e">
        <f t="shared" si="255"/>
        <v>#DIV/0!</v>
      </c>
      <c r="CC487" s="6" t="e">
        <f t="shared" si="256"/>
        <v>#DIV/0!</v>
      </c>
    </row>
    <row r="488" spans="27:81">
      <c r="AA488" s="79" t="s">
        <v>175</v>
      </c>
      <c r="AB488" s="80" t="s">
        <v>203</v>
      </c>
      <c r="AC488" s="81">
        <v>0</v>
      </c>
      <c r="AD488" s="81">
        <v>6</v>
      </c>
      <c r="AE488" s="80">
        <v>273</v>
      </c>
      <c r="AF488" s="80">
        <v>6.35</v>
      </c>
      <c r="AG488" s="108" cm="1">
        <f t="array" ref="AG488">_xll.DCEPropSectPipe(AE488, AF488, "Area")/100</f>
        <v>53.19431074856206</v>
      </c>
      <c r="AH488" s="16" cm="1">
        <f t="array" ref="AH488">_xll.DCEPropSectPipe(AE488, AF488, "Ix")/10000</f>
        <v>4730.4733077169503</v>
      </c>
      <c r="AI488" s="16" cm="1">
        <f t="array" ref="AI488">_xll.DCEPropSectPipe(AE488, AF488, "Wx")/1000</f>
        <v>346.55482107816493</v>
      </c>
      <c r="AJ488" s="108">
        <f t="shared" si="225"/>
        <v>9.4301739777164251</v>
      </c>
      <c r="AK488" s="80" t="s">
        <v>218</v>
      </c>
      <c r="AL488" s="82">
        <v>-14.891230464005549</v>
      </c>
      <c r="AM488" s="82">
        <v>-0.31270357993104192</v>
      </c>
      <c r="AN488" s="82">
        <v>-0.10631088005201932</v>
      </c>
      <c r="AO488" s="82">
        <v>0</v>
      </c>
      <c r="AP488" s="82">
        <v>0</v>
      </c>
      <c r="AQ488" s="82">
        <v>-4.3775556863899792E-2</v>
      </c>
      <c r="AR488" s="72">
        <v>1</v>
      </c>
      <c r="AS488" s="116">
        <f t="shared" si="226"/>
        <v>6</v>
      </c>
      <c r="AT488" s="82">
        <v>2</v>
      </c>
      <c r="AU488" s="6">
        <f t="shared" si="227"/>
        <v>12</v>
      </c>
      <c r="AV488" s="111">
        <f t="shared" si="228"/>
        <v>1.224738742982686E-2</v>
      </c>
      <c r="AW488" s="117">
        <f t="shared" si="229"/>
        <v>105</v>
      </c>
      <c r="AX488" s="111">
        <f t="shared" si="230"/>
        <v>1</v>
      </c>
      <c r="AY488" s="111">
        <f t="shared" si="231"/>
        <v>1</v>
      </c>
      <c r="AZ488" s="111">
        <f t="shared" si="232"/>
        <v>1</v>
      </c>
      <c r="BA488" s="111">
        <f t="shared" si="233"/>
        <v>1.2891986768238802E-2</v>
      </c>
      <c r="BB488" s="111">
        <f t="shared" si="234"/>
        <v>0</v>
      </c>
      <c r="BC488" s="111">
        <f t="shared" si="235"/>
        <v>0</v>
      </c>
      <c r="BD488" s="111">
        <v>0</v>
      </c>
      <c r="BE488" s="111">
        <f t="shared" si="236"/>
        <v>1.2891986768238802E-2</v>
      </c>
      <c r="BF488" s="6" t="str">
        <f t="shared" si="237"/>
        <v>OK</v>
      </c>
      <c r="BG488" s="16">
        <f t="shared" si="238"/>
        <v>63.625549371390676</v>
      </c>
      <c r="BH488" s="118">
        <f t="shared" si="239"/>
        <v>2.1193803644775273</v>
      </c>
      <c r="BI488" s="108">
        <f t="shared" si="240"/>
        <v>0</v>
      </c>
      <c r="BJ488" s="6">
        <f t="shared" si="241"/>
        <v>1.2440309817761237</v>
      </c>
      <c r="BK488" s="108">
        <f t="shared" si="242"/>
        <v>0</v>
      </c>
      <c r="BL488" s="118" cm="1">
        <f t="array" ref="BL488">IF(AO488=0,FactorPhi7121(BH488,"a"),noisuy2chieu(BK488,BH488,Data!$A$63:$M$85))</f>
        <v>0.86214274110469236</v>
      </c>
      <c r="BM488" s="111">
        <v>1.26</v>
      </c>
      <c r="BN488" s="118">
        <f t="shared" si="243"/>
        <v>0.99449875142381738</v>
      </c>
      <c r="BO488" s="108">
        <f t="shared" si="244"/>
        <v>3.0477834599584371E-2</v>
      </c>
      <c r="BP488" s="6" t="str">
        <f t="shared" si="245"/>
        <v>OK</v>
      </c>
      <c r="BQ488" s="16">
        <f t="shared" si="246"/>
        <v>127.25109874278135</v>
      </c>
      <c r="BR488" s="118">
        <f t="shared" si="247"/>
        <v>4.2387607289550546</v>
      </c>
      <c r="BS488" s="108">
        <f t="shared" si="248"/>
        <v>0</v>
      </c>
      <c r="BT488" s="118">
        <f t="shared" si="249"/>
        <v>1.1380619635522473</v>
      </c>
      <c r="BU488" s="108">
        <f t="shared" si="250"/>
        <v>0</v>
      </c>
      <c r="BV488" s="6" cm="1">
        <f t="array" ref="BV488">IF(AP488=0,FactorPhi7121(BR488,"a"),noisuy2chieu(BU488,BR488,Data!$A$63:$M$85))</f>
        <v>0.42299549615688942</v>
      </c>
      <c r="BW488" s="111">
        <v>1.26</v>
      </c>
      <c r="BX488" s="111">
        <f t="shared" si="251"/>
        <v>0.97799500569526965</v>
      </c>
      <c r="BY488" s="113">
        <f t="shared" si="252"/>
        <v>1.4953424941814007E-2</v>
      </c>
      <c r="BZ488" s="6" t="str">
        <f t="shared" si="253"/>
        <v>OK</v>
      </c>
      <c r="CA488" s="114">
        <f t="shared" si="254"/>
        <v>127.25109874278135</v>
      </c>
      <c r="CB488" s="115">
        <f t="shared" si="255"/>
        <v>150</v>
      </c>
      <c r="CC488" s="6" t="str">
        <f t="shared" si="256"/>
        <v>OK</v>
      </c>
    </row>
    <row r="489" spans="27:81">
      <c r="AA489" s="79" t="s">
        <v>175</v>
      </c>
      <c r="AB489" s="80" t="s">
        <v>203</v>
      </c>
      <c r="AC489" s="81">
        <v>2.74</v>
      </c>
      <c r="AD489" s="81">
        <v>6</v>
      </c>
      <c r="AE489" s="80">
        <v>273</v>
      </c>
      <c r="AF489" s="80">
        <v>6.35</v>
      </c>
      <c r="AG489" s="108" cm="1">
        <f t="array" ref="AG489">_xll.DCEPropSectPipe(AE489, AF489, "Area")/100</f>
        <v>53.19431074856206</v>
      </c>
      <c r="AH489" s="16" cm="1">
        <f t="array" ref="AH489">_xll.DCEPropSectPipe(AE489, AF489, "Ix")/10000</f>
        <v>4730.4733077169503</v>
      </c>
      <c r="AI489" s="16" cm="1">
        <f t="array" ref="AI489">_xll.DCEPropSectPipe(AE489, AF489, "Wx")/1000</f>
        <v>346.55482107816493</v>
      </c>
      <c r="AJ489" s="108">
        <f t="shared" si="225"/>
        <v>9.4301739777164251</v>
      </c>
      <c r="AK489" s="80" t="s">
        <v>218</v>
      </c>
      <c r="AL489" s="82">
        <v>-13.543970115273519</v>
      </c>
      <c r="AM489" s="82">
        <v>-0.31270357993104192</v>
      </c>
      <c r="AN489" s="82">
        <v>-0.10631088005201932</v>
      </c>
      <c r="AO489" s="82">
        <v>0.29150443310263696</v>
      </c>
      <c r="AP489" s="82">
        <v>0.85743321617091617</v>
      </c>
      <c r="AQ489" s="82">
        <v>-4.3775556863899792E-2</v>
      </c>
      <c r="AR489" s="72">
        <v>1</v>
      </c>
      <c r="AS489" s="116">
        <f t="shared" si="226"/>
        <v>6</v>
      </c>
      <c r="AT489" s="82">
        <v>2</v>
      </c>
      <c r="AU489" s="6">
        <f t="shared" si="227"/>
        <v>12</v>
      </c>
      <c r="AV489" s="111">
        <f t="shared" si="228"/>
        <v>1.1139324566945989E-2</v>
      </c>
      <c r="AW489" s="117">
        <f t="shared" si="229"/>
        <v>105</v>
      </c>
      <c r="AX489" s="111">
        <f t="shared" si="230"/>
        <v>1</v>
      </c>
      <c r="AY489" s="111">
        <f t="shared" si="231"/>
        <v>1</v>
      </c>
      <c r="AZ489" s="111">
        <f t="shared" si="232"/>
        <v>1</v>
      </c>
      <c r="BA489" s="111">
        <f t="shared" si="233"/>
        <v>1.1725604807311569E-2</v>
      </c>
      <c r="BB489" s="111">
        <f t="shared" si="234"/>
        <v>3.8737150502020472E-3</v>
      </c>
      <c r="BC489" s="111">
        <f t="shared" si="235"/>
        <v>1.1394173044548383E-2</v>
      </c>
      <c r="BD489" s="111">
        <v>0</v>
      </c>
      <c r="BE489" s="111">
        <f t="shared" si="236"/>
        <v>2.6993492902061999E-2</v>
      </c>
      <c r="BF489" s="6" t="str">
        <f t="shared" si="237"/>
        <v>OK</v>
      </c>
      <c r="BG489" s="16">
        <f t="shared" si="238"/>
        <v>63.625549371390676</v>
      </c>
      <c r="BH489" s="118">
        <f t="shared" si="239"/>
        <v>2.1193803644775273</v>
      </c>
      <c r="BI489" s="108">
        <f t="shared" si="240"/>
        <v>0.33036377345640794</v>
      </c>
      <c r="BJ489" s="6">
        <f t="shared" si="241"/>
        <v>1.2345144580492855</v>
      </c>
      <c r="BK489" s="108">
        <f t="shared" si="242"/>
        <v>0.40783885474765436</v>
      </c>
      <c r="BL489" s="118" cm="1">
        <f t="array" ref="BL489">IF(AO489=0,FactorPhi7121(BH489,"a"),noisuy2chieu(BK489,BH489,Data!$A$63:$M$85))</f>
        <v>0</v>
      </c>
      <c r="BM489" s="111">
        <v>1.26</v>
      </c>
      <c r="BN489" s="118">
        <f t="shared" si="243"/>
        <v>0.99499646812312736</v>
      </c>
      <c r="BO489" s="108" t="e">
        <f t="shared" si="244"/>
        <v>#DIV/0!</v>
      </c>
      <c r="BP489" s="6" t="e">
        <f t="shared" si="245"/>
        <v>#DIV/0!</v>
      </c>
      <c r="BQ489" s="16">
        <f t="shared" si="246"/>
        <v>127.25109874278135</v>
      </c>
      <c r="BR489" s="118">
        <f t="shared" si="247"/>
        <v>4.2387607289550546</v>
      </c>
      <c r="BS489" s="108">
        <f t="shared" si="248"/>
        <v>0.97173435671680475</v>
      </c>
      <c r="BT489" s="118">
        <f t="shared" si="249"/>
        <v>1.1306647400186829</v>
      </c>
      <c r="BU489" s="108">
        <f t="shared" si="250"/>
        <v>1.0987057738044281</v>
      </c>
      <c r="BV489" s="6" cm="1">
        <f t="array" ref="BV489">IF(AP489=0,FactorPhi7121(BR489,"a"),noisuy2chieu(BU489,BR489,Data!$A$63:$M$85))</f>
        <v>0</v>
      </c>
      <c r="BW489" s="111">
        <v>1.26</v>
      </c>
      <c r="BX489" s="111">
        <f t="shared" si="251"/>
        <v>0.97998587249250968</v>
      </c>
      <c r="BY489" s="113" t="e">
        <f t="shared" si="252"/>
        <v>#DIV/0!</v>
      </c>
      <c r="BZ489" s="6" t="e">
        <f t="shared" si="253"/>
        <v>#DIV/0!</v>
      </c>
      <c r="CA489" s="114">
        <f t="shared" si="254"/>
        <v>127.25109874278135</v>
      </c>
      <c r="CB489" s="115" t="e">
        <f t="shared" si="255"/>
        <v>#DIV/0!</v>
      </c>
      <c r="CC489" s="6" t="e">
        <f t="shared" si="256"/>
        <v>#DIV/0!</v>
      </c>
    </row>
    <row r="490" spans="27:81">
      <c r="AA490" s="79" t="s">
        <v>175</v>
      </c>
      <c r="AB490" s="80" t="s">
        <v>203</v>
      </c>
      <c r="AC490" s="81">
        <v>5.48</v>
      </c>
      <c r="AD490" s="81">
        <v>6</v>
      </c>
      <c r="AE490" s="80">
        <v>273</v>
      </c>
      <c r="AF490" s="80">
        <v>6.35</v>
      </c>
      <c r="AG490" s="108" cm="1">
        <f t="array" ref="AG490">_xll.DCEPropSectPipe(AE490, AF490, "Area")/100</f>
        <v>53.19431074856206</v>
      </c>
      <c r="AH490" s="16" cm="1">
        <f t="array" ref="AH490">_xll.DCEPropSectPipe(AE490, AF490, "Ix")/10000</f>
        <v>4730.4733077169503</v>
      </c>
      <c r="AI490" s="16" cm="1">
        <f t="array" ref="AI490">_xll.DCEPropSectPipe(AE490, AF490, "Wx")/1000</f>
        <v>346.55482107816493</v>
      </c>
      <c r="AJ490" s="108">
        <f t="shared" si="225"/>
        <v>9.4301739777164251</v>
      </c>
      <c r="AK490" s="80" t="s">
        <v>218</v>
      </c>
      <c r="AL490" s="82">
        <v>-12.196709766541488</v>
      </c>
      <c r="AM490" s="82">
        <v>-0.31270357993104192</v>
      </c>
      <c r="AN490" s="82">
        <v>-0.10631088005201932</v>
      </c>
      <c r="AO490" s="82">
        <v>0.58300886620527392</v>
      </c>
      <c r="AP490" s="82">
        <v>1.7148664323418323</v>
      </c>
      <c r="AQ490" s="82">
        <v>-4.3775556863899792E-2</v>
      </c>
      <c r="AR490" s="72">
        <v>1</v>
      </c>
      <c r="AS490" s="116">
        <f t="shared" si="226"/>
        <v>6</v>
      </c>
      <c r="AT490" s="82">
        <v>2</v>
      </c>
      <c r="AU490" s="6">
        <f t="shared" si="227"/>
        <v>12</v>
      </c>
      <c r="AV490" s="111">
        <f t="shared" si="228"/>
        <v>1.003126170406512E-2</v>
      </c>
      <c r="AW490" s="117">
        <f t="shared" si="229"/>
        <v>105</v>
      </c>
      <c r="AX490" s="111">
        <f t="shared" si="230"/>
        <v>1</v>
      </c>
      <c r="AY490" s="111">
        <f t="shared" si="231"/>
        <v>1</v>
      </c>
      <c r="AZ490" s="111">
        <f t="shared" si="232"/>
        <v>1</v>
      </c>
      <c r="BA490" s="111">
        <f t="shared" si="233"/>
        <v>1.0559222846384338E-2</v>
      </c>
      <c r="BB490" s="111">
        <f t="shared" si="234"/>
        <v>7.7474301004040944E-3</v>
      </c>
      <c r="BC490" s="111">
        <f t="shared" si="235"/>
        <v>2.2788346089096766E-2</v>
      </c>
      <c r="BD490" s="111">
        <v>0</v>
      </c>
      <c r="BE490" s="111">
        <f t="shared" si="236"/>
        <v>4.1094999035885198E-2</v>
      </c>
      <c r="BF490" s="6" t="str">
        <f t="shared" si="237"/>
        <v>OK</v>
      </c>
      <c r="BG490" s="16">
        <f t="shared" si="238"/>
        <v>63.625549371390676</v>
      </c>
      <c r="BH490" s="118">
        <f t="shared" si="239"/>
        <v>2.1193803644775273</v>
      </c>
      <c r="BI490" s="108">
        <f t="shared" si="240"/>
        <v>0.73371215032713788</v>
      </c>
      <c r="BJ490" s="6">
        <f t="shared" si="241"/>
        <v>1.222895525505586</v>
      </c>
      <c r="BK490" s="108">
        <f t="shared" si="242"/>
        <v>0.89725330564413874</v>
      </c>
      <c r="BL490" s="118" cm="1">
        <f t="array" ref="BL490">IF(AO490=0,FactorPhi7121(BH490,"a"),noisuy2chieu(BK490,BH490,Data!$A$63:$M$85))</f>
        <v>0</v>
      </c>
      <c r="BM490" s="111">
        <v>1.26</v>
      </c>
      <c r="BN490" s="118">
        <f t="shared" si="243"/>
        <v>0.99549418482243746</v>
      </c>
      <c r="BO490" s="108" t="e">
        <f t="shared" si="244"/>
        <v>#DIV/0!</v>
      </c>
      <c r="BP490" s="6" t="e">
        <f t="shared" si="245"/>
        <v>#DIV/0!</v>
      </c>
      <c r="BQ490" s="16">
        <f t="shared" si="246"/>
        <v>127.25109874278135</v>
      </c>
      <c r="BR490" s="118">
        <f t="shared" si="247"/>
        <v>4.2387607289550546</v>
      </c>
      <c r="BS490" s="108">
        <f t="shared" si="248"/>
        <v>2.1581461458501083</v>
      </c>
      <c r="BT490" s="118">
        <f t="shared" si="249"/>
        <v>1.1216333075634934</v>
      </c>
      <c r="BU490" s="108">
        <f t="shared" si="250"/>
        <v>2.4206485997752627</v>
      </c>
      <c r="BV490" s="6" cm="1">
        <f t="array" ref="BV490">IF(AP490=0,FactorPhi7121(BR490,"a"),noisuy2chieu(BU490,BR490,Data!$A$63:$M$85))</f>
        <v>0</v>
      </c>
      <c r="BW490" s="111">
        <v>1.26</v>
      </c>
      <c r="BX490" s="111">
        <f t="shared" si="251"/>
        <v>0.98197673928974971</v>
      </c>
      <c r="BY490" s="113" t="e">
        <f t="shared" si="252"/>
        <v>#DIV/0!</v>
      </c>
      <c r="BZ490" s="6" t="e">
        <f t="shared" si="253"/>
        <v>#DIV/0!</v>
      </c>
      <c r="CA490" s="114">
        <f t="shared" si="254"/>
        <v>127.25109874278135</v>
      </c>
      <c r="CB490" s="115" t="e">
        <f t="shared" si="255"/>
        <v>#DIV/0!</v>
      </c>
      <c r="CC490" s="6" t="e">
        <f t="shared" si="256"/>
        <v>#DIV/0!</v>
      </c>
    </row>
    <row r="491" spans="27:81">
      <c r="AA491" s="79" t="s">
        <v>175</v>
      </c>
      <c r="AB491" s="80" t="s">
        <v>204</v>
      </c>
      <c r="AC491" s="81">
        <v>0</v>
      </c>
      <c r="AD491" s="81">
        <v>6</v>
      </c>
      <c r="AE491" s="80">
        <v>273</v>
      </c>
      <c r="AF491" s="80">
        <v>6.35</v>
      </c>
      <c r="AG491" s="108" cm="1">
        <f t="array" ref="AG491">_xll.DCEPropSectPipe(AE491, AF491, "Area")/100</f>
        <v>53.19431074856206</v>
      </c>
      <c r="AH491" s="16" cm="1">
        <f t="array" ref="AH491">_xll.DCEPropSectPipe(AE491, AF491, "Ix")/10000</f>
        <v>4730.4733077169503</v>
      </c>
      <c r="AI491" s="16" cm="1">
        <f t="array" ref="AI491">_xll.DCEPropSectPipe(AE491, AF491, "Wx")/1000</f>
        <v>346.55482107816493</v>
      </c>
      <c r="AJ491" s="108">
        <f t="shared" si="225"/>
        <v>9.4301739777164251</v>
      </c>
      <c r="AK491" s="80" t="s">
        <v>206</v>
      </c>
      <c r="AL491" s="82">
        <v>-44.255370959756661</v>
      </c>
      <c r="AM491" s="82">
        <v>-4.9334511753737473</v>
      </c>
      <c r="AN491" s="82">
        <v>-1.5595929978342107</v>
      </c>
      <c r="AO491" s="82">
        <v>0</v>
      </c>
      <c r="AP491" s="82">
        <v>0</v>
      </c>
      <c r="AQ491" s="82">
        <v>9.6093911959822725E-2</v>
      </c>
      <c r="AR491" s="72">
        <v>1</v>
      </c>
      <c r="AS491" s="116">
        <f t="shared" si="226"/>
        <v>6</v>
      </c>
      <c r="AT491" s="82">
        <v>2</v>
      </c>
      <c r="AU491" s="6">
        <f t="shared" si="227"/>
        <v>12</v>
      </c>
      <c r="AV491" s="111">
        <f t="shared" si="228"/>
        <v>3.6398111983088198E-2</v>
      </c>
      <c r="AW491" s="117">
        <f t="shared" si="229"/>
        <v>105</v>
      </c>
      <c r="AX491" s="111">
        <f t="shared" si="230"/>
        <v>1</v>
      </c>
      <c r="AY491" s="111">
        <f t="shared" si="231"/>
        <v>1</v>
      </c>
      <c r="AZ491" s="111">
        <f t="shared" si="232"/>
        <v>1</v>
      </c>
      <c r="BA491" s="111">
        <f t="shared" si="233"/>
        <v>3.8313802087461261E-2</v>
      </c>
      <c r="BB491" s="111">
        <f t="shared" si="234"/>
        <v>0</v>
      </c>
      <c r="BC491" s="111">
        <f t="shared" si="235"/>
        <v>0</v>
      </c>
      <c r="BD491" s="111">
        <v>0</v>
      </c>
      <c r="BE491" s="111">
        <f t="shared" si="236"/>
        <v>3.8313802087461261E-2</v>
      </c>
      <c r="BF491" s="6" t="str">
        <f t="shared" si="237"/>
        <v>OK</v>
      </c>
      <c r="BG491" s="16">
        <f t="shared" si="238"/>
        <v>63.625549371390676</v>
      </c>
      <c r="BH491" s="118">
        <f t="shared" si="239"/>
        <v>2.1193803644775273</v>
      </c>
      <c r="BI491" s="108">
        <f t="shared" si="240"/>
        <v>0</v>
      </c>
      <c r="BJ491" s="6">
        <f t="shared" si="241"/>
        <v>1.2440309817761237</v>
      </c>
      <c r="BK491" s="108">
        <f t="shared" si="242"/>
        <v>0</v>
      </c>
      <c r="BL491" s="118" cm="1">
        <f t="array" ref="BL491">IF(AO491=0,FactorPhi7121(BH491,"a"),noisuy2chieu(BK491,BH491,Data!$A$63:$M$85))</f>
        <v>0.86214274110469236</v>
      </c>
      <c r="BM491" s="111">
        <v>1.26</v>
      </c>
      <c r="BN491" s="118">
        <f t="shared" si="243"/>
        <v>0.98365079386359144</v>
      </c>
      <c r="BO491" s="108">
        <f t="shared" si="244"/>
        <v>9.0577328684489436E-2</v>
      </c>
      <c r="BP491" s="6" t="str">
        <f t="shared" si="245"/>
        <v>OK</v>
      </c>
      <c r="BQ491" s="16">
        <f t="shared" si="246"/>
        <v>127.25109874278135</v>
      </c>
      <c r="BR491" s="118">
        <f t="shared" si="247"/>
        <v>4.2387607289550546</v>
      </c>
      <c r="BS491" s="108">
        <f t="shared" si="248"/>
        <v>0</v>
      </c>
      <c r="BT491" s="118">
        <f t="shared" si="249"/>
        <v>1.1380619635522473</v>
      </c>
      <c r="BU491" s="108">
        <f t="shared" si="250"/>
        <v>0</v>
      </c>
      <c r="BV491" s="6" cm="1">
        <f t="array" ref="BV491">IF(AP491=0,FactorPhi7121(BR491,"a"),noisuy2chieu(BU491,BR491,Data!$A$63:$M$85))</f>
        <v>0.42299549615688942</v>
      </c>
      <c r="BW491" s="111">
        <v>1.26</v>
      </c>
      <c r="BX491" s="111">
        <f t="shared" si="251"/>
        <v>0.93460317545436589</v>
      </c>
      <c r="BY491" s="113">
        <f t="shared" si="252"/>
        <v>4.4440207242675972E-2</v>
      </c>
      <c r="BZ491" s="6" t="str">
        <f t="shared" si="253"/>
        <v>OK</v>
      </c>
      <c r="CA491" s="114">
        <f t="shared" si="254"/>
        <v>127.25109874278135</v>
      </c>
      <c r="CB491" s="115">
        <f t="shared" si="255"/>
        <v>150</v>
      </c>
      <c r="CC491" s="6" t="str">
        <f t="shared" si="256"/>
        <v>OK</v>
      </c>
    </row>
    <row r="492" spans="27:81">
      <c r="AA492" s="79" t="s">
        <v>175</v>
      </c>
      <c r="AB492" s="80" t="s">
        <v>204</v>
      </c>
      <c r="AC492" s="81">
        <v>2.74</v>
      </c>
      <c r="AD492" s="81">
        <v>6</v>
      </c>
      <c r="AE492" s="80">
        <v>273</v>
      </c>
      <c r="AF492" s="80">
        <v>6.35</v>
      </c>
      <c r="AG492" s="108" cm="1">
        <f t="array" ref="AG492">_xll.DCEPropSectPipe(AE492, AF492, "Area")/100</f>
        <v>53.19431074856206</v>
      </c>
      <c r="AH492" s="16" cm="1">
        <f t="array" ref="AH492">_xll.DCEPropSectPipe(AE492, AF492, "Ix")/10000</f>
        <v>4730.4733077169503</v>
      </c>
      <c r="AI492" s="16" cm="1">
        <f t="array" ref="AI492">_xll.DCEPropSectPipe(AE492, AF492, "Wx")/1000</f>
        <v>346.55482107816493</v>
      </c>
      <c r="AJ492" s="108">
        <f t="shared" si="225"/>
        <v>9.4301739777164251</v>
      </c>
      <c r="AK492" s="80" t="s">
        <v>206</v>
      </c>
      <c r="AL492" s="82">
        <v>-42.908110611024625</v>
      </c>
      <c r="AM492" s="82">
        <v>-4.9334511753737473</v>
      </c>
      <c r="AN492" s="82">
        <v>-1.5595929978342107</v>
      </c>
      <c r="AO492" s="82">
        <v>4.2764040000614045</v>
      </c>
      <c r="AP492" s="82">
        <v>13.527523122874813</v>
      </c>
      <c r="AQ492" s="82">
        <v>9.6093911959822725E-2</v>
      </c>
      <c r="AR492" s="72">
        <v>1</v>
      </c>
      <c r="AS492" s="116">
        <f t="shared" si="226"/>
        <v>6</v>
      </c>
      <c r="AT492" s="82">
        <v>2</v>
      </c>
      <c r="AU492" s="6">
        <f t="shared" si="227"/>
        <v>12</v>
      </c>
      <c r="AV492" s="111">
        <f t="shared" si="228"/>
        <v>3.5290049120207327E-2</v>
      </c>
      <c r="AW492" s="117">
        <f t="shared" si="229"/>
        <v>105</v>
      </c>
      <c r="AX492" s="111">
        <f t="shared" si="230"/>
        <v>1</v>
      </c>
      <c r="AY492" s="111">
        <f t="shared" si="231"/>
        <v>1</v>
      </c>
      <c r="AZ492" s="111">
        <f t="shared" si="232"/>
        <v>1</v>
      </c>
      <c r="BA492" s="111">
        <f t="shared" si="233"/>
        <v>3.7147420126534027E-2</v>
      </c>
      <c r="BB492" s="111">
        <f t="shared" si="234"/>
        <v>5.682785115638176E-2</v>
      </c>
      <c r="BC492" s="111">
        <f t="shared" si="235"/>
        <v>0.17976320070091698</v>
      </c>
      <c r="BD492" s="111">
        <v>0</v>
      </c>
      <c r="BE492" s="111">
        <f t="shared" si="236"/>
        <v>0.27373847198383278</v>
      </c>
      <c r="BF492" s="6" t="str">
        <f t="shared" si="237"/>
        <v>OK</v>
      </c>
      <c r="BG492" s="16">
        <f t="shared" si="238"/>
        <v>63.625549371390676</v>
      </c>
      <c r="BH492" s="118">
        <f t="shared" si="239"/>
        <v>2.1193803644775273</v>
      </c>
      <c r="BI492" s="108">
        <f t="shared" si="240"/>
        <v>1.5297926736987639</v>
      </c>
      <c r="BJ492" s="6">
        <f t="shared" si="241"/>
        <v>1.1999634736347731</v>
      </c>
      <c r="BK492" s="108">
        <f t="shared" si="242"/>
        <v>1.8356953306725956</v>
      </c>
      <c r="BL492" s="118" cm="1">
        <f t="array" ref="BL492">IF(AO492=0,FactorPhi7121(BH492,"a"),noisuy2chieu(BK492,BH492,Data!$A$63:$M$85))</f>
        <v>0</v>
      </c>
      <c r="BM492" s="111">
        <v>1.26</v>
      </c>
      <c r="BN492" s="118">
        <f t="shared" si="243"/>
        <v>0.98414851056290142</v>
      </c>
      <c r="BO492" s="108" t="e">
        <f t="shared" si="244"/>
        <v>#DIV/0!</v>
      </c>
      <c r="BP492" s="6" t="e">
        <f t="shared" si="245"/>
        <v>#DIV/0!</v>
      </c>
      <c r="BQ492" s="16">
        <f t="shared" si="246"/>
        <v>127.25109874278135</v>
      </c>
      <c r="BR492" s="118">
        <f t="shared" si="247"/>
        <v>4.2387607289550546</v>
      </c>
      <c r="BS492" s="108">
        <f t="shared" si="248"/>
        <v>4.8391839887829509</v>
      </c>
      <c r="BT492" s="118">
        <f t="shared" si="249"/>
        <v>1.1012241946315124</v>
      </c>
      <c r="BU492" s="108">
        <f t="shared" si="250"/>
        <v>5.3290264907212146</v>
      </c>
      <c r="BV492" s="6" cm="1">
        <f t="array" ref="BV492">IF(AP492=0,FactorPhi7121(BR492,"a"),noisuy2chieu(BU492,BR492,Data!$A$63:$M$85))</f>
        <v>0</v>
      </c>
      <c r="BW492" s="111">
        <v>1.26</v>
      </c>
      <c r="BX492" s="111">
        <f t="shared" si="251"/>
        <v>0.93659404225160592</v>
      </c>
      <c r="BY492" s="113" t="e">
        <f t="shared" si="252"/>
        <v>#DIV/0!</v>
      </c>
      <c r="BZ492" s="6" t="e">
        <f t="shared" si="253"/>
        <v>#DIV/0!</v>
      </c>
      <c r="CA492" s="114">
        <f t="shared" si="254"/>
        <v>127.25109874278135</v>
      </c>
      <c r="CB492" s="115" t="e">
        <f t="shared" si="255"/>
        <v>#DIV/0!</v>
      </c>
      <c r="CC492" s="6" t="e">
        <f t="shared" si="256"/>
        <v>#DIV/0!</v>
      </c>
    </row>
    <row r="493" spans="27:81">
      <c r="AA493" s="79" t="s">
        <v>175</v>
      </c>
      <c r="AB493" s="80" t="s">
        <v>204</v>
      </c>
      <c r="AC493" s="81">
        <v>5.48</v>
      </c>
      <c r="AD493" s="81">
        <v>6</v>
      </c>
      <c r="AE493" s="80">
        <v>273</v>
      </c>
      <c r="AF493" s="80">
        <v>6.35</v>
      </c>
      <c r="AG493" s="108" cm="1">
        <f t="array" ref="AG493">_xll.DCEPropSectPipe(AE493, AF493, "Area")/100</f>
        <v>53.19431074856206</v>
      </c>
      <c r="AH493" s="16" cm="1">
        <f t="array" ref="AH493">_xll.DCEPropSectPipe(AE493, AF493, "Ix")/10000</f>
        <v>4730.4733077169503</v>
      </c>
      <c r="AI493" s="16" cm="1">
        <f t="array" ref="AI493">_xll.DCEPropSectPipe(AE493, AF493, "Wx")/1000</f>
        <v>346.55482107816493</v>
      </c>
      <c r="AJ493" s="108">
        <f t="shared" si="225"/>
        <v>9.4301739777164251</v>
      </c>
      <c r="AK493" s="80" t="s">
        <v>206</v>
      </c>
      <c r="AL493" s="82">
        <v>-41.560850262292597</v>
      </c>
      <c r="AM493" s="82">
        <v>-4.9334511753737473</v>
      </c>
      <c r="AN493" s="82">
        <v>-1.5595929978342107</v>
      </c>
      <c r="AO493" s="82">
        <v>8.5528080001228091</v>
      </c>
      <c r="AP493" s="82">
        <v>27.055046245749626</v>
      </c>
      <c r="AQ493" s="82">
        <v>9.6093911959822725E-2</v>
      </c>
      <c r="AR493" s="72">
        <v>1</v>
      </c>
      <c r="AS493" s="116">
        <f t="shared" si="226"/>
        <v>6</v>
      </c>
      <c r="AT493" s="82">
        <v>2</v>
      </c>
      <c r="AU493" s="6">
        <f t="shared" si="227"/>
        <v>12</v>
      </c>
      <c r="AV493" s="111">
        <f t="shared" si="228"/>
        <v>3.4181986257326456E-2</v>
      </c>
      <c r="AW493" s="117">
        <f t="shared" si="229"/>
        <v>105</v>
      </c>
      <c r="AX493" s="111">
        <f t="shared" si="230"/>
        <v>1</v>
      </c>
      <c r="AY493" s="111">
        <f t="shared" si="231"/>
        <v>1</v>
      </c>
      <c r="AZ493" s="111">
        <f t="shared" si="232"/>
        <v>1</v>
      </c>
      <c r="BA493" s="111">
        <f t="shared" si="233"/>
        <v>3.5981038165606799E-2</v>
      </c>
      <c r="BB493" s="111">
        <f t="shared" si="234"/>
        <v>0.11365570231276352</v>
      </c>
      <c r="BC493" s="111">
        <f t="shared" si="235"/>
        <v>0.35952640140183395</v>
      </c>
      <c r="BD493" s="111">
        <v>0</v>
      </c>
      <c r="BE493" s="111">
        <f t="shared" si="236"/>
        <v>0.50916314188020428</v>
      </c>
      <c r="BF493" s="6" t="str">
        <f t="shared" si="237"/>
        <v>OK</v>
      </c>
      <c r="BG493" s="16">
        <f t="shared" si="238"/>
        <v>63.625549371390676</v>
      </c>
      <c r="BH493" s="118">
        <f t="shared" si="239"/>
        <v>2.1193803644775273</v>
      </c>
      <c r="BI493" s="108">
        <f t="shared" si="240"/>
        <v>3.1587666200638882</v>
      </c>
      <c r="BJ493" s="6">
        <f t="shared" si="241"/>
        <v>1.153038930278234</v>
      </c>
      <c r="BK493" s="108">
        <f t="shared" si="242"/>
        <v>3.6421808845970585</v>
      </c>
      <c r="BL493" s="118" cm="1">
        <f t="array" ref="BL493">IF(AO493=0,FactorPhi7121(BH493,"a"),noisuy2chieu(BK493,BH493,Data!$A$63:$M$85))</f>
        <v>0</v>
      </c>
      <c r="BM493" s="111">
        <v>1.26</v>
      </c>
      <c r="BN493" s="118">
        <f t="shared" si="243"/>
        <v>0.98464622726221152</v>
      </c>
      <c r="BO493" s="108" t="e">
        <f t="shared" si="244"/>
        <v>#DIV/0!</v>
      </c>
      <c r="BP493" s="6" t="e">
        <f t="shared" si="245"/>
        <v>#DIV/0!</v>
      </c>
      <c r="BQ493" s="16">
        <f t="shared" si="246"/>
        <v>127.25109874278135</v>
      </c>
      <c r="BR493" s="118">
        <f t="shared" si="247"/>
        <v>4.2387607289550546</v>
      </c>
      <c r="BS493" s="108">
        <f t="shared" si="248"/>
        <v>9.9921075024870909</v>
      </c>
      <c r="BT493" s="118">
        <f t="shared" si="249"/>
        <v>1.1000000000000001</v>
      </c>
      <c r="BU493" s="108">
        <f t="shared" si="250"/>
        <v>10.9913182527358</v>
      </c>
      <c r="BV493" s="6" cm="1">
        <f t="array" ref="BV493">IF(AP493=0,FactorPhi7121(BR493,"a"),noisuy2chieu(BU493,BR493,Data!$A$63:$M$85))</f>
        <v>0</v>
      </c>
      <c r="BW493" s="111">
        <v>1.26</v>
      </c>
      <c r="BX493" s="111">
        <f t="shared" si="251"/>
        <v>0.93858490904884584</v>
      </c>
      <c r="BY493" s="113" t="e">
        <f t="shared" si="252"/>
        <v>#DIV/0!</v>
      </c>
      <c r="BZ493" s="6" t="e">
        <f t="shared" si="253"/>
        <v>#DIV/0!</v>
      </c>
      <c r="CA493" s="114">
        <f t="shared" si="254"/>
        <v>127.25109874278135</v>
      </c>
      <c r="CB493" s="115" t="e">
        <f t="shared" si="255"/>
        <v>#DIV/0!</v>
      </c>
      <c r="CC493" s="6" t="e">
        <f t="shared" si="256"/>
        <v>#DIV/0!</v>
      </c>
    </row>
    <row r="494" spans="27:81">
      <c r="AA494" s="79" t="s">
        <v>175</v>
      </c>
      <c r="AB494" s="80" t="s">
        <v>204</v>
      </c>
      <c r="AC494" s="81">
        <v>0</v>
      </c>
      <c r="AD494" s="81">
        <v>6</v>
      </c>
      <c r="AE494" s="80">
        <v>273</v>
      </c>
      <c r="AF494" s="80">
        <v>6.35</v>
      </c>
      <c r="AG494" s="108" cm="1">
        <f t="array" ref="AG494">_xll.DCEPropSectPipe(AE494, AF494, "Area")/100</f>
        <v>53.19431074856206</v>
      </c>
      <c r="AH494" s="16" cm="1">
        <f t="array" ref="AH494">_xll.DCEPropSectPipe(AE494, AF494, "Ix")/10000</f>
        <v>4730.4733077169503</v>
      </c>
      <c r="AI494" s="16" cm="1">
        <f t="array" ref="AI494">_xll.DCEPropSectPipe(AE494, AF494, "Wx")/1000</f>
        <v>346.55482107816493</v>
      </c>
      <c r="AJ494" s="108">
        <f t="shared" si="225"/>
        <v>9.4301739777164251</v>
      </c>
      <c r="AK494" s="80" t="s">
        <v>207</v>
      </c>
      <c r="AL494" s="82">
        <v>-73.099052718307334</v>
      </c>
      <c r="AM494" s="82">
        <v>-7.6579346204237524</v>
      </c>
      <c r="AN494" s="82">
        <v>-2.5192700930671594</v>
      </c>
      <c r="AO494" s="82">
        <v>0</v>
      </c>
      <c r="AP494" s="82">
        <v>0</v>
      </c>
      <c r="AQ494" s="82">
        <v>0.14265669081301066</v>
      </c>
      <c r="AR494" s="72">
        <v>1</v>
      </c>
      <c r="AS494" s="116">
        <f t="shared" si="226"/>
        <v>6</v>
      </c>
      <c r="AT494" s="82">
        <v>2</v>
      </c>
      <c r="AU494" s="6">
        <f t="shared" si="227"/>
        <v>12</v>
      </c>
      <c r="AV494" s="111">
        <f t="shared" si="228"/>
        <v>6.0120781929905845E-2</v>
      </c>
      <c r="AW494" s="117">
        <f t="shared" si="229"/>
        <v>105</v>
      </c>
      <c r="AX494" s="111">
        <f t="shared" si="230"/>
        <v>1</v>
      </c>
      <c r="AY494" s="111">
        <f t="shared" si="231"/>
        <v>1</v>
      </c>
      <c r="AZ494" s="111">
        <f t="shared" si="232"/>
        <v>1</v>
      </c>
      <c r="BA494" s="111">
        <f t="shared" si="233"/>
        <v>6.3285033610427213E-2</v>
      </c>
      <c r="BB494" s="111">
        <f t="shared" si="234"/>
        <v>0</v>
      </c>
      <c r="BC494" s="111">
        <f t="shared" si="235"/>
        <v>0</v>
      </c>
      <c r="BD494" s="111">
        <v>0</v>
      </c>
      <c r="BE494" s="111">
        <f t="shared" si="236"/>
        <v>6.3285033610427213E-2</v>
      </c>
      <c r="BF494" s="6" t="str">
        <f t="shared" si="237"/>
        <v>OK</v>
      </c>
      <c r="BG494" s="16">
        <f t="shared" si="238"/>
        <v>63.625549371390676</v>
      </c>
      <c r="BH494" s="118">
        <f t="shared" si="239"/>
        <v>2.1193803644775273</v>
      </c>
      <c r="BI494" s="108">
        <f t="shared" si="240"/>
        <v>0</v>
      </c>
      <c r="BJ494" s="6">
        <f t="shared" si="241"/>
        <v>1.2440309817761237</v>
      </c>
      <c r="BK494" s="108">
        <f t="shared" si="242"/>
        <v>0</v>
      </c>
      <c r="BL494" s="118" cm="1">
        <f t="array" ref="BL494">IF(AO494=0,FactorPhi7121(BH494,"a"),noisuy2chieu(BK494,BH494,Data!$A$63:$M$85))</f>
        <v>0.86214274110469236</v>
      </c>
      <c r="BM494" s="111">
        <v>1.26</v>
      </c>
      <c r="BN494" s="118">
        <f t="shared" si="243"/>
        <v>0.97299510872127659</v>
      </c>
      <c r="BO494" s="108">
        <f t="shared" si="244"/>
        <v>0.14961160150734734</v>
      </c>
      <c r="BP494" s="6" t="str">
        <f t="shared" si="245"/>
        <v>OK</v>
      </c>
      <c r="BQ494" s="16">
        <f t="shared" si="246"/>
        <v>127.25109874278135</v>
      </c>
      <c r="BR494" s="118">
        <f t="shared" si="247"/>
        <v>4.2387607289550546</v>
      </c>
      <c r="BS494" s="108">
        <f t="shared" si="248"/>
        <v>0</v>
      </c>
      <c r="BT494" s="118">
        <f t="shared" si="249"/>
        <v>1.1380619635522473</v>
      </c>
      <c r="BU494" s="108">
        <f t="shared" si="250"/>
        <v>0</v>
      </c>
      <c r="BV494" s="6" cm="1">
        <f t="array" ref="BV494">IF(AP494=0,FactorPhi7121(BR494,"a"),noisuy2chieu(BU494,BR494,Data!$A$63:$M$85))</f>
        <v>0.42299549615688942</v>
      </c>
      <c r="BW494" s="111">
        <v>1.26</v>
      </c>
      <c r="BX494" s="111">
        <f t="shared" si="251"/>
        <v>0.89198043488510648</v>
      </c>
      <c r="BY494" s="113">
        <f t="shared" si="252"/>
        <v>7.340435706660127E-2</v>
      </c>
      <c r="BZ494" s="6" t="str">
        <f t="shared" si="253"/>
        <v>OK</v>
      </c>
      <c r="CA494" s="114">
        <f t="shared" si="254"/>
        <v>127.25109874278135</v>
      </c>
      <c r="CB494" s="115">
        <f t="shared" si="255"/>
        <v>150</v>
      </c>
      <c r="CC494" s="6" t="str">
        <f t="shared" si="256"/>
        <v>OK</v>
      </c>
    </row>
    <row r="495" spans="27:81">
      <c r="AA495" s="79" t="s">
        <v>175</v>
      </c>
      <c r="AB495" s="80" t="s">
        <v>204</v>
      </c>
      <c r="AC495" s="81">
        <v>2.74</v>
      </c>
      <c r="AD495" s="81">
        <v>6</v>
      </c>
      <c r="AE495" s="80">
        <v>273</v>
      </c>
      <c r="AF495" s="80">
        <v>6.35</v>
      </c>
      <c r="AG495" s="108" cm="1">
        <f t="array" ref="AG495">_xll.DCEPropSectPipe(AE495, AF495, "Area")/100</f>
        <v>53.19431074856206</v>
      </c>
      <c r="AH495" s="16" cm="1">
        <f t="array" ref="AH495">_xll.DCEPropSectPipe(AE495, AF495, "Ix")/10000</f>
        <v>4730.4733077169503</v>
      </c>
      <c r="AI495" s="16" cm="1">
        <f t="array" ref="AI495">_xll.DCEPropSectPipe(AE495, AF495, "Wx")/1000</f>
        <v>346.55482107816493</v>
      </c>
      <c r="AJ495" s="108">
        <f t="shared" si="225"/>
        <v>9.4301739777164251</v>
      </c>
      <c r="AK495" s="80" t="s">
        <v>207</v>
      </c>
      <c r="AL495" s="82">
        <v>-71.751792369575298</v>
      </c>
      <c r="AM495" s="82">
        <v>-7.6579346204237524</v>
      </c>
      <c r="AN495" s="82">
        <v>-2.5192700930671594</v>
      </c>
      <c r="AO495" s="82">
        <v>6.9078385951901513</v>
      </c>
      <c r="AP495" s="82">
        <v>20.998056729201927</v>
      </c>
      <c r="AQ495" s="82">
        <v>0.14265669081301066</v>
      </c>
      <c r="AR495" s="72">
        <v>1</v>
      </c>
      <c r="AS495" s="116">
        <f t="shared" si="226"/>
        <v>6</v>
      </c>
      <c r="AT495" s="82">
        <v>2</v>
      </c>
      <c r="AU495" s="6">
        <f t="shared" si="227"/>
        <v>12</v>
      </c>
      <c r="AV495" s="111">
        <f t="shared" si="228"/>
        <v>5.9012719067024974E-2</v>
      </c>
      <c r="AW495" s="117">
        <f t="shared" si="229"/>
        <v>105</v>
      </c>
      <c r="AX495" s="111">
        <f t="shared" si="230"/>
        <v>1</v>
      </c>
      <c r="AY495" s="111">
        <f t="shared" si="231"/>
        <v>1</v>
      </c>
      <c r="AZ495" s="111">
        <f t="shared" si="232"/>
        <v>1</v>
      </c>
      <c r="BA495" s="111">
        <f t="shared" si="233"/>
        <v>6.2118651649499979E-2</v>
      </c>
      <c r="BB495" s="111">
        <f t="shared" si="234"/>
        <v>9.1796196873386735E-2</v>
      </c>
      <c r="BC495" s="111">
        <f t="shared" si="235"/>
        <v>0.27903688294258761</v>
      </c>
      <c r="BD495" s="111">
        <v>0</v>
      </c>
      <c r="BE495" s="111">
        <f t="shared" si="236"/>
        <v>0.43295173146547433</v>
      </c>
      <c r="BF495" s="6" t="str">
        <f t="shared" si="237"/>
        <v>OK</v>
      </c>
      <c r="BG495" s="16">
        <f t="shared" si="238"/>
        <v>63.625549371390676</v>
      </c>
      <c r="BH495" s="118">
        <f t="shared" si="239"/>
        <v>2.1193803644775273</v>
      </c>
      <c r="BI495" s="108">
        <f t="shared" si="240"/>
        <v>1.4777557856751331</v>
      </c>
      <c r="BJ495" s="6">
        <f t="shared" si="241"/>
        <v>1.2014624584488964</v>
      </c>
      <c r="BK495" s="108">
        <f t="shared" si="242"/>
        <v>1.7754680992443259</v>
      </c>
      <c r="BL495" s="118" cm="1">
        <f t="array" ref="BL495">IF(AO495=0,FactorPhi7121(BH495,"a"),noisuy2chieu(BK495,BH495,Data!$A$63:$M$85))</f>
        <v>0</v>
      </c>
      <c r="BM495" s="111">
        <v>1.26</v>
      </c>
      <c r="BN495" s="118">
        <f t="shared" si="243"/>
        <v>0.97349282542058657</v>
      </c>
      <c r="BO495" s="108" t="e">
        <f t="shared" si="244"/>
        <v>#DIV/0!</v>
      </c>
      <c r="BP495" s="6" t="e">
        <f t="shared" si="245"/>
        <v>#DIV/0!</v>
      </c>
      <c r="BQ495" s="16">
        <f t="shared" si="246"/>
        <v>127.25109874278135</v>
      </c>
      <c r="BR495" s="118">
        <f t="shared" si="247"/>
        <v>4.2387607289550546</v>
      </c>
      <c r="BS495" s="108">
        <f t="shared" si="248"/>
        <v>4.4919983858798673</v>
      </c>
      <c r="BT495" s="118">
        <f t="shared" si="249"/>
        <v>1.1038671077842248</v>
      </c>
      <c r="BU495" s="108">
        <f t="shared" si="250"/>
        <v>4.9585692663926153</v>
      </c>
      <c r="BV495" s="6" cm="1">
        <f t="array" ref="BV495">IF(AP495=0,FactorPhi7121(BR495,"a"),noisuy2chieu(BU495,BR495,Data!$A$63:$M$85))</f>
        <v>0</v>
      </c>
      <c r="BW495" s="111">
        <v>1.26</v>
      </c>
      <c r="BX495" s="111">
        <f t="shared" si="251"/>
        <v>0.89397130168234651</v>
      </c>
      <c r="BY495" s="113" t="e">
        <f t="shared" si="252"/>
        <v>#DIV/0!</v>
      </c>
      <c r="BZ495" s="6" t="e">
        <f t="shared" si="253"/>
        <v>#DIV/0!</v>
      </c>
      <c r="CA495" s="114">
        <f t="shared" si="254"/>
        <v>127.25109874278135</v>
      </c>
      <c r="CB495" s="115" t="e">
        <f t="shared" si="255"/>
        <v>#DIV/0!</v>
      </c>
      <c r="CC495" s="6" t="e">
        <f t="shared" si="256"/>
        <v>#DIV/0!</v>
      </c>
    </row>
    <row r="496" spans="27:81">
      <c r="AA496" s="79" t="s">
        <v>175</v>
      </c>
      <c r="AB496" s="80" t="s">
        <v>204</v>
      </c>
      <c r="AC496" s="81">
        <v>5.48</v>
      </c>
      <c r="AD496" s="81">
        <v>6</v>
      </c>
      <c r="AE496" s="80">
        <v>273</v>
      </c>
      <c r="AF496" s="80">
        <v>6.35</v>
      </c>
      <c r="AG496" s="108" cm="1">
        <f t="array" ref="AG496">_xll.DCEPropSectPipe(AE496, AF496, "Area")/100</f>
        <v>53.19431074856206</v>
      </c>
      <c r="AH496" s="16" cm="1">
        <f t="array" ref="AH496">_xll.DCEPropSectPipe(AE496, AF496, "Ix")/10000</f>
        <v>4730.4733077169503</v>
      </c>
      <c r="AI496" s="16" cm="1">
        <f t="array" ref="AI496">_xll.DCEPropSectPipe(AE496, AF496, "Wx")/1000</f>
        <v>346.55482107816493</v>
      </c>
      <c r="AJ496" s="108">
        <f t="shared" si="225"/>
        <v>9.4301739777164251</v>
      </c>
      <c r="AK496" s="80" t="s">
        <v>207</v>
      </c>
      <c r="AL496" s="82">
        <v>-70.404532020843249</v>
      </c>
      <c r="AM496" s="82">
        <v>-7.6579346204237524</v>
      </c>
      <c r="AN496" s="82">
        <v>-2.5192700930671594</v>
      </c>
      <c r="AO496" s="82">
        <v>13.815677190380303</v>
      </c>
      <c r="AP496" s="82">
        <v>41.996113458403855</v>
      </c>
      <c r="AQ496" s="82">
        <v>0.14265669081301066</v>
      </c>
      <c r="AR496" s="72">
        <v>1</v>
      </c>
      <c r="AS496" s="116">
        <f t="shared" si="226"/>
        <v>6</v>
      </c>
      <c r="AT496" s="82">
        <v>2</v>
      </c>
      <c r="AU496" s="6">
        <f t="shared" si="227"/>
        <v>12</v>
      </c>
      <c r="AV496" s="111">
        <f t="shared" si="228"/>
        <v>5.7904656204144082E-2</v>
      </c>
      <c r="AW496" s="117">
        <f t="shared" si="229"/>
        <v>105</v>
      </c>
      <c r="AX496" s="111">
        <f t="shared" si="230"/>
        <v>1</v>
      </c>
      <c r="AY496" s="111">
        <f t="shared" si="231"/>
        <v>1</v>
      </c>
      <c r="AZ496" s="111">
        <f t="shared" si="232"/>
        <v>1</v>
      </c>
      <c r="BA496" s="111">
        <f t="shared" si="233"/>
        <v>6.095226968857273E-2</v>
      </c>
      <c r="BB496" s="111">
        <f t="shared" si="234"/>
        <v>0.18359239374677347</v>
      </c>
      <c r="BC496" s="111">
        <f t="shared" si="235"/>
        <v>0.55807376588517521</v>
      </c>
      <c r="BD496" s="111">
        <v>0</v>
      </c>
      <c r="BE496" s="111">
        <f t="shared" si="236"/>
        <v>0.80261842932052141</v>
      </c>
      <c r="BF496" s="6" t="str">
        <f t="shared" si="237"/>
        <v>OK</v>
      </c>
      <c r="BG496" s="16">
        <f t="shared" si="238"/>
        <v>63.625549371390676</v>
      </c>
      <c r="BH496" s="118">
        <f t="shared" si="239"/>
        <v>2.1193803644775273</v>
      </c>
      <c r="BI496" s="108">
        <f t="shared" si="240"/>
        <v>3.0120682082031349</v>
      </c>
      <c r="BJ496" s="6">
        <f t="shared" si="241"/>
        <v>1.1572647535352942</v>
      </c>
      <c r="BK496" s="108">
        <f t="shared" si="242"/>
        <v>3.4857603725976962</v>
      </c>
      <c r="BL496" s="118" cm="1">
        <f t="array" ref="BL496">IF(AO496=0,FactorPhi7121(BH496,"a"),noisuy2chieu(BK496,BH496,Data!$A$63:$M$85))</f>
        <v>0</v>
      </c>
      <c r="BM496" s="111">
        <v>1.26</v>
      </c>
      <c r="BN496" s="118">
        <f t="shared" si="243"/>
        <v>0.97399054211989666</v>
      </c>
      <c r="BO496" s="108" t="e">
        <f t="shared" si="244"/>
        <v>#DIV/0!</v>
      </c>
      <c r="BP496" s="6" t="e">
        <f t="shared" si="245"/>
        <v>#DIV/0!</v>
      </c>
      <c r="BQ496" s="16">
        <f t="shared" si="246"/>
        <v>127.25109874278135</v>
      </c>
      <c r="BR496" s="118">
        <f t="shared" si="247"/>
        <v>4.2387607289550546</v>
      </c>
      <c r="BS496" s="108">
        <f t="shared" si="248"/>
        <v>9.1559144349599588</v>
      </c>
      <c r="BT496" s="118">
        <f t="shared" si="249"/>
        <v>1.1000000000000001</v>
      </c>
      <c r="BU496" s="108">
        <f t="shared" si="250"/>
        <v>10.071505878455955</v>
      </c>
      <c r="BV496" s="6" cm="1">
        <f t="array" ref="BV496">IF(AP496=0,FactorPhi7121(BR496,"a"),noisuy2chieu(BU496,BR496,Data!$A$63:$M$85))</f>
        <v>0</v>
      </c>
      <c r="BW496" s="111">
        <v>1.26</v>
      </c>
      <c r="BX496" s="111">
        <f t="shared" si="251"/>
        <v>0.89596216847958643</v>
      </c>
      <c r="BY496" s="113" t="e">
        <f t="shared" si="252"/>
        <v>#DIV/0!</v>
      </c>
      <c r="BZ496" s="6" t="e">
        <f t="shared" si="253"/>
        <v>#DIV/0!</v>
      </c>
      <c r="CA496" s="114">
        <f t="shared" si="254"/>
        <v>127.25109874278135</v>
      </c>
      <c r="CB496" s="115" t="e">
        <f t="shared" si="255"/>
        <v>#DIV/0!</v>
      </c>
      <c r="CC496" s="6" t="e">
        <f t="shared" si="256"/>
        <v>#DIV/0!</v>
      </c>
    </row>
    <row r="497" spans="27:81">
      <c r="AA497" s="79" t="s">
        <v>175</v>
      </c>
      <c r="AB497" s="80" t="s">
        <v>204</v>
      </c>
      <c r="AC497" s="81">
        <v>0</v>
      </c>
      <c r="AD497" s="81">
        <v>6</v>
      </c>
      <c r="AE497" s="80">
        <v>273</v>
      </c>
      <c r="AF497" s="80">
        <v>6.35</v>
      </c>
      <c r="AG497" s="108" cm="1">
        <f t="array" ref="AG497">_xll.DCEPropSectPipe(AE497, AF497, "Area")/100</f>
        <v>53.19431074856206</v>
      </c>
      <c r="AH497" s="16" cm="1">
        <f t="array" ref="AH497">_xll.DCEPropSectPipe(AE497, AF497, "Ix")/10000</f>
        <v>4730.4733077169503</v>
      </c>
      <c r="AI497" s="16" cm="1">
        <f t="array" ref="AI497">_xll.DCEPropSectPipe(AE497, AF497, "Wx")/1000</f>
        <v>346.55482107816493</v>
      </c>
      <c r="AJ497" s="108">
        <f t="shared" si="225"/>
        <v>9.4301739777164251</v>
      </c>
      <c r="AK497" s="80" t="s">
        <v>208</v>
      </c>
      <c r="AL497" s="82">
        <v>-57.859945935764884</v>
      </c>
      <c r="AM497" s="82">
        <v>-7.6622389168672385</v>
      </c>
      <c r="AN497" s="82">
        <v>-2.3558782507193428</v>
      </c>
      <c r="AO497" s="82">
        <v>0</v>
      </c>
      <c r="AP497" s="82">
        <v>0</v>
      </c>
      <c r="AQ497" s="82">
        <v>0.18240416049901992</v>
      </c>
      <c r="AR497" s="72">
        <v>1</v>
      </c>
      <c r="AS497" s="116">
        <f t="shared" si="226"/>
        <v>6</v>
      </c>
      <c r="AT497" s="82">
        <v>2</v>
      </c>
      <c r="AU497" s="6">
        <f t="shared" si="227"/>
        <v>12</v>
      </c>
      <c r="AV497" s="111">
        <f t="shared" si="228"/>
        <v>4.7587281404114092E-2</v>
      </c>
      <c r="AW497" s="117">
        <f t="shared" si="229"/>
        <v>105</v>
      </c>
      <c r="AX497" s="111">
        <f t="shared" si="230"/>
        <v>1</v>
      </c>
      <c r="AY497" s="111">
        <f t="shared" si="231"/>
        <v>1</v>
      </c>
      <c r="AZ497" s="111">
        <f t="shared" si="232"/>
        <v>1</v>
      </c>
      <c r="BA497" s="111">
        <f t="shared" si="233"/>
        <v>5.0091875162225366E-2</v>
      </c>
      <c r="BB497" s="111">
        <f t="shared" si="234"/>
        <v>0</v>
      </c>
      <c r="BC497" s="111">
        <f t="shared" si="235"/>
        <v>0</v>
      </c>
      <c r="BD497" s="111">
        <v>0</v>
      </c>
      <c r="BE497" s="111">
        <f t="shared" si="236"/>
        <v>5.0091875162225366E-2</v>
      </c>
      <c r="BF497" s="6" t="str">
        <f t="shared" si="237"/>
        <v>OK</v>
      </c>
      <c r="BG497" s="16">
        <f t="shared" si="238"/>
        <v>63.625549371390676</v>
      </c>
      <c r="BH497" s="118">
        <f t="shared" si="239"/>
        <v>2.1193803644775273</v>
      </c>
      <c r="BI497" s="108">
        <f t="shared" si="240"/>
        <v>0</v>
      </c>
      <c r="BJ497" s="6">
        <f t="shared" si="241"/>
        <v>1.2440309817761237</v>
      </c>
      <c r="BK497" s="108">
        <f t="shared" si="242"/>
        <v>0</v>
      </c>
      <c r="BL497" s="118" cm="1">
        <f t="array" ref="BL497">IF(AO497=0,FactorPhi7121(BH497,"a"),noisuy2chieu(BK497,BH497,Data!$A$63:$M$85))</f>
        <v>0.86214274110469236</v>
      </c>
      <c r="BM497" s="111">
        <v>1.26</v>
      </c>
      <c r="BN497" s="118">
        <f t="shared" si="243"/>
        <v>0.97862487280909971</v>
      </c>
      <c r="BO497" s="108">
        <f t="shared" si="244"/>
        <v>0.11842176953970746</v>
      </c>
      <c r="BP497" s="6" t="str">
        <f t="shared" si="245"/>
        <v>OK</v>
      </c>
      <c r="BQ497" s="16">
        <f t="shared" si="246"/>
        <v>127.25109874278135</v>
      </c>
      <c r="BR497" s="118">
        <f t="shared" si="247"/>
        <v>4.2387607289550546</v>
      </c>
      <c r="BS497" s="108">
        <f t="shared" si="248"/>
        <v>0</v>
      </c>
      <c r="BT497" s="118">
        <f t="shared" si="249"/>
        <v>1.1380619635522473</v>
      </c>
      <c r="BU497" s="108">
        <f t="shared" si="250"/>
        <v>0</v>
      </c>
      <c r="BV497" s="6" cm="1">
        <f t="array" ref="BV497">IF(AP497=0,FactorPhi7121(BR497,"a"),noisuy2chieu(BU497,BR497,Data!$A$63:$M$85))</f>
        <v>0.42299549615688942</v>
      </c>
      <c r="BW497" s="111">
        <v>1.26</v>
      </c>
      <c r="BX497" s="111">
        <f t="shared" si="251"/>
        <v>0.91449949123639884</v>
      </c>
      <c r="BY497" s="113">
        <f t="shared" si="252"/>
        <v>5.8101602871516347E-2</v>
      </c>
      <c r="BZ497" s="6" t="str">
        <f t="shared" si="253"/>
        <v>OK</v>
      </c>
      <c r="CA497" s="114">
        <f t="shared" si="254"/>
        <v>127.25109874278135</v>
      </c>
      <c r="CB497" s="115">
        <f t="shared" si="255"/>
        <v>150</v>
      </c>
      <c r="CC497" s="6" t="str">
        <f t="shared" si="256"/>
        <v>OK</v>
      </c>
    </row>
    <row r="498" spans="27:81">
      <c r="AA498" s="79" t="s">
        <v>175</v>
      </c>
      <c r="AB498" s="80" t="s">
        <v>204</v>
      </c>
      <c r="AC498" s="81">
        <v>2.74</v>
      </c>
      <c r="AD498" s="81">
        <v>6</v>
      </c>
      <c r="AE498" s="80">
        <v>273</v>
      </c>
      <c r="AF498" s="80">
        <v>6.35</v>
      </c>
      <c r="AG498" s="108" cm="1">
        <f t="array" ref="AG498">_xll.DCEPropSectPipe(AE498, AF498, "Area")/100</f>
        <v>53.19431074856206</v>
      </c>
      <c r="AH498" s="16" cm="1">
        <f t="array" ref="AH498">_xll.DCEPropSectPipe(AE498, AF498, "Ix")/10000</f>
        <v>4730.4733077169503</v>
      </c>
      <c r="AI498" s="16" cm="1">
        <f t="array" ref="AI498">_xll.DCEPropSectPipe(AE498, AF498, "Wx")/1000</f>
        <v>346.55482107816493</v>
      </c>
      <c r="AJ498" s="108">
        <f t="shared" si="225"/>
        <v>9.4301739777164251</v>
      </c>
      <c r="AK498" s="80" t="s">
        <v>208</v>
      </c>
      <c r="AL498" s="82">
        <v>-56.512685587032848</v>
      </c>
      <c r="AM498" s="82">
        <v>-7.6622389168672385</v>
      </c>
      <c r="AN498" s="82">
        <v>-2.3558782507193428</v>
      </c>
      <c r="AO498" s="82">
        <v>6.4598181634724376</v>
      </c>
      <c r="AP498" s="82">
        <v>21.00985911004997</v>
      </c>
      <c r="AQ498" s="82">
        <v>0.18240416049901992</v>
      </c>
      <c r="AR498" s="72">
        <v>1</v>
      </c>
      <c r="AS498" s="116">
        <f t="shared" si="226"/>
        <v>6</v>
      </c>
      <c r="AT498" s="82">
        <v>2</v>
      </c>
      <c r="AU498" s="6">
        <f t="shared" si="227"/>
        <v>12</v>
      </c>
      <c r="AV498" s="111">
        <f t="shared" si="228"/>
        <v>4.6479218541233228E-2</v>
      </c>
      <c r="AW498" s="117">
        <f t="shared" si="229"/>
        <v>105</v>
      </c>
      <c r="AX498" s="111">
        <f t="shared" si="230"/>
        <v>1</v>
      </c>
      <c r="AY498" s="111">
        <f t="shared" si="231"/>
        <v>1</v>
      </c>
      <c r="AZ498" s="111">
        <f t="shared" si="232"/>
        <v>1</v>
      </c>
      <c r="BA498" s="111">
        <f t="shared" si="233"/>
        <v>4.8925493201298138E-2</v>
      </c>
      <c r="BB498" s="111">
        <f t="shared" si="234"/>
        <v>8.5842587624048602E-2</v>
      </c>
      <c r="BC498" s="111">
        <f t="shared" si="235"/>
        <v>0.27919372124460817</v>
      </c>
      <c r="BD498" s="111">
        <v>0</v>
      </c>
      <c r="BE498" s="111">
        <f t="shared" si="236"/>
        <v>0.41396180206995492</v>
      </c>
      <c r="BF498" s="6" t="str">
        <f t="shared" si="237"/>
        <v>OK</v>
      </c>
      <c r="BG498" s="16">
        <f t="shared" si="238"/>
        <v>63.625549371390676</v>
      </c>
      <c r="BH498" s="118">
        <f t="shared" si="239"/>
        <v>2.1193803644775273</v>
      </c>
      <c r="BI498" s="108">
        <f t="shared" si="240"/>
        <v>1.7545574302308919</v>
      </c>
      <c r="BJ498" s="6">
        <f t="shared" si="241"/>
        <v>1.1934888559243741</v>
      </c>
      <c r="BK498" s="108">
        <f t="shared" si="242"/>
        <v>2.0940447400598772</v>
      </c>
      <c r="BL498" s="118" cm="1">
        <f t="array" ref="BL498">IF(AO498=0,FactorPhi7121(BH498,"a"),noisuy2chieu(BK498,BH498,Data!$A$63:$M$85))</f>
        <v>0</v>
      </c>
      <c r="BM498" s="111">
        <v>1.26</v>
      </c>
      <c r="BN498" s="118">
        <f t="shared" si="243"/>
        <v>0.97912258950840969</v>
      </c>
      <c r="BO498" s="108" t="e">
        <f t="shared" si="244"/>
        <v>#DIV/0!</v>
      </c>
      <c r="BP498" s="6" t="e">
        <f t="shared" si="245"/>
        <v>#DIV/0!</v>
      </c>
      <c r="BQ498" s="16">
        <f t="shared" si="246"/>
        <v>127.25109874278135</v>
      </c>
      <c r="BR498" s="118">
        <f t="shared" si="247"/>
        <v>4.2387607289550546</v>
      </c>
      <c r="BS498" s="108">
        <f t="shared" si="248"/>
        <v>5.7065080590173869</v>
      </c>
      <c r="BT498" s="118">
        <f t="shared" si="249"/>
        <v>1.1000000000000001</v>
      </c>
      <c r="BU498" s="108">
        <f t="shared" si="250"/>
        <v>6.2771588649191257</v>
      </c>
      <c r="BV498" s="6" cm="1">
        <f t="array" ref="BV498">IF(AP498=0,FactorPhi7121(BR498,"a"),noisuy2chieu(BU498,BR498,Data!$A$63:$M$85))</f>
        <v>0</v>
      </c>
      <c r="BW498" s="111">
        <v>1.26</v>
      </c>
      <c r="BX498" s="111">
        <f t="shared" si="251"/>
        <v>0.91649035803363887</v>
      </c>
      <c r="BY498" s="113" t="e">
        <f t="shared" si="252"/>
        <v>#DIV/0!</v>
      </c>
      <c r="BZ498" s="6" t="e">
        <f t="shared" si="253"/>
        <v>#DIV/0!</v>
      </c>
      <c r="CA498" s="114">
        <f t="shared" si="254"/>
        <v>127.25109874278135</v>
      </c>
      <c r="CB498" s="115" t="e">
        <f t="shared" si="255"/>
        <v>#DIV/0!</v>
      </c>
      <c r="CC498" s="6" t="e">
        <f t="shared" si="256"/>
        <v>#DIV/0!</v>
      </c>
    </row>
    <row r="499" spans="27:81">
      <c r="AA499" s="79" t="s">
        <v>175</v>
      </c>
      <c r="AB499" s="80" t="s">
        <v>204</v>
      </c>
      <c r="AC499" s="81">
        <v>5.48</v>
      </c>
      <c r="AD499" s="81">
        <v>6</v>
      </c>
      <c r="AE499" s="80">
        <v>273</v>
      </c>
      <c r="AF499" s="80">
        <v>6.35</v>
      </c>
      <c r="AG499" s="108" cm="1">
        <f t="array" ref="AG499">_xll.DCEPropSectPipe(AE499, AF499, "Area")/100</f>
        <v>53.19431074856206</v>
      </c>
      <c r="AH499" s="16" cm="1">
        <f t="array" ref="AH499">_xll.DCEPropSectPipe(AE499, AF499, "Ix")/10000</f>
        <v>4730.4733077169503</v>
      </c>
      <c r="AI499" s="16" cm="1">
        <f t="array" ref="AI499">_xll.DCEPropSectPipe(AE499, AF499, "Wx")/1000</f>
        <v>346.55482107816493</v>
      </c>
      <c r="AJ499" s="108">
        <f t="shared" si="225"/>
        <v>9.4301739777164251</v>
      </c>
      <c r="AK499" s="80" t="s">
        <v>208</v>
      </c>
      <c r="AL499" s="82">
        <v>-55.16542523830082</v>
      </c>
      <c r="AM499" s="82">
        <v>-7.6622389168672385</v>
      </c>
      <c r="AN499" s="82">
        <v>-2.3558782507193428</v>
      </c>
      <c r="AO499" s="82">
        <v>12.919636326944875</v>
      </c>
      <c r="AP499" s="82">
        <v>42.019718220099939</v>
      </c>
      <c r="AQ499" s="82">
        <v>0.18240416049901992</v>
      </c>
      <c r="AR499" s="72">
        <v>1</v>
      </c>
      <c r="AS499" s="116">
        <f t="shared" si="226"/>
        <v>6</v>
      </c>
      <c r="AT499" s="82">
        <v>2</v>
      </c>
      <c r="AU499" s="6">
        <f t="shared" si="227"/>
        <v>12</v>
      </c>
      <c r="AV499" s="111">
        <f t="shared" si="228"/>
        <v>4.537115567835235E-2</v>
      </c>
      <c r="AW499" s="117">
        <f t="shared" si="229"/>
        <v>105</v>
      </c>
      <c r="AX499" s="111">
        <f t="shared" si="230"/>
        <v>1</v>
      </c>
      <c r="AY499" s="111">
        <f t="shared" si="231"/>
        <v>1</v>
      </c>
      <c r="AZ499" s="111">
        <f t="shared" si="232"/>
        <v>1</v>
      </c>
      <c r="BA499" s="111">
        <f t="shared" si="233"/>
        <v>4.7759111240370904E-2</v>
      </c>
      <c r="BB499" s="111">
        <f t="shared" si="234"/>
        <v>0.1716851752480972</v>
      </c>
      <c r="BC499" s="111">
        <f t="shared" si="235"/>
        <v>0.55838744248921635</v>
      </c>
      <c r="BD499" s="111">
        <v>0</v>
      </c>
      <c r="BE499" s="111">
        <f t="shared" si="236"/>
        <v>0.77783172897768449</v>
      </c>
      <c r="BF499" s="6" t="str">
        <f t="shared" si="237"/>
        <v>OK</v>
      </c>
      <c r="BG499" s="16">
        <f t="shared" si="238"/>
        <v>63.625549371390676</v>
      </c>
      <c r="BH499" s="118">
        <f t="shared" si="239"/>
        <v>2.1193803644775273</v>
      </c>
      <c r="BI499" s="108">
        <f t="shared" si="240"/>
        <v>3.594815120909773</v>
      </c>
      <c r="BJ499" s="6">
        <f t="shared" si="241"/>
        <v>1.1404780315424659</v>
      </c>
      <c r="BK499" s="108">
        <f t="shared" si="242"/>
        <v>4.0998076728542694</v>
      </c>
      <c r="BL499" s="118" cm="1">
        <f t="array" ref="BL499">IF(AO499=0,FactorPhi7121(BH499,"a"),noisuy2chieu(BK499,BH499,Data!$A$63:$M$85))</f>
        <v>0</v>
      </c>
      <c r="BM499" s="111">
        <v>1.26</v>
      </c>
      <c r="BN499" s="118">
        <f t="shared" si="243"/>
        <v>0.97962030620771967</v>
      </c>
      <c r="BO499" s="108" t="e">
        <f t="shared" si="244"/>
        <v>#DIV/0!</v>
      </c>
      <c r="BP499" s="6" t="e">
        <f t="shared" si="245"/>
        <v>#DIV/0!</v>
      </c>
      <c r="BQ499" s="16">
        <f t="shared" si="246"/>
        <v>127.25109874278135</v>
      </c>
      <c r="BR499" s="118">
        <f t="shared" si="247"/>
        <v>4.2387607289550546</v>
      </c>
      <c r="BS499" s="108">
        <f t="shared" si="248"/>
        <v>11.691746935550384</v>
      </c>
      <c r="BT499" s="118">
        <f t="shared" si="249"/>
        <v>1.1000000000000001</v>
      </c>
      <c r="BU499" s="108">
        <f t="shared" si="250"/>
        <v>12.860921629105423</v>
      </c>
      <c r="BV499" s="6" cm="1">
        <f t="array" ref="BV499">IF(AP499=0,FactorPhi7121(BR499,"a"),noisuy2chieu(BU499,BR499,Data!$A$63:$M$85))</f>
        <v>0</v>
      </c>
      <c r="BW499" s="111">
        <v>1.26</v>
      </c>
      <c r="BX499" s="111">
        <f t="shared" si="251"/>
        <v>0.91848122483087891</v>
      </c>
      <c r="BY499" s="113" t="e">
        <f t="shared" si="252"/>
        <v>#DIV/0!</v>
      </c>
      <c r="BZ499" s="6" t="e">
        <f t="shared" si="253"/>
        <v>#DIV/0!</v>
      </c>
      <c r="CA499" s="114">
        <f t="shared" si="254"/>
        <v>127.25109874278135</v>
      </c>
      <c r="CB499" s="115" t="e">
        <f t="shared" si="255"/>
        <v>#DIV/0!</v>
      </c>
      <c r="CC499" s="6" t="e">
        <f t="shared" si="256"/>
        <v>#DIV/0!</v>
      </c>
    </row>
    <row r="500" spans="27:81">
      <c r="AA500" s="79" t="s">
        <v>175</v>
      </c>
      <c r="AB500" s="80" t="s">
        <v>204</v>
      </c>
      <c r="AC500" s="81">
        <v>0</v>
      </c>
      <c r="AD500" s="81">
        <v>6</v>
      </c>
      <c r="AE500" s="80">
        <v>273</v>
      </c>
      <c r="AF500" s="80">
        <v>6.35</v>
      </c>
      <c r="AG500" s="108" cm="1">
        <f t="array" ref="AG500">_xll.DCEPropSectPipe(AE500, AF500, "Area")/100</f>
        <v>53.19431074856206</v>
      </c>
      <c r="AH500" s="16" cm="1">
        <f t="array" ref="AH500">_xll.DCEPropSectPipe(AE500, AF500, "Ix")/10000</f>
        <v>4730.4733077169503</v>
      </c>
      <c r="AI500" s="16" cm="1">
        <f t="array" ref="AI500">_xll.DCEPropSectPipe(AE500, AF500, "Wx")/1000</f>
        <v>346.55482107816493</v>
      </c>
      <c r="AJ500" s="108">
        <f t="shared" si="225"/>
        <v>9.4301739777164251</v>
      </c>
      <c r="AK500" s="80" t="s">
        <v>209</v>
      </c>
      <c r="AL500" s="82">
        <v>18.873628392005234</v>
      </c>
      <c r="AM500" s="82">
        <v>2.0975188965676925</v>
      </c>
      <c r="AN500" s="82">
        <v>0.79501881084016912</v>
      </c>
      <c r="AO500" s="82">
        <v>0</v>
      </c>
      <c r="AP500" s="82">
        <v>0</v>
      </c>
      <c r="AQ500" s="82">
        <v>-5.3417501945902029E-2</v>
      </c>
      <c r="AR500" s="72">
        <v>1</v>
      </c>
      <c r="AS500" s="116">
        <f t="shared" si="226"/>
        <v>6</v>
      </c>
      <c r="AT500" s="82">
        <v>2</v>
      </c>
      <c r="AU500" s="6">
        <f t="shared" si="227"/>
        <v>12</v>
      </c>
      <c r="AV500" s="111">
        <f t="shared" si="228"/>
        <v>1.5522735994329052E-2</v>
      </c>
      <c r="AW500" s="117">
        <f t="shared" si="229"/>
        <v>105</v>
      </c>
      <c r="AX500" s="111">
        <f t="shared" si="230"/>
        <v>1</v>
      </c>
      <c r="AY500" s="111">
        <f t="shared" si="231"/>
        <v>1</v>
      </c>
      <c r="AZ500" s="111">
        <f t="shared" si="232"/>
        <v>1</v>
      </c>
      <c r="BA500" s="111">
        <f t="shared" si="233"/>
        <v>1.6339722099293741E-2</v>
      </c>
      <c r="BB500" s="111">
        <f t="shared" si="234"/>
        <v>0</v>
      </c>
      <c r="BC500" s="111">
        <f t="shared" si="235"/>
        <v>0</v>
      </c>
      <c r="BD500" s="111">
        <v>0</v>
      </c>
      <c r="BE500" s="111">
        <f t="shared" si="236"/>
        <v>1.6339722099293741E-2</v>
      </c>
      <c r="BF500" s="6" t="str">
        <f t="shared" si="237"/>
        <v>OK</v>
      </c>
      <c r="BG500" s="16">
        <f t="shared" si="238"/>
        <v>63.625549371390676</v>
      </c>
      <c r="BH500" s="118">
        <f t="shared" si="239"/>
        <v>2.1193803644775273</v>
      </c>
      <c r="BI500" s="108">
        <f t="shared" si="240"/>
        <v>0</v>
      </c>
      <c r="BJ500" s="6">
        <f t="shared" si="241"/>
        <v>1.2440309817761237</v>
      </c>
      <c r="BK500" s="108">
        <f t="shared" si="242"/>
        <v>0</v>
      </c>
      <c r="BL500" s="118" cm="1">
        <f t="array" ref="BL500">IF(AO500=0,FactorPhi7121(BH500,"a"),noisuy2chieu(BK500,BH500,Data!$A$63:$M$85))</f>
        <v>0.86214274110469236</v>
      </c>
      <c r="BM500" s="111">
        <v>1.26</v>
      </c>
      <c r="BN500" s="118">
        <f t="shared" si="243"/>
        <v>0.99302753915669439</v>
      </c>
      <c r="BO500" s="108">
        <f t="shared" si="244"/>
        <v>3.8628595925364939E-2</v>
      </c>
      <c r="BP500" s="6" t="str">
        <f t="shared" si="245"/>
        <v>OK</v>
      </c>
      <c r="BQ500" s="16">
        <f t="shared" si="246"/>
        <v>127.25109874278135</v>
      </c>
      <c r="BR500" s="118">
        <f t="shared" si="247"/>
        <v>4.2387607289550546</v>
      </c>
      <c r="BS500" s="108">
        <f t="shared" si="248"/>
        <v>0</v>
      </c>
      <c r="BT500" s="118">
        <f t="shared" si="249"/>
        <v>1.1380619635522473</v>
      </c>
      <c r="BU500" s="108">
        <f t="shared" si="250"/>
        <v>0</v>
      </c>
      <c r="BV500" s="6" cm="1">
        <f t="array" ref="BV500">IF(AP500=0,FactorPhi7121(BR500,"a"),noisuy2chieu(BU500,BR500,Data!$A$63:$M$85))</f>
        <v>0.42299549615688942</v>
      </c>
      <c r="BW500" s="111">
        <v>1.26</v>
      </c>
      <c r="BX500" s="111">
        <f t="shared" si="251"/>
        <v>0.97211015662677769</v>
      </c>
      <c r="BY500" s="113">
        <f t="shared" si="252"/>
        <v>1.8952455690060217E-2</v>
      </c>
      <c r="BZ500" s="6" t="str">
        <f t="shared" si="253"/>
        <v>OK</v>
      </c>
      <c r="CA500" s="114">
        <f t="shared" si="254"/>
        <v>127.25109874278135</v>
      </c>
      <c r="CB500" s="115">
        <f t="shared" si="255"/>
        <v>150</v>
      </c>
      <c r="CC500" s="6" t="str">
        <f t="shared" si="256"/>
        <v>OK</v>
      </c>
    </row>
    <row r="501" spans="27:81">
      <c r="AA501" s="79" t="s">
        <v>175</v>
      </c>
      <c r="AB501" s="80" t="s">
        <v>204</v>
      </c>
      <c r="AC501" s="81">
        <v>2.74</v>
      </c>
      <c r="AD501" s="81">
        <v>6</v>
      </c>
      <c r="AE501" s="80">
        <v>273</v>
      </c>
      <c r="AF501" s="80">
        <v>6.35</v>
      </c>
      <c r="AG501" s="108" cm="1">
        <f t="array" ref="AG501">_xll.DCEPropSectPipe(AE501, AF501, "Area")/100</f>
        <v>53.19431074856206</v>
      </c>
      <c r="AH501" s="16" cm="1">
        <f t="array" ref="AH501">_xll.DCEPropSectPipe(AE501, AF501, "Ix")/10000</f>
        <v>4730.4733077169503</v>
      </c>
      <c r="AI501" s="16" cm="1">
        <f t="array" ref="AI501">_xll.DCEPropSectPipe(AE501, AF501, "Wx")/1000</f>
        <v>346.55482107816493</v>
      </c>
      <c r="AJ501" s="108">
        <f t="shared" si="225"/>
        <v>9.4301739777164251</v>
      </c>
      <c r="AK501" s="80" t="s">
        <v>209</v>
      </c>
      <c r="AL501" s="82">
        <v>20.220888740737266</v>
      </c>
      <c r="AM501" s="82">
        <v>2.0975188965676925</v>
      </c>
      <c r="AN501" s="82">
        <v>0.79501881084016912</v>
      </c>
      <c r="AO501" s="82">
        <v>-2.179941579323744</v>
      </c>
      <c r="AP501" s="82">
        <v>-5.7513968143886132</v>
      </c>
      <c r="AQ501" s="82">
        <v>-5.3417501945902029E-2</v>
      </c>
      <c r="AR501" s="72">
        <v>1</v>
      </c>
      <c r="AS501" s="116">
        <f t="shared" si="226"/>
        <v>6</v>
      </c>
      <c r="AT501" s="82">
        <v>2</v>
      </c>
      <c r="AU501" s="6">
        <f t="shared" si="227"/>
        <v>12</v>
      </c>
      <c r="AV501" s="111">
        <f t="shared" si="228"/>
        <v>1.6630798857209923E-2</v>
      </c>
      <c r="AW501" s="117">
        <f t="shared" si="229"/>
        <v>105</v>
      </c>
      <c r="AX501" s="111">
        <f t="shared" si="230"/>
        <v>1</v>
      </c>
      <c r="AY501" s="111">
        <f t="shared" si="231"/>
        <v>1</v>
      </c>
      <c r="AZ501" s="111">
        <f t="shared" si="232"/>
        <v>1</v>
      </c>
      <c r="BA501" s="111">
        <f t="shared" si="233"/>
        <v>1.7506104060220972E-2</v>
      </c>
      <c r="BB501" s="111">
        <f t="shared" si="234"/>
        <v>2.8968590338433579E-2</v>
      </c>
      <c r="BC501" s="111">
        <f t="shared" si="235"/>
        <v>7.6428588623682722E-2</v>
      </c>
      <c r="BD501" s="111">
        <v>0</v>
      </c>
      <c r="BE501" s="111">
        <f t="shared" si="236"/>
        <v>0.12290328302233727</v>
      </c>
      <c r="BF501" s="6" t="str">
        <f t="shared" si="237"/>
        <v>OK</v>
      </c>
      <c r="BG501" s="16">
        <f t="shared" si="238"/>
        <v>63.625549371390676</v>
      </c>
      <c r="BH501" s="118">
        <f t="shared" si="239"/>
        <v>2.1193803644775273</v>
      </c>
      <c r="BI501" s="108">
        <f t="shared" si="240"/>
        <v>1.6547708295793095</v>
      </c>
      <c r="BJ501" s="6">
        <f t="shared" si="241"/>
        <v>1.1963633283363642</v>
      </c>
      <c r="BK501" s="108">
        <f t="shared" si="242"/>
        <v>1.9797071373094293</v>
      </c>
      <c r="BL501" s="118" cm="1">
        <f t="array" ref="BL501">IF(AO501=0,FactorPhi7121(BH501,"a"),noisuy2chieu(BK501,BH501,Data!$A$63:$M$85))</f>
        <v>0</v>
      </c>
      <c r="BM501" s="111">
        <v>1.26</v>
      </c>
      <c r="BN501" s="118">
        <f t="shared" si="243"/>
        <v>0.99252982245738441</v>
      </c>
      <c r="BO501" s="108" t="e">
        <f t="shared" si="244"/>
        <v>#DIV/0!</v>
      </c>
      <c r="BP501" s="6" t="e">
        <f t="shared" si="245"/>
        <v>#DIV/0!</v>
      </c>
      <c r="BQ501" s="16">
        <f t="shared" si="246"/>
        <v>127.25109874278135</v>
      </c>
      <c r="BR501" s="118">
        <f t="shared" si="247"/>
        <v>4.2387607289550546</v>
      </c>
      <c r="BS501" s="108">
        <f t="shared" si="248"/>
        <v>4.36582510653247</v>
      </c>
      <c r="BT501" s="118">
        <f t="shared" si="249"/>
        <v>1.1048275883361822</v>
      </c>
      <c r="BU501" s="108">
        <f t="shared" si="250"/>
        <v>4.8234840235478247</v>
      </c>
      <c r="BV501" s="6" cm="1">
        <f t="array" ref="BV501">IF(AP501=0,FactorPhi7121(BR501,"a"),noisuy2chieu(BU501,BR501,Data!$A$63:$M$85))</f>
        <v>0</v>
      </c>
      <c r="BW501" s="111">
        <v>1.26</v>
      </c>
      <c r="BX501" s="111">
        <f t="shared" si="251"/>
        <v>0.97011928982953766</v>
      </c>
      <c r="BY501" s="113" t="e">
        <f t="shared" si="252"/>
        <v>#DIV/0!</v>
      </c>
      <c r="BZ501" s="6" t="e">
        <f t="shared" si="253"/>
        <v>#DIV/0!</v>
      </c>
      <c r="CA501" s="114">
        <f t="shared" si="254"/>
        <v>127.25109874278135</v>
      </c>
      <c r="CB501" s="115" t="e">
        <f t="shared" si="255"/>
        <v>#DIV/0!</v>
      </c>
      <c r="CC501" s="6" t="e">
        <f t="shared" si="256"/>
        <v>#DIV/0!</v>
      </c>
    </row>
    <row r="502" spans="27:81">
      <c r="AA502" s="79" t="s">
        <v>175</v>
      </c>
      <c r="AB502" s="80" t="s">
        <v>204</v>
      </c>
      <c r="AC502" s="81">
        <v>5.48</v>
      </c>
      <c r="AD502" s="81">
        <v>6</v>
      </c>
      <c r="AE502" s="80">
        <v>273</v>
      </c>
      <c r="AF502" s="80">
        <v>6.35</v>
      </c>
      <c r="AG502" s="108" cm="1">
        <f t="array" ref="AG502">_xll.DCEPropSectPipe(AE502, AF502, "Area")/100</f>
        <v>53.19431074856206</v>
      </c>
      <c r="AH502" s="16" cm="1">
        <f t="array" ref="AH502">_xll.DCEPropSectPipe(AE502, AF502, "Ix")/10000</f>
        <v>4730.4733077169503</v>
      </c>
      <c r="AI502" s="16" cm="1">
        <f t="array" ref="AI502">_xll.DCEPropSectPipe(AE502, AF502, "Wx")/1000</f>
        <v>346.55482107816493</v>
      </c>
      <c r="AJ502" s="108">
        <f t="shared" si="225"/>
        <v>9.4301739777164251</v>
      </c>
      <c r="AK502" s="80" t="s">
        <v>209</v>
      </c>
      <c r="AL502" s="82">
        <v>21.568149089469301</v>
      </c>
      <c r="AM502" s="82">
        <v>2.0975188965676925</v>
      </c>
      <c r="AN502" s="82">
        <v>0.79501881084016912</v>
      </c>
      <c r="AO502" s="82">
        <v>-4.359883158647488</v>
      </c>
      <c r="AP502" s="82">
        <v>-11.502793628777226</v>
      </c>
      <c r="AQ502" s="82">
        <v>-5.3417501945902029E-2</v>
      </c>
      <c r="AR502" s="72">
        <v>1</v>
      </c>
      <c r="AS502" s="116">
        <f t="shared" si="226"/>
        <v>6</v>
      </c>
      <c r="AT502" s="82">
        <v>2</v>
      </c>
      <c r="AU502" s="6">
        <f t="shared" si="227"/>
        <v>12</v>
      </c>
      <c r="AV502" s="111">
        <f t="shared" si="228"/>
        <v>1.7738861720090798E-2</v>
      </c>
      <c r="AW502" s="117">
        <f t="shared" si="229"/>
        <v>105</v>
      </c>
      <c r="AX502" s="111">
        <f t="shared" si="230"/>
        <v>1</v>
      </c>
      <c r="AY502" s="111">
        <f t="shared" si="231"/>
        <v>1</v>
      </c>
      <c r="AZ502" s="111">
        <f t="shared" si="232"/>
        <v>1</v>
      </c>
      <c r="BA502" s="111">
        <f t="shared" si="233"/>
        <v>1.867248602114821E-2</v>
      </c>
      <c r="BB502" s="111">
        <f t="shared" si="234"/>
        <v>5.7937180676867157E-2</v>
      </c>
      <c r="BC502" s="111">
        <f t="shared" si="235"/>
        <v>0.15285717724736544</v>
      </c>
      <c r="BD502" s="111">
        <v>0</v>
      </c>
      <c r="BE502" s="111">
        <f t="shared" si="236"/>
        <v>0.22946684394538081</v>
      </c>
      <c r="BF502" s="6" t="str">
        <f t="shared" si="237"/>
        <v>OK</v>
      </c>
      <c r="BG502" s="16">
        <f t="shared" si="238"/>
        <v>63.625549371390676</v>
      </c>
      <c r="BH502" s="118">
        <f t="shared" si="239"/>
        <v>2.1193803644775273</v>
      </c>
      <c r="BI502" s="108">
        <f t="shared" si="240"/>
        <v>3.1028102316557251</v>
      </c>
      <c r="BJ502" s="6">
        <f t="shared" si="241"/>
        <v>1.1546508209900486</v>
      </c>
      <c r="BK502" s="108">
        <f t="shared" si="242"/>
        <v>3.582662381357606</v>
      </c>
      <c r="BL502" s="118" cm="1">
        <f t="array" ref="BL502">IF(AO502=0,FactorPhi7121(BH502,"a"),noisuy2chieu(BK502,BH502,Data!$A$63:$M$85))</f>
        <v>0</v>
      </c>
      <c r="BM502" s="111">
        <v>1.26</v>
      </c>
      <c r="BN502" s="118">
        <f t="shared" si="243"/>
        <v>0.99203210575807443</v>
      </c>
      <c r="BO502" s="108" t="e">
        <f t="shared" si="244"/>
        <v>#DIV/0!</v>
      </c>
      <c r="BP502" s="6" t="e">
        <f t="shared" si="245"/>
        <v>#DIV/0!</v>
      </c>
      <c r="BQ502" s="16">
        <f t="shared" si="246"/>
        <v>127.25109874278135</v>
      </c>
      <c r="BR502" s="118">
        <f t="shared" si="247"/>
        <v>4.2387607289550546</v>
      </c>
      <c r="BS502" s="108">
        <f t="shared" si="248"/>
        <v>8.1862252875295471</v>
      </c>
      <c r="BT502" s="118">
        <f t="shared" si="249"/>
        <v>1.1000000000000001</v>
      </c>
      <c r="BU502" s="108">
        <f t="shared" si="250"/>
        <v>9.0048478162825027</v>
      </c>
      <c r="BV502" s="6" cm="1">
        <f t="array" ref="BV502">IF(AP502=0,FactorPhi7121(BR502,"a"),noisuy2chieu(BU502,BR502,Data!$A$63:$M$85))</f>
        <v>0</v>
      </c>
      <c r="BW502" s="111">
        <v>1.26</v>
      </c>
      <c r="BX502" s="111">
        <f t="shared" si="251"/>
        <v>0.96812842303229774</v>
      </c>
      <c r="BY502" s="113" t="e">
        <f t="shared" si="252"/>
        <v>#DIV/0!</v>
      </c>
      <c r="BZ502" s="6" t="e">
        <f t="shared" si="253"/>
        <v>#DIV/0!</v>
      </c>
      <c r="CA502" s="114">
        <f t="shared" si="254"/>
        <v>127.25109874278135</v>
      </c>
      <c r="CB502" s="115" t="e">
        <f t="shared" si="255"/>
        <v>#DIV/0!</v>
      </c>
      <c r="CC502" s="6" t="e">
        <f t="shared" si="256"/>
        <v>#DIV/0!</v>
      </c>
    </row>
    <row r="503" spans="27:81">
      <c r="AA503" s="79" t="s">
        <v>175</v>
      </c>
      <c r="AB503" s="80" t="s">
        <v>204</v>
      </c>
      <c r="AC503" s="81">
        <v>0</v>
      </c>
      <c r="AD503" s="81">
        <v>6</v>
      </c>
      <c r="AE503" s="80">
        <v>273</v>
      </c>
      <c r="AF503" s="80">
        <v>6.35</v>
      </c>
      <c r="AG503" s="108" cm="1">
        <f t="array" ref="AG503">_xll.DCEPropSectPipe(AE503, AF503, "Area")/100</f>
        <v>53.19431074856206</v>
      </c>
      <c r="AH503" s="16" cm="1">
        <f t="array" ref="AH503">_xll.DCEPropSectPipe(AE503, AF503, "Ix")/10000</f>
        <v>4730.4733077169503</v>
      </c>
      <c r="AI503" s="16" cm="1">
        <f t="array" ref="AI503">_xll.DCEPropSectPipe(AE503, AF503, "Wx")/1000</f>
        <v>346.55482107816493</v>
      </c>
      <c r="AJ503" s="108">
        <f t="shared" si="225"/>
        <v>9.4301739777164251</v>
      </c>
      <c r="AK503" s="80" t="s">
        <v>210</v>
      </c>
      <c r="AL503" s="82">
        <v>2.1106109312085604</v>
      </c>
      <c r="AM503" s="82">
        <v>2.1022536226555211</v>
      </c>
      <c r="AN503" s="82">
        <v>0.61528778425756903</v>
      </c>
      <c r="AO503" s="82">
        <v>0</v>
      </c>
      <c r="AP503" s="82">
        <v>0</v>
      </c>
      <c r="AQ503" s="82">
        <v>-9.7139718600511224E-2</v>
      </c>
      <c r="AR503" s="72">
        <v>1</v>
      </c>
      <c r="AS503" s="116">
        <f t="shared" si="226"/>
        <v>6</v>
      </c>
      <c r="AT503" s="82">
        <v>2</v>
      </c>
      <c r="AU503" s="6">
        <f t="shared" si="227"/>
        <v>12</v>
      </c>
      <c r="AV503" s="111">
        <f t="shared" si="228"/>
        <v>1.7358854159581459E-3</v>
      </c>
      <c r="AW503" s="117">
        <f t="shared" si="229"/>
        <v>105</v>
      </c>
      <c r="AX503" s="111">
        <f t="shared" si="230"/>
        <v>1</v>
      </c>
      <c r="AY503" s="111">
        <f t="shared" si="231"/>
        <v>1</v>
      </c>
      <c r="AZ503" s="111">
        <f t="shared" si="232"/>
        <v>1</v>
      </c>
      <c r="BA503" s="111">
        <f t="shared" si="233"/>
        <v>1.8272478062717327E-3</v>
      </c>
      <c r="BB503" s="111">
        <f t="shared" si="234"/>
        <v>0</v>
      </c>
      <c r="BC503" s="111">
        <f t="shared" si="235"/>
        <v>0</v>
      </c>
      <c r="BD503" s="111">
        <v>0</v>
      </c>
      <c r="BE503" s="111">
        <f t="shared" si="236"/>
        <v>1.8272478062717327E-3</v>
      </c>
      <c r="BF503" s="6" t="str">
        <f t="shared" si="237"/>
        <v>OK</v>
      </c>
      <c r="BG503" s="16">
        <f t="shared" si="238"/>
        <v>63.625549371390676</v>
      </c>
      <c r="BH503" s="118">
        <f t="shared" si="239"/>
        <v>2.1193803644775273</v>
      </c>
      <c r="BI503" s="108">
        <f t="shared" si="240"/>
        <v>0</v>
      </c>
      <c r="BJ503" s="6">
        <f t="shared" si="241"/>
        <v>1.2440309817761237</v>
      </c>
      <c r="BK503" s="108">
        <f t="shared" si="242"/>
        <v>0</v>
      </c>
      <c r="BL503" s="118" cm="1">
        <f t="array" ref="BL503">IF(AO503=0,FactorPhi7121(BH503,"a"),noisuy2chieu(BK503,BH503,Data!$A$63:$M$85))</f>
        <v>0.86214274110469236</v>
      </c>
      <c r="BM503" s="111">
        <v>1.26</v>
      </c>
      <c r="BN503" s="118">
        <f t="shared" si="243"/>
        <v>0.99922027965329985</v>
      </c>
      <c r="BO503" s="108">
        <f t="shared" si="244"/>
        <v>4.3197807609611167E-3</v>
      </c>
      <c r="BP503" s="6" t="str">
        <f t="shared" si="245"/>
        <v>OK</v>
      </c>
      <c r="BQ503" s="16">
        <f t="shared" si="246"/>
        <v>127.25109874278135</v>
      </c>
      <c r="BR503" s="118">
        <f t="shared" si="247"/>
        <v>4.2387607289550546</v>
      </c>
      <c r="BS503" s="108">
        <f t="shared" si="248"/>
        <v>0</v>
      </c>
      <c r="BT503" s="118">
        <f t="shared" si="249"/>
        <v>1.1380619635522473</v>
      </c>
      <c r="BU503" s="108">
        <f t="shared" si="250"/>
        <v>0</v>
      </c>
      <c r="BV503" s="6" cm="1">
        <f t="array" ref="BV503">IF(AP503=0,FactorPhi7121(BR503,"a"),noisuy2chieu(BU503,BR503,Data!$A$63:$M$85))</f>
        <v>0.42299549615688942</v>
      </c>
      <c r="BW503" s="111">
        <v>1.26</v>
      </c>
      <c r="BX503" s="111">
        <f t="shared" si="251"/>
        <v>0.99688111861319939</v>
      </c>
      <c r="BY503" s="113">
        <f t="shared" si="252"/>
        <v>2.1194260754668292E-3</v>
      </c>
      <c r="BZ503" s="6" t="str">
        <f t="shared" si="253"/>
        <v>OK</v>
      </c>
      <c r="CA503" s="114">
        <f t="shared" si="254"/>
        <v>127.25109874278135</v>
      </c>
      <c r="CB503" s="115">
        <f t="shared" si="255"/>
        <v>150</v>
      </c>
      <c r="CC503" s="6" t="str">
        <f t="shared" si="256"/>
        <v>OK</v>
      </c>
    </row>
    <row r="504" spans="27:81">
      <c r="AA504" s="79" t="s">
        <v>175</v>
      </c>
      <c r="AB504" s="80" t="s">
        <v>204</v>
      </c>
      <c r="AC504" s="81">
        <v>2.74</v>
      </c>
      <c r="AD504" s="81">
        <v>6</v>
      </c>
      <c r="AE504" s="80">
        <v>273</v>
      </c>
      <c r="AF504" s="80">
        <v>6.35</v>
      </c>
      <c r="AG504" s="108" cm="1">
        <f t="array" ref="AG504">_xll.DCEPropSectPipe(AE504, AF504, "Area")/100</f>
        <v>53.19431074856206</v>
      </c>
      <c r="AH504" s="16" cm="1">
        <f t="array" ref="AH504">_xll.DCEPropSectPipe(AE504, AF504, "Ix")/10000</f>
        <v>4730.4733077169503</v>
      </c>
      <c r="AI504" s="16" cm="1">
        <f t="array" ref="AI504">_xll.DCEPropSectPipe(AE504, AF504, "Wx")/1000</f>
        <v>346.55482107816493</v>
      </c>
      <c r="AJ504" s="108">
        <f t="shared" si="225"/>
        <v>9.4301739777164251</v>
      </c>
      <c r="AK504" s="80" t="s">
        <v>210</v>
      </c>
      <c r="AL504" s="82">
        <v>3.4578712799405942</v>
      </c>
      <c r="AM504" s="82">
        <v>2.1022536226555211</v>
      </c>
      <c r="AN504" s="82">
        <v>0.61528778425756903</v>
      </c>
      <c r="AO504" s="82">
        <v>-1.6871191044342542</v>
      </c>
      <c r="AP504" s="82">
        <v>-5.76437943332144</v>
      </c>
      <c r="AQ504" s="82">
        <v>-9.7139718600511224E-2</v>
      </c>
      <c r="AR504" s="72">
        <v>1</v>
      </c>
      <c r="AS504" s="116">
        <f t="shared" si="226"/>
        <v>6</v>
      </c>
      <c r="AT504" s="82">
        <v>2</v>
      </c>
      <c r="AU504" s="6">
        <f t="shared" si="227"/>
        <v>12</v>
      </c>
      <c r="AV504" s="111">
        <f t="shared" si="228"/>
        <v>2.8439482788390194E-3</v>
      </c>
      <c r="AW504" s="117">
        <f t="shared" si="229"/>
        <v>105</v>
      </c>
      <c r="AX504" s="111">
        <f t="shared" si="230"/>
        <v>1</v>
      </c>
      <c r="AY504" s="111">
        <f t="shared" si="231"/>
        <v>1</v>
      </c>
      <c r="AZ504" s="111">
        <f t="shared" si="232"/>
        <v>1</v>
      </c>
      <c r="BA504" s="111">
        <f t="shared" si="233"/>
        <v>2.9936297671989678E-3</v>
      </c>
      <c r="BB504" s="111">
        <f t="shared" si="234"/>
        <v>2.2419620164161578E-2</v>
      </c>
      <c r="BC504" s="111">
        <f t="shared" si="235"/>
        <v>7.6601110755905047E-2</v>
      </c>
      <c r="BD504" s="111">
        <v>0</v>
      </c>
      <c r="BE504" s="111">
        <f t="shared" si="236"/>
        <v>0.10201436068726559</v>
      </c>
      <c r="BF504" s="6" t="str">
        <f t="shared" si="237"/>
        <v>OK</v>
      </c>
      <c r="BG504" s="16">
        <f t="shared" si="238"/>
        <v>63.625549371390676</v>
      </c>
      <c r="BH504" s="118">
        <f t="shared" si="239"/>
        <v>2.1193803644775273</v>
      </c>
      <c r="BI504" s="108">
        <f t="shared" si="240"/>
        <v>7.4891091776986221</v>
      </c>
      <c r="BJ504" s="6">
        <f t="shared" si="241"/>
        <v>1.1000000000000001</v>
      </c>
      <c r="BK504" s="108">
        <f t="shared" si="242"/>
        <v>8.2380200954684852</v>
      </c>
      <c r="BL504" s="118" cm="1">
        <f t="array" ref="BL504">IF(AO504=0,FactorPhi7121(BH504,"a"),noisuy2chieu(BK504,BH504,Data!$A$63:$M$85))</f>
        <v>0</v>
      </c>
      <c r="BM504" s="111">
        <v>1.26</v>
      </c>
      <c r="BN504" s="118">
        <f t="shared" si="243"/>
        <v>0.99872256295398987</v>
      </c>
      <c r="BO504" s="108" t="e">
        <f t="shared" si="244"/>
        <v>#DIV/0!</v>
      </c>
      <c r="BP504" s="6" t="e">
        <f t="shared" si="245"/>
        <v>#DIV/0!</v>
      </c>
      <c r="BQ504" s="16">
        <f t="shared" si="246"/>
        <v>127.25109874278135</v>
      </c>
      <c r="BR504" s="118">
        <f t="shared" si="247"/>
        <v>4.2387607289550546</v>
      </c>
      <c r="BS504" s="108">
        <f t="shared" si="248"/>
        <v>25.588037503908836</v>
      </c>
      <c r="BT504" s="118">
        <f t="shared" si="249"/>
        <v>1.1000000000000001</v>
      </c>
      <c r="BU504" s="108">
        <f t="shared" si="250"/>
        <v>28.146841254299723</v>
      </c>
      <c r="BV504" s="6" cm="1">
        <f t="array" ref="BV504">IF(AP504=0,FactorPhi7121(BR504,"a"),noisuy2chieu(BU504,BR504,Data!$A$63:$M$85))</f>
        <v>0</v>
      </c>
      <c r="BW504" s="111">
        <v>1.26</v>
      </c>
      <c r="BX504" s="111">
        <f t="shared" si="251"/>
        <v>0.99489025181595936</v>
      </c>
      <c r="BY504" s="113" t="e">
        <f t="shared" si="252"/>
        <v>#DIV/0!</v>
      </c>
      <c r="BZ504" s="6" t="e">
        <f t="shared" si="253"/>
        <v>#DIV/0!</v>
      </c>
      <c r="CA504" s="114">
        <f t="shared" si="254"/>
        <v>127.25109874278135</v>
      </c>
      <c r="CB504" s="115" t="e">
        <f t="shared" si="255"/>
        <v>#DIV/0!</v>
      </c>
      <c r="CC504" s="6" t="e">
        <f t="shared" si="256"/>
        <v>#DIV/0!</v>
      </c>
    </row>
    <row r="505" spans="27:81">
      <c r="AA505" s="79" t="s">
        <v>175</v>
      </c>
      <c r="AB505" s="80" t="s">
        <v>204</v>
      </c>
      <c r="AC505" s="81">
        <v>5.48</v>
      </c>
      <c r="AD505" s="81">
        <v>6</v>
      </c>
      <c r="AE505" s="80">
        <v>273</v>
      </c>
      <c r="AF505" s="80">
        <v>6.35</v>
      </c>
      <c r="AG505" s="108" cm="1">
        <f t="array" ref="AG505">_xll.DCEPropSectPipe(AE505, AF505, "Area")/100</f>
        <v>53.19431074856206</v>
      </c>
      <c r="AH505" s="16" cm="1">
        <f t="array" ref="AH505">_xll.DCEPropSectPipe(AE505, AF505, "Ix")/10000</f>
        <v>4730.4733077169503</v>
      </c>
      <c r="AI505" s="16" cm="1">
        <f t="array" ref="AI505">_xll.DCEPropSectPipe(AE505, AF505, "Wx")/1000</f>
        <v>346.55482107816493</v>
      </c>
      <c r="AJ505" s="108">
        <f t="shared" si="225"/>
        <v>9.4301739777164251</v>
      </c>
      <c r="AK505" s="80" t="s">
        <v>210</v>
      </c>
      <c r="AL505" s="82">
        <v>4.805131628672628</v>
      </c>
      <c r="AM505" s="82">
        <v>2.1022536226555211</v>
      </c>
      <c r="AN505" s="82">
        <v>0.61528778425756903</v>
      </c>
      <c r="AO505" s="82">
        <v>-3.3742382088685083</v>
      </c>
      <c r="AP505" s="82">
        <v>-11.52875886664288</v>
      </c>
      <c r="AQ505" s="82">
        <v>-9.7139718600511224E-2</v>
      </c>
      <c r="AR505" s="72">
        <v>1</v>
      </c>
      <c r="AS505" s="116">
        <f t="shared" si="226"/>
        <v>6</v>
      </c>
      <c r="AT505" s="82">
        <v>2</v>
      </c>
      <c r="AU505" s="6">
        <f t="shared" si="227"/>
        <v>12</v>
      </c>
      <c r="AV505" s="111">
        <f t="shared" si="228"/>
        <v>3.9520111417198928E-3</v>
      </c>
      <c r="AW505" s="117">
        <f t="shared" si="229"/>
        <v>105</v>
      </c>
      <c r="AX505" s="111">
        <f t="shared" si="230"/>
        <v>1</v>
      </c>
      <c r="AY505" s="111">
        <f t="shared" si="231"/>
        <v>1</v>
      </c>
      <c r="AZ505" s="111">
        <f t="shared" si="232"/>
        <v>1</v>
      </c>
      <c r="BA505" s="111">
        <f t="shared" si="233"/>
        <v>4.1600117281262033E-3</v>
      </c>
      <c r="BB505" s="111">
        <f t="shared" si="234"/>
        <v>4.4839240328323156E-2</v>
      </c>
      <c r="BC505" s="111">
        <f t="shared" si="235"/>
        <v>0.15320222151181009</v>
      </c>
      <c r="BD505" s="111">
        <v>0</v>
      </c>
      <c r="BE505" s="111">
        <f t="shared" si="236"/>
        <v>0.20220147356825946</v>
      </c>
      <c r="BF505" s="6" t="str">
        <f t="shared" si="237"/>
        <v>OK</v>
      </c>
      <c r="BG505" s="16">
        <f t="shared" si="238"/>
        <v>63.625549371390676</v>
      </c>
      <c r="BH505" s="118">
        <f t="shared" si="239"/>
        <v>2.1193803644775273</v>
      </c>
      <c r="BI505" s="108">
        <f t="shared" si="240"/>
        <v>10.778633152681069</v>
      </c>
      <c r="BJ505" s="6">
        <f t="shared" si="241"/>
        <v>1.1000000000000001</v>
      </c>
      <c r="BK505" s="108">
        <f t="shared" si="242"/>
        <v>11.856496467949176</v>
      </c>
      <c r="BL505" s="118" cm="1">
        <f t="array" ref="BL505">IF(AO505=0,FactorPhi7121(BH505,"a"),noisuy2chieu(BK505,BH505,Data!$A$63:$M$85))</f>
        <v>0</v>
      </c>
      <c r="BM505" s="111">
        <v>1.26</v>
      </c>
      <c r="BN505" s="118">
        <f t="shared" si="243"/>
        <v>0.99822484625467989</v>
      </c>
      <c r="BO505" s="108" t="e">
        <f t="shared" si="244"/>
        <v>#DIV/0!</v>
      </c>
      <c r="BP505" s="6" t="e">
        <f t="shared" si="245"/>
        <v>#DIV/0!</v>
      </c>
      <c r="BQ505" s="16">
        <f t="shared" si="246"/>
        <v>127.25109874278135</v>
      </c>
      <c r="BR505" s="118">
        <f t="shared" si="247"/>
        <v>4.2387607289550546</v>
      </c>
      <c r="BS505" s="108">
        <f t="shared" si="248"/>
        <v>36.827353268260396</v>
      </c>
      <c r="BT505" s="118">
        <f t="shared" si="249"/>
        <v>1.1000000000000001</v>
      </c>
      <c r="BU505" s="108">
        <f t="shared" si="250"/>
        <v>40.510088595086437</v>
      </c>
      <c r="BV505" s="6" cm="1">
        <f t="array" ref="BV505">IF(AP505=0,FactorPhi7121(BR505,"a"),noisuy2chieu(BU505,BR505,Data!$A$63:$M$85))</f>
        <v>0</v>
      </c>
      <c r="BW505" s="111">
        <v>1.26</v>
      </c>
      <c r="BX505" s="111">
        <f t="shared" si="251"/>
        <v>0.99289938501871933</v>
      </c>
      <c r="BY505" s="113" t="e">
        <f t="shared" si="252"/>
        <v>#DIV/0!</v>
      </c>
      <c r="BZ505" s="6" t="e">
        <f t="shared" si="253"/>
        <v>#DIV/0!</v>
      </c>
      <c r="CA505" s="114">
        <f t="shared" si="254"/>
        <v>127.25109874278135</v>
      </c>
      <c r="CB505" s="115" t="e">
        <f t="shared" si="255"/>
        <v>#DIV/0!</v>
      </c>
      <c r="CC505" s="6" t="e">
        <f t="shared" si="256"/>
        <v>#DIV/0!</v>
      </c>
    </row>
    <row r="506" spans="27:81">
      <c r="AA506" s="79" t="s">
        <v>175</v>
      </c>
      <c r="AB506" s="80" t="s">
        <v>204</v>
      </c>
      <c r="AC506" s="81">
        <v>0</v>
      </c>
      <c r="AD506" s="81">
        <v>6</v>
      </c>
      <c r="AE506" s="80">
        <v>273</v>
      </c>
      <c r="AF506" s="80">
        <v>6.35</v>
      </c>
      <c r="AG506" s="108" cm="1">
        <f t="array" ref="AG506">_xll.DCEPropSectPipe(AE506, AF506, "Area")/100</f>
        <v>53.19431074856206</v>
      </c>
      <c r="AH506" s="16" cm="1">
        <f t="array" ref="AH506">_xll.DCEPropSectPipe(AE506, AF506, "Ix")/10000</f>
        <v>4730.4733077169503</v>
      </c>
      <c r="AI506" s="16" cm="1">
        <f t="array" ref="AI506">_xll.DCEPropSectPipe(AE506, AF506, "Wx")/1000</f>
        <v>346.55482107816493</v>
      </c>
      <c r="AJ506" s="108">
        <f t="shared" si="225"/>
        <v>9.4301739777164251</v>
      </c>
      <c r="AK506" s="80" t="s">
        <v>211</v>
      </c>
      <c r="AL506" s="82">
        <v>-88.408127424507313</v>
      </c>
      <c r="AM506" s="82">
        <v>-9.7227737285731184</v>
      </c>
      <c r="AN506" s="82">
        <v>-3.1759128118895874</v>
      </c>
      <c r="AO506" s="82">
        <v>0</v>
      </c>
      <c r="AP506" s="82">
        <v>0</v>
      </c>
      <c r="AQ506" s="82">
        <v>0.19495016823910097</v>
      </c>
      <c r="AR506" s="72">
        <v>1</v>
      </c>
      <c r="AS506" s="116">
        <f t="shared" si="226"/>
        <v>6</v>
      </c>
      <c r="AT506" s="82">
        <v>2</v>
      </c>
      <c r="AU506" s="6">
        <f t="shared" si="227"/>
        <v>12</v>
      </c>
      <c r="AV506" s="111">
        <f t="shared" si="228"/>
        <v>7.2711828020569858E-2</v>
      </c>
      <c r="AW506" s="117">
        <f t="shared" si="229"/>
        <v>105</v>
      </c>
      <c r="AX506" s="111">
        <f t="shared" si="230"/>
        <v>1</v>
      </c>
      <c r="AY506" s="111">
        <f t="shared" si="231"/>
        <v>1</v>
      </c>
      <c r="AZ506" s="111">
        <f t="shared" si="232"/>
        <v>1</v>
      </c>
      <c r="BA506" s="111">
        <f t="shared" si="233"/>
        <v>7.6538766337441971E-2</v>
      </c>
      <c r="BB506" s="111">
        <f t="shared" si="234"/>
        <v>0</v>
      </c>
      <c r="BC506" s="111">
        <f t="shared" si="235"/>
        <v>0</v>
      </c>
      <c r="BD506" s="111">
        <v>0</v>
      </c>
      <c r="BE506" s="111">
        <f t="shared" si="236"/>
        <v>7.6538766337441971E-2</v>
      </c>
      <c r="BF506" s="6" t="str">
        <f t="shared" si="237"/>
        <v>OK</v>
      </c>
      <c r="BG506" s="16">
        <f t="shared" si="238"/>
        <v>63.625549371390676</v>
      </c>
      <c r="BH506" s="118">
        <f t="shared" si="239"/>
        <v>2.1193803644775273</v>
      </c>
      <c r="BI506" s="108">
        <f t="shared" si="240"/>
        <v>0</v>
      </c>
      <c r="BJ506" s="6">
        <f t="shared" si="241"/>
        <v>1.2440309817761237</v>
      </c>
      <c r="BK506" s="108">
        <f t="shared" si="242"/>
        <v>0</v>
      </c>
      <c r="BL506" s="118" cm="1">
        <f t="array" ref="BL506">IF(AO506=0,FactorPhi7121(BH506,"a"),noisuy2chieu(BK506,BH506,Data!$A$63:$M$85))</f>
        <v>0.86214274110469236</v>
      </c>
      <c r="BM506" s="111">
        <v>1.26</v>
      </c>
      <c r="BN506" s="118">
        <f t="shared" si="243"/>
        <v>0.96733949647125295</v>
      </c>
      <c r="BO506" s="108">
        <f t="shared" si="244"/>
        <v>0.18094463660448448</v>
      </c>
      <c r="BP506" s="6" t="str">
        <f t="shared" si="245"/>
        <v>OK</v>
      </c>
      <c r="BQ506" s="16">
        <f t="shared" si="246"/>
        <v>127.25109874278135</v>
      </c>
      <c r="BR506" s="118">
        <f t="shared" si="247"/>
        <v>4.2387607289550546</v>
      </c>
      <c r="BS506" s="108">
        <f t="shared" si="248"/>
        <v>0</v>
      </c>
      <c r="BT506" s="118">
        <f t="shared" si="249"/>
        <v>1.1380619635522473</v>
      </c>
      <c r="BU506" s="108">
        <f t="shared" si="250"/>
        <v>0</v>
      </c>
      <c r="BV506" s="6" cm="1">
        <f t="array" ref="BV506">IF(AP506=0,FactorPhi7121(BR506,"a"),noisuy2chieu(BU506,BR506,Data!$A$63:$M$85))</f>
        <v>0.42299549615688942</v>
      </c>
      <c r="BW506" s="111">
        <v>1.26</v>
      </c>
      <c r="BX506" s="111">
        <f t="shared" si="251"/>
        <v>0.86935798588501179</v>
      </c>
      <c r="BY506" s="113">
        <f t="shared" si="252"/>
        <v>8.8777371412267853E-2</v>
      </c>
      <c r="BZ506" s="6" t="str">
        <f t="shared" si="253"/>
        <v>OK</v>
      </c>
      <c r="CA506" s="114">
        <f t="shared" si="254"/>
        <v>127.25109874278135</v>
      </c>
      <c r="CB506" s="115">
        <f t="shared" si="255"/>
        <v>150</v>
      </c>
      <c r="CC506" s="6" t="str">
        <f t="shared" si="256"/>
        <v>OK</v>
      </c>
    </row>
    <row r="507" spans="27:81">
      <c r="AA507" s="79" t="s">
        <v>175</v>
      </c>
      <c r="AB507" s="80" t="s">
        <v>204</v>
      </c>
      <c r="AC507" s="81">
        <v>2.74</v>
      </c>
      <c r="AD507" s="81">
        <v>6</v>
      </c>
      <c r="AE507" s="80">
        <v>273</v>
      </c>
      <c r="AF507" s="80">
        <v>6.35</v>
      </c>
      <c r="AG507" s="108" cm="1">
        <f t="array" ref="AG507">_xll.DCEPropSectPipe(AE507, AF507, "Area")/100</f>
        <v>53.19431074856206</v>
      </c>
      <c r="AH507" s="16" cm="1">
        <f t="array" ref="AH507">_xll.DCEPropSectPipe(AE507, AF507, "Ix")/10000</f>
        <v>4730.4733077169503</v>
      </c>
      <c r="AI507" s="16" cm="1">
        <f t="array" ref="AI507">_xll.DCEPropSectPipe(AE507, AF507, "Wx")/1000</f>
        <v>346.55482107816493</v>
      </c>
      <c r="AJ507" s="108">
        <f t="shared" si="225"/>
        <v>9.4301739777164251</v>
      </c>
      <c r="AK507" s="80" t="s">
        <v>211</v>
      </c>
      <c r="AL507" s="82">
        <v>-87.060867075775263</v>
      </c>
      <c r="AM507" s="82">
        <v>-9.7227737285731184</v>
      </c>
      <c r="AN507" s="82">
        <v>-3.1759128118895874</v>
      </c>
      <c r="AO507" s="82">
        <v>8.708352930201249</v>
      </c>
      <c r="AP507" s="82">
        <v>26.659845563747488</v>
      </c>
      <c r="AQ507" s="82">
        <v>0.19495016823910097</v>
      </c>
      <c r="AR507" s="72">
        <v>1</v>
      </c>
      <c r="AS507" s="116">
        <f t="shared" si="226"/>
        <v>6</v>
      </c>
      <c r="AT507" s="82">
        <v>2</v>
      </c>
      <c r="AU507" s="6">
        <f t="shared" si="227"/>
        <v>12</v>
      </c>
      <c r="AV507" s="111">
        <f t="shared" si="228"/>
        <v>7.1603765157688973E-2</v>
      </c>
      <c r="AW507" s="117">
        <f t="shared" si="229"/>
        <v>105</v>
      </c>
      <c r="AX507" s="111">
        <f t="shared" si="230"/>
        <v>1</v>
      </c>
      <c r="AY507" s="111">
        <f t="shared" si="231"/>
        <v>1</v>
      </c>
      <c r="AZ507" s="111">
        <f t="shared" si="232"/>
        <v>1</v>
      </c>
      <c r="BA507" s="111">
        <f t="shared" si="233"/>
        <v>7.5372384376514709E-2</v>
      </c>
      <c r="BB507" s="111">
        <f t="shared" si="234"/>
        <v>0.11572269227313689</v>
      </c>
      <c r="BC507" s="111">
        <f t="shared" si="235"/>
        <v>0.35427469797685462</v>
      </c>
      <c r="BD507" s="111">
        <v>0</v>
      </c>
      <c r="BE507" s="111">
        <f t="shared" si="236"/>
        <v>0.54536977462650627</v>
      </c>
      <c r="BF507" s="6" t="str">
        <f t="shared" si="237"/>
        <v>OK</v>
      </c>
      <c r="BG507" s="16">
        <f t="shared" si="238"/>
        <v>63.625549371390676</v>
      </c>
      <c r="BH507" s="118">
        <f t="shared" si="239"/>
        <v>2.1193803644775273</v>
      </c>
      <c r="BI507" s="108">
        <f t="shared" si="240"/>
        <v>1.5353460452445886</v>
      </c>
      <c r="BJ507" s="6">
        <f t="shared" si="241"/>
        <v>1.1998035021235902</v>
      </c>
      <c r="BK507" s="108">
        <f t="shared" si="242"/>
        <v>1.8421135620560616</v>
      </c>
      <c r="BL507" s="118" cm="1">
        <f t="array" ref="BL507">IF(AO507=0,FactorPhi7121(BH507,"a"),noisuy2chieu(BK507,BH507,Data!$A$63:$M$85))</f>
        <v>0</v>
      </c>
      <c r="BM507" s="111">
        <v>1.26</v>
      </c>
      <c r="BN507" s="118">
        <f t="shared" si="243"/>
        <v>0.96783721317056293</v>
      </c>
      <c r="BO507" s="108" t="e">
        <f t="shared" si="244"/>
        <v>#DIV/0!</v>
      </c>
      <c r="BP507" s="6" t="e">
        <f t="shared" si="245"/>
        <v>#DIV/0!</v>
      </c>
      <c r="BQ507" s="16">
        <f t="shared" si="246"/>
        <v>127.25109874278135</v>
      </c>
      <c r="BR507" s="118">
        <f t="shared" si="247"/>
        <v>4.2387607289550546</v>
      </c>
      <c r="BS507" s="108">
        <f t="shared" si="248"/>
        <v>4.7003249387350294</v>
      </c>
      <c r="BT507" s="118">
        <f t="shared" si="249"/>
        <v>1.1022812442518772</v>
      </c>
      <c r="BU507" s="108">
        <f t="shared" si="250"/>
        <v>5.1810800218569772</v>
      </c>
      <c r="BV507" s="6" cm="1">
        <f t="array" ref="BV507">IF(AP507=0,FactorPhi7121(BR507,"a"),noisuy2chieu(BU507,BR507,Data!$A$63:$M$85))</f>
        <v>0</v>
      </c>
      <c r="BW507" s="111">
        <v>1.26</v>
      </c>
      <c r="BX507" s="111">
        <f t="shared" si="251"/>
        <v>0.87134885268225182</v>
      </c>
      <c r="BY507" s="113" t="e">
        <f t="shared" si="252"/>
        <v>#DIV/0!</v>
      </c>
      <c r="BZ507" s="6" t="e">
        <f t="shared" si="253"/>
        <v>#DIV/0!</v>
      </c>
      <c r="CA507" s="114">
        <f t="shared" si="254"/>
        <v>127.25109874278135</v>
      </c>
      <c r="CB507" s="115" t="e">
        <f t="shared" si="255"/>
        <v>#DIV/0!</v>
      </c>
      <c r="CC507" s="6" t="e">
        <f t="shared" si="256"/>
        <v>#DIV/0!</v>
      </c>
    </row>
    <row r="508" spans="27:81">
      <c r="AA508" s="79" t="s">
        <v>175</v>
      </c>
      <c r="AB508" s="80" t="s">
        <v>204</v>
      </c>
      <c r="AC508" s="81">
        <v>5.48</v>
      </c>
      <c r="AD508" s="81">
        <v>6</v>
      </c>
      <c r="AE508" s="80">
        <v>273</v>
      </c>
      <c r="AF508" s="80">
        <v>6.35</v>
      </c>
      <c r="AG508" s="108" cm="1">
        <f t="array" ref="AG508">_xll.DCEPropSectPipe(AE508, AF508, "Area")/100</f>
        <v>53.19431074856206</v>
      </c>
      <c r="AH508" s="16" cm="1">
        <f t="array" ref="AH508">_xll.DCEPropSectPipe(AE508, AF508, "Ix")/10000</f>
        <v>4730.4733077169503</v>
      </c>
      <c r="AI508" s="16" cm="1">
        <f t="array" ref="AI508">_xll.DCEPropSectPipe(AE508, AF508, "Wx")/1000</f>
        <v>346.55482107816493</v>
      </c>
      <c r="AJ508" s="108">
        <f t="shared" si="225"/>
        <v>9.4301739777164251</v>
      </c>
      <c r="AK508" s="80" t="s">
        <v>211</v>
      </c>
      <c r="AL508" s="82">
        <v>-85.713606727043242</v>
      </c>
      <c r="AM508" s="82">
        <v>-9.7227737285731184</v>
      </c>
      <c r="AN508" s="82">
        <v>-3.1759128118895874</v>
      </c>
      <c r="AO508" s="82">
        <v>17.416705860402498</v>
      </c>
      <c r="AP508" s="82">
        <v>53.319691127494977</v>
      </c>
      <c r="AQ508" s="82">
        <v>0.19495016823910097</v>
      </c>
      <c r="AR508" s="72">
        <v>1</v>
      </c>
      <c r="AS508" s="116">
        <f t="shared" si="226"/>
        <v>6</v>
      </c>
      <c r="AT508" s="82">
        <v>2</v>
      </c>
      <c r="AU508" s="6">
        <f t="shared" si="227"/>
        <v>12</v>
      </c>
      <c r="AV508" s="111">
        <f t="shared" si="228"/>
        <v>7.0495702294808116E-2</v>
      </c>
      <c r="AW508" s="117">
        <f t="shared" si="229"/>
        <v>105</v>
      </c>
      <c r="AX508" s="111">
        <f t="shared" si="230"/>
        <v>1</v>
      </c>
      <c r="AY508" s="111">
        <f t="shared" si="231"/>
        <v>1</v>
      </c>
      <c r="AZ508" s="111">
        <f t="shared" si="232"/>
        <v>1</v>
      </c>
      <c r="BA508" s="111">
        <f t="shared" si="233"/>
        <v>7.4206002415587488E-2</v>
      </c>
      <c r="BB508" s="111">
        <f t="shared" si="234"/>
        <v>0.23144538454627378</v>
      </c>
      <c r="BC508" s="111">
        <f t="shared" si="235"/>
        <v>0.70854939595370925</v>
      </c>
      <c r="BD508" s="111">
        <v>0</v>
      </c>
      <c r="BE508" s="111">
        <f t="shared" si="236"/>
        <v>1.0142007829155706</v>
      </c>
      <c r="BF508" s="6" t="str">
        <f t="shared" si="237"/>
        <v>Check</v>
      </c>
      <c r="BG508" s="16">
        <f t="shared" si="238"/>
        <v>63.625549371390676</v>
      </c>
      <c r="BH508" s="118">
        <f t="shared" si="239"/>
        <v>2.1193803644775273</v>
      </c>
      <c r="BI508" s="108">
        <f t="shared" si="240"/>
        <v>3.1189577259542158</v>
      </c>
      <c r="BJ508" s="6">
        <f t="shared" si="241"/>
        <v>1.1541856730986413</v>
      </c>
      <c r="BK508" s="108">
        <f t="shared" si="242"/>
        <v>3.5998563222966742</v>
      </c>
      <c r="BL508" s="118" cm="1">
        <f t="array" ref="BL508">IF(AO508=0,FactorPhi7121(BH508,"a"),noisuy2chieu(BK508,BH508,Data!$A$63:$M$85))</f>
        <v>0</v>
      </c>
      <c r="BM508" s="111">
        <v>1.26</v>
      </c>
      <c r="BN508" s="118">
        <f t="shared" si="243"/>
        <v>0.96833492986987291</v>
      </c>
      <c r="BO508" s="108" t="e">
        <f t="shared" si="244"/>
        <v>#DIV/0!</v>
      </c>
      <c r="BP508" s="6" t="e">
        <f t="shared" si="245"/>
        <v>#DIV/0!</v>
      </c>
      <c r="BQ508" s="16">
        <f t="shared" si="246"/>
        <v>127.25109874278135</v>
      </c>
      <c r="BR508" s="118">
        <f t="shared" si="247"/>
        <v>4.2387607289550546</v>
      </c>
      <c r="BS508" s="108">
        <f t="shared" si="248"/>
        <v>9.5484108143369468</v>
      </c>
      <c r="BT508" s="118">
        <f t="shared" si="249"/>
        <v>1.1000000000000001</v>
      </c>
      <c r="BU508" s="108">
        <f t="shared" si="250"/>
        <v>10.503251895770642</v>
      </c>
      <c r="BV508" s="6" cm="1">
        <f t="array" ref="BV508">IF(AP508=0,FactorPhi7121(BR508,"a"),noisuy2chieu(BU508,BR508,Data!$A$63:$M$85))</f>
        <v>0</v>
      </c>
      <c r="BW508" s="111">
        <v>1.26</v>
      </c>
      <c r="BX508" s="111">
        <f t="shared" si="251"/>
        <v>0.87333971947949185</v>
      </c>
      <c r="BY508" s="113" t="e">
        <f t="shared" si="252"/>
        <v>#DIV/0!</v>
      </c>
      <c r="BZ508" s="6" t="e">
        <f t="shared" si="253"/>
        <v>#DIV/0!</v>
      </c>
      <c r="CA508" s="114">
        <f t="shared" si="254"/>
        <v>127.25109874278135</v>
      </c>
      <c r="CB508" s="115" t="e">
        <f t="shared" si="255"/>
        <v>#DIV/0!</v>
      </c>
      <c r="CC508" s="6" t="e">
        <f t="shared" si="256"/>
        <v>#DIV/0!</v>
      </c>
    </row>
    <row r="509" spans="27:81">
      <c r="AA509" s="79" t="s">
        <v>175</v>
      </c>
      <c r="AB509" s="80" t="s">
        <v>204</v>
      </c>
      <c r="AC509" s="81">
        <v>0</v>
      </c>
      <c r="AD509" s="81">
        <v>6</v>
      </c>
      <c r="AE509" s="80">
        <v>273</v>
      </c>
      <c r="AF509" s="80">
        <v>6.35</v>
      </c>
      <c r="AG509" s="108" cm="1">
        <f t="array" ref="AG509">_xll.DCEPropSectPipe(AE509, AF509, "Area")/100</f>
        <v>53.19431074856206</v>
      </c>
      <c r="AH509" s="16" cm="1">
        <f t="array" ref="AH509">_xll.DCEPropSectPipe(AE509, AF509, "Ix")/10000</f>
        <v>4730.4733077169503</v>
      </c>
      <c r="AI509" s="16" cm="1">
        <f t="array" ref="AI509">_xll.DCEPropSectPipe(AE509, AF509, "Wx")/1000</f>
        <v>346.55482107816493</v>
      </c>
      <c r="AJ509" s="108">
        <f t="shared" si="225"/>
        <v>9.4301739777164251</v>
      </c>
      <c r="AK509" s="80" t="s">
        <v>212</v>
      </c>
      <c r="AL509" s="82">
        <v>-74.692931320219117</v>
      </c>
      <c r="AM509" s="82">
        <v>-9.7266475953722562</v>
      </c>
      <c r="AN509" s="82">
        <v>-3.0288601537765518</v>
      </c>
      <c r="AO509" s="82">
        <v>0</v>
      </c>
      <c r="AP509" s="82">
        <v>0</v>
      </c>
      <c r="AQ509" s="82">
        <v>0.23072289095650925</v>
      </c>
      <c r="AR509" s="72">
        <v>1</v>
      </c>
      <c r="AS509" s="116">
        <f t="shared" si="226"/>
        <v>6</v>
      </c>
      <c r="AT509" s="82">
        <v>2</v>
      </c>
      <c r="AU509" s="6">
        <f t="shared" si="227"/>
        <v>12</v>
      </c>
      <c r="AV509" s="111">
        <f t="shared" si="228"/>
        <v>6.1431677547357295E-2</v>
      </c>
      <c r="AW509" s="117">
        <f t="shared" si="229"/>
        <v>105</v>
      </c>
      <c r="AX509" s="111">
        <f t="shared" si="230"/>
        <v>1</v>
      </c>
      <c r="AY509" s="111">
        <f t="shared" si="231"/>
        <v>1</v>
      </c>
      <c r="AZ509" s="111">
        <f t="shared" si="232"/>
        <v>1</v>
      </c>
      <c r="BA509" s="111">
        <f t="shared" si="233"/>
        <v>6.4664923734060312E-2</v>
      </c>
      <c r="BB509" s="111">
        <f t="shared" si="234"/>
        <v>0</v>
      </c>
      <c r="BC509" s="111">
        <f t="shared" si="235"/>
        <v>0</v>
      </c>
      <c r="BD509" s="111">
        <v>0</v>
      </c>
      <c r="BE509" s="111">
        <f t="shared" si="236"/>
        <v>6.4664923734060312E-2</v>
      </c>
      <c r="BF509" s="6" t="str">
        <f t="shared" si="237"/>
        <v>OK</v>
      </c>
      <c r="BG509" s="16">
        <f t="shared" si="238"/>
        <v>63.625549371390676</v>
      </c>
      <c r="BH509" s="118">
        <f t="shared" si="239"/>
        <v>2.1193803644775273</v>
      </c>
      <c r="BI509" s="108">
        <f t="shared" si="240"/>
        <v>0</v>
      </c>
      <c r="BJ509" s="6">
        <f t="shared" si="241"/>
        <v>1.2440309817761237</v>
      </c>
      <c r="BK509" s="108">
        <f t="shared" si="242"/>
        <v>0</v>
      </c>
      <c r="BL509" s="118" cm="1">
        <f t="array" ref="BL509">IF(AO509=0,FactorPhi7121(BH509,"a"),noisuy2chieu(BK509,BH509,Data!$A$63:$M$85))</f>
        <v>0.86214274110469236</v>
      </c>
      <c r="BM509" s="111">
        <v>1.26</v>
      </c>
      <c r="BN509" s="118">
        <f t="shared" si="243"/>
        <v>0.97240628415029373</v>
      </c>
      <c r="BO509" s="108">
        <f t="shared" si="244"/>
        <v>0.15287378783360861</v>
      </c>
      <c r="BP509" s="6" t="str">
        <f t="shared" si="245"/>
        <v>OK</v>
      </c>
      <c r="BQ509" s="16">
        <f t="shared" si="246"/>
        <v>127.25109874278135</v>
      </c>
      <c r="BR509" s="118">
        <f t="shared" si="247"/>
        <v>4.2387607289550546</v>
      </c>
      <c r="BS509" s="108">
        <f t="shared" si="248"/>
        <v>0</v>
      </c>
      <c r="BT509" s="118">
        <f t="shared" si="249"/>
        <v>1.1380619635522473</v>
      </c>
      <c r="BU509" s="108">
        <f t="shared" si="250"/>
        <v>0</v>
      </c>
      <c r="BV509" s="6" cm="1">
        <f t="array" ref="BV509">IF(AP509=0,FactorPhi7121(BR509,"a"),noisuy2chieu(BU509,BR509,Data!$A$63:$M$85))</f>
        <v>0.42299549615688942</v>
      </c>
      <c r="BW509" s="111">
        <v>1.26</v>
      </c>
      <c r="BX509" s="111">
        <f t="shared" si="251"/>
        <v>0.88962513660117504</v>
      </c>
      <c r="BY509" s="113">
        <f t="shared" si="252"/>
        <v>7.5004892636691439E-2</v>
      </c>
      <c r="BZ509" s="6" t="str">
        <f t="shared" si="253"/>
        <v>OK</v>
      </c>
      <c r="CA509" s="114">
        <f t="shared" si="254"/>
        <v>127.25109874278135</v>
      </c>
      <c r="CB509" s="115">
        <f t="shared" si="255"/>
        <v>150</v>
      </c>
      <c r="CC509" s="6" t="str">
        <f t="shared" si="256"/>
        <v>OK</v>
      </c>
    </row>
    <row r="510" spans="27:81">
      <c r="AA510" s="79" t="s">
        <v>175</v>
      </c>
      <c r="AB510" s="80" t="s">
        <v>204</v>
      </c>
      <c r="AC510" s="81">
        <v>2.74</v>
      </c>
      <c r="AD510" s="81">
        <v>6</v>
      </c>
      <c r="AE510" s="80">
        <v>273</v>
      </c>
      <c r="AF510" s="80">
        <v>6.35</v>
      </c>
      <c r="AG510" s="108" cm="1">
        <f t="array" ref="AG510">_xll.DCEPropSectPipe(AE510, AF510, "Area")/100</f>
        <v>53.19431074856206</v>
      </c>
      <c r="AH510" s="16" cm="1">
        <f t="array" ref="AH510">_xll.DCEPropSectPipe(AE510, AF510, "Ix")/10000</f>
        <v>4730.4733077169503</v>
      </c>
      <c r="AI510" s="16" cm="1">
        <f t="array" ref="AI510">_xll.DCEPropSectPipe(AE510, AF510, "Wx")/1000</f>
        <v>346.55482107816493</v>
      </c>
      <c r="AJ510" s="108">
        <f t="shared" si="225"/>
        <v>9.4301739777164251</v>
      </c>
      <c r="AK510" s="80" t="s">
        <v>212</v>
      </c>
      <c r="AL510" s="82">
        <v>-73.345670971487081</v>
      </c>
      <c r="AM510" s="82">
        <v>-9.7266475953722562</v>
      </c>
      <c r="AN510" s="82">
        <v>-3.0288601537765518</v>
      </c>
      <c r="AO510" s="82">
        <v>8.3051345416553062</v>
      </c>
      <c r="AP510" s="82">
        <v>26.670467706510728</v>
      </c>
      <c r="AQ510" s="82">
        <v>0.23072289095650925</v>
      </c>
      <c r="AR510" s="72">
        <v>1</v>
      </c>
      <c r="AS510" s="116">
        <f t="shared" si="226"/>
        <v>6</v>
      </c>
      <c r="AT510" s="82">
        <v>2</v>
      </c>
      <c r="AU510" s="6">
        <f t="shared" si="227"/>
        <v>12</v>
      </c>
      <c r="AV510" s="111">
        <f t="shared" si="228"/>
        <v>6.0323614684476418E-2</v>
      </c>
      <c r="AW510" s="117">
        <f t="shared" si="229"/>
        <v>105</v>
      </c>
      <c r="AX510" s="111">
        <f t="shared" si="230"/>
        <v>1</v>
      </c>
      <c r="AY510" s="111">
        <f t="shared" si="231"/>
        <v>1</v>
      </c>
      <c r="AZ510" s="111">
        <f t="shared" si="232"/>
        <v>1</v>
      </c>
      <c r="BA510" s="111">
        <f t="shared" si="233"/>
        <v>6.3498541773133077E-2</v>
      </c>
      <c r="BB510" s="111">
        <f t="shared" si="234"/>
        <v>0.11036444394873257</v>
      </c>
      <c r="BC510" s="111">
        <f t="shared" si="235"/>
        <v>0.35441585244867307</v>
      </c>
      <c r="BD510" s="111">
        <v>0</v>
      </c>
      <c r="BE510" s="111">
        <f t="shared" si="236"/>
        <v>0.52827883817053878</v>
      </c>
      <c r="BF510" s="6" t="str">
        <f t="shared" si="237"/>
        <v>OK</v>
      </c>
      <c r="BG510" s="16">
        <f t="shared" si="238"/>
        <v>63.625549371390676</v>
      </c>
      <c r="BH510" s="118">
        <f t="shared" si="239"/>
        <v>2.1193803644775273</v>
      </c>
      <c r="BI510" s="108">
        <f t="shared" si="240"/>
        <v>1.7380626525730543</v>
      </c>
      <c r="BJ510" s="6">
        <f t="shared" si="241"/>
        <v>1.1939640077284217</v>
      </c>
      <c r="BK510" s="108">
        <f t="shared" si="242"/>
        <v>2.0751842503492153</v>
      </c>
      <c r="BL510" s="118" cm="1">
        <f t="array" ref="BL510">IF(AO510=0,FactorPhi7121(BH510,"a"),noisuy2chieu(BK510,BH510,Data!$A$63:$M$85))</f>
        <v>0</v>
      </c>
      <c r="BM510" s="111">
        <v>1.26</v>
      </c>
      <c r="BN510" s="118">
        <f t="shared" si="243"/>
        <v>0.97290400084960371</v>
      </c>
      <c r="BO510" s="108" t="e">
        <f t="shared" si="244"/>
        <v>#DIV/0!</v>
      </c>
      <c r="BP510" s="6" t="e">
        <f t="shared" si="245"/>
        <v>#DIV/0!</v>
      </c>
      <c r="BQ510" s="16">
        <f t="shared" si="246"/>
        <v>127.25109874278135</v>
      </c>
      <c r="BR510" s="118">
        <f t="shared" si="247"/>
        <v>4.2387607289550546</v>
      </c>
      <c r="BS510" s="108">
        <f t="shared" si="248"/>
        <v>5.5814801813075698</v>
      </c>
      <c r="BT510" s="118">
        <f t="shared" si="249"/>
        <v>1.1000000000000001</v>
      </c>
      <c r="BU510" s="108">
        <f t="shared" si="250"/>
        <v>6.1396281994383273</v>
      </c>
      <c r="BV510" s="6" cm="1">
        <f t="array" ref="BV510">IF(AP510=0,FactorPhi7121(BR510,"a"),noisuy2chieu(BU510,BR510,Data!$A$63:$M$85))</f>
        <v>0</v>
      </c>
      <c r="BW510" s="111">
        <v>1.26</v>
      </c>
      <c r="BX510" s="111">
        <f t="shared" si="251"/>
        <v>0.89161600339841496</v>
      </c>
      <c r="BY510" s="113" t="e">
        <f t="shared" si="252"/>
        <v>#DIV/0!</v>
      </c>
      <c r="BZ510" s="6" t="e">
        <f t="shared" si="253"/>
        <v>#DIV/0!</v>
      </c>
      <c r="CA510" s="114">
        <f t="shared" si="254"/>
        <v>127.25109874278135</v>
      </c>
      <c r="CB510" s="115" t="e">
        <f t="shared" si="255"/>
        <v>#DIV/0!</v>
      </c>
      <c r="CC510" s="6" t="e">
        <f t="shared" si="256"/>
        <v>#DIV/0!</v>
      </c>
    </row>
    <row r="511" spans="27:81">
      <c r="AA511" s="79" t="s">
        <v>175</v>
      </c>
      <c r="AB511" s="80" t="s">
        <v>204</v>
      </c>
      <c r="AC511" s="81">
        <v>5.48</v>
      </c>
      <c r="AD511" s="81">
        <v>6</v>
      </c>
      <c r="AE511" s="80">
        <v>273</v>
      </c>
      <c r="AF511" s="80">
        <v>6.35</v>
      </c>
      <c r="AG511" s="108" cm="1">
        <f t="array" ref="AG511">_xll.DCEPropSectPipe(AE511, AF511, "Area")/100</f>
        <v>53.19431074856206</v>
      </c>
      <c r="AH511" s="16" cm="1">
        <f t="array" ref="AH511">_xll.DCEPropSectPipe(AE511, AF511, "Ix")/10000</f>
        <v>4730.4733077169503</v>
      </c>
      <c r="AI511" s="16" cm="1">
        <f t="array" ref="AI511">_xll.DCEPropSectPipe(AE511, AF511, "Wx")/1000</f>
        <v>346.55482107816493</v>
      </c>
      <c r="AJ511" s="108">
        <f t="shared" si="225"/>
        <v>9.4301739777164251</v>
      </c>
      <c r="AK511" s="80" t="s">
        <v>212</v>
      </c>
      <c r="AL511" s="82">
        <v>-71.998410622755046</v>
      </c>
      <c r="AM511" s="82">
        <v>-9.7266475953722562</v>
      </c>
      <c r="AN511" s="82">
        <v>-3.0288601537765518</v>
      </c>
      <c r="AO511" s="82">
        <v>16.610269083310612</v>
      </c>
      <c r="AP511" s="82">
        <v>53.340935413021455</v>
      </c>
      <c r="AQ511" s="82">
        <v>0.23072289095650925</v>
      </c>
      <c r="AR511" s="72">
        <v>1</v>
      </c>
      <c r="AS511" s="116">
        <f t="shared" si="226"/>
        <v>6</v>
      </c>
      <c r="AT511" s="82">
        <v>2</v>
      </c>
      <c r="AU511" s="6">
        <f t="shared" si="227"/>
        <v>12</v>
      </c>
      <c r="AV511" s="111">
        <f t="shared" si="228"/>
        <v>5.921555182159554E-2</v>
      </c>
      <c r="AW511" s="117">
        <f t="shared" si="229"/>
        <v>105</v>
      </c>
      <c r="AX511" s="111">
        <f t="shared" si="230"/>
        <v>1</v>
      </c>
      <c r="AY511" s="111">
        <f t="shared" si="231"/>
        <v>1</v>
      </c>
      <c r="AZ511" s="111">
        <f t="shared" si="232"/>
        <v>1</v>
      </c>
      <c r="BA511" s="111">
        <f t="shared" si="233"/>
        <v>6.2332159812205842E-2</v>
      </c>
      <c r="BB511" s="111">
        <f t="shared" si="234"/>
        <v>0.22072888789746514</v>
      </c>
      <c r="BC511" s="111">
        <f t="shared" si="235"/>
        <v>0.70883170489734615</v>
      </c>
      <c r="BD511" s="111">
        <v>0</v>
      </c>
      <c r="BE511" s="111">
        <f t="shared" si="236"/>
        <v>0.99189275260701715</v>
      </c>
      <c r="BF511" s="6" t="str">
        <f t="shared" si="237"/>
        <v>OK</v>
      </c>
      <c r="BG511" s="16">
        <f t="shared" si="238"/>
        <v>63.625549371390676</v>
      </c>
      <c r="BH511" s="118">
        <f t="shared" si="239"/>
        <v>2.1193803644775273</v>
      </c>
      <c r="BI511" s="108">
        <f t="shared" si="240"/>
        <v>3.5411718214558348</v>
      </c>
      <c r="BJ511" s="6">
        <f t="shared" si="241"/>
        <v>1.1420232909596781</v>
      </c>
      <c r="BK511" s="108">
        <f t="shared" si="242"/>
        <v>4.0441006973926701</v>
      </c>
      <c r="BL511" s="118" cm="1">
        <f t="array" ref="BL511">IF(AO511=0,FactorPhi7121(BH511,"a"),noisuy2chieu(BK511,BH511,Data!$A$63:$M$85))</f>
        <v>0</v>
      </c>
      <c r="BM511" s="111">
        <v>1.26</v>
      </c>
      <c r="BN511" s="118">
        <f t="shared" si="243"/>
        <v>0.9734017175489138</v>
      </c>
      <c r="BO511" s="108" t="e">
        <f t="shared" si="244"/>
        <v>#DIV/0!</v>
      </c>
      <c r="BP511" s="6" t="e">
        <f t="shared" si="245"/>
        <v>#DIV/0!</v>
      </c>
      <c r="BQ511" s="16">
        <f t="shared" si="246"/>
        <v>127.25109874278135</v>
      </c>
      <c r="BR511" s="118">
        <f t="shared" si="247"/>
        <v>4.2387607289550546</v>
      </c>
      <c r="BS511" s="108">
        <f t="shared" si="248"/>
        <v>11.371845721902021</v>
      </c>
      <c r="BT511" s="118">
        <f t="shared" si="249"/>
        <v>1.1000000000000001</v>
      </c>
      <c r="BU511" s="108">
        <f t="shared" si="250"/>
        <v>12.509030294092224</v>
      </c>
      <c r="BV511" s="6" cm="1">
        <f t="array" ref="BV511">IF(AP511=0,FactorPhi7121(BR511,"a"),noisuy2chieu(BU511,BR511,Data!$A$63:$M$85))</f>
        <v>0</v>
      </c>
      <c r="BW511" s="111">
        <v>1.26</v>
      </c>
      <c r="BX511" s="111">
        <f t="shared" si="251"/>
        <v>0.89360687019565499</v>
      </c>
      <c r="BY511" s="113" t="e">
        <f t="shared" si="252"/>
        <v>#DIV/0!</v>
      </c>
      <c r="BZ511" s="6" t="e">
        <f t="shared" si="253"/>
        <v>#DIV/0!</v>
      </c>
      <c r="CA511" s="114">
        <f t="shared" si="254"/>
        <v>127.25109874278135</v>
      </c>
      <c r="CB511" s="115" t="e">
        <f t="shared" si="255"/>
        <v>#DIV/0!</v>
      </c>
      <c r="CC511" s="6" t="e">
        <f t="shared" si="256"/>
        <v>#DIV/0!</v>
      </c>
    </row>
    <row r="512" spans="27:81">
      <c r="AA512" s="79" t="s">
        <v>175</v>
      </c>
      <c r="AB512" s="80" t="s">
        <v>204</v>
      </c>
      <c r="AC512" s="81">
        <v>0</v>
      </c>
      <c r="AD512" s="81">
        <v>6</v>
      </c>
      <c r="AE512" s="80">
        <v>273</v>
      </c>
      <c r="AF512" s="80">
        <v>6.35</v>
      </c>
      <c r="AG512" s="108" cm="1">
        <f t="array" ref="AG512">_xll.DCEPropSectPipe(AE512, AF512, "Area")/100</f>
        <v>53.19431074856206</v>
      </c>
      <c r="AH512" s="16" cm="1">
        <f t="array" ref="AH512">_xll.DCEPropSectPipe(AE512, AF512, "Ix")/10000</f>
        <v>4730.4733077169503</v>
      </c>
      <c r="AI512" s="16" cm="1">
        <f t="array" ref="AI512">_xll.DCEPropSectPipe(AE512, AF512, "Wx")/1000</f>
        <v>346.55482107816493</v>
      </c>
      <c r="AJ512" s="108">
        <f t="shared" si="225"/>
        <v>9.4301739777164251</v>
      </c>
      <c r="AK512" s="80" t="s">
        <v>213</v>
      </c>
      <c r="AL512" s="82">
        <v>-5.632714425226018</v>
      </c>
      <c r="AM512" s="82">
        <v>-0.94286556328081883</v>
      </c>
      <c r="AN512" s="82">
        <v>-0.19305279837299186</v>
      </c>
      <c r="AO512" s="82">
        <v>0</v>
      </c>
      <c r="AP512" s="82">
        <v>0</v>
      </c>
      <c r="AQ512" s="82">
        <v>1.8483394756079546E-2</v>
      </c>
      <c r="AR512" s="72">
        <v>1</v>
      </c>
      <c r="AS512" s="116">
        <f t="shared" si="226"/>
        <v>6</v>
      </c>
      <c r="AT512" s="82">
        <v>2</v>
      </c>
      <c r="AU512" s="6">
        <f t="shared" si="227"/>
        <v>12</v>
      </c>
      <c r="AV512" s="111">
        <f t="shared" si="228"/>
        <v>4.6326618887584667E-3</v>
      </c>
      <c r="AW512" s="117">
        <f t="shared" si="229"/>
        <v>105</v>
      </c>
      <c r="AX512" s="111">
        <f t="shared" si="230"/>
        <v>1</v>
      </c>
      <c r="AY512" s="111">
        <f t="shared" si="231"/>
        <v>1</v>
      </c>
      <c r="AZ512" s="111">
        <f t="shared" si="232"/>
        <v>1</v>
      </c>
      <c r="BA512" s="111">
        <f t="shared" si="233"/>
        <v>4.8764861986931229E-3</v>
      </c>
      <c r="BB512" s="111">
        <f t="shared" si="234"/>
        <v>0</v>
      </c>
      <c r="BC512" s="111">
        <f t="shared" si="235"/>
        <v>0</v>
      </c>
      <c r="BD512" s="111">
        <v>0</v>
      </c>
      <c r="BE512" s="111">
        <f t="shared" si="236"/>
        <v>4.8764861986931229E-3</v>
      </c>
      <c r="BF512" s="6" t="str">
        <f t="shared" si="237"/>
        <v>OK</v>
      </c>
      <c r="BG512" s="16">
        <f t="shared" si="238"/>
        <v>63.625549371390676</v>
      </c>
      <c r="BH512" s="118">
        <f t="shared" si="239"/>
        <v>2.1193803644775273</v>
      </c>
      <c r="BI512" s="108">
        <f t="shared" si="240"/>
        <v>0</v>
      </c>
      <c r="BJ512" s="6">
        <f t="shared" si="241"/>
        <v>1.2440309817761237</v>
      </c>
      <c r="BK512" s="108">
        <f t="shared" si="242"/>
        <v>0</v>
      </c>
      <c r="BL512" s="118" cm="1">
        <f t="array" ref="BL512">IF(AO512=0,FactorPhi7121(BH512,"a"),noisuy2chieu(BK512,BH512,Data!$A$63:$M$85))</f>
        <v>0.86214274110469236</v>
      </c>
      <c r="BM512" s="111">
        <v>1.26</v>
      </c>
      <c r="BN512" s="118">
        <f t="shared" si="243"/>
        <v>0.99791911338107897</v>
      </c>
      <c r="BO512" s="108">
        <f t="shared" si="244"/>
        <v>1.1528458915043458E-2</v>
      </c>
      <c r="BP512" s="6" t="str">
        <f t="shared" si="245"/>
        <v>OK</v>
      </c>
      <c r="BQ512" s="16">
        <f t="shared" si="246"/>
        <v>127.25109874278135</v>
      </c>
      <c r="BR512" s="118">
        <f t="shared" si="247"/>
        <v>4.2387607289550546</v>
      </c>
      <c r="BS512" s="108">
        <f t="shared" si="248"/>
        <v>0</v>
      </c>
      <c r="BT512" s="118">
        <f t="shared" si="249"/>
        <v>1.1380619635522473</v>
      </c>
      <c r="BU512" s="108">
        <f t="shared" si="250"/>
        <v>0</v>
      </c>
      <c r="BV512" s="6" cm="1">
        <f t="array" ref="BV512">IF(AP512=0,FactorPhi7121(BR512,"a"),noisuy2chieu(BU512,BR512,Data!$A$63:$M$85))</f>
        <v>0.42299549615688942</v>
      </c>
      <c r="BW512" s="111">
        <v>1.26</v>
      </c>
      <c r="BX512" s="111">
        <f t="shared" si="251"/>
        <v>0.9916764535243161</v>
      </c>
      <c r="BY512" s="113">
        <f t="shared" si="252"/>
        <v>5.6562399312725387E-3</v>
      </c>
      <c r="BZ512" s="6" t="str">
        <f t="shared" si="253"/>
        <v>OK</v>
      </c>
      <c r="CA512" s="114">
        <f t="shared" si="254"/>
        <v>127.25109874278135</v>
      </c>
      <c r="CB512" s="115">
        <f t="shared" si="255"/>
        <v>150</v>
      </c>
      <c r="CC512" s="6" t="str">
        <f t="shared" si="256"/>
        <v>OK</v>
      </c>
    </row>
    <row r="513" spans="27:81">
      <c r="AA513" s="79" t="s">
        <v>175</v>
      </c>
      <c r="AB513" s="80" t="s">
        <v>204</v>
      </c>
      <c r="AC513" s="81">
        <v>2.74</v>
      </c>
      <c r="AD513" s="81">
        <v>6</v>
      </c>
      <c r="AE513" s="80">
        <v>273</v>
      </c>
      <c r="AF513" s="80">
        <v>6.35</v>
      </c>
      <c r="AG513" s="108" cm="1">
        <f t="array" ref="AG513">_xll.DCEPropSectPipe(AE513, AF513, "Area")/100</f>
        <v>53.19431074856206</v>
      </c>
      <c r="AH513" s="16" cm="1">
        <f t="array" ref="AH513">_xll.DCEPropSectPipe(AE513, AF513, "Ix")/10000</f>
        <v>4730.4733077169503</v>
      </c>
      <c r="AI513" s="16" cm="1">
        <f t="array" ref="AI513">_xll.DCEPropSectPipe(AE513, AF513, "Wx")/1000</f>
        <v>346.55482107816493</v>
      </c>
      <c r="AJ513" s="108">
        <f t="shared" si="225"/>
        <v>9.4301739777164251</v>
      </c>
      <c r="AK513" s="80" t="s">
        <v>213</v>
      </c>
      <c r="AL513" s="82">
        <v>-4.2854540764939806</v>
      </c>
      <c r="AM513" s="82">
        <v>-0.94286556328081883</v>
      </c>
      <c r="AN513" s="82">
        <v>-0.19305279837299186</v>
      </c>
      <c r="AO513" s="82">
        <v>0.52935077313874279</v>
      </c>
      <c r="AP513" s="82">
        <v>2.5853373745160058</v>
      </c>
      <c r="AQ513" s="82">
        <v>1.8483394756079546E-2</v>
      </c>
      <c r="AR513" s="72">
        <v>1</v>
      </c>
      <c r="AS513" s="116">
        <f t="shared" si="226"/>
        <v>6</v>
      </c>
      <c r="AT513" s="82">
        <v>2</v>
      </c>
      <c r="AU513" s="6">
        <f t="shared" si="227"/>
        <v>12</v>
      </c>
      <c r="AV513" s="111">
        <f t="shared" si="228"/>
        <v>3.5245990258775907E-3</v>
      </c>
      <c r="AW513" s="117">
        <f t="shared" si="229"/>
        <v>105</v>
      </c>
      <c r="AX513" s="111">
        <f t="shared" si="230"/>
        <v>1</v>
      </c>
      <c r="AY513" s="111">
        <f t="shared" si="231"/>
        <v>1</v>
      </c>
      <c r="AZ513" s="111">
        <f t="shared" si="232"/>
        <v>1</v>
      </c>
      <c r="BA513" s="111">
        <f t="shared" si="233"/>
        <v>3.7101042377658848E-3</v>
      </c>
      <c r="BB513" s="111">
        <f t="shared" si="234"/>
        <v>7.0343837824985997E-3</v>
      </c>
      <c r="BC513" s="111">
        <f t="shared" si="235"/>
        <v>3.4355773567211333E-2</v>
      </c>
      <c r="BD513" s="111">
        <v>0</v>
      </c>
      <c r="BE513" s="111">
        <f t="shared" si="236"/>
        <v>4.5100261587475821E-2</v>
      </c>
      <c r="BF513" s="6" t="str">
        <f t="shared" si="237"/>
        <v>OK</v>
      </c>
      <c r="BG513" s="16">
        <f t="shared" si="238"/>
        <v>63.625549371390676</v>
      </c>
      <c r="BH513" s="118">
        <f t="shared" si="239"/>
        <v>2.1193803644775273</v>
      </c>
      <c r="BI513" s="108">
        <f t="shared" si="240"/>
        <v>1.8960070476980719</v>
      </c>
      <c r="BJ513" s="6">
        <f t="shared" si="241"/>
        <v>1.189414230469243</v>
      </c>
      <c r="BK513" s="108">
        <f t="shared" si="242"/>
        <v>2.2551377636020633</v>
      </c>
      <c r="BL513" s="118" cm="1">
        <f t="array" ref="BL513">IF(AO513=0,FactorPhi7121(BH513,"a"),noisuy2chieu(BK513,BH513,Data!$A$63:$M$85))</f>
        <v>0</v>
      </c>
      <c r="BM513" s="111">
        <v>1.26</v>
      </c>
      <c r="BN513" s="118">
        <f t="shared" si="243"/>
        <v>0.99841683008038906</v>
      </c>
      <c r="BO513" s="108" t="e">
        <f t="shared" si="244"/>
        <v>#DIV/0!</v>
      </c>
      <c r="BP513" s="6" t="e">
        <f t="shared" si="245"/>
        <v>#DIV/0!</v>
      </c>
      <c r="BQ513" s="16">
        <f t="shared" si="246"/>
        <v>127.25109874278135</v>
      </c>
      <c r="BR513" s="118">
        <f t="shared" si="247"/>
        <v>4.2387607289550546</v>
      </c>
      <c r="BS513" s="108">
        <f t="shared" si="248"/>
        <v>9.2600561508480315</v>
      </c>
      <c r="BT513" s="118">
        <f t="shared" si="249"/>
        <v>1.1000000000000001</v>
      </c>
      <c r="BU513" s="108">
        <f t="shared" si="250"/>
        <v>10.186061765932836</v>
      </c>
      <c r="BV513" s="6" cm="1">
        <f t="array" ref="BV513">IF(AP513=0,FactorPhi7121(BR513,"a"),noisuy2chieu(BU513,BR513,Data!$A$63:$M$85))</f>
        <v>0</v>
      </c>
      <c r="BW513" s="111">
        <v>1.26</v>
      </c>
      <c r="BX513" s="111">
        <f t="shared" si="251"/>
        <v>0.99366732032155602</v>
      </c>
      <c r="BY513" s="113" t="e">
        <f t="shared" si="252"/>
        <v>#DIV/0!</v>
      </c>
      <c r="BZ513" s="6" t="e">
        <f t="shared" si="253"/>
        <v>#DIV/0!</v>
      </c>
      <c r="CA513" s="114">
        <f t="shared" si="254"/>
        <v>127.25109874278135</v>
      </c>
      <c r="CB513" s="115" t="e">
        <f t="shared" si="255"/>
        <v>#DIV/0!</v>
      </c>
      <c r="CC513" s="6" t="e">
        <f t="shared" si="256"/>
        <v>#DIV/0!</v>
      </c>
    </row>
    <row r="514" spans="27:81">
      <c r="AA514" s="79" t="s">
        <v>175</v>
      </c>
      <c r="AB514" s="80" t="s">
        <v>204</v>
      </c>
      <c r="AC514" s="81">
        <v>5.48</v>
      </c>
      <c r="AD514" s="81">
        <v>6</v>
      </c>
      <c r="AE514" s="80">
        <v>273</v>
      </c>
      <c r="AF514" s="80">
        <v>6.35</v>
      </c>
      <c r="AG514" s="108" cm="1">
        <f t="array" ref="AG514">_xll.DCEPropSectPipe(AE514, AF514, "Area")/100</f>
        <v>53.19431074856206</v>
      </c>
      <c r="AH514" s="16" cm="1">
        <f t="array" ref="AH514">_xll.DCEPropSectPipe(AE514, AF514, "Ix")/10000</f>
        <v>4730.4733077169503</v>
      </c>
      <c r="AI514" s="16" cm="1">
        <f t="array" ref="AI514">_xll.DCEPropSectPipe(AE514, AF514, "Wx")/1000</f>
        <v>346.55482107816493</v>
      </c>
      <c r="AJ514" s="108">
        <f t="shared" si="225"/>
        <v>9.4301739777164251</v>
      </c>
      <c r="AK514" s="80" t="s">
        <v>213</v>
      </c>
      <c r="AL514" s="82">
        <v>-2.9381937277619503</v>
      </c>
      <c r="AM514" s="82">
        <v>-0.94286556328081883</v>
      </c>
      <c r="AN514" s="82">
        <v>-0.19305279837299186</v>
      </c>
      <c r="AO514" s="82">
        <v>1.0587015462774856</v>
      </c>
      <c r="AP514" s="82">
        <v>5.1706747490320115</v>
      </c>
      <c r="AQ514" s="82">
        <v>1.8483394756079546E-2</v>
      </c>
      <c r="AR514" s="72">
        <v>1</v>
      </c>
      <c r="AS514" s="116">
        <f t="shared" si="226"/>
        <v>6</v>
      </c>
      <c r="AT514" s="82">
        <v>2</v>
      </c>
      <c r="AU514" s="6">
        <f t="shared" si="227"/>
        <v>12</v>
      </c>
      <c r="AV514" s="111">
        <f t="shared" si="228"/>
        <v>2.4165361629967202E-3</v>
      </c>
      <c r="AW514" s="117">
        <f t="shared" si="229"/>
        <v>105</v>
      </c>
      <c r="AX514" s="111">
        <f t="shared" si="230"/>
        <v>1</v>
      </c>
      <c r="AY514" s="111">
        <f t="shared" si="231"/>
        <v>1</v>
      </c>
      <c r="AZ514" s="111">
        <f t="shared" si="232"/>
        <v>1</v>
      </c>
      <c r="BA514" s="111">
        <f t="shared" si="233"/>
        <v>2.5437222768386531E-3</v>
      </c>
      <c r="BB514" s="111">
        <f t="shared" si="234"/>
        <v>1.4068767564997199E-2</v>
      </c>
      <c r="BC514" s="111">
        <f t="shared" si="235"/>
        <v>6.8711547134422665E-2</v>
      </c>
      <c r="BD514" s="111">
        <v>0</v>
      </c>
      <c r="BE514" s="111">
        <f t="shared" si="236"/>
        <v>8.532403697625851E-2</v>
      </c>
      <c r="BF514" s="6" t="str">
        <f t="shared" si="237"/>
        <v>OK</v>
      </c>
      <c r="BG514" s="16">
        <f t="shared" si="238"/>
        <v>63.625549371390676</v>
      </c>
      <c r="BH514" s="118">
        <f t="shared" si="239"/>
        <v>2.1193803644775273</v>
      </c>
      <c r="BI514" s="108">
        <f t="shared" si="240"/>
        <v>5.5307797132955558</v>
      </c>
      <c r="BJ514" s="6">
        <f t="shared" si="241"/>
        <v>1.1000000000000001</v>
      </c>
      <c r="BK514" s="108">
        <f t="shared" si="242"/>
        <v>6.0838576846251122</v>
      </c>
      <c r="BL514" s="118" cm="1">
        <f t="array" ref="BL514">IF(AO514=0,FactorPhi7121(BH514,"a"),noisuy2chieu(BK514,BH514,Data!$A$63:$M$85))</f>
        <v>0</v>
      </c>
      <c r="BM514" s="111">
        <v>1.26</v>
      </c>
      <c r="BN514" s="118">
        <f t="shared" si="243"/>
        <v>0.99891454677969904</v>
      </c>
      <c r="BO514" s="108" t="e">
        <f t="shared" si="244"/>
        <v>#DIV/0!</v>
      </c>
      <c r="BP514" s="6" t="e">
        <f t="shared" si="245"/>
        <v>#DIV/0!</v>
      </c>
      <c r="BQ514" s="16">
        <f t="shared" si="246"/>
        <v>127.25109874278135</v>
      </c>
      <c r="BR514" s="118">
        <f t="shared" si="247"/>
        <v>4.2387607289550546</v>
      </c>
      <c r="BS514" s="108">
        <f t="shared" si="248"/>
        <v>27.012204814991684</v>
      </c>
      <c r="BT514" s="118">
        <f t="shared" si="249"/>
        <v>1.1000000000000001</v>
      </c>
      <c r="BU514" s="108">
        <f t="shared" si="250"/>
        <v>29.713425296490854</v>
      </c>
      <c r="BV514" s="6" cm="1">
        <f t="array" ref="BV514">IF(AP514=0,FactorPhi7121(BR514,"a"),noisuy2chieu(BU514,BR514,Data!$A$63:$M$85))</f>
        <v>0</v>
      </c>
      <c r="BW514" s="111">
        <v>1.26</v>
      </c>
      <c r="BX514" s="111">
        <f t="shared" si="251"/>
        <v>0.99565818711879606</v>
      </c>
      <c r="BY514" s="113" t="e">
        <f t="shared" si="252"/>
        <v>#DIV/0!</v>
      </c>
      <c r="BZ514" s="6" t="e">
        <f t="shared" si="253"/>
        <v>#DIV/0!</v>
      </c>
      <c r="CA514" s="114">
        <f t="shared" si="254"/>
        <v>127.25109874278135</v>
      </c>
      <c r="CB514" s="115" t="e">
        <f t="shared" si="255"/>
        <v>#DIV/0!</v>
      </c>
      <c r="CC514" s="6" t="e">
        <f t="shared" si="256"/>
        <v>#DIV/0!</v>
      </c>
    </row>
    <row r="515" spans="27:81">
      <c r="AA515" s="79" t="s">
        <v>175</v>
      </c>
      <c r="AB515" s="80" t="s">
        <v>204</v>
      </c>
      <c r="AC515" s="81">
        <v>0</v>
      </c>
      <c r="AD515" s="81">
        <v>6</v>
      </c>
      <c r="AE515" s="80">
        <v>273</v>
      </c>
      <c r="AF515" s="80">
        <v>6.35</v>
      </c>
      <c r="AG515" s="108" cm="1">
        <f t="array" ref="AG515">_xll.DCEPropSectPipe(AE515, AF515, "Area")/100</f>
        <v>53.19431074856206</v>
      </c>
      <c r="AH515" s="16" cm="1">
        <f t="array" ref="AH515">_xll.DCEPropSectPipe(AE515, AF515, "Ix")/10000</f>
        <v>4730.4733077169503</v>
      </c>
      <c r="AI515" s="16" cm="1">
        <f t="array" ref="AI515">_xll.DCEPropSectPipe(AE515, AF515, "Wx")/1000</f>
        <v>346.55482107816493</v>
      </c>
      <c r="AJ515" s="108">
        <f t="shared" si="225"/>
        <v>9.4301739777164251</v>
      </c>
      <c r="AK515" s="80" t="s">
        <v>214</v>
      </c>
      <c r="AL515" s="82">
        <v>-20.719430139943018</v>
      </c>
      <c r="AM515" s="82">
        <v>-0.93860430980177334</v>
      </c>
      <c r="AN515" s="82">
        <v>-0.3548107222973319</v>
      </c>
      <c r="AO515" s="82">
        <v>0</v>
      </c>
      <c r="AP515" s="82">
        <v>0</v>
      </c>
      <c r="AQ515" s="82">
        <v>-2.0866600233068727E-2</v>
      </c>
      <c r="AR515" s="72">
        <v>1</v>
      </c>
      <c r="AS515" s="116">
        <f t="shared" si="226"/>
        <v>6</v>
      </c>
      <c r="AT515" s="82">
        <v>2</v>
      </c>
      <c r="AU515" s="6">
        <f t="shared" si="227"/>
        <v>12</v>
      </c>
      <c r="AV515" s="111">
        <f t="shared" si="228"/>
        <v>1.7040827409292275E-2</v>
      </c>
      <c r="AW515" s="117">
        <f t="shared" si="229"/>
        <v>105</v>
      </c>
      <c r="AX515" s="111">
        <f t="shared" si="230"/>
        <v>1</v>
      </c>
      <c r="AY515" s="111">
        <f t="shared" si="231"/>
        <v>1</v>
      </c>
      <c r="AZ515" s="111">
        <f t="shared" si="232"/>
        <v>1</v>
      </c>
      <c r="BA515" s="111">
        <f t="shared" si="233"/>
        <v>1.7937713062412926E-2</v>
      </c>
      <c r="BB515" s="111">
        <f t="shared" si="234"/>
        <v>0</v>
      </c>
      <c r="BC515" s="111">
        <f t="shared" si="235"/>
        <v>0</v>
      </c>
      <c r="BD515" s="111">
        <v>0</v>
      </c>
      <c r="BE515" s="111">
        <f t="shared" si="236"/>
        <v>1.7937713062412926E-2</v>
      </c>
      <c r="BF515" s="6" t="str">
        <f t="shared" si="237"/>
        <v>OK</v>
      </c>
      <c r="BG515" s="16">
        <f t="shared" si="238"/>
        <v>63.625549371390676</v>
      </c>
      <c r="BH515" s="118">
        <f t="shared" si="239"/>
        <v>2.1193803644775273</v>
      </c>
      <c r="BI515" s="108">
        <f t="shared" si="240"/>
        <v>0</v>
      </c>
      <c r="BJ515" s="6">
        <f t="shared" si="241"/>
        <v>1.2440309817761237</v>
      </c>
      <c r="BK515" s="108">
        <f t="shared" si="242"/>
        <v>0</v>
      </c>
      <c r="BL515" s="118" cm="1">
        <f t="array" ref="BL515">IF(AO515=0,FactorPhi7121(BH515,"a"),noisuy2chieu(BK515,BH515,Data!$A$63:$M$85))</f>
        <v>0.86214274110469236</v>
      </c>
      <c r="BM515" s="111">
        <v>1.26</v>
      </c>
      <c r="BN515" s="118">
        <f t="shared" si="243"/>
        <v>0.99234564693413418</v>
      </c>
      <c r="BO515" s="108">
        <f t="shared" si="244"/>
        <v>4.2406392563006892E-2</v>
      </c>
      <c r="BP515" s="6" t="str">
        <f t="shared" si="245"/>
        <v>OK</v>
      </c>
      <c r="BQ515" s="16">
        <f t="shared" si="246"/>
        <v>127.25109874278135</v>
      </c>
      <c r="BR515" s="118">
        <f t="shared" si="247"/>
        <v>4.2387607289550546</v>
      </c>
      <c r="BS515" s="108">
        <f t="shared" si="248"/>
        <v>0</v>
      </c>
      <c r="BT515" s="118">
        <f t="shared" si="249"/>
        <v>1.1380619635522473</v>
      </c>
      <c r="BU515" s="108">
        <f t="shared" si="250"/>
        <v>0</v>
      </c>
      <c r="BV515" s="6" cm="1">
        <f t="array" ref="BV515">IF(AP515=0,FactorPhi7121(BR515,"a"),noisuy2chieu(BU515,BR515,Data!$A$63:$M$85))</f>
        <v>0.42299549615688942</v>
      </c>
      <c r="BW515" s="111">
        <v>1.26</v>
      </c>
      <c r="BX515" s="111">
        <f t="shared" si="251"/>
        <v>0.96938258773653663</v>
      </c>
      <c r="BY515" s="113">
        <f t="shared" si="252"/>
        <v>2.0805966584406584E-2</v>
      </c>
      <c r="BZ515" s="6" t="str">
        <f t="shared" si="253"/>
        <v>OK</v>
      </c>
      <c r="CA515" s="114">
        <f t="shared" si="254"/>
        <v>127.25109874278135</v>
      </c>
      <c r="CB515" s="115">
        <f t="shared" si="255"/>
        <v>150</v>
      </c>
      <c r="CC515" s="6" t="str">
        <f t="shared" si="256"/>
        <v>OK</v>
      </c>
    </row>
    <row r="516" spans="27:81">
      <c r="AA516" s="79" t="s">
        <v>175</v>
      </c>
      <c r="AB516" s="80" t="s">
        <v>204</v>
      </c>
      <c r="AC516" s="81">
        <v>2.74</v>
      </c>
      <c r="AD516" s="81">
        <v>6</v>
      </c>
      <c r="AE516" s="80">
        <v>273</v>
      </c>
      <c r="AF516" s="80">
        <v>6.35</v>
      </c>
      <c r="AG516" s="108" cm="1">
        <f t="array" ref="AG516">_xll.DCEPropSectPipe(AE516, AF516, "Area")/100</f>
        <v>53.19431074856206</v>
      </c>
      <c r="AH516" s="16" cm="1">
        <f t="array" ref="AH516">_xll.DCEPropSectPipe(AE516, AF516, "Ix")/10000</f>
        <v>4730.4733077169503</v>
      </c>
      <c r="AI516" s="16" cm="1">
        <f t="array" ref="AI516">_xll.DCEPropSectPipe(AE516, AF516, "Wx")/1000</f>
        <v>346.55482107816493</v>
      </c>
      <c r="AJ516" s="108">
        <f t="shared" si="225"/>
        <v>9.4301739777164251</v>
      </c>
      <c r="AK516" s="80" t="s">
        <v>214</v>
      </c>
      <c r="AL516" s="82">
        <v>-19.372169791210982</v>
      </c>
      <c r="AM516" s="82">
        <v>-0.93860430980177334</v>
      </c>
      <c r="AN516" s="82">
        <v>-0.3548107222973319</v>
      </c>
      <c r="AO516" s="82">
        <v>0.97289100053928301</v>
      </c>
      <c r="AP516" s="82">
        <v>2.5736530174764631</v>
      </c>
      <c r="AQ516" s="82">
        <v>-2.0866600233068727E-2</v>
      </c>
      <c r="AR516" s="72">
        <v>1</v>
      </c>
      <c r="AS516" s="116">
        <f t="shared" si="226"/>
        <v>6</v>
      </c>
      <c r="AT516" s="82">
        <v>2</v>
      </c>
      <c r="AU516" s="6">
        <f t="shared" si="227"/>
        <v>12</v>
      </c>
      <c r="AV516" s="111">
        <f t="shared" si="228"/>
        <v>1.5932764546411404E-2</v>
      </c>
      <c r="AW516" s="117">
        <f t="shared" si="229"/>
        <v>105</v>
      </c>
      <c r="AX516" s="111">
        <f t="shared" si="230"/>
        <v>1</v>
      </c>
      <c r="AY516" s="111">
        <f t="shared" si="231"/>
        <v>1</v>
      </c>
      <c r="AZ516" s="111">
        <f t="shared" si="232"/>
        <v>1</v>
      </c>
      <c r="BA516" s="111">
        <f t="shared" si="233"/>
        <v>1.6771331101485688E-2</v>
      </c>
      <c r="BB516" s="111">
        <f t="shared" si="234"/>
        <v>1.2928456939343393E-2</v>
      </c>
      <c r="BC516" s="111">
        <f t="shared" si="235"/>
        <v>3.4200503648211249E-2</v>
      </c>
      <c r="BD516" s="111">
        <v>0</v>
      </c>
      <c r="BE516" s="111">
        <f t="shared" si="236"/>
        <v>6.3900291689040323E-2</v>
      </c>
      <c r="BF516" s="6" t="str">
        <f t="shared" si="237"/>
        <v>OK</v>
      </c>
      <c r="BG516" s="16">
        <f t="shared" si="238"/>
        <v>63.625549371390676</v>
      </c>
      <c r="BH516" s="118">
        <f t="shared" si="239"/>
        <v>2.1193803644775273</v>
      </c>
      <c r="BI516" s="108">
        <f t="shared" si="240"/>
        <v>0.77086647810549325</v>
      </c>
      <c r="BJ516" s="6">
        <f t="shared" si="241"/>
        <v>1.2218252506441565</v>
      </c>
      <c r="BK516" s="108">
        <f t="shared" si="242"/>
        <v>0.94186412782442241</v>
      </c>
      <c r="BL516" s="118" cm="1">
        <f t="array" ref="BL516">IF(AO516=0,FactorPhi7121(BH516,"a"),noisuy2chieu(BK516,BH516,Data!$A$63:$M$85))</f>
        <v>0</v>
      </c>
      <c r="BM516" s="111">
        <v>1.26</v>
      </c>
      <c r="BN516" s="118">
        <f t="shared" si="243"/>
        <v>0.99284336363344416</v>
      </c>
      <c r="BO516" s="108" t="e">
        <f t="shared" si="244"/>
        <v>#DIV/0!</v>
      </c>
      <c r="BP516" s="6" t="e">
        <f t="shared" si="245"/>
        <v>#DIV/0!</v>
      </c>
      <c r="BQ516" s="16">
        <f t="shared" si="246"/>
        <v>127.25109874278135</v>
      </c>
      <c r="BR516" s="118">
        <f t="shared" si="247"/>
        <v>4.2387607289550546</v>
      </c>
      <c r="BS516" s="108">
        <f t="shared" si="248"/>
        <v>2.0392241642156592</v>
      </c>
      <c r="BT516" s="118">
        <f t="shared" si="249"/>
        <v>1.1225385883895997</v>
      </c>
      <c r="BU516" s="108">
        <f t="shared" si="250"/>
        <v>2.2891078147086072</v>
      </c>
      <c r="BV516" s="6" cm="1">
        <f t="array" ref="BV516">IF(AP516=0,FactorPhi7121(BR516,"a"),noisuy2chieu(BU516,BR516,Data!$A$63:$M$85))</f>
        <v>0</v>
      </c>
      <c r="BW516" s="111">
        <v>1.26</v>
      </c>
      <c r="BX516" s="111">
        <f t="shared" si="251"/>
        <v>0.97137345453377655</v>
      </c>
      <c r="BY516" s="113" t="e">
        <f t="shared" si="252"/>
        <v>#DIV/0!</v>
      </c>
      <c r="BZ516" s="6" t="e">
        <f t="shared" si="253"/>
        <v>#DIV/0!</v>
      </c>
      <c r="CA516" s="114">
        <f t="shared" si="254"/>
        <v>127.25109874278135</v>
      </c>
      <c r="CB516" s="115" t="e">
        <f t="shared" si="255"/>
        <v>#DIV/0!</v>
      </c>
      <c r="CC516" s="6" t="e">
        <f t="shared" si="256"/>
        <v>#DIV/0!</v>
      </c>
    </row>
    <row r="517" spans="27:81">
      <c r="AA517" s="79" t="s">
        <v>175</v>
      </c>
      <c r="AB517" s="80" t="s">
        <v>204</v>
      </c>
      <c r="AC517" s="81">
        <v>5.48</v>
      </c>
      <c r="AD517" s="81">
        <v>6</v>
      </c>
      <c r="AE517" s="80">
        <v>273</v>
      </c>
      <c r="AF517" s="80">
        <v>6.35</v>
      </c>
      <c r="AG517" s="108" cm="1">
        <f t="array" ref="AG517">_xll.DCEPropSectPipe(AE517, AF517, "Area")/100</f>
        <v>53.19431074856206</v>
      </c>
      <c r="AH517" s="16" cm="1">
        <f t="array" ref="AH517">_xll.DCEPropSectPipe(AE517, AF517, "Ix")/10000</f>
        <v>4730.4733077169503</v>
      </c>
      <c r="AI517" s="16" cm="1">
        <f t="array" ref="AI517">_xll.DCEPropSectPipe(AE517, AF517, "Wx")/1000</f>
        <v>346.55482107816493</v>
      </c>
      <c r="AJ517" s="108">
        <f t="shared" si="225"/>
        <v>9.4301739777164251</v>
      </c>
      <c r="AK517" s="80" t="s">
        <v>214</v>
      </c>
      <c r="AL517" s="82">
        <v>-18.02490944247895</v>
      </c>
      <c r="AM517" s="82">
        <v>-0.93860430980177334</v>
      </c>
      <c r="AN517" s="82">
        <v>-0.3548107222973319</v>
      </c>
      <c r="AO517" s="82">
        <v>1.945782001078566</v>
      </c>
      <c r="AP517" s="82">
        <v>5.1473060349529263</v>
      </c>
      <c r="AQ517" s="82">
        <v>-2.0866600233068727E-2</v>
      </c>
      <c r="AR517" s="72">
        <v>1</v>
      </c>
      <c r="AS517" s="116">
        <f t="shared" si="226"/>
        <v>6</v>
      </c>
      <c r="AT517" s="82">
        <v>2</v>
      </c>
      <c r="AU517" s="6">
        <f t="shared" si="227"/>
        <v>12</v>
      </c>
      <c r="AV517" s="111">
        <f t="shared" si="228"/>
        <v>1.4824701683530532E-2</v>
      </c>
      <c r="AW517" s="117">
        <f t="shared" si="229"/>
        <v>105</v>
      </c>
      <c r="AX517" s="111">
        <f t="shared" si="230"/>
        <v>1</v>
      </c>
      <c r="AY517" s="111">
        <f t="shared" si="231"/>
        <v>1</v>
      </c>
      <c r="AZ517" s="111">
        <f t="shared" si="232"/>
        <v>1</v>
      </c>
      <c r="BA517" s="111">
        <f t="shared" si="233"/>
        <v>1.5604949140558455E-2</v>
      </c>
      <c r="BB517" s="111">
        <f t="shared" si="234"/>
        <v>2.5856913878686785E-2</v>
      </c>
      <c r="BC517" s="111">
        <f t="shared" si="235"/>
        <v>6.8401007296422497E-2</v>
      </c>
      <c r="BD517" s="111">
        <v>0</v>
      </c>
      <c r="BE517" s="111">
        <f t="shared" si="236"/>
        <v>0.10986287031566774</v>
      </c>
      <c r="BF517" s="6" t="str">
        <f t="shared" si="237"/>
        <v>OK</v>
      </c>
      <c r="BG517" s="16">
        <f t="shared" si="238"/>
        <v>63.625549371390676</v>
      </c>
      <c r="BH517" s="118">
        <f t="shared" si="239"/>
        <v>2.1193803644775273</v>
      </c>
      <c r="BI517" s="108">
        <f t="shared" si="240"/>
        <v>1.6569688017426913</v>
      </c>
      <c r="BJ517" s="6">
        <f t="shared" si="241"/>
        <v>1.1963000131186423</v>
      </c>
      <c r="BK517" s="108">
        <f t="shared" si="242"/>
        <v>1.9822317992619627</v>
      </c>
      <c r="BL517" s="118" cm="1">
        <f t="array" ref="BL517">IF(AO517=0,FactorPhi7121(BH517,"a"),noisuy2chieu(BK517,BH517,Data!$A$63:$M$85))</f>
        <v>0</v>
      </c>
      <c r="BM517" s="111">
        <v>1.26</v>
      </c>
      <c r="BN517" s="118">
        <f t="shared" si="243"/>
        <v>0.99334108033275414</v>
      </c>
      <c r="BO517" s="108" t="e">
        <f t="shared" si="244"/>
        <v>#DIV/0!</v>
      </c>
      <c r="BP517" s="6" t="e">
        <f t="shared" si="245"/>
        <v>#DIV/0!</v>
      </c>
      <c r="BQ517" s="16">
        <f t="shared" si="246"/>
        <v>127.25109874278135</v>
      </c>
      <c r="BR517" s="118">
        <f t="shared" si="247"/>
        <v>4.2387607289550546</v>
      </c>
      <c r="BS517" s="108">
        <f t="shared" si="248"/>
        <v>4.3832893449580723</v>
      </c>
      <c r="BT517" s="118">
        <f t="shared" si="249"/>
        <v>1.1046946436948977</v>
      </c>
      <c r="BU517" s="108">
        <f t="shared" si="250"/>
        <v>4.8421962611400993</v>
      </c>
      <c r="BV517" s="6" cm="1">
        <f t="array" ref="BV517">IF(AP517=0,FactorPhi7121(BR517,"a"),noisuy2chieu(BU517,BR517,Data!$A$63:$M$85))</f>
        <v>0</v>
      </c>
      <c r="BW517" s="111">
        <v>1.26</v>
      </c>
      <c r="BX517" s="111">
        <f t="shared" si="251"/>
        <v>0.97336432133101658</v>
      </c>
      <c r="BY517" s="113" t="e">
        <f t="shared" si="252"/>
        <v>#DIV/0!</v>
      </c>
      <c r="BZ517" s="6" t="e">
        <f t="shared" si="253"/>
        <v>#DIV/0!</v>
      </c>
      <c r="CA517" s="114">
        <f t="shared" si="254"/>
        <v>127.25109874278135</v>
      </c>
      <c r="CB517" s="115" t="e">
        <f t="shared" si="255"/>
        <v>#DIV/0!</v>
      </c>
      <c r="CC517" s="6" t="e">
        <f t="shared" si="256"/>
        <v>#DIV/0!</v>
      </c>
    </row>
    <row r="518" spans="27:81">
      <c r="AA518" s="79" t="s">
        <v>175</v>
      </c>
      <c r="AB518" s="80" t="s">
        <v>204</v>
      </c>
      <c r="AC518" s="81">
        <v>0</v>
      </c>
      <c r="AD518" s="81">
        <v>6</v>
      </c>
      <c r="AE518" s="80">
        <v>273</v>
      </c>
      <c r="AF518" s="80">
        <v>6.35</v>
      </c>
      <c r="AG518" s="108" cm="1">
        <f t="array" ref="AG518">_xll.DCEPropSectPipe(AE518, AF518, "Area")/100</f>
        <v>53.19431074856206</v>
      </c>
      <c r="AH518" s="16" cm="1">
        <f t="array" ref="AH518">_xll.DCEPropSectPipe(AE518, AF518, "Ix")/10000</f>
        <v>4730.4733077169503</v>
      </c>
      <c r="AI518" s="16" cm="1">
        <f t="array" ref="AI518">_xll.DCEPropSectPipe(AE518, AF518, "Wx")/1000</f>
        <v>346.55482107816493</v>
      </c>
      <c r="AJ518" s="108">
        <f t="shared" si="225"/>
        <v>9.4301739777164251</v>
      </c>
      <c r="AK518" s="80" t="s">
        <v>215</v>
      </c>
      <c r="AL518" s="82">
        <v>-91.292495600362372</v>
      </c>
      <c r="AM518" s="82">
        <v>-9.9952220730781214</v>
      </c>
      <c r="AN518" s="82">
        <v>-3.2718805214128821</v>
      </c>
      <c r="AO518" s="82">
        <v>0</v>
      </c>
      <c r="AP518" s="82">
        <v>0</v>
      </c>
      <c r="AQ518" s="82">
        <v>0.19960644612441975</v>
      </c>
      <c r="AR518" s="72">
        <v>1</v>
      </c>
      <c r="AS518" s="116">
        <f t="shared" si="226"/>
        <v>6</v>
      </c>
      <c r="AT518" s="82">
        <v>2</v>
      </c>
      <c r="AU518" s="6">
        <f t="shared" si="227"/>
        <v>12</v>
      </c>
      <c r="AV518" s="111">
        <f t="shared" si="228"/>
        <v>7.5084095015251623E-2</v>
      </c>
      <c r="AW518" s="117">
        <f t="shared" si="229"/>
        <v>105</v>
      </c>
      <c r="AX518" s="111">
        <f t="shared" si="230"/>
        <v>1</v>
      </c>
      <c r="AY518" s="111">
        <f t="shared" si="231"/>
        <v>1</v>
      </c>
      <c r="AZ518" s="111">
        <f t="shared" si="232"/>
        <v>1</v>
      </c>
      <c r="BA518" s="111">
        <f t="shared" si="233"/>
        <v>7.9035889489738553E-2</v>
      </c>
      <c r="BB518" s="111">
        <f t="shared" si="234"/>
        <v>0</v>
      </c>
      <c r="BC518" s="111">
        <f t="shared" si="235"/>
        <v>0</v>
      </c>
      <c r="BD518" s="111">
        <v>0</v>
      </c>
      <c r="BE518" s="111">
        <f t="shared" si="236"/>
        <v>7.9035889489738553E-2</v>
      </c>
      <c r="BF518" s="6" t="str">
        <f t="shared" si="237"/>
        <v>OK</v>
      </c>
      <c r="BG518" s="16">
        <f t="shared" si="238"/>
        <v>63.625549371390676</v>
      </c>
      <c r="BH518" s="118">
        <f t="shared" si="239"/>
        <v>2.1193803644775273</v>
      </c>
      <c r="BI518" s="108">
        <f t="shared" si="240"/>
        <v>0</v>
      </c>
      <c r="BJ518" s="6">
        <f t="shared" si="241"/>
        <v>1.2440309817761237</v>
      </c>
      <c r="BK518" s="108">
        <f t="shared" si="242"/>
        <v>0</v>
      </c>
      <c r="BL518" s="118" cm="1">
        <f t="array" ref="BL518">IF(AO518=0,FactorPhi7121(BH518,"a"),noisuy2chieu(BK518,BH518,Data!$A$63:$M$85))</f>
        <v>0.86214274110469236</v>
      </c>
      <c r="BM518" s="111">
        <v>1.26</v>
      </c>
      <c r="BN518" s="118">
        <f t="shared" si="243"/>
        <v>0.96627392795702149</v>
      </c>
      <c r="BO518" s="108">
        <f t="shared" si="244"/>
        <v>0.18684806388677022</v>
      </c>
      <c r="BP518" s="6" t="str">
        <f t="shared" si="245"/>
        <v>OK</v>
      </c>
      <c r="BQ518" s="16">
        <f t="shared" si="246"/>
        <v>127.25109874278135</v>
      </c>
      <c r="BR518" s="118">
        <f t="shared" si="247"/>
        <v>4.2387607289550546</v>
      </c>
      <c r="BS518" s="108">
        <f t="shared" si="248"/>
        <v>0</v>
      </c>
      <c r="BT518" s="118">
        <f t="shared" si="249"/>
        <v>1.1380619635522473</v>
      </c>
      <c r="BU518" s="108">
        <f t="shared" si="250"/>
        <v>0</v>
      </c>
      <c r="BV518" s="6" cm="1">
        <f t="array" ref="BV518">IF(AP518=0,FactorPhi7121(BR518,"a"),noisuy2chieu(BU518,BR518,Data!$A$63:$M$85))</f>
        <v>0.42299549615688942</v>
      </c>
      <c r="BW518" s="111">
        <v>1.26</v>
      </c>
      <c r="BX518" s="111">
        <f t="shared" si="251"/>
        <v>0.86509571182808587</v>
      </c>
      <c r="BY518" s="113">
        <f t="shared" si="252"/>
        <v>9.1673786394660381E-2</v>
      </c>
      <c r="BZ518" s="6" t="str">
        <f t="shared" si="253"/>
        <v>OK</v>
      </c>
      <c r="CA518" s="114">
        <f t="shared" si="254"/>
        <v>127.25109874278135</v>
      </c>
      <c r="CB518" s="115">
        <f t="shared" si="255"/>
        <v>150</v>
      </c>
      <c r="CC518" s="6" t="str">
        <f t="shared" si="256"/>
        <v>OK</v>
      </c>
    </row>
    <row r="519" spans="27:81">
      <c r="AA519" s="79" t="s">
        <v>175</v>
      </c>
      <c r="AB519" s="80" t="s">
        <v>204</v>
      </c>
      <c r="AC519" s="81">
        <v>2.74</v>
      </c>
      <c r="AD519" s="81">
        <v>6</v>
      </c>
      <c r="AE519" s="80">
        <v>273</v>
      </c>
      <c r="AF519" s="80">
        <v>6.35</v>
      </c>
      <c r="AG519" s="108" cm="1">
        <f t="array" ref="AG519">_xll.DCEPropSectPipe(AE519, AF519, "Area")/100</f>
        <v>53.19431074856206</v>
      </c>
      <c r="AH519" s="16" cm="1">
        <f t="array" ref="AH519">_xll.DCEPropSectPipe(AE519, AF519, "Ix")/10000</f>
        <v>4730.4733077169503</v>
      </c>
      <c r="AI519" s="16" cm="1">
        <f t="array" ref="AI519">_xll.DCEPropSectPipe(AE519, AF519, "Wx")/1000</f>
        <v>346.55482107816493</v>
      </c>
      <c r="AJ519" s="108">
        <f t="shared" si="225"/>
        <v>9.4301739777164251</v>
      </c>
      <c r="AK519" s="80" t="s">
        <v>215</v>
      </c>
      <c r="AL519" s="82">
        <v>-89.945235251630351</v>
      </c>
      <c r="AM519" s="82">
        <v>-9.9952220730781214</v>
      </c>
      <c r="AN519" s="82">
        <v>-3.2718805214128821</v>
      </c>
      <c r="AO519" s="82">
        <v>8.9714963897141224</v>
      </c>
      <c r="AP519" s="82">
        <v>27.406898924380201</v>
      </c>
      <c r="AQ519" s="82">
        <v>0.19960644612441975</v>
      </c>
      <c r="AR519" s="72">
        <v>1</v>
      </c>
      <c r="AS519" s="116">
        <f t="shared" si="226"/>
        <v>6</v>
      </c>
      <c r="AT519" s="82">
        <v>2</v>
      </c>
      <c r="AU519" s="6">
        <f t="shared" si="227"/>
        <v>12</v>
      </c>
      <c r="AV519" s="111">
        <f t="shared" si="228"/>
        <v>7.3976032152370752E-2</v>
      </c>
      <c r="AW519" s="117">
        <f t="shared" si="229"/>
        <v>105</v>
      </c>
      <c r="AX519" s="111">
        <f t="shared" si="230"/>
        <v>1</v>
      </c>
      <c r="AY519" s="111">
        <f t="shared" si="231"/>
        <v>1</v>
      </c>
      <c r="AZ519" s="111">
        <f t="shared" si="232"/>
        <v>1</v>
      </c>
      <c r="BA519" s="111">
        <f t="shared" si="233"/>
        <v>7.7869507528811333E-2</v>
      </c>
      <c r="BB519" s="111">
        <f t="shared" si="234"/>
        <v>0.11921952684483737</v>
      </c>
      <c r="BC519" s="111">
        <f t="shared" si="235"/>
        <v>0.36420206620102163</v>
      </c>
      <c r="BD519" s="111">
        <v>0</v>
      </c>
      <c r="BE519" s="111">
        <f t="shared" si="236"/>
        <v>0.56129110057467035</v>
      </c>
      <c r="BF519" s="6" t="str">
        <f t="shared" si="237"/>
        <v>OK</v>
      </c>
      <c r="BG519" s="16">
        <f t="shared" si="238"/>
        <v>63.625549371390676</v>
      </c>
      <c r="BH519" s="118">
        <f t="shared" si="239"/>
        <v>2.1193803644775273</v>
      </c>
      <c r="BI519" s="108">
        <f t="shared" si="240"/>
        <v>1.5310168335240433</v>
      </c>
      <c r="BJ519" s="6">
        <f t="shared" si="241"/>
        <v>1.1999282102464757</v>
      </c>
      <c r="BK519" s="108">
        <f t="shared" si="242"/>
        <v>1.8371102889077315</v>
      </c>
      <c r="BL519" s="118" cm="1">
        <f t="array" ref="BL519">IF(AO519=0,FactorPhi7121(BH519,"a"),noisuy2chieu(BK519,BH519,Data!$A$63:$M$85))</f>
        <v>0</v>
      </c>
      <c r="BM519" s="111">
        <v>1.26</v>
      </c>
      <c r="BN519" s="118">
        <f t="shared" si="243"/>
        <v>0.96677164465633147</v>
      </c>
      <c r="BO519" s="108" t="e">
        <f t="shared" si="244"/>
        <v>#DIV/0!</v>
      </c>
      <c r="BP519" s="6" t="e">
        <f t="shared" si="245"/>
        <v>#DIV/0!</v>
      </c>
      <c r="BQ519" s="16">
        <f t="shared" si="246"/>
        <v>127.25109874278135</v>
      </c>
      <c r="BR519" s="118">
        <f t="shared" si="247"/>
        <v>4.2387607289550546</v>
      </c>
      <c r="BS519" s="108">
        <f t="shared" si="248"/>
        <v>4.6770819253771281</v>
      </c>
      <c r="BT519" s="118">
        <f t="shared" si="249"/>
        <v>1.1024581791973316</v>
      </c>
      <c r="BU519" s="108">
        <f t="shared" si="250"/>
        <v>5.1562872234080181</v>
      </c>
      <c r="BV519" s="6" cm="1">
        <f t="array" ref="BV519">IF(AP519=0,FactorPhi7121(BR519,"a"),noisuy2chieu(BU519,BR519,Data!$A$63:$M$85))</f>
        <v>0</v>
      </c>
      <c r="BW519" s="111">
        <v>1.26</v>
      </c>
      <c r="BX519" s="111">
        <f t="shared" si="251"/>
        <v>0.8670865786253259</v>
      </c>
      <c r="BY519" s="113" t="e">
        <f t="shared" si="252"/>
        <v>#DIV/0!</v>
      </c>
      <c r="BZ519" s="6" t="e">
        <f t="shared" si="253"/>
        <v>#DIV/0!</v>
      </c>
      <c r="CA519" s="114">
        <f t="shared" si="254"/>
        <v>127.25109874278135</v>
      </c>
      <c r="CB519" s="115" t="e">
        <f t="shared" si="255"/>
        <v>#DIV/0!</v>
      </c>
      <c r="CC519" s="6" t="e">
        <f t="shared" si="256"/>
        <v>#DIV/0!</v>
      </c>
    </row>
    <row r="520" spans="27:81">
      <c r="AA520" s="79" t="s">
        <v>175</v>
      </c>
      <c r="AB520" s="80" t="s">
        <v>204</v>
      </c>
      <c r="AC520" s="81">
        <v>5.48</v>
      </c>
      <c r="AD520" s="81">
        <v>6</v>
      </c>
      <c r="AE520" s="80">
        <v>273</v>
      </c>
      <c r="AF520" s="80">
        <v>6.35</v>
      </c>
      <c r="AG520" s="108" cm="1">
        <f t="array" ref="AG520">_xll.DCEPropSectPipe(AE520, AF520, "Area")/100</f>
        <v>53.19431074856206</v>
      </c>
      <c r="AH520" s="16" cm="1">
        <f t="array" ref="AH520">_xll.DCEPropSectPipe(AE520, AF520, "Ix")/10000</f>
        <v>4730.4733077169503</v>
      </c>
      <c r="AI520" s="16" cm="1">
        <f t="array" ref="AI520">_xll.DCEPropSectPipe(AE520, AF520, "Wx")/1000</f>
        <v>346.55482107816493</v>
      </c>
      <c r="AJ520" s="108">
        <f t="shared" si="225"/>
        <v>9.4301739777164251</v>
      </c>
      <c r="AK520" s="80" t="s">
        <v>215</v>
      </c>
      <c r="AL520" s="82">
        <v>-88.597974902898315</v>
      </c>
      <c r="AM520" s="82">
        <v>-9.9952220730781214</v>
      </c>
      <c r="AN520" s="82">
        <v>-3.2718805214128821</v>
      </c>
      <c r="AO520" s="82">
        <v>17.942992779428245</v>
      </c>
      <c r="AP520" s="82">
        <v>54.813797848760402</v>
      </c>
      <c r="AQ520" s="82">
        <v>0.19960644612441975</v>
      </c>
      <c r="AR520" s="72">
        <v>1</v>
      </c>
      <c r="AS520" s="116">
        <f t="shared" si="226"/>
        <v>6</v>
      </c>
      <c r="AT520" s="82">
        <v>2</v>
      </c>
      <c r="AU520" s="6">
        <f t="shared" si="227"/>
        <v>12</v>
      </c>
      <c r="AV520" s="111">
        <f t="shared" si="228"/>
        <v>7.2867969289489881E-2</v>
      </c>
      <c r="AW520" s="117">
        <f t="shared" si="229"/>
        <v>105</v>
      </c>
      <c r="AX520" s="111">
        <f t="shared" si="230"/>
        <v>1</v>
      </c>
      <c r="AY520" s="111">
        <f t="shared" si="231"/>
        <v>1</v>
      </c>
      <c r="AZ520" s="111">
        <f t="shared" si="232"/>
        <v>1</v>
      </c>
      <c r="BA520" s="111">
        <f t="shared" si="233"/>
        <v>7.6703125567884084E-2</v>
      </c>
      <c r="BB520" s="111">
        <f t="shared" si="234"/>
        <v>0.23843905368967475</v>
      </c>
      <c r="BC520" s="111">
        <f t="shared" si="235"/>
        <v>0.72840413240204327</v>
      </c>
      <c r="BD520" s="111">
        <v>0</v>
      </c>
      <c r="BE520" s="111">
        <f t="shared" si="236"/>
        <v>1.0435463116596022</v>
      </c>
      <c r="BF520" s="6" t="str">
        <f t="shared" si="237"/>
        <v>Check</v>
      </c>
      <c r="BG520" s="16">
        <f t="shared" si="238"/>
        <v>63.625549371390676</v>
      </c>
      <c r="BH520" s="118">
        <f t="shared" si="239"/>
        <v>2.1193803644775273</v>
      </c>
      <c r="BI520" s="108">
        <f t="shared" si="240"/>
        <v>3.1085963176122533</v>
      </c>
      <c r="BJ520" s="6">
        <f t="shared" si="241"/>
        <v>1.1544841458618567</v>
      </c>
      <c r="BK520" s="108">
        <f t="shared" si="242"/>
        <v>3.5888251645678952</v>
      </c>
      <c r="BL520" s="118" cm="1">
        <f t="array" ref="BL520">IF(AO520=0,FactorPhi7121(BH520,"a"),noisuy2chieu(BK520,BH520,Data!$A$63:$M$85))</f>
        <v>0</v>
      </c>
      <c r="BM520" s="111">
        <v>1.26</v>
      </c>
      <c r="BN520" s="118">
        <f t="shared" si="243"/>
        <v>0.96726936135564145</v>
      </c>
      <c r="BO520" s="108" t="e">
        <f t="shared" si="244"/>
        <v>#DIV/0!</v>
      </c>
      <c r="BP520" s="6" t="e">
        <f t="shared" si="245"/>
        <v>#DIV/0!</v>
      </c>
      <c r="BQ520" s="16">
        <f t="shared" si="246"/>
        <v>127.25109874278135</v>
      </c>
      <c r="BR520" s="118">
        <f t="shared" si="247"/>
        <v>4.2387607289550546</v>
      </c>
      <c r="BS520" s="108">
        <f t="shared" si="248"/>
        <v>9.4964074411464292</v>
      </c>
      <c r="BT520" s="118">
        <f t="shared" si="249"/>
        <v>1.1000000000000001</v>
      </c>
      <c r="BU520" s="108">
        <f t="shared" si="250"/>
        <v>10.446048185261073</v>
      </c>
      <c r="BV520" s="6" cm="1">
        <f t="array" ref="BV520">IF(AP520=0,FactorPhi7121(BR520,"a"),noisuy2chieu(BU520,BR520,Data!$A$63:$M$85))</f>
        <v>0</v>
      </c>
      <c r="BW520" s="111">
        <v>1.26</v>
      </c>
      <c r="BX520" s="111">
        <f t="shared" si="251"/>
        <v>0.86907744542256582</v>
      </c>
      <c r="BY520" s="113" t="e">
        <f t="shared" si="252"/>
        <v>#DIV/0!</v>
      </c>
      <c r="BZ520" s="6" t="e">
        <f t="shared" si="253"/>
        <v>#DIV/0!</v>
      </c>
      <c r="CA520" s="114">
        <f t="shared" si="254"/>
        <v>127.25109874278135</v>
      </c>
      <c r="CB520" s="115" t="e">
        <f t="shared" si="255"/>
        <v>#DIV/0!</v>
      </c>
      <c r="CC520" s="6" t="e">
        <f t="shared" si="256"/>
        <v>#DIV/0!</v>
      </c>
    </row>
    <row r="521" spans="27:81">
      <c r="AA521" s="79" t="s">
        <v>175</v>
      </c>
      <c r="AB521" s="80" t="s">
        <v>204</v>
      </c>
      <c r="AC521" s="81">
        <v>0</v>
      </c>
      <c r="AD521" s="81">
        <v>6</v>
      </c>
      <c r="AE521" s="80">
        <v>273</v>
      </c>
      <c r="AF521" s="80">
        <v>6.35</v>
      </c>
      <c r="AG521" s="108" cm="1">
        <f t="array" ref="AG521">_xll.DCEPropSectPipe(AE521, AF521, "Area")/100</f>
        <v>53.19431074856206</v>
      </c>
      <c r="AH521" s="16" cm="1">
        <f t="array" ref="AH521">_xll.DCEPropSectPipe(AE521, AF521, "Ix")/10000</f>
        <v>4730.4733077169503</v>
      </c>
      <c r="AI521" s="16" cm="1">
        <f t="array" ref="AI521">_xll.DCEPropSectPipe(AE521, AF521, "Wx")/1000</f>
        <v>346.55482107816493</v>
      </c>
      <c r="AJ521" s="108">
        <f t="shared" si="225"/>
        <v>9.4301739777164251</v>
      </c>
      <c r="AK521" s="80" t="s">
        <v>216</v>
      </c>
      <c r="AL521" s="82">
        <v>-76.053388817819936</v>
      </c>
      <c r="AM521" s="82">
        <v>-9.9995263695216074</v>
      </c>
      <c r="AN521" s="82">
        <v>-3.1084886790650654</v>
      </c>
      <c r="AO521" s="82">
        <v>0</v>
      </c>
      <c r="AP521" s="82">
        <v>0</v>
      </c>
      <c r="AQ521" s="82">
        <v>0.239353915810429</v>
      </c>
      <c r="AR521" s="72">
        <v>1</v>
      </c>
      <c r="AS521" s="116">
        <f t="shared" si="226"/>
        <v>6</v>
      </c>
      <c r="AT521" s="82">
        <v>2</v>
      </c>
      <c r="AU521" s="6">
        <f t="shared" si="227"/>
        <v>12</v>
      </c>
      <c r="AV521" s="111">
        <f t="shared" si="228"/>
        <v>6.2550594489459876E-2</v>
      </c>
      <c r="AW521" s="117">
        <f t="shared" si="229"/>
        <v>105</v>
      </c>
      <c r="AX521" s="111">
        <f t="shared" si="230"/>
        <v>1</v>
      </c>
      <c r="AY521" s="111">
        <f t="shared" si="231"/>
        <v>1</v>
      </c>
      <c r="AZ521" s="111">
        <f t="shared" si="232"/>
        <v>1</v>
      </c>
      <c r="BA521" s="111">
        <f t="shared" si="233"/>
        <v>6.584273104153672E-2</v>
      </c>
      <c r="BB521" s="111">
        <f t="shared" si="234"/>
        <v>0</v>
      </c>
      <c r="BC521" s="111">
        <f t="shared" si="235"/>
        <v>0</v>
      </c>
      <c r="BD521" s="111">
        <v>0</v>
      </c>
      <c r="BE521" s="111">
        <f t="shared" si="236"/>
        <v>6.584273104153672E-2</v>
      </c>
      <c r="BF521" s="6" t="str">
        <f t="shared" si="237"/>
        <v>OK</v>
      </c>
      <c r="BG521" s="16">
        <f t="shared" si="238"/>
        <v>63.625549371390676</v>
      </c>
      <c r="BH521" s="118">
        <f t="shared" si="239"/>
        <v>2.1193803644775273</v>
      </c>
      <c r="BI521" s="108">
        <f t="shared" si="240"/>
        <v>0</v>
      </c>
      <c r="BJ521" s="6">
        <f t="shared" si="241"/>
        <v>1.2440309817761237</v>
      </c>
      <c r="BK521" s="108">
        <f t="shared" si="242"/>
        <v>0</v>
      </c>
      <c r="BL521" s="118" cm="1">
        <f t="array" ref="BL521">IF(AO521=0,FactorPhi7121(BH521,"a"),noisuy2chieu(BK521,BH521,Data!$A$63:$M$85))</f>
        <v>0.86214274110469236</v>
      </c>
      <c r="BM521" s="111">
        <v>1.26</v>
      </c>
      <c r="BN521" s="118">
        <f t="shared" si="243"/>
        <v>0.97190369204484461</v>
      </c>
      <c r="BO521" s="108">
        <f t="shared" si="244"/>
        <v>0.15565823191913039</v>
      </c>
      <c r="BP521" s="6" t="str">
        <f t="shared" si="245"/>
        <v>OK</v>
      </c>
      <c r="BQ521" s="16">
        <f t="shared" si="246"/>
        <v>127.25109874278135</v>
      </c>
      <c r="BR521" s="118">
        <f t="shared" si="247"/>
        <v>4.2387607289550546</v>
      </c>
      <c r="BS521" s="108">
        <f t="shared" si="248"/>
        <v>0</v>
      </c>
      <c r="BT521" s="118">
        <f t="shared" si="249"/>
        <v>1.1380619635522473</v>
      </c>
      <c r="BU521" s="108">
        <f t="shared" si="250"/>
        <v>0</v>
      </c>
      <c r="BV521" s="6" cm="1">
        <f t="array" ref="BV521">IF(AP521=0,FactorPhi7121(BR521,"a"),noisuy2chieu(BU521,BR521,Data!$A$63:$M$85))</f>
        <v>0.42299549615688942</v>
      </c>
      <c r="BW521" s="111">
        <v>1.26</v>
      </c>
      <c r="BX521" s="111">
        <f t="shared" si="251"/>
        <v>0.88761476817937823</v>
      </c>
      <c r="BY521" s="113">
        <f t="shared" si="252"/>
        <v>7.6371032199575473E-2</v>
      </c>
      <c r="BZ521" s="6" t="str">
        <f t="shared" si="253"/>
        <v>OK</v>
      </c>
      <c r="CA521" s="114">
        <f t="shared" si="254"/>
        <v>127.25109874278135</v>
      </c>
      <c r="CB521" s="115">
        <f t="shared" si="255"/>
        <v>150</v>
      </c>
      <c r="CC521" s="6" t="str">
        <f t="shared" si="256"/>
        <v>OK</v>
      </c>
    </row>
    <row r="522" spans="27:81">
      <c r="AA522" s="79" t="s">
        <v>175</v>
      </c>
      <c r="AB522" s="80" t="s">
        <v>204</v>
      </c>
      <c r="AC522" s="81">
        <v>2.74</v>
      </c>
      <c r="AD522" s="81">
        <v>6</v>
      </c>
      <c r="AE522" s="80">
        <v>273</v>
      </c>
      <c r="AF522" s="80">
        <v>6.35</v>
      </c>
      <c r="AG522" s="108" cm="1">
        <f t="array" ref="AG522">_xll.DCEPropSectPipe(AE522, AF522, "Area")/100</f>
        <v>53.19431074856206</v>
      </c>
      <c r="AH522" s="16" cm="1">
        <f t="array" ref="AH522">_xll.DCEPropSectPipe(AE522, AF522, "Ix")/10000</f>
        <v>4730.4733077169503</v>
      </c>
      <c r="AI522" s="16" cm="1">
        <f t="array" ref="AI522">_xll.DCEPropSectPipe(AE522, AF522, "Wx")/1000</f>
        <v>346.55482107816493</v>
      </c>
      <c r="AJ522" s="108">
        <f t="shared" si="225"/>
        <v>9.4301739777164251</v>
      </c>
      <c r="AK522" s="80" t="s">
        <v>216</v>
      </c>
      <c r="AL522" s="82">
        <v>-74.706128469087901</v>
      </c>
      <c r="AM522" s="82">
        <v>-9.9995263695216074</v>
      </c>
      <c r="AN522" s="82">
        <v>-3.1084886790650654</v>
      </c>
      <c r="AO522" s="82">
        <v>8.5234759579964088</v>
      </c>
      <c r="AP522" s="82">
        <v>27.41870130522824</v>
      </c>
      <c r="AQ522" s="82">
        <v>0.239353915810429</v>
      </c>
      <c r="AR522" s="72">
        <v>1</v>
      </c>
      <c r="AS522" s="116">
        <f t="shared" si="226"/>
        <v>6</v>
      </c>
      <c r="AT522" s="82">
        <v>2</v>
      </c>
      <c r="AU522" s="6">
        <f t="shared" si="227"/>
        <v>12</v>
      </c>
      <c r="AV522" s="111">
        <f t="shared" si="228"/>
        <v>6.1442531626579006E-2</v>
      </c>
      <c r="AW522" s="117">
        <f t="shared" si="229"/>
        <v>105</v>
      </c>
      <c r="AX522" s="111">
        <f t="shared" si="230"/>
        <v>1</v>
      </c>
      <c r="AY522" s="111">
        <f t="shared" si="231"/>
        <v>1</v>
      </c>
      <c r="AZ522" s="111">
        <f t="shared" si="232"/>
        <v>1</v>
      </c>
      <c r="BA522" s="111">
        <f t="shared" si="233"/>
        <v>6.4676349080609485E-2</v>
      </c>
      <c r="BB522" s="111">
        <f t="shared" si="234"/>
        <v>0.11326591759549924</v>
      </c>
      <c r="BC522" s="111">
        <f t="shared" si="235"/>
        <v>0.36435890450304215</v>
      </c>
      <c r="BD522" s="111">
        <v>0</v>
      </c>
      <c r="BE522" s="111">
        <f t="shared" si="236"/>
        <v>0.54230117117915089</v>
      </c>
      <c r="BF522" s="6" t="str">
        <f t="shared" si="237"/>
        <v>OK</v>
      </c>
      <c r="BG522" s="16">
        <f t="shared" si="238"/>
        <v>63.625549371390676</v>
      </c>
      <c r="BH522" s="118">
        <f t="shared" si="239"/>
        <v>2.1193803644775273</v>
      </c>
      <c r="BI522" s="108">
        <f t="shared" si="240"/>
        <v>1.7512725935462137</v>
      </c>
      <c r="BJ522" s="6">
        <f t="shared" si="241"/>
        <v>1.1935834795749078</v>
      </c>
      <c r="BK522" s="108">
        <f t="shared" si="242"/>
        <v>2.0902900358890628</v>
      </c>
      <c r="BL522" s="118" cm="1">
        <f t="array" ref="BL522">IF(AO522=0,FactorPhi7121(BH522,"a"),noisuy2chieu(BK522,BH522,Data!$A$63:$M$85))</f>
        <v>0</v>
      </c>
      <c r="BM522" s="111">
        <v>1.26</v>
      </c>
      <c r="BN522" s="118">
        <f t="shared" si="243"/>
        <v>0.97240140874415459</v>
      </c>
      <c r="BO522" s="108" t="e">
        <f t="shared" si="244"/>
        <v>#DIV/0!</v>
      </c>
      <c r="BP522" s="6" t="e">
        <f t="shared" si="245"/>
        <v>#DIV/0!</v>
      </c>
      <c r="BQ522" s="16">
        <f t="shared" si="246"/>
        <v>127.25109874278135</v>
      </c>
      <c r="BR522" s="118">
        <f t="shared" si="247"/>
        <v>4.2387607289550546</v>
      </c>
      <c r="BS522" s="108">
        <f t="shared" si="248"/>
        <v>5.6335725451806624</v>
      </c>
      <c r="BT522" s="118">
        <f t="shared" si="249"/>
        <v>1.1000000000000001</v>
      </c>
      <c r="BU522" s="108">
        <f t="shared" si="250"/>
        <v>6.1969297996987294</v>
      </c>
      <c r="BV522" s="6" cm="1">
        <f t="array" ref="BV522">IF(AP522=0,FactorPhi7121(BR522,"a"),noisuy2chieu(BU522,BR522,Data!$A$63:$M$85))</f>
        <v>0</v>
      </c>
      <c r="BW522" s="111">
        <v>1.26</v>
      </c>
      <c r="BX522" s="111">
        <f t="shared" si="251"/>
        <v>0.88960563497661826</v>
      </c>
      <c r="BY522" s="113" t="e">
        <f t="shared" si="252"/>
        <v>#DIV/0!</v>
      </c>
      <c r="BZ522" s="6" t="e">
        <f t="shared" si="253"/>
        <v>#DIV/0!</v>
      </c>
      <c r="CA522" s="114">
        <f t="shared" si="254"/>
        <v>127.25109874278135</v>
      </c>
      <c r="CB522" s="115" t="e">
        <f t="shared" si="255"/>
        <v>#DIV/0!</v>
      </c>
      <c r="CC522" s="6" t="e">
        <f t="shared" si="256"/>
        <v>#DIV/0!</v>
      </c>
    </row>
    <row r="523" spans="27:81">
      <c r="AA523" s="79" t="s">
        <v>175</v>
      </c>
      <c r="AB523" s="80" t="s">
        <v>204</v>
      </c>
      <c r="AC523" s="81">
        <v>5.48</v>
      </c>
      <c r="AD523" s="81">
        <v>6</v>
      </c>
      <c r="AE523" s="80">
        <v>273</v>
      </c>
      <c r="AF523" s="80">
        <v>6.35</v>
      </c>
      <c r="AG523" s="108" cm="1">
        <f t="array" ref="AG523">_xll.DCEPropSectPipe(AE523, AF523, "Area")/100</f>
        <v>53.19431074856206</v>
      </c>
      <c r="AH523" s="16" cm="1">
        <f t="array" ref="AH523">_xll.DCEPropSectPipe(AE523, AF523, "Ix")/10000</f>
        <v>4730.4733077169503</v>
      </c>
      <c r="AI523" s="16" cm="1">
        <f t="array" ref="AI523">_xll.DCEPropSectPipe(AE523, AF523, "Wx")/1000</f>
        <v>346.55482107816493</v>
      </c>
      <c r="AJ523" s="108">
        <f t="shared" si="225"/>
        <v>9.4301739777164251</v>
      </c>
      <c r="AK523" s="80" t="s">
        <v>216</v>
      </c>
      <c r="AL523" s="82">
        <v>-73.358868120355865</v>
      </c>
      <c r="AM523" s="82">
        <v>-9.9995263695216074</v>
      </c>
      <c r="AN523" s="82">
        <v>-3.1084886790650654</v>
      </c>
      <c r="AO523" s="82">
        <v>17.046951915992818</v>
      </c>
      <c r="AP523" s="82">
        <v>54.837402610456479</v>
      </c>
      <c r="AQ523" s="82">
        <v>0.239353915810429</v>
      </c>
      <c r="AR523" s="72">
        <v>1</v>
      </c>
      <c r="AS523" s="116">
        <f t="shared" si="226"/>
        <v>6</v>
      </c>
      <c r="AT523" s="82">
        <v>2</v>
      </c>
      <c r="AU523" s="6">
        <f t="shared" si="227"/>
        <v>12</v>
      </c>
      <c r="AV523" s="111">
        <f t="shared" si="228"/>
        <v>6.0334468763698135E-2</v>
      </c>
      <c r="AW523" s="117">
        <f t="shared" si="229"/>
        <v>105</v>
      </c>
      <c r="AX523" s="111">
        <f t="shared" si="230"/>
        <v>1</v>
      </c>
      <c r="AY523" s="111">
        <f t="shared" si="231"/>
        <v>1</v>
      </c>
      <c r="AZ523" s="111">
        <f t="shared" si="232"/>
        <v>1</v>
      </c>
      <c r="BA523" s="111">
        <f t="shared" si="233"/>
        <v>6.3509967119682251E-2</v>
      </c>
      <c r="BB523" s="111">
        <f t="shared" si="234"/>
        <v>0.22653183519099848</v>
      </c>
      <c r="BC523" s="111">
        <f t="shared" si="235"/>
        <v>0.72871780900608429</v>
      </c>
      <c r="BD523" s="111">
        <v>0</v>
      </c>
      <c r="BE523" s="111">
        <f t="shared" si="236"/>
        <v>1.018759611316765</v>
      </c>
      <c r="BF523" s="6" t="str">
        <f t="shared" si="237"/>
        <v>Check</v>
      </c>
      <c r="BG523" s="16">
        <f t="shared" si="238"/>
        <v>63.625549371390676</v>
      </c>
      <c r="BH523" s="118">
        <f t="shared" si="239"/>
        <v>2.1193803644775273</v>
      </c>
      <c r="BI523" s="108">
        <f t="shared" si="240"/>
        <v>3.5668706104682344</v>
      </c>
      <c r="BJ523" s="6">
        <f t="shared" si="241"/>
        <v>1.1412830065972954</v>
      </c>
      <c r="BK523" s="108">
        <f t="shared" si="242"/>
        <v>4.0708088144587169</v>
      </c>
      <c r="BL523" s="118" cm="1">
        <f t="array" ref="BL523">IF(AO523=0,FactorPhi7121(BH523,"a"),noisuy2chieu(BK523,BH523,Data!$A$63:$M$85))</f>
        <v>0</v>
      </c>
      <c r="BM523" s="111">
        <v>1.26</v>
      </c>
      <c r="BN523" s="118">
        <f t="shared" si="243"/>
        <v>0.97289912544346457</v>
      </c>
      <c r="BO523" s="108" t="e">
        <f t="shared" si="244"/>
        <v>#DIV/0!</v>
      </c>
      <c r="BP523" s="6" t="e">
        <f t="shared" si="245"/>
        <v>#DIV/0!</v>
      </c>
      <c r="BQ523" s="16">
        <f t="shared" si="246"/>
        <v>127.25109874278135</v>
      </c>
      <c r="BR523" s="118">
        <f t="shared" si="247"/>
        <v>4.2387607289550546</v>
      </c>
      <c r="BS523" s="108">
        <f t="shared" si="248"/>
        <v>11.47407000908758</v>
      </c>
      <c r="BT523" s="118">
        <f t="shared" si="249"/>
        <v>1.1000000000000001</v>
      </c>
      <c r="BU523" s="108">
        <f t="shared" si="250"/>
        <v>12.621477009996338</v>
      </c>
      <c r="BV523" s="6" cm="1">
        <f t="array" ref="BV523">IF(AP523=0,FactorPhi7121(BR523,"a"),noisuy2chieu(BU523,BR523,Data!$A$63:$M$85))</f>
        <v>0</v>
      </c>
      <c r="BW523" s="111">
        <v>1.26</v>
      </c>
      <c r="BX523" s="111">
        <f t="shared" si="251"/>
        <v>0.8915965017738583</v>
      </c>
      <c r="BY523" s="113" t="e">
        <f t="shared" si="252"/>
        <v>#DIV/0!</v>
      </c>
      <c r="BZ523" s="6" t="e">
        <f t="shared" si="253"/>
        <v>#DIV/0!</v>
      </c>
      <c r="CA523" s="114">
        <f t="shared" si="254"/>
        <v>127.25109874278135</v>
      </c>
      <c r="CB523" s="115" t="e">
        <f t="shared" si="255"/>
        <v>#DIV/0!</v>
      </c>
      <c r="CC523" s="6" t="e">
        <f t="shared" si="256"/>
        <v>#DIV/0!</v>
      </c>
    </row>
    <row r="524" spans="27:81">
      <c r="AA524" s="79" t="s">
        <v>175</v>
      </c>
      <c r="AB524" s="80" t="s">
        <v>204</v>
      </c>
      <c r="AC524" s="81">
        <v>0</v>
      </c>
      <c r="AD524" s="81">
        <v>6</v>
      </c>
      <c r="AE524" s="80">
        <v>273</v>
      </c>
      <c r="AF524" s="80">
        <v>6.35</v>
      </c>
      <c r="AG524" s="108" cm="1">
        <f t="array" ref="AG524">_xll.DCEPropSectPipe(AE524, AF524, "Area")/100</f>
        <v>53.19431074856206</v>
      </c>
      <c r="AH524" s="16" cm="1">
        <f t="array" ref="AH524">_xll.DCEPropSectPipe(AE524, AF524, "Ix")/10000</f>
        <v>4730.4733077169503</v>
      </c>
      <c r="AI524" s="16" cm="1">
        <f t="array" ref="AI524">_xll.DCEPropSectPipe(AE524, AF524, "Wx")/1000</f>
        <v>346.55482107816493</v>
      </c>
      <c r="AJ524" s="108">
        <f t="shared" si="225"/>
        <v>9.4301739777164251</v>
      </c>
      <c r="AK524" s="80" t="s">
        <v>217</v>
      </c>
      <c r="AL524" s="82">
        <v>0.68018550995017713</v>
      </c>
      <c r="AM524" s="82">
        <v>-0.23976855608667569</v>
      </c>
      <c r="AN524" s="82">
        <v>4.2408382494446409E-2</v>
      </c>
      <c r="AO524" s="82">
        <v>0</v>
      </c>
      <c r="AP524" s="82">
        <v>0</v>
      </c>
      <c r="AQ524" s="82">
        <v>3.5322533655070573E-3</v>
      </c>
      <c r="AR524" s="72">
        <v>1</v>
      </c>
      <c r="AS524" s="116">
        <f t="shared" si="226"/>
        <v>6</v>
      </c>
      <c r="AT524" s="82">
        <v>2</v>
      </c>
      <c r="AU524" s="6">
        <f t="shared" si="227"/>
        <v>12</v>
      </c>
      <c r="AV524" s="111">
        <f t="shared" si="228"/>
        <v>5.5942290898326318E-4</v>
      </c>
      <c r="AW524" s="117">
        <f t="shared" si="229"/>
        <v>105</v>
      </c>
      <c r="AX524" s="111">
        <f t="shared" si="230"/>
        <v>1</v>
      </c>
      <c r="AY524" s="111">
        <f t="shared" si="231"/>
        <v>1</v>
      </c>
      <c r="AZ524" s="111">
        <f t="shared" si="232"/>
        <v>1</v>
      </c>
      <c r="BA524" s="111">
        <f t="shared" si="233"/>
        <v>5.8886621998238242E-4</v>
      </c>
      <c r="BB524" s="111">
        <f t="shared" si="234"/>
        <v>0</v>
      </c>
      <c r="BC524" s="111">
        <f t="shared" si="235"/>
        <v>0</v>
      </c>
      <c r="BD524" s="111">
        <v>0</v>
      </c>
      <c r="BE524" s="111">
        <f t="shared" si="236"/>
        <v>5.8886621998238242E-4</v>
      </c>
      <c r="BF524" s="6" t="str">
        <f t="shared" si="237"/>
        <v>OK</v>
      </c>
      <c r="BG524" s="16">
        <f t="shared" si="238"/>
        <v>63.625549371390676</v>
      </c>
      <c r="BH524" s="118">
        <f t="shared" si="239"/>
        <v>2.1193803644775273</v>
      </c>
      <c r="BI524" s="108">
        <f t="shared" si="240"/>
        <v>0</v>
      </c>
      <c r="BJ524" s="6">
        <f t="shared" si="241"/>
        <v>1.2440309817761237</v>
      </c>
      <c r="BK524" s="108">
        <f t="shared" si="242"/>
        <v>0</v>
      </c>
      <c r="BL524" s="118" cm="1">
        <f t="array" ref="BL524">IF(AO524=0,FactorPhi7121(BH524,"a"),noisuy2chieu(BK524,BH524,Data!$A$63:$M$85))</f>
        <v>0.86214274110469236</v>
      </c>
      <c r="BM524" s="111">
        <v>1.26</v>
      </c>
      <c r="BN524" s="118">
        <f t="shared" si="243"/>
        <v>0.9997487199209496</v>
      </c>
      <c r="BO524" s="108">
        <f t="shared" si="244"/>
        <v>1.3921335459419911E-3</v>
      </c>
      <c r="BP524" s="6" t="str">
        <f t="shared" si="245"/>
        <v>OK</v>
      </c>
      <c r="BQ524" s="16">
        <f t="shared" si="246"/>
        <v>127.25109874278135</v>
      </c>
      <c r="BR524" s="118">
        <f t="shared" si="247"/>
        <v>4.2387607289550546</v>
      </c>
      <c r="BS524" s="108">
        <f t="shared" si="248"/>
        <v>0</v>
      </c>
      <c r="BT524" s="118">
        <f t="shared" si="249"/>
        <v>1.1380619635522473</v>
      </c>
      <c r="BU524" s="108">
        <f t="shared" si="250"/>
        <v>0</v>
      </c>
      <c r="BV524" s="6" cm="1">
        <f t="array" ref="BV524">IF(AP524=0,FactorPhi7121(BR524,"a"),noisuy2chieu(BU524,BR524,Data!$A$63:$M$85))</f>
        <v>0.42299549615688942</v>
      </c>
      <c r="BW524" s="111">
        <v>1.26</v>
      </c>
      <c r="BX524" s="111">
        <f t="shared" si="251"/>
        <v>0.9989948796837983</v>
      </c>
      <c r="BY524" s="113">
        <f t="shared" si="252"/>
        <v>6.8302636200108621E-4</v>
      </c>
      <c r="BZ524" s="6" t="str">
        <f t="shared" si="253"/>
        <v>OK</v>
      </c>
      <c r="CA524" s="114">
        <f t="shared" si="254"/>
        <v>127.25109874278135</v>
      </c>
      <c r="CB524" s="115">
        <f t="shared" si="255"/>
        <v>150</v>
      </c>
      <c r="CC524" s="6" t="str">
        <f t="shared" si="256"/>
        <v>OK</v>
      </c>
    </row>
    <row r="525" spans="27:81">
      <c r="AA525" s="79" t="s">
        <v>175</v>
      </c>
      <c r="AB525" s="80" t="s">
        <v>204</v>
      </c>
      <c r="AC525" s="81">
        <v>2.74</v>
      </c>
      <c r="AD525" s="81">
        <v>6</v>
      </c>
      <c r="AE525" s="80">
        <v>273</v>
      </c>
      <c r="AF525" s="80">
        <v>6.35</v>
      </c>
      <c r="AG525" s="108" cm="1">
        <f t="array" ref="AG525">_xll.DCEPropSectPipe(AE525, AF525, "Area")/100</f>
        <v>53.19431074856206</v>
      </c>
      <c r="AH525" s="16" cm="1">
        <f t="array" ref="AH525">_xll.DCEPropSectPipe(AE525, AF525, "Ix")/10000</f>
        <v>4730.4733077169503</v>
      </c>
      <c r="AI525" s="16" cm="1">
        <f t="array" ref="AI525">_xll.DCEPropSectPipe(AE525, AF525, "Wx")/1000</f>
        <v>346.55482107816493</v>
      </c>
      <c r="AJ525" s="108">
        <f t="shared" si="225"/>
        <v>9.4301739777164251</v>
      </c>
      <c r="AK525" s="80" t="s">
        <v>217</v>
      </c>
      <c r="AL525" s="82">
        <v>2.0274458586822144</v>
      </c>
      <c r="AM525" s="82">
        <v>-0.23976855608667569</v>
      </c>
      <c r="AN525" s="82">
        <v>4.2408382494446409E-2</v>
      </c>
      <c r="AO525" s="82">
        <v>-0.11628378479977229</v>
      </c>
      <c r="AP525" s="82">
        <v>0.65744538078966164</v>
      </c>
      <c r="AQ525" s="82">
        <v>3.5322533655070573E-3</v>
      </c>
      <c r="AR525" s="72">
        <v>1</v>
      </c>
      <c r="AS525" s="116">
        <f t="shared" si="226"/>
        <v>6</v>
      </c>
      <c r="AT525" s="82">
        <v>2</v>
      </c>
      <c r="AU525" s="6">
        <f t="shared" si="227"/>
        <v>12</v>
      </c>
      <c r="AV525" s="111">
        <f t="shared" si="228"/>
        <v>1.6674857718641392E-3</v>
      </c>
      <c r="AW525" s="117">
        <f t="shared" si="229"/>
        <v>105</v>
      </c>
      <c r="AX525" s="111">
        <f t="shared" si="230"/>
        <v>1</v>
      </c>
      <c r="AY525" s="111">
        <f t="shared" si="231"/>
        <v>1</v>
      </c>
      <c r="AZ525" s="111">
        <f t="shared" si="232"/>
        <v>1</v>
      </c>
      <c r="BA525" s="111">
        <f t="shared" si="233"/>
        <v>1.7552481809096202E-3</v>
      </c>
      <c r="BB525" s="111">
        <f t="shared" si="234"/>
        <v>1.5452603669829377E-3</v>
      </c>
      <c r="BC525" s="111">
        <f t="shared" si="235"/>
        <v>8.7365946347513369E-3</v>
      </c>
      <c r="BD525" s="111">
        <v>0</v>
      </c>
      <c r="BE525" s="111">
        <f t="shared" si="236"/>
        <v>1.2037103182643895E-2</v>
      </c>
      <c r="BF525" s="6" t="str">
        <f t="shared" si="237"/>
        <v>OK</v>
      </c>
      <c r="BG525" s="16">
        <f t="shared" si="238"/>
        <v>63.625549371390676</v>
      </c>
      <c r="BH525" s="118">
        <f t="shared" si="239"/>
        <v>2.1193803644775273</v>
      </c>
      <c r="BI525" s="108">
        <f t="shared" si="240"/>
        <v>0.88036574188736028</v>
      </c>
      <c r="BJ525" s="6">
        <f t="shared" si="241"/>
        <v>1.2186709933509035</v>
      </c>
      <c r="BK525" s="108">
        <f t="shared" si="242"/>
        <v>1.0728761931779744</v>
      </c>
      <c r="BL525" s="118" cm="1">
        <f t="array" ref="BL525">IF(AO525=0,FactorPhi7121(BH525,"a"),noisuy2chieu(BK525,BH525,Data!$A$63:$M$85))</f>
        <v>0</v>
      </c>
      <c r="BM525" s="111">
        <v>1.26</v>
      </c>
      <c r="BN525" s="118">
        <f t="shared" si="243"/>
        <v>0.99925100322163962</v>
      </c>
      <c r="BO525" s="108" t="e">
        <f t="shared" si="244"/>
        <v>#DIV/0!</v>
      </c>
      <c r="BP525" s="6" t="e">
        <f t="shared" si="245"/>
        <v>#DIV/0!</v>
      </c>
      <c r="BQ525" s="16">
        <f t="shared" si="246"/>
        <v>127.25109874278135</v>
      </c>
      <c r="BR525" s="118">
        <f t="shared" si="247"/>
        <v>4.2387607289550546</v>
      </c>
      <c r="BS525" s="108">
        <f t="shared" si="248"/>
        <v>4.977412727027458</v>
      </c>
      <c r="BT525" s="118">
        <f t="shared" si="249"/>
        <v>1.1001719431921253</v>
      </c>
      <c r="BU525" s="108">
        <f t="shared" si="250"/>
        <v>5.4760098319630144</v>
      </c>
      <c r="BV525" s="6" cm="1">
        <f t="array" ref="BV525">IF(AP525=0,FactorPhi7121(BR525,"a"),noisuy2chieu(BU525,BR525,Data!$A$63:$M$85))</f>
        <v>0</v>
      </c>
      <c r="BW525" s="111">
        <v>1.26</v>
      </c>
      <c r="BX525" s="111">
        <f t="shared" si="251"/>
        <v>0.99700401288655827</v>
      </c>
      <c r="BY525" s="113" t="e">
        <f t="shared" si="252"/>
        <v>#DIV/0!</v>
      </c>
      <c r="BZ525" s="6" t="e">
        <f t="shared" si="253"/>
        <v>#DIV/0!</v>
      </c>
      <c r="CA525" s="114">
        <f t="shared" si="254"/>
        <v>127.25109874278135</v>
      </c>
      <c r="CB525" s="115" t="e">
        <f t="shared" si="255"/>
        <v>#DIV/0!</v>
      </c>
      <c r="CC525" s="6" t="e">
        <f t="shared" si="256"/>
        <v>#DIV/0!</v>
      </c>
    </row>
    <row r="526" spans="27:81">
      <c r="AA526" s="79" t="s">
        <v>175</v>
      </c>
      <c r="AB526" s="80" t="s">
        <v>204</v>
      </c>
      <c r="AC526" s="81">
        <v>5.48</v>
      </c>
      <c r="AD526" s="81">
        <v>6</v>
      </c>
      <c r="AE526" s="80">
        <v>273</v>
      </c>
      <c r="AF526" s="80">
        <v>6.35</v>
      </c>
      <c r="AG526" s="108" cm="1">
        <f t="array" ref="AG526">_xll.DCEPropSectPipe(AE526, AF526, "Area")/100</f>
        <v>53.19431074856206</v>
      </c>
      <c r="AH526" s="16" cm="1">
        <f t="array" ref="AH526">_xll.DCEPropSectPipe(AE526, AF526, "Ix")/10000</f>
        <v>4730.4733077169503</v>
      </c>
      <c r="AI526" s="16" cm="1">
        <f t="array" ref="AI526">_xll.DCEPropSectPipe(AE526, AF526, "Wx")/1000</f>
        <v>346.55482107816493</v>
      </c>
      <c r="AJ526" s="108">
        <f t="shared" si="225"/>
        <v>9.4301739777164251</v>
      </c>
      <c r="AK526" s="80" t="s">
        <v>217</v>
      </c>
      <c r="AL526" s="82">
        <v>3.3747062074142442</v>
      </c>
      <c r="AM526" s="82">
        <v>-0.23976855608667569</v>
      </c>
      <c r="AN526" s="82">
        <v>4.2408382494446409E-2</v>
      </c>
      <c r="AO526" s="82">
        <v>-0.23256756959954458</v>
      </c>
      <c r="AP526" s="82">
        <v>1.3148907615793233</v>
      </c>
      <c r="AQ526" s="82">
        <v>3.5322533655070573E-3</v>
      </c>
      <c r="AR526" s="72">
        <v>1</v>
      </c>
      <c r="AS526" s="116">
        <f t="shared" si="226"/>
        <v>6</v>
      </c>
      <c r="AT526" s="82">
        <v>2</v>
      </c>
      <c r="AU526" s="6">
        <f t="shared" si="227"/>
        <v>12</v>
      </c>
      <c r="AV526" s="111">
        <f t="shared" si="228"/>
        <v>2.7755486347450092E-3</v>
      </c>
      <c r="AW526" s="117">
        <f t="shared" si="229"/>
        <v>105</v>
      </c>
      <c r="AX526" s="111">
        <f t="shared" si="230"/>
        <v>1</v>
      </c>
      <c r="AY526" s="111">
        <f t="shared" si="231"/>
        <v>1</v>
      </c>
      <c r="AZ526" s="111">
        <f t="shared" si="232"/>
        <v>1</v>
      </c>
      <c r="BA526" s="111">
        <f t="shared" si="233"/>
        <v>2.9216301418368523E-3</v>
      </c>
      <c r="BB526" s="111">
        <f t="shared" si="234"/>
        <v>3.0905207339658753E-3</v>
      </c>
      <c r="BC526" s="111">
        <f t="shared" si="235"/>
        <v>1.7473189269502674E-2</v>
      </c>
      <c r="BD526" s="111">
        <v>0</v>
      </c>
      <c r="BE526" s="111">
        <f t="shared" si="236"/>
        <v>2.34853401453054E-2</v>
      </c>
      <c r="BF526" s="6" t="str">
        <f t="shared" si="237"/>
        <v>OK</v>
      </c>
      <c r="BG526" s="16">
        <f t="shared" si="238"/>
        <v>63.625549371390676</v>
      </c>
      <c r="BH526" s="118">
        <f t="shared" si="239"/>
        <v>2.1193803644775273</v>
      </c>
      <c r="BI526" s="108">
        <f t="shared" si="240"/>
        <v>1.0578069721114118</v>
      </c>
      <c r="BJ526" s="6">
        <f t="shared" si="241"/>
        <v>1.2135595864315567</v>
      </c>
      <c r="BK526" s="108">
        <f t="shared" si="242"/>
        <v>1.2837117915999421</v>
      </c>
      <c r="BL526" s="118" cm="1">
        <f t="array" ref="BL526">IF(AO526=0,FactorPhi7121(BH526,"a"),noisuy2chieu(BK526,BH526,Data!$A$63:$M$85))</f>
        <v>0</v>
      </c>
      <c r="BM526" s="111">
        <v>1.26</v>
      </c>
      <c r="BN526" s="118">
        <f t="shared" si="243"/>
        <v>0.99875328652232953</v>
      </c>
      <c r="BO526" s="108" t="e">
        <f t="shared" si="244"/>
        <v>#DIV/0!</v>
      </c>
      <c r="BP526" s="6" t="e">
        <f t="shared" si="245"/>
        <v>#DIV/0!</v>
      </c>
      <c r="BQ526" s="16">
        <f t="shared" si="246"/>
        <v>127.25109874278135</v>
      </c>
      <c r="BR526" s="118">
        <f t="shared" si="247"/>
        <v>4.2387607289550546</v>
      </c>
      <c r="BS526" s="108">
        <f t="shared" si="248"/>
        <v>5.9806301349688091</v>
      </c>
      <c r="BT526" s="118">
        <f t="shared" si="249"/>
        <v>1.1000000000000001</v>
      </c>
      <c r="BU526" s="108">
        <f t="shared" si="250"/>
        <v>6.5786931484656908</v>
      </c>
      <c r="BV526" s="6" cm="1">
        <f t="array" ref="BV526">IF(AP526=0,FactorPhi7121(BR526,"a"),noisuy2chieu(BU526,BR526,Data!$A$63:$M$85))</f>
        <v>0</v>
      </c>
      <c r="BW526" s="111">
        <v>1.26</v>
      </c>
      <c r="BX526" s="111">
        <f t="shared" si="251"/>
        <v>0.99501314608931835</v>
      </c>
      <c r="BY526" s="113" t="e">
        <f t="shared" si="252"/>
        <v>#DIV/0!</v>
      </c>
      <c r="BZ526" s="6" t="e">
        <f t="shared" si="253"/>
        <v>#DIV/0!</v>
      </c>
      <c r="CA526" s="114">
        <f t="shared" si="254"/>
        <v>127.25109874278135</v>
      </c>
      <c r="CB526" s="115" t="e">
        <f t="shared" si="255"/>
        <v>#DIV/0!</v>
      </c>
      <c r="CC526" s="6" t="e">
        <f t="shared" si="256"/>
        <v>#DIV/0!</v>
      </c>
    </row>
    <row r="527" spans="27:81">
      <c r="AA527" s="79" t="s">
        <v>175</v>
      </c>
      <c r="AB527" s="80" t="s">
        <v>204</v>
      </c>
      <c r="AC527" s="81">
        <v>0</v>
      </c>
      <c r="AD527" s="81">
        <v>6</v>
      </c>
      <c r="AE527" s="80">
        <v>273</v>
      </c>
      <c r="AF527" s="80">
        <v>6.35</v>
      </c>
      <c r="AG527" s="108" cm="1">
        <f t="array" ref="AG527">_xll.DCEPropSectPipe(AE527, AF527, "Area")/100</f>
        <v>53.19431074856206</v>
      </c>
      <c r="AH527" s="16" cm="1">
        <f t="array" ref="AH527">_xll.DCEPropSectPipe(AE527, AF527, "Ix")/10000</f>
        <v>4730.4733077169503</v>
      </c>
      <c r="AI527" s="16" cm="1">
        <f t="array" ref="AI527">_xll.DCEPropSectPipe(AE527, AF527, "Wx")/1000</f>
        <v>346.55482107816493</v>
      </c>
      <c r="AJ527" s="108">
        <f t="shared" si="225"/>
        <v>9.4301739777164251</v>
      </c>
      <c r="AK527" s="80" t="s">
        <v>218</v>
      </c>
      <c r="AL527" s="82">
        <v>-16.082831950846497</v>
      </c>
      <c r="AM527" s="82">
        <v>-0.23503382999884703</v>
      </c>
      <c r="AN527" s="82">
        <v>-0.13732264408815373</v>
      </c>
      <c r="AO527" s="82">
        <v>0</v>
      </c>
      <c r="AP527" s="82">
        <v>0</v>
      </c>
      <c r="AQ527" s="82">
        <v>-4.0189963289102133E-2</v>
      </c>
      <c r="AR527" s="72">
        <v>1</v>
      </c>
      <c r="AS527" s="116">
        <f t="shared" si="226"/>
        <v>6</v>
      </c>
      <c r="AT527" s="82">
        <v>2</v>
      </c>
      <c r="AU527" s="6">
        <f t="shared" si="227"/>
        <v>12</v>
      </c>
      <c r="AV527" s="111">
        <f t="shared" si="228"/>
        <v>1.3227427669387642E-2</v>
      </c>
      <c r="AW527" s="117">
        <f t="shared" si="229"/>
        <v>105</v>
      </c>
      <c r="AX527" s="111">
        <f t="shared" si="230"/>
        <v>1</v>
      </c>
      <c r="AY527" s="111">
        <f t="shared" si="231"/>
        <v>1</v>
      </c>
      <c r="AZ527" s="111">
        <f t="shared" si="232"/>
        <v>1</v>
      </c>
      <c r="BA527" s="111">
        <f t="shared" si="233"/>
        <v>1.3923608073039627E-2</v>
      </c>
      <c r="BB527" s="111">
        <f t="shared" si="234"/>
        <v>0</v>
      </c>
      <c r="BC527" s="111">
        <f t="shared" si="235"/>
        <v>0</v>
      </c>
      <c r="BD527" s="111">
        <v>0</v>
      </c>
      <c r="BE527" s="111">
        <f t="shared" si="236"/>
        <v>1.3923608073039627E-2</v>
      </c>
      <c r="BF527" s="6" t="str">
        <f t="shared" si="237"/>
        <v>OK</v>
      </c>
      <c r="BG527" s="16">
        <f t="shared" si="238"/>
        <v>63.625549371390676</v>
      </c>
      <c r="BH527" s="118">
        <f t="shared" si="239"/>
        <v>2.1193803644775273</v>
      </c>
      <c r="BI527" s="108">
        <f t="shared" si="240"/>
        <v>0</v>
      </c>
      <c r="BJ527" s="6">
        <f t="shared" si="241"/>
        <v>1.2440309817761237</v>
      </c>
      <c r="BK527" s="108">
        <f t="shared" si="242"/>
        <v>0</v>
      </c>
      <c r="BL527" s="118" cm="1">
        <f t="array" ref="BL527">IF(AO527=0,FactorPhi7121(BH527,"a"),noisuy2chieu(BK527,BH527,Data!$A$63:$M$85))</f>
        <v>0.86214274110469236</v>
      </c>
      <c r="BM527" s="111">
        <v>1.26</v>
      </c>
      <c r="BN527" s="118">
        <f t="shared" si="243"/>
        <v>0.99405853958244506</v>
      </c>
      <c r="BO527" s="108">
        <f t="shared" si="244"/>
        <v>3.2916681618461834E-2</v>
      </c>
      <c r="BP527" s="6" t="str">
        <f t="shared" si="245"/>
        <v>OK</v>
      </c>
      <c r="BQ527" s="16">
        <f t="shared" si="246"/>
        <v>127.25109874278135</v>
      </c>
      <c r="BR527" s="118">
        <f t="shared" si="247"/>
        <v>4.2387607289550546</v>
      </c>
      <c r="BS527" s="108">
        <f t="shared" si="248"/>
        <v>0</v>
      </c>
      <c r="BT527" s="118">
        <f t="shared" si="249"/>
        <v>1.1380619635522473</v>
      </c>
      <c r="BU527" s="108">
        <f t="shared" si="250"/>
        <v>0</v>
      </c>
      <c r="BV527" s="6" cm="1">
        <f t="array" ref="BV527">IF(AP527=0,FactorPhi7121(BR527,"a"),noisuy2chieu(BU527,BR527,Data!$A$63:$M$85))</f>
        <v>0.42299549615688942</v>
      </c>
      <c r="BW527" s="111">
        <v>1.26</v>
      </c>
      <c r="BX527" s="111">
        <f t="shared" si="251"/>
        <v>0.97623415832978</v>
      </c>
      <c r="BY527" s="113">
        <f t="shared" si="252"/>
        <v>1.6150003252592304E-2</v>
      </c>
      <c r="BZ527" s="6" t="str">
        <f t="shared" si="253"/>
        <v>OK</v>
      </c>
      <c r="CA527" s="114">
        <f t="shared" si="254"/>
        <v>127.25109874278135</v>
      </c>
      <c r="CB527" s="115">
        <f t="shared" si="255"/>
        <v>150</v>
      </c>
      <c r="CC527" s="6" t="str">
        <f t="shared" si="256"/>
        <v>OK</v>
      </c>
    </row>
    <row r="528" spans="27:81">
      <c r="AA528" s="79" t="s">
        <v>175</v>
      </c>
      <c r="AB528" s="80" t="s">
        <v>204</v>
      </c>
      <c r="AC528" s="81">
        <v>2.74</v>
      </c>
      <c r="AD528" s="81">
        <v>6</v>
      </c>
      <c r="AE528" s="80">
        <v>273</v>
      </c>
      <c r="AF528" s="80">
        <v>6.35</v>
      </c>
      <c r="AG528" s="108" cm="1">
        <f t="array" ref="AG528">_xll.DCEPropSectPipe(AE528, AF528, "Area")/100</f>
        <v>53.19431074856206</v>
      </c>
      <c r="AH528" s="16" cm="1">
        <f t="array" ref="AH528">_xll.DCEPropSectPipe(AE528, AF528, "Ix")/10000</f>
        <v>4730.4733077169503</v>
      </c>
      <c r="AI528" s="16" cm="1">
        <f t="array" ref="AI528">_xll.DCEPropSectPipe(AE528, AF528, "Wx")/1000</f>
        <v>346.55482107816493</v>
      </c>
      <c r="AJ528" s="108">
        <f t="shared" si="225"/>
        <v>9.4301739777164251</v>
      </c>
      <c r="AK528" s="80" t="s">
        <v>218</v>
      </c>
      <c r="AL528" s="82">
        <v>-14.735571602114458</v>
      </c>
      <c r="AM528" s="82">
        <v>-0.23503382999884703</v>
      </c>
      <c r="AN528" s="82">
        <v>-0.13732264408815373</v>
      </c>
      <c r="AO528" s="82">
        <v>0.37653869008971741</v>
      </c>
      <c r="AP528" s="82">
        <v>0.64446276185683515</v>
      </c>
      <c r="AQ528" s="82">
        <v>-4.0189963289102133E-2</v>
      </c>
      <c r="AR528" s="72">
        <v>1</v>
      </c>
      <c r="AS528" s="116">
        <f t="shared" si="226"/>
        <v>6</v>
      </c>
      <c r="AT528" s="82">
        <v>2</v>
      </c>
      <c r="AU528" s="6">
        <f t="shared" si="227"/>
        <v>12</v>
      </c>
      <c r="AV528" s="111">
        <f t="shared" si="228"/>
        <v>1.2119364806506766E-2</v>
      </c>
      <c r="AW528" s="117">
        <f t="shared" si="229"/>
        <v>105</v>
      </c>
      <c r="AX528" s="111">
        <f t="shared" si="230"/>
        <v>1</v>
      </c>
      <c r="AY528" s="111">
        <f t="shared" si="231"/>
        <v>1</v>
      </c>
      <c r="AZ528" s="111">
        <f t="shared" si="232"/>
        <v>1</v>
      </c>
      <c r="BA528" s="111">
        <f t="shared" si="233"/>
        <v>1.2757226112112387E-2</v>
      </c>
      <c r="BB528" s="111">
        <f t="shared" si="234"/>
        <v>5.0037098072890614E-3</v>
      </c>
      <c r="BC528" s="111">
        <f t="shared" si="235"/>
        <v>8.5640725025290087E-3</v>
      </c>
      <c r="BD528" s="111">
        <v>0</v>
      </c>
      <c r="BE528" s="111">
        <f t="shared" si="236"/>
        <v>2.632500842193046E-2</v>
      </c>
      <c r="BF528" s="6" t="str">
        <f t="shared" si="237"/>
        <v>OK</v>
      </c>
      <c r="BG528" s="16">
        <f t="shared" si="238"/>
        <v>63.625549371390676</v>
      </c>
      <c r="BH528" s="118">
        <f t="shared" si="239"/>
        <v>2.1193803644775273</v>
      </c>
      <c r="BI528" s="108">
        <f t="shared" si="240"/>
        <v>0.39222553267581228</v>
      </c>
      <c r="BJ528" s="6">
        <f t="shared" si="241"/>
        <v>1.2327324560663317</v>
      </c>
      <c r="BK528" s="108">
        <f t="shared" si="242"/>
        <v>0.48350914422737934</v>
      </c>
      <c r="BL528" s="118" cm="1">
        <f t="array" ref="BL528">IF(AO528=0,FactorPhi7121(BH528,"a"),noisuy2chieu(BK528,BH528,Data!$A$63:$M$85))</f>
        <v>0</v>
      </c>
      <c r="BM528" s="111">
        <v>1.26</v>
      </c>
      <c r="BN528" s="118">
        <f t="shared" si="243"/>
        <v>0.99455625628175504</v>
      </c>
      <c r="BO528" s="108" t="e">
        <f t="shared" si="244"/>
        <v>#DIV/0!</v>
      </c>
      <c r="BP528" s="6" t="e">
        <f t="shared" si="245"/>
        <v>#DIV/0!</v>
      </c>
      <c r="BQ528" s="16">
        <f t="shared" si="246"/>
        <v>127.25109874278135</v>
      </c>
      <c r="BR528" s="118">
        <f t="shared" si="247"/>
        <v>4.2387607289550546</v>
      </c>
      <c r="BS528" s="108">
        <f t="shared" si="248"/>
        <v>0.67131149258206113</v>
      </c>
      <c r="BT528" s="118">
        <f t="shared" si="249"/>
        <v>1.1329516768396748</v>
      </c>
      <c r="BU528" s="108">
        <f t="shared" si="250"/>
        <v>0.7605634812025911</v>
      </c>
      <c r="BV528" s="6" cm="1">
        <f t="array" ref="BV528">IF(AP528=0,FactorPhi7121(BR528,"a"),noisuy2chieu(BU528,BR528,Data!$A$63:$M$85))</f>
        <v>0</v>
      </c>
      <c r="BW528" s="111">
        <v>1.26</v>
      </c>
      <c r="BX528" s="111">
        <f t="shared" si="251"/>
        <v>0.97822502512702003</v>
      </c>
      <c r="BY528" s="113" t="e">
        <f t="shared" si="252"/>
        <v>#DIV/0!</v>
      </c>
      <c r="BZ528" s="6" t="e">
        <f t="shared" si="253"/>
        <v>#DIV/0!</v>
      </c>
      <c r="CA528" s="114">
        <f t="shared" si="254"/>
        <v>127.25109874278135</v>
      </c>
      <c r="CB528" s="115" t="e">
        <f t="shared" si="255"/>
        <v>#DIV/0!</v>
      </c>
      <c r="CC528" s="6" t="e">
        <f t="shared" si="256"/>
        <v>#DIV/0!</v>
      </c>
    </row>
    <row r="529" spans="27:81">
      <c r="AA529" s="79" t="s">
        <v>175</v>
      </c>
      <c r="AB529" s="80" t="s">
        <v>204</v>
      </c>
      <c r="AC529" s="81">
        <v>5.48</v>
      </c>
      <c r="AD529" s="81">
        <v>6</v>
      </c>
      <c r="AE529" s="80">
        <v>273</v>
      </c>
      <c r="AF529" s="80">
        <v>6.35</v>
      </c>
      <c r="AG529" s="108" cm="1">
        <f t="array" ref="AG529">_xll.DCEPropSectPipe(AE529, AF529, "Area")/100</f>
        <v>53.19431074856206</v>
      </c>
      <c r="AH529" s="16" cm="1">
        <f t="array" ref="AH529">_xll.DCEPropSectPipe(AE529, AF529, "Ix")/10000</f>
        <v>4730.4733077169503</v>
      </c>
      <c r="AI529" s="16" cm="1">
        <f t="array" ref="AI529">_xll.DCEPropSectPipe(AE529, AF529, "Wx")/1000</f>
        <v>346.55482107816493</v>
      </c>
      <c r="AJ529" s="108">
        <f t="shared" si="225"/>
        <v>9.4301739777164251</v>
      </c>
      <c r="AK529" s="80" t="s">
        <v>218</v>
      </c>
      <c r="AL529" s="82">
        <v>-13.38831125338243</v>
      </c>
      <c r="AM529" s="82">
        <v>-0.23503382999884703</v>
      </c>
      <c r="AN529" s="82">
        <v>-0.13732264408815373</v>
      </c>
      <c r="AO529" s="82">
        <v>0.75307738017943482</v>
      </c>
      <c r="AP529" s="82">
        <v>1.2889255237136703</v>
      </c>
      <c r="AQ529" s="82">
        <v>-4.0189963289102133E-2</v>
      </c>
      <c r="AR529" s="72">
        <v>1</v>
      </c>
      <c r="AS529" s="116">
        <f t="shared" si="226"/>
        <v>6</v>
      </c>
      <c r="AT529" s="82">
        <v>2</v>
      </c>
      <c r="AU529" s="6">
        <f t="shared" si="227"/>
        <v>12</v>
      </c>
      <c r="AV529" s="111">
        <f t="shared" si="228"/>
        <v>1.1011301943625897E-2</v>
      </c>
      <c r="AW529" s="117">
        <f t="shared" si="229"/>
        <v>105</v>
      </c>
      <c r="AX529" s="111">
        <f t="shared" si="230"/>
        <v>1</v>
      </c>
      <c r="AY529" s="111">
        <f t="shared" si="231"/>
        <v>1</v>
      </c>
      <c r="AZ529" s="111">
        <f t="shared" si="232"/>
        <v>1</v>
      </c>
      <c r="BA529" s="111">
        <f t="shared" si="233"/>
        <v>1.1590844151185156E-2</v>
      </c>
      <c r="BB529" s="111">
        <f t="shared" si="234"/>
        <v>1.0007419614578123E-2</v>
      </c>
      <c r="BC529" s="111">
        <f t="shared" si="235"/>
        <v>1.7128145005058017E-2</v>
      </c>
      <c r="BD529" s="111">
        <v>0</v>
      </c>
      <c r="BE529" s="111">
        <f t="shared" si="236"/>
        <v>3.87264087708213E-2</v>
      </c>
      <c r="BF529" s="6" t="str">
        <f t="shared" si="237"/>
        <v>OK</v>
      </c>
      <c r="BG529" s="16">
        <f t="shared" si="238"/>
        <v>63.625549371390676</v>
      </c>
      <c r="BH529" s="118">
        <f t="shared" si="239"/>
        <v>2.1193803644775273</v>
      </c>
      <c r="BI529" s="108">
        <f t="shared" si="240"/>
        <v>0.86339005891601717</v>
      </c>
      <c r="BJ529" s="6">
        <f t="shared" si="241"/>
        <v>1.21915999820784</v>
      </c>
      <c r="BK529" s="108">
        <f t="shared" si="242"/>
        <v>1.0526106226807184</v>
      </c>
      <c r="BL529" s="118" cm="1">
        <f t="array" ref="BL529">IF(AO529=0,FactorPhi7121(BH529,"a"),noisuy2chieu(BK529,BH529,Data!$A$63:$M$85))</f>
        <v>0</v>
      </c>
      <c r="BM529" s="111">
        <v>1.26</v>
      </c>
      <c r="BN529" s="118">
        <f t="shared" si="243"/>
        <v>0.99505397298106502</v>
      </c>
      <c r="BO529" s="108" t="e">
        <f t="shared" si="244"/>
        <v>#DIV/0!</v>
      </c>
      <c r="BP529" s="6" t="e">
        <f t="shared" si="245"/>
        <v>#DIV/0!</v>
      </c>
      <c r="BQ529" s="16">
        <f t="shared" si="246"/>
        <v>127.25109874278135</v>
      </c>
      <c r="BR529" s="118">
        <f t="shared" si="247"/>
        <v>4.2387607289550546</v>
      </c>
      <c r="BS529" s="108">
        <f t="shared" si="248"/>
        <v>1.4777305933586102</v>
      </c>
      <c r="BT529" s="118">
        <f t="shared" si="249"/>
        <v>1.1268128979553562</v>
      </c>
      <c r="BU529" s="108">
        <f t="shared" si="250"/>
        <v>1.6651258922997036</v>
      </c>
      <c r="BV529" s="6" cm="1">
        <f t="array" ref="BV529">IF(AP529=0,FactorPhi7121(BR529,"a"),noisuy2chieu(BU529,BR529,Data!$A$63:$M$85))</f>
        <v>0</v>
      </c>
      <c r="BW529" s="111">
        <v>1.26</v>
      </c>
      <c r="BX529" s="111">
        <f t="shared" si="251"/>
        <v>0.98021589192426006</v>
      </c>
      <c r="BY529" s="113" t="e">
        <f t="shared" si="252"/>
        <v>#DIV/0!</v>
      </c>
      <c r="BZ529" s="6" t="e">
        <f t="shared" si="253"/>
        <v>#DIV/0!</v>
      </c>
      <c r="CA529" s="114">
        <f t="shared" si="254"/>
        <v>127.25109874278135</v>
      </c>
      <c r="CB529" s="115" t="e">
        <f t="shared" si="255"/>
        <v>#DIV/0!</v>
      </c>
      <c r="CC529" s="6" t="e">
        <f t="shared" si="256"/>
        <v>#DIV/0!</v>
      </c>
    </row>
    <row r="530" spans="27:81">
      <c r="AA530" s="79" t="s">
        <v>175</v>
      </c>
      <c r="AB530" s="80" t="s">
        <v>205</v>
      </c>
      <c r="AC530" s="81">
        <v>0</v>
      </c>
      <c r="AD530" s="81">
        <v>6</v>
      </c>
      <c r="AE530" s="80">
        <v>273</v>
      </c>
      <c r="AF530" s="80">
        <v>6.35</v>
      </c>
      <c r="AG530" s="108" cm="1">
        <f t="array" ref="AG530">_xll.DCEPropSectPipe(AE530, AF530, "Area")/100</f>
        <v>53.19431074856206</v>
      </c>
      <c r="AH530" s="16" cm="1">
        <f t="array" ref="AH530">_xll.DCEPropSectPipe(AE530, AF530, "Ix")/10000</f>
        <v>4730.4733077169503</v>
      </c>
      <c r="AI530" s="16" cm="1">
        <f t="array" ref="AI530">_xll.DCEPropSectPipe(AE530, AF530, "Wx")/1000</f>
        <v>346.55482107816493</v>
      </c>
      <c r="AJ530" s="108">
        <f t="shared" si="225"/>
        <v>9.4301739777164251</v>
      </c>
      <c r="AK530" s="80" t="s">
        <v>206</v>
      </c>
      <c r="AL530" s="82">
        <v>-29.984785588702763</v>
      </c>
      <c r="AM530" s="82">
        <v>-4.3441335726170225</v>
      </c>
      <c r="AN530" s="82">
        <v>-1.0218173581907719</v>
      </c>
      <c r="AO530" s="82">
        <v>0</v>
      </c>
      <c r="AP530" s="82">
        <v>0</v>
      </c>
      <c r="AQ530" s="82">
        <v>0.12171476611580875</v>
      </c>
      <c r="AR530" s="72">
        <v>1</v>
      </c>
      <c r="AS530" s="116">
        <f t="shared" si="226"/>
        <v>6</v>
      </c>
      <c r="AT530" s="82">
        <v>2</v>
      </c>
      <c r="AU530" s="6">
        <f t="shared" si="227"/>
        <v>12</v>
      </c>
      <c r="AV530" s="111">
        <f t="shared" si="228"/>
        <v>2.4661178066701567E-2</v>
      </c>
      <c r="AW530" s="117">
        <f t="shared" si="229"/>
        <v>105</v>
      </c>
      <c r="AX530" s="111">
        <f t="shared" si="230"/>
        <v>1</v>
      </c>
      <c r="AY530" s="111">
        <f t="shared" si="231"/>
        <v>1</v>
      </c>
      <c r="AZ530" s="111">
        <f t="shared" si="232"/>
        <v>1</v>
      </c>
      <c r="BA530" s="111">
        <f t="shared" si="233"/>
        <v>2.5959134807054283E-2</v>
      </c>
      <c r="BB530" s="111">
        <f t="shared" si="234"/>
        <v>0</v>
      </c>
      <c r="BC530" s="111">
        <f t="shared" si="235"/>
        <v>0</v>
      </c>
      <c r="BD530" s="111">
        <v>0</v>
      </c>
      <c r="BE530" s="111">
        <f t="shared" si="236"/>
        <v>2.5959134807054283E-2</v>
      </c>
      <c r="BF530" s="6" t="str">
        <f t="shared" si="237"/>
        <v>OK</v>
      </c>
      <c r="BG530" s="16">
        <f t="shared" si="238"/>
        <v>63.625549371390676</v>
      </c>
      <c r="BH530" s="118">
        <f t="shared" si="239"/>
        <v>2.1193803644775273</v>
      </c>
      <c r="BI530" s="108">
        <f t="shared" si="240"/>
        <v>0</v>
      </c>
      <c r="BJ530" s="6">
        <f t="shared" si="241"/>
        <v>1.2440309817761237</v>
      </c>
      <c r="BK530" s="108">
        <f t="shared" si="242"/>
        <v>0</v>
      </c>
      <c r="BL530" s="118" cm="1">
        <f t="array" ref="BL530">IF(AO530=0,FactorPhi7121(BH530,"a"),noisuy2chieu(BK530,BH530,Data!$A$63:$M$85))</f>
        <v>0.86214274110469236</v>
      </c>
      <c r="BM530" s="111">
        <v>1.26</v>
      </c>
      <c r="BN530" s="118">
        <f t="shared" si="243"/>
        <v>0.98892275830222964</v>
      </c>
      <c r="BO530" s="108">
        <f t="shared" si="244"/>
        <v>6.1369766446463567E-2</v>
      </c>
      <c r="BP530" s="6" t="str">
        <f t="shared" si="245"/>
        <v>OK</v>
      </c>
      <c r="BQ530" s="16">
        <f t="shared" si="246"/>
        <v>127.25109874278135</v>
      </c>
      <c r="BR530" s="118">
        <f t="shared" si="247"/>
        <v>4.2387607289550546</v>
      </c>
      <c r="BS530" s="108">
        <f t="shared" si="248"/>
        <v>0</v>
      </c>
      <c r="BT530" s="118">
        <f t="shared" si="249"/>
        <v>1.1380619635522473</v>
      </c>
      <c r="BU530" s="108">
        <f t="shared" si="250"/>
        <v>0</v>
      </c>
      <c r="BV530" s="6" cm="1">
        <f t="array" ref="BV530">IF(AP530=0,FactorPhi7121(BR530,"a"),noisuy2chieu(BU530,BR530,Data!$A$63:$M$85))</f>
        <v>0.42299549615688942</v>
      </c>
      <c r="BW530" s="111">
        <v>1.26</v>
      </c>
      <c r="BX530" s="111">
        <f t="shared" si="251"/>
        <v>0.95569103320891846</v>
      </c>
      <c r="BY530" s="113">
        <f t="shared" si="252"/>
        <v>3.0110019570299892E-2</v>
      </c>
      <c r="BZ530" s="6" t="str">
        <f t="shared" si="253"/>
        <v>OK</v>
      </c>
      <c r="CA530" s="114">
        <f t="shared" si="254"/>
        <v>127.25109874278135</v>
      </c>
      <c r="CB530" s="115">
        <f t="shared" si="255"/>
        <v>150</v>
      </c>
      <c r="CC530" s="6" t="str">
        <f t="shared" si="256"/>
        <v>OK</v>
      </c>
    </row>
    <row r="531" spans="27:81">
      <c r="AA531" s="79" t="s">
        <v>175</v>
      </c>
      <c r="AB531" s="80" t="s">
        <v>205</v>
      </c>
      <c r="AC531" s="81">
        <v>2.74</v>
      </c>
      <c r="AD531" s="81">
        <v>6</v>
      </c>
      <c r="AE531" s="80">
        <v>273</v>
      </c>
      <c r="AF531" s="80">
        <v>6.35</v>
      </c>
      <c r="AG531" s="108" cm="1">
        <f t="array" ref="AG531">_xll.DCEPropSectPipe(AE531, AF531, "Area")/100</f>
        <v>53.19431074856206</v>
      </c>
      <c r="AH531" s="16" cm="1">
        <f t="array" ref="AH531">_xll.DCEPropSectPipe(AE531, AF531, "Ix")/10000</f>
        <v>4730.4733077169503</v>
      </c>
      <c r="AI531" s="16" cm="1">
        <f t="array" ref="AI531">_xll.DCEPropSectPipe(AE531, AF531, "Wx")/1000</f>
        <v>346.55482107816493</v>
      </c>
      <c r="AJ531" s="108">
        <f t="shared" si="225"/>
        <v>9.4301739777164251</v>
      </c>
      <c r="AK531" s="80" t="s">
        <v>206</v>
      </c>
      <c r="AL531" s="82">
        <v>-28.637525239970724</v>
      </c>
      <c r="AM531" s="82">
        <v>-4.3441335726170225</v>
      </c>
      <c r="AN531" s="82">
        <v>-1.0218173581907719</v>
      </c>
      <c r="AO531" s="82">
        <v>2.8018231961590967</v>
      </c>
      <c r="AP531" s="82">
        <v>11.911614256115877</v>
      </c>
      <c r="AQ531" s="82">
        <v>0.12171476611580875</v>
      </c>
      <c r="AR531" s="72">
        <v>1</v>
      </c>
      <c r="AS531" s="116">
        <f t="shared" si="226"/>
        <v>6</v>
      </c>
      <c r="AT531" s="82">
        <v>2</v>
      </c>
      <c r="AU531" s="6">
        <f t="shared" si="227"/>
        <v>12</v>
      </c>
      <c r="AV531" s="111">
        <f t="shared" si="228"/>
        <v>2.3553115203820689E-2</v>
      </c>
      <c r="AW531" s="117">
        <f t="shared" si="229"/>
        <v>105</v>
      </c>
      <c r="AX531" s="111">
        <f t="shared" si="230"/>
        <v>1</v>
      </c>
      <c r="AY531" s="111">
        <f t="shared" si="231"/>
        <v>1</v>
      </c>
      <c r="AZ531" s="111">
        <f t="shared" si="232"/>
        <v>1</v>
      </c>
      <c r="BA531" s="111">
        <f t="shared" si="233"/>
        <v>2.4792752846127041E-2</v>
      </c>
      <c r="BB531" s="111">
        <f t="shared" si="234"/>
        <v>3.7232588772141438E-2</v>
      </c>
      <c r="BC531" s="111">
        <f t="shared" si="235"/>
        <v>0.15828987204414469</v>
      </c>
      <c r="BD531" s="111">
        <v>0</v>
      </c>
      <c r="BE531" s="111">
        <f t="shared" si="236"/>
        <v>0.22031521366241316</v>
      </c>
      <c r="BF531" s="6" t="str">
        <f t="shared" si="237"/>
        <v>OK</v>
      </c>
      <c r="BG531" s="16">
        <f t="shared" si="238"/>
        <v>63.625549371390676</v>
      </c>
      <c r="BH531" s="118">
        <f t="shared" si="239"/>
        <v>2.1193803644775273</v>
      </c>
      <c r="BI531" s="108">
        <f t="shared" si="240"/>
        <v>1.5017529115552677</v>
      </c>
      <c r="BJ531" s="6">
        <f t="shared" si="241"/>
        <v>1.2007711925288322</v>
      </c>
      <c r="BK531" s="108">
        <f t="shared" si="242"/>
        <v>1.8032616344918646</v>
      </c>
      <c r="BL531" s="118" cm="1">
        <f t="array" ref="BL531">IF(AO531=0,FactorPhi7121(BH531,"a"),noisuy2chieu(BK531,BH531,Data!$A$63:$M$85))</f>
        <v>0</v>
      </c>
      <c r="BM531" s="111">
        <v>1.26</v>
      </c>
      <c r="BN531" s="118">
        <f t="shared" si="243"/>
        <v>0.98942047500153962</v>
      </c>
      <c r="BO531" s="108" t="e">
        <f t="shared" si="244"/>
        <v>#DIV/0!</v>
      </c>
      <c r="BP531" s="6" t="e">
        <f t="shared" si="245"/>
        <v>#DIV/0!</v>
      </c>
      <c r="BQ531" s="16">
        <f t="shared" si="246"/>
        <v>127.25109874278135</v>
      </c>
      <c r="BR531" s="118">
        <f t="shared" si="247"/>
        <v>4.2387607289550546</v>
      </c>
      <c r="BS531" s="108">
        <f t="shared" si="248"/>
        <v>6.38452184098111</v>
      </c>
      <c r="BT531" s="118">
        <f t="shared" si="249"/>
        <v>1.1000000000000001</v>
      </c>
      <c r="BU531" s="108">
        <f t="shared" si="250"/>
        <v>7.0229740250792219</v>
      </c>
      <c r="BV531" s="6" cm="1">
        <f t="array" ref="BV531">IF(AP531=0,FactorPhi7121(BR531,"a"),noisuy2chieu(BU531,BR531,Data!$A$63:$M$85))</f>
        <v>0</v>
      </c>
      <c r="BW531" s="111">
        <v>1.26</v>
      </c>
      <c r="BX531" s="111">
        <f t="shared" si="251"/>
        <v>0.95768190000615849</v>
      </c>
      <c r="BY531" s="113" t="e">
        <f t="shared" si="252"/>
        <v>#DIV/0!</v>
      </c>
      <c r="BZ531" s="6" t="e">
        <f t="shared" si="253"/>
        <v>#DIV/0!</v>
      </c>
      <c r="CA531" s="114">
        <f t="shared" si="254"/>
        <v>127.25109874278135</v>
      </c>
      <c r="CB531" s="115" t="e">
        <f t="shared" si="255"/>
        <v>#DIV/0!</v>
      </c>
      <c r="CC531" s="6" t="e">
        <f t="shared" si="256"/>
        <v>#DIV/0!</v>
      </c>
    </row>
    <row r="532" spans="27:81">
      <c r="AA532" s="79" t="s">
        <v>175</v>
      </c>
      <c r="AB532" s="80" t="s">
        <v>205</v>
      </c>
      <c r="AC532" s="81">
        <v>5.48</v>
      </c>
      <c r="AD532" s="81">
        <v>6</v>
      </c>
      <c r="AE532" s="80">
        <v>273</v>
      </c>
      <c r="AF532" s="80">
        <v>6.35</v>
      </c>
      <c r="AG532" s="108" cm="1">
        <f t="array" ref="AG532">_xll.DCEPropSectPipe(AE532, AF532, "Area")/100</f>
        <v>53.19431074856206</v>
      </c>
      <c r="AH532" s="16" cm="1">
        <f t="array" ref="AH532">_xll.DCEPropSectPipe(AE532, AF532, "Ix")/10000</f>
        <v>4730.4733077169503</v>
      </c>
      <c r="AI532" s="16" cm="1">
        <f t="array" ref="AI532">_xll.DCEPropSectPipe(AE532, AF532, "Wx")/1000</f>
        <v>346.55482107816493</v>
      </c>
      <c r="AJ532" s="108">
        <f t="shared" si="225"/>
        <v>9.4301739777164251</v>
      </c>
      <c r="AK532" s="80" t="s">
        <v>206</v>
      </c>
      <c r="AL532" s="82">
        <v>-27.290264891238696</v>
      </c>
      <c r="AM532" s="82">
        <v>-4.3441335726170225</v>
      </c>
      <c r="AN532" s="82">
        <v>-1.0218173581907719</v>
      </c>
      <c r="AO532" s="82">
        <v>5.6036463923181934</v>
      </c>
      <c r="AP532" s="82">
        <v>23.823228512231754</v>
      </c>
      <c r="AQ532" s="82">
        <v>0.12171476611580875</v>
      </c>
      <c r="AR532" s="72">
        <v>1</v>
      </c>
      <c r="AS532" s="116">
        <f t="shared" si="226"/>
        <v>6</v>
      </c>
      <c r="AT532" s="82">
        <v>2</v>
      </c>
      <c r="AU532" s="6">
        <f t="shared" si="227"/>
        <v>12</v>
      </c>
      <c r="AV532" s="111">
        <f t="shared" si="228"/>
        <v>2.2445052340939818E-2</v>
      </c>
      <c r="AW532" s="117">
        <f t="shared" si="229"/>
        <v>105</v>
      </c>
      <c r="AX532" s="111">
        <f t="shared" si="230"/>
        <v>1</v>
      </c>
      <c r="AY532" s="111">
        <f t="shared" si="231"/>
        <v>1</v>
      </c>
      <c r="AZ532" s="111">
        <f t="shared" si="232"/>
        <v>1</v>
      </c>
      <c r="BA532" s="111">
        <f t="shared" si="233"/>
        <v>2.362637088519981E-2</v>
      </c>
      <c r="BB532" s="111">
        <f t="shared" si="234"/>
        <v>7.4465177544282876E-2</v>
      </c>
      <c r="BC532" s="111">
        <f t="shared" si="235"/>
        <v>0.31657974408828937</v>
      </c>
      <c r="BD532" s="111">
        <v>0</v>
      </c>
      <c r="BE532" s="111">
        <f t="shared" si="236"/>
        <v>0.41467129251777207</v>
      </c>
      <c r="BF532" s="6" t="str">
        <f t="shared" si="237"/>
        <v>OK</v>
      </c>
      <c r="BG532" s="16">
        <f t="shared" si="238"/>
        <v>63.625549371390676</v>
      </c>
      <c r="BH532" s="118">
        <f t="shared" si="239"/>
        <v>2.1193803644775273</v>
      </c>
      <c r="BI532" s="108">
        <f t="shared" si="240"/>
        <v>3.151782298945025</v>
      </c>
      <c r="BJ532" s="6">
        <f t="shared" si="241"/>
        <v>1.1532401220037918</v>
      </c>
      <c r="BK532" s="108">
        <f t="shared" si="242"/>
        <v>3.6347618029647522</v>
      </c>
      <c r="BL532" s="118" cm="1">
        <f t="array" ref="BL532">IF(AO532=0,FactorPhi7121(BH532,"a"),noisuy2chieu(BK532,BH532,Data!$A$63:$M$85))</f>
        <v>0</v>
      </c>
      <c r="BM532" s="111">
        <v>1.26</v>
      </c>
      <c r="BN532" s="118">
        <f t="shared" si="243"/>
        <v>0.9899181917008496</v>
      </c>
      <c r="BO532" s="108" t="e">
        <f t="shared" si="244"/>
        <v>#DIV/0!</v>
      </c>
      <c r="BP532" s="6" t="e">
        <f t="shared" si="245"/>
        <v>#DIV/0!</v>
      </c>
      <c r="BQ532" s="16">
        <f t="shared" si="246"/>
        <v>127.25109874278135</v>
      </c>
      <c r="BR532" s="118">
        <f t="shared" si="247"/>
        <v>4.2387607289550546</v>
      </c>
      <c r="BS532" s="108">
        <f t="shared" si="248"/>
        <v>13.399423281152478</v>
      </c>
      <c r="BT532" s="118">
        <f t="shared" si="249"/>
        <v>1.1000000000000001</v>
      </c>
      <c r="BU532" s="108">
        <f t="shared" si="250"/>
        <v>14.739365609267727</v>
      </c>
      <c r="BV532" s="6" cm="1">
        <f t="array" ref="BV532">IF(AP532=0,FactorPhi7121(BR532,"a"),noisuy2chieu(BU532,BR532,Data!$A$63:$M$85))</f>
        <v>0</v>
      </c>
      <c r="BW532" s="111">
        <v>1.26</v>
      </c>
      <c r="BX532" s="111">
        <f t="shared" si="251"/>
        <v>0.95967276680339841</v>
      </c>
      <c r="BY532" s="113" t="e">
        <f t="shared" si="252"/>
        <v>#DIV/0!</v>
      </c>
      <c r="BZ532" s="6" t="e">
        <f t="shared" si="253"/>
        <v>#DIV/0!</v>
      </c>
      <c r="CA532" s="114">
        <f t="shared" si="254"/>
        <v>127.25109874278135</v>
      </c>
      <c r="CB532" s="115" t="e">
        <f t="shared" si="255"/>
        <v>#DIV/0!</v>
      </c>
      <c r="CC532" s="6" t="e">
        <f t="shared" si="256"/>
        <v>#DIV/0!</v>
      </c>
    </row>
    <row r="533" spans="27:81">
      <c r="AA533" s="79" t="s">
        <v>175</v>
      </c>
      <c r="AB533" s="80" t="s">
        <v>205</v>
      </c>
      <c r="AC533" s="81">
        <v>0</v>
      </c>
      <c r="AD533" s="81">
        <v>6</v>
      </c>
      <c r="AE533" s="80">
        <v>273</v>
      </c>
      <c r="AF533" s="80">
        <v>6.35</v>
      </c>
      <c r="AG533" s="108" cm="1">
        <f t="array" ref="AG533">_xll.DCEPropSectPipe(AE533, AF533, "Area")/100</f>
        <v>53.19431074856206</v>
      </c>
      <c r="AH533" s="16" cm="1">
        <f t="array" ref="AH533">_xll.DCEPropSectPipe(AE533, AF533, "Ix")/10000</f>
        <v>4730.4733077169503</v>
      </c>
      <c r="AI533" s="16" cm="1">
        <f t="array" ref="AI533">_xll.DCEPropSectPipe(AE533, AF533, "Wx")/1000</f>
        <v>346.55482107816493</v>
      </c>
      <c r="AJ533" s="108">
        <f t="shared" si="225"/>
        <v>9.4301739777164251</v>
      </c>
      <c r="AK533" s="80" t="s">
        <v>207</v>
      </c>
      <c r="AL533" s="82">
        <v>-47.568236495274967</v>
      </c>
      <c r="AM533" s="82">
        <v>-6.525053097263747</v>
      </c>
      <c r="AN533" s="82">
        <v>-1.5137084518289674</v>
      </c>
      <c r="AO533" s="82">
        <v>0</v>
      </c>
      <c r="AP533" s="82">
        <v>0</v>
      </c>
      <c r="AQ533" s="82">
        <v>0.21969848304918019</v>
      </c>
      <c r="AR533" s="72">
        <v>1</v>
      </c>
      <c r="AS533" s="116">
        <f t="shared" si="226"/>
        <v>6</v>
      </c>
      <c r="AT533" s="82">
        <v>2</v>
      </c>
      <c r="AU533" s="6">
        <f t="shared" si="227"/>
        <v>12</v>
      </c>
      <c r="AV533" s="111">
        <f t="shared" si="228"/>
        <v>3.912279936298519E-2</v>
      </c>
      <c r="AW533" s="117">
        <f t="shared" si="229"/>
        <v>105</v>
      </c>
      <c r="AX533" s="111">
        <f t="shared" si="230"/>
        <v>1</v>
      </c>
      <c r="AY533" s="111">
        <f t="shared" si="231"/>
        <v>1</v>
      </c>
      <c r="AZ533" s="111">
        <f t="shared" si="232"/>
        <v>1</v>
      </c>
      <c r="BA533" s="111">
        <f t="shared" si="233"/>
        <v>4.1181894066300198E-2</v>
      </c>
      <c r="BB533" s="111">
        <f t="shared" si="234"/>
        <v>0</v>
      </c>
      <c r="BC533" s="111">
        <f t="shared" si="235"/>
        <v>0</v>
      </c>
      <c r="BD533" s="111">
        <v>0</v>
      </c>
      <c r="BE533" s="111">
        <f t="shared" si="236"/>
        <v>4.1181894066300198E-2</v>
      </c>
      <c r="BF533" s="6" t="str">
        <f t="shared" si="237"/>
        <v>OK</v>
      </c>
      <c r="BG533" s="16">
        <f t="shared" si="238"/>
        <v>63.625549371390676</v>
      </c>
      <c r="BH533" s="118">
        <f t="shared" si="239"/>
        <v>2.1193803644775273</v>
      </c>
      <c r="BI533" s="108">
        <f t="shared" si="240"/>
        <v>0</v>
      </c>
      <c r="BJ533" s="6">
        <f t="shared" si="241"/>
        <v>1.2440309817761237</v>
      </c>
      <c r="BK533" s="108">
        <f t="shared" si="242"/>
        <v>0</v>
      </c>
      <c r="BL533" s="118" cm="1">
        <f t="array" ref="BL533">IF(AO533=0,FactorPhi7121(BH533,"a"),noisuy2chieu(BK533,BH533,Data!$A$63:$M$85))</f>
        <v>0.86214274110469236</v>
      </c>
      <c r="BM533" s="111">
        <v>1.26</v>
      </c>
      <c r="BN533" s="118">
        <f t="shared" si="243"/>
        <v>0.9824269261077061</v>
      </c>
      <c r="BO533" s="108">
        <f t="shared" si="244"/>
        <v>9.7357760166377275E-2</v>
      </c>
      <c r="BP533" s="6" t="str">
        <f t="shared" si="245"/>
        <v>OK</v>
      </c>
      <c r="BQ533" s="16">
        <f t="shared" si="246"/>
        <v>127.25109874278135</v>
      </c>
      <c r="BR533" s="118">
        <f t="shared" si="247"/>
        <v>4.2387607289550546</v>
      </c>
      <c r="BS533" s="108">
        <f t="shared" si="248"/>
        <v>0</v>
      </c>
      <c r="BT533" s="118">
        <f t="shared" si="249"/>
        <v>1.1380619635522473</v>
      </c>
      <c r="BU533" s="108">
        <f t="shared" si="250"/>
        <v>0</v>
      </c>
      <c r="BV533" s="6" cm="1">
        <f t="array" ref="BV533">IF(AP533=0,FactorPhi7121(BR533,"a"),noisuy2chieu(BU533,BR533,Data!$A$63:$M$85))</f>
        <v>0.42299549615688942</v>
      </c>
      <c r="BW533" s="111">
        <v>1.26</v>
      </c>
      <c r="BX533" s="111">
        <f t="shared" si="251"/>
        <v>0.9297077044308244</v>
      </c>
      <c r="BY533" s="113">
        <f t="shared" si="252"/>
        <v>4.7766909240031949E-2</v>
      </c>
      <c r="BZ533" s="6" t="str">
        <f t="shared" si="253"/>
        <v>OK</v>
      </c>
      <c r="CA533" s="114">
        <f t="shared" si="254"/>
        <v>127.25109874278135</v>
      </c>
      <c r="CB533" s="115">
        <f t="shared" si="255"/>
        <v>150</v>
      </c>
      <c r="CC533" s="6" t="str">
        <f t="shared" si="256"/>
        <v>OK</v>
      </c>
    </row>
    <row r="534" spans="27:81">
      <c r="AA534" s="79" t="s">
        <v>175</v>
      </c>
      <c r="AB534" s="80" t="s">
        <v>205</v>
      </c>
      <c r="AC534" s="81">
        <v>2.74</v>
      </c>
      <c r="AD534" s="81">
        <v>6</v>
      </c>
      <c r="AE534" s="80">
        <v>273</v>
      </c>
      <c r="AF534" s="80">
        <v>6.35</v>
      </c>
      <c r="AG534" s="108" cm="1">
        <f t="array" ref="AG534">_xll.DCEPropSectPipe(AE534, AF534, "Area")/100</f>
        <v>53.19431074856206</v>
      </c>
      <c r="AH534" s="16" cm="1">
        <f t="array" ref="AH534">_xll.DCEPropSectPipe(AE534, AF534, "Ix")/10000</f>
        <v>4730.4733077169503</v>
      </c>
      <c r="AI534" s="16" cm="1">
        <f t="array" ref="AI534">_xll.DCEPropSectPipe(AE534, AF534, "Wx")/1000</f>
        <v>346.55482107816493</v>
      </c>
      <c r="AJ534" s="108">
        <f t="shared" si="225"/>
        <v>9.4301739777164251</v>
      </c>
      <c r="AK534" s="80" t="s">
        <v>207</v>
      </c>
      <c r="AL534" s="82">
        <v>-46.220976146542938</v>
      </c>
      <c r="AM534" s="82">
        <v>-6.525053097263747</v>
      </c>
      <c r="AN534" s="82">
        <v>-1.5137084518289674</v>
      </c>
      <c r="AO534" s="82">
        <v>4.1505885749150293</v>
      </c>
      <c r="AP534" s="82">
        <v>17.891695592697189</v>
      </c>
      <c r="AQ534" s="82">
        <v>0.21969848304918019</v>
      </c>
      <c r="AR534" s="72">
        <v>1</v>
      </c>
      <c r="AS534" s="116">
        <f t="shared" si="226"/>
        <v>6</v>
      </c>
      <c r="AT534" s="82">
        <v>2</v>
      </c>
      <c r="AU534" s="6">
        <f t="shared" si="227"/>
        <v>12</v>
      </c>
      <c r="AV534" s="111">
        <f t="shared" si="228"/>
        <v>3.8014736500104326E-2</v>
      </c>
      <c r="AW534" s="117">
        <f t="shared" si="229"/>
        <v>105</v>
      </c>
      <c r="AX534" s="111">
        <f t="shared" si="230"/>
        <v>1</v>
      </c>
      <c r="AY534" s="111">
        <f t="shared" si="231"/>
        <v>1</v>
      </c>
      <c r="AZ534" s="111">
        <f t="shared" si="232"/>
        <v>1</v>
      </c>
      <c r="BA534" s="111">
        <f t="shared" si="233"/>
        <v>4.0015512105372977E-2</v>
      </c>
      <c r="BB534" s="111">
        <f t="shared" si="234"/>
        <v>5.5155927677381082E-2</v>
      </c>
      <c r="BC534" s="111">
        <f t="shared" si="235"/>
        <v>0.23775738074851863</v>
      </c>
      <c r="BD534" s="111">
        <v>0</v>
      </c>
      <c r="BE534" s="111">
        <f t="shared" si="236"/>
        <v>0.33292882053127271</v>
      </c>
      <c r="BF534" s="6" t="str">
        <f t="shared" si="237"/>
        <v>OK</v>
      </c>
      <c r="BG534" s="16">
        <f t="shared" si="238"/>
        <v>63.625549371390676</v>
      </c>
      <c r="BH534" s="118">
        <f t="shared" si="239"/>
        <v>2.1193803644775273</v>
      </c>
      <c r="BI534" s="108">
        <f t="shared" si="240"/>
        <v>1.3783636588765578</v>
      </c>
      <c r="BJ534" s="6">
        <f t="shared" si="241"/>
        <v>1.2043255675696196</v>
      </c>
      <c r="BK534" s="108">
        <f t="shared" si="242"/>
        <v>1.6599985957938479</v>
      </c>
      <c r="BL534" s="118" cm="1">
        <f t="array" ref="BL534">IF(AO534=0,FactorPhi7121(BH534,"a"),noisuy2chieu(BK534,BH534,Data!$A$63:$M$85))</f>
        <v>0</v>
      </c>
      <c r="BM534" s="111">
        <v>1.26</v>
      </c>
      <c r="BN534" s="118">
        <f t="shared" si="243"/>
        <v>0.98292464280701608</v>
      </c>
      <c r="BO534" s="108" t="e">
        <f t="shared" si="244"/>
        <v>#DIV/0!</v>
      </c>
      <c r="BP534" s="6" t="e">
        <f t="shared" si="245"/>
        <v>#DIV/0!</v>
      </c>
      <c r="BQ534" s="16">
        <f t="shared" si="246"/>
        <v>127.25109874278135</v>
      </c>
      <c r="BR534" s="118">
        <f t="shared" si="247"/>
        <v>4.2387607289550546</v>
      </c>
      <c r="BS534" s="108">
        <f t="shared" si="248"/>
        <v>5.9416303388153926</v>
      </c>
      <c r="BT534" s="118">
        <f t="shared" si="249"/>
        <v>1.1000000000000001</v>
      </c>
      <c r="BU534" s="108">
        <f t="shared" si="250"/>
        <v>6.5357933726969319</v>
      </c>
      <c r="BV534" s="6" cm="1">
        <f t="array" ref="BV534">IF(AP534=0,FactorPhi7121(BR534,"a"),noisuy2chieu(BU534,BR534,Data!$A$63:$M$85))</f>
        <v>0</v>
      </c>
      <c r="BW534" s="111">
        <v>1.26</v>
      </c>
      <c r="BX534" s="111">
        <f t="shared" si="251"/>
        <v>0.93169857122806432</v>
      </c>
      <c r="BY534" s="113" t="e">
        <f t="shared" si="252"/>
        <v>#DIV/0!</v>
      </c>
      <c r="BZ534" s="6" t="e">
        <f t="shared" si="253"/>
        <v>#DIV/0!</v>
      </c>
      <c r="CA534" s="114">
        <f t="shared" si="254"/>
        <v>127.25109874278135</v>
      </c>
      <c r="CB534" s="115" t="e">
        <f t="shared" si="255"/>
        <v>#DIV/0!</v>
      </c>
      <c r="CC534" s="6" t="e">
        <f t="shared" si="256"/>
        <v>#DIV/0!</v>
      </c>
    </row>
    <row r="535" spans="27:81">
      <c r="AA535" s="79" t="s">
        <v>175</v>
      </c>
      <c r="AB535" s="80" t="s">
        <v>205</v>
      </c>
      <c r="AC535" s="81">
        <v>5.48</v>
      </c>
      <c r="AD535" s="81">
        <v>6</v>
      </c>
      <c r="AE535" s="80">
        <v>273</v>
      </c>
      <c r="AF535" s="80">
        <v>6.35</v>
      </c>
      <c r="AG535" s="108" cm="1">
        <f t="array" ref="AG535">_xll.DCEPropSectPipe(AE535, AF535, "Area")/100</f>
        <v>53.19431074856206</v>
      </c>
      <c r="AH535" s="16" cm="1">
        <f t="array" ref="AH535">_xll.DCEPropSectPipe(AE535, AF535, "Ix")/10000</f>
        <v>4730.4733077169503</v>
      </c>
      <c r="AI535" s="16" cm="1">
        <f t="array" ref="AI535">_xll.DCEPropSectPipe(AE535, AF535, "Wx")/1000</f>
        <v>346.55482107816493</v>
      </c>
      <c r="AJ535" s="108">
        <f t="shared" si="225"/>
        <v>9.4301739777164251</v>
      </c>
      <c r="AK535" s="80" t="s">
        <v>207</v>
      </c>
      <c r="AL535" s="82">
        <v>-44.87371579781091</v>
      </c>
      <c r="AM535" s="82">
        <v>-6.525053097263747</v>
      </c>
      <c r="AN535" s="82">
        <v>-1.5137084518289674</v>
      </c>
      <c r="AO535" s="82">
        <v>8.3011771498300586</v>
      </c>
      <c r="AP535" s="82">
        <v>35.783391185394379</v>
      </c>
      <c r="AQ535" s="82">
        <v>0.21969848304918019</v>
      </c>
      <c r="AR535" s="72">
        <v>1</v>
      </c>
      <c r="AS535" s="116">
        <f t="shared" si="226"/>
        <v>6</v>
      </c>
      <c r="AT535" s="82">
        <v>2</v>
      </c>
      <c r="AU535" s="6">
        <f t="shared" si="227"/>
        <v>12</v>
      </c>
      <c r="AV535" s="111">
        <f t="shared" si="228"/>
        <v>3.6906673637223449E-2</v>
      </c>
      <c r="AW535" s="117">
        <f t="shared" si="229"/>
        <v>105</v>
      </c>
      <c r="AX535" s="111">
        <f t="shared" si="230"/>
        <v>1</v>
      </c>
      <c r="AY535" s="111">
        <f t="shared" si="231"/>
        <v>1</v>
      </c>
      <c r="AZ535" s="111">
        <f t="shared" si="232"/>
        <v>1</v>
      </c>
      <c r="BA535" s="111">
        <f t="shared" si="233"/>
        <v>3.8849130144445743E-2</v>
      </c>
      <c r="BB535" s="111">
        <f t="shared" si="234"/>
        <v>0.11031185535476216</v>
      </c>
      <c r="BC535" s="111">
        <f t="shared" si="235"/>
        <v>0.47551476149703725</v>
      </c>
      <c r="BD535" s="111">
        <v>0</v>
      </c>
      <c r="BE535" s="111">
        <f t="shared" si="236"/>
        <v>0.62467574699624517</v>
      </c>
      <c r="BF535" s="6" t="str">
        <f t="shared" si="237"/>
        <v>OK</v>
      </c>
      <c r="BG535" s="16">
        <f t="shared" si="238"/>
        <v>63.625549371390676</v>
      </c>
      <c r="BH535" s="118">
        <f t="shared" si="239"/>
        <v>2.1193803644775273</v>
      </c>
      <c r="BI535" s="108">
        <f t="shared" si="240"/>
        <v>2.8394935728189905</v>
      </c>
      <c r="BJ535" s="6">
        <f t="shared" si="241"/>
        <v>1.1622359723681013</v>
      </c>
      <c r="BK535" s="108">
        <f t="shared" si="242"/>
        <v>3.3001615736382535</v>
      </c>
      <c r="BL535" s="118" cm="1">
        <f t="array" ref="BL535">IF(AO535=0,FactorPhi7121(BH535,"a"),noisuy2chieu(BK535,BH535,Data!$A$63:$M$85))</f>
        <v>0</v>
      </c>
      <c r="BM535" s="111">
        <v>1.26</v>
      </c>
      <c r="BN535" s="118">
        <f t="shared" si="243"/>
        <v>0.98342235950632606</v>
      </c>
      <c r="BO535" s="108" t="e">
        <f t="shared" si="244"/>
        <v>#DIV/0!</v>
      </c>
      <c r="BP535" s="6" t="e">
        <f t="shared" si="245"/>
        <v>#DIV/0!</v>
      </c>
      <c r="BQ535" s="16">
        <f t="shared" si="246"/>
        <v>127.25109874278135</v>
      </c>
      <c r="BR535" s="118">
        <f t="shared" si="247"/>
        <v>4.2387607289550546</v>
      </c>
      <c r="BS535" s="108">
        <f t="shared" si="248"/>
        <v>12.240036256385052</v>
      </c>
      <c r="BT535" s="118">
        <f t="shared" si="249"/>
        <v>1.1000000000000001</v>
      </c>
      <c r="BU535" s="108">
        <f t="shared" si="250"/>
        <v>13.464039882023558</v>
      </c>
      <c r="BV535" s="6" cm="1">
        <f t="array" ref="BV535">IF(AP535=0,FactorPhi7121(BR535,"a"),noisuy2chieu(BU535,BR535,Data!$A$63:$M$85))</f>
        <v>0</v>
      </c>
      <c r="BW535" s="111">
        <v>1.26</v>
      </c>
      <c r="BX535" s="111">
        <f t="shared" si="251"/>
        <v>0.93368943802530435</v>
      </c>
      <c r="BY535" s="113" t="e">
        <f t="shared" si="252"/>
        <v>#DIV/0!</v>
      </c>
      <c r="BZ535" s="6" t="e">
        <f t="shared" si="253"/>
        <v>#DIV/0!</v>
      </c>
      <c r="CA535" s="114">
        <f t="shared" si="254"/>
        <v>127.25109874278135</v>
      </c>
      <c r="CB535" s="115" t="e">
        <f t="shared" si="255"/>
        <v>#DIV/0!</v>
      </c>
      <c r="CC535" s="6" t="e">
        <f t="shared" si="256"/>
        <v>#DIV/0!</v>
      </c>
    </row>
    <row r="536" spans="27:81">
      <c r="AA536" s="79" t="s">
        <v>175</v>
      </c>
      <c r="AB536" s="80" t="s">
        <v>205</v>
      </c>
      <c r="AC536" s="81">
        <v>0</v>
      </c>
      <c r="AD536" s="81">
        <v>6</v>
      </c>
      <c r="AE536" s="80">
        <v>273</v>
      </c>
      <c r="AF536" s="80">
        <v>6.35</v>
      </c>
      <c r="AG536" s="108" cm="1">
        <f t="array" ref="AG536">_xll.DCEPropSectPipe(AE536, AF536, "Area")/100</f>
        <v>53.19431074856206</v>
      </c>
      <c r="AH536" s="16" cm="1">
        <f t="array" ref="AH536">_xll.DCEPropSectPipe(AE536, AF536, "Ix")/10000</f>
        <v>4730.4733077169503</v>
      </c>
      <c r="AI536" s="16" cm="1">
        <f t="array" ref="AI536">_xll.DCEPropSectPipe(AE536, AF536, "Wx")/1000</f>
        <v>346.55482107816493</v>
      </c>
      <c r="AJ536" s="108">
        <f t="shared" ref="AJ536:AJ568" si="257">SQRT(AH536/AG536)</f>
        <v>9.4301739777164251</v>
      </c>
      <c r="AK536" s="80" t="s">
        <v>208</v>
      </c>
      <c r="AL536" s="82">
        <v>-38.456710473877067</v>
      </c>
      <c r="AM536" s="82">
        <v>-6.587752596817225</v>
      </c>
      <c r="AN536" s="82">
        <v>-1.4298377094755228</v>
      </c>
      <c r="AO536" s="82">
        <v>0</v>
      </c>
      <c r="AP536" s="82">
        <v>0</v>
      </c>
      <c r="AQ536" s="82">
        <v>0.18935853043782444</v>
      </c>
      <c r="AR536" s="72">
        <v>1</v>
      </c>
      <c r="AS536" s="116">
        <f t="shared" ref="AS536:AS568" si="258">AR536*AD536</f>
        <v>6</v>
      </c>
      <c r="AT536" s="82">
        <v>2</v>
      </c>
      <c r="AU536" s="6">
        <f t="shared" ref="AU536:AU568" si="259">AT536*AD536</f>
        <v>12</v>
      </c>
      <c r="AV536" s="111">
        <f t="shared" ref="AV536:AV568" si="260">ABS(AL536)/(AG536*$F$23)*10</f>
        <v>3.1628966698804391E-2</v>
      </c>
      <c r="AW536" s="117">
        <f t="shared" ref="AW536:AW568" si="261">IF(AV536&gt;0.1,104,105)</f>
        <v>105</v>
      </c>
      <c r="AX536" s="111">
        <f t="shared" ref="AX536:AX568" si="262">IF(AW536=104,1.5,1)</f>
        <v>1</v>
      </c>
      <c r="AY536" s="111">
        <f t="shared" ref="AY536:AY568" si="263">IF(AW536=104,1.26,1)</f>
        <v>1</v>
      </c>
      <c r="AZ536" s="111">
        <f t="shared" ref="AZ536:AZ568" si="264">IF(AW536=104,1.26,1)</f>
        <v>1</v>
      </c>
      <c r="BA536" s="111">
        <f t="shared" ref="BA536:BA568" si="265">(ABS(AL536)/(AG536*$F$23*$I$23)*10)^AX536</f>
        <v>3.3293649156636206E-2</v>
      </c>
      <c r="BB536" s="111">
        <f t="shared" ref="BB536:BB568" si="266">ABS(AO536)/(AY536*AI536*$F$23*$I$23)*1000</f>
        <v>0</v>
      </c>
      <c r="BC536" s="111">
        <f t="shared" ref="BC536:BC568" si="267">ABS(AP536)/(AZ536*AI536*$F$23*$I$23)*1000</f>
        <v>0</v>
      </c>
      <c r="BD536" s="111">
        <v>0</v>
      </c>
      <c r="BE536" s="111">
        <f t="shared" ref="BE536:BE568" si="268">BA536+BB536+BC536+BD536</f>
        <v>3.3293649156636206E-2</v>
      </c>
      <c r="BF536" s="6" t="str">
        <f t="shared" ref="BF536:BF568" si="269">IF(BE536&lt;=1,"OK","Check")</f>
        <v>OK</v>
      </c>
      <c r="BG536" s="16">
        <f t="shared" ref="BG536:BG568" si="270">AS536*100/AJ536</f>
        <v>63.625549371390676</v>
      </c>
      <c r="BH536" s="118">
        <f t="shared" ref="BH536:BH568" si="271">BG536*SQRT($F$23/$D$23)</f>
        <v>2.1193803644775273</v>
      </c>
      <c r="BI536" s="108">
        <f t="shared" ref="BI536:BI568" si="272">ABS((AO536/AL536)*100*AG536/AI536)</f>
        <v>0</v>
      </c>
      <c r="BJ536" s="6">
        <f t="shared" ref="BJ536:BJ568" si="273">IF(AND(BH536&lt;=5,BI536&lt;=5),(1.35-0.05*BI536)-0.01*(5-BI536)*BH536,1.1)</f>
        <v>1.2440309817761237</v>
      </c>
      <c r="BK536" s="108">
        <f t="shared" ref="BK536:BK568" si="274">BI536*BJ536</f>
        <v>0</v>
      </c>
      <c r="BL536" s="118" cm="1">
        <f t="array" ref="BL536">IF(AO536=0,FactorPhi7121(BH536,"a"),noisuy2chieu(BK536,BH536,Data!$A$63:$M$85))</f>
        <v>0.86214274110469236</v>
      </c>
      <c r="BM536" s="111">
        <v>1.26</v>
      </c>
      <c r="BN536" s="118">
        <f t="shared" ref="BN536:BN568" si="275">IF(BH536&lt;=1,1,1-0.1*ABS(AL536)*BH536^2/(AG536*$F$23)*10)</f>
        <v>0.9857929857273745</v>
      </c>
      <c r="BO536" s="108">
        <f t="shared" ref="BO536:BO568" si="276">ABS(AL536)/(BV536*AG536*$F$23*$I$23)*10+ABS(AO536)*1000/(BM536*BN536*AI536*$F$23*$I$23)</f>
        <v>7.8709228488540589E-2</v>
      </c>
      <c r="BP536" s="6" t="str">
        <f t="shared" ref="BP536:BP568" si="277">IF(BO536&lt;=1,"OK","Check")</f>
        <v>OK</v>
      </c>
      <c r="BQ536" s="16">
        <f t="shared" ref="BQ536:BQ568" si="278">AU536*100/AJ536</f>
        <v>127.25109874278135</v>
      </c>
      <c r="BR536" s="118">
        <f t="shared" ref="BR536:BR568" si="279">BQ536*SQRT($F$23/$D$23)</f>
        <v>4.2387607289550546</v>
      </c>
      <c r="BS536" s="108">
        <f t="shared" ref="BS536:BS568" si="280">ABS((AP536/AL536)*100*AG536/AI536)</f>
        <v>0</v>
      </c>
      <c r="BT536" s="118">
        <f t="shared" ref="BT536:BT568" si="281">IF(AND(BR536&lt;=5,BS536&lt;=5),(1.35-0.05*BS536)-0.01*(5-BS536)*BR536,1.1)</f>
        <v>1.1380619635522473</v>
      </c>
      <c r="BU536" s="108">
        <f t="shared" ref="BU536:BU568" si="282">BS536*BT536</f>
        <v>0</v>
      </c>
      <c r="BV536" s="6" cm="1">
        <f t="array" ref="BV536">IF(AP536=0,FactorPhi7121(BR536,"a"),noisuy2chieu(BU536,BR536,Data!$A$63:$M$85))</f>
        <v>0.42299549615688942</v>
      </c>
      <c r="BW536" s="111">
        <v>1.26</v>
      </c>
      <c r="BX536" s="111">
        <f t="shared" ref="BX536:BX568" si="283">IF(BR536&lt;=1,1,1-0.1*ABS(AL536)*BR536^2/(AG536*$F$23)*10)</f>
        <v>0.94317194290949813</v>
      </c>
      <c r="BY536" s="113">
        <f t="shared" ref="BY536:BY568" si="284">ABS(AL536)/(BL536*AG536*$F$23*$I$23)*10+ABS(AP536)*1000/(BW536*BX536*AI536*$F$23*$I$23)</f>
        <v>3.8617328163055617E-2</v>
      </c>
      <c r="BZ536" s="6" t="str">
        <f t="shared" ref="BZ536:BZ568" si="285">IF(BY536&lt;=1,"OK","Check")</f>
        <v>OK</v>
      </c>
      <c r="CA536" s="114">
        <f t="shared" ref="CA536:CA568" si="286">MAX(BG536,BQ536)</f>
        <v>127.25109874278135</v>
      </c>
      <c r="CB536" s="115">
        <f t="shared" ref="CB536:CB568" si="287">180-60*MAX(ABS(AL536)/(BV536*AG536*$F$23*$I$23)*10,ABS(AL536)/(BL536*AG536*$F$23*$I$23)*10,0.5)</f>
        <v>150</v>
      </c>
      <c r="CC536" s="6" t="str">
        <f t="shared" ref="CC536:CC568" si="288">IF(CA536&lt;=CB536,"OK","Check")</f>
        <v>OK</v>
      </c>
    </row>
    <row r="537" spans="27:81">
      <c r="AA537" s="79" t="s">
        <v>175</v>
      </c>
      <c r="AB537" s="80" t="s">
        <v>205</v>
      </c>
      <c r="AC537" s="81">
        <v>2.74</v>
      </c>
      <c r="AD537" s="81">
        <v>6</v>
      </c>
      <c r="AE537" s="80">
        <v>273</v>
      </c>
      <c r="AF537" s="80">
        <v>6.35</v>
      </c>
      <c r="AG537" s="108" cm="1">
        <f t="array" ref="AG537">_xll.DCEPropSectPipe(AE537, AF537, "Area")/100</f>
        <v>53.19431074856206</v>
      </c>
      <c r="AH537" s="16" cm="1">
        <f t="array" ref="AH537">_xll.DCEPropSectPipe(AE537, AF537, "Ix")/10000</f>
        <v>4730.4733077169503</v>
      </c>
      <c r="AI537" s="16" cm="1">
        <f t="array" ref="AI537">_xll.DCEPropSectPipe(AE537, AF537, "Wx")/1000</f>
        <v>346.55482107816493</v>
      </c>
      <c r="AJ537" s="108">
        <f t="shared" si="257"/>
        <v>9.4301739777164251</v>
      </c>
      <c r="AK537" s="80" t="s">
        <v>208</v>
      </c>
      <c r="AL537" s="82">
        <v>-37.109450125145038</v>
      </c>
      <c r="AM537" s="82">
        <v>-6.587752596817225</v>
      </c>
      <c r="AN537" s="82">
        <v>-1.4298377094755228</v>
      </c>
      <c r="AO537" s="82">
        <v>3.9206149993818831</v>
      </c>
      <c r="AP537" s="82">
        <v>18.063617620472833</v>
      </c>
      <c r="AQ537" s="82">
        <v>0.18935853043782444</v>
      </c>
      <c r="AR537" s="72">
        <v>1</v>
      </c>
      <c r="AS537" s="116">
        <f t="shared" si="258"/>
        <v>6</v>
      </c>
      <c r="AT537" s="82">
        <v>2</v>
      </c>
      <c r="AU537" s="6">
        <f t="shared" si="259"/>
        <v>12</v>
      </c>
      <c r="AV537" s="111">
        <f t="shared" si="260"/>
        <v>3.0520903835923523E-2</v>
      </c>
      <c r="AW537" s="117">
        <f t="shared" si="261"/>
        <v>105</v>
      </c>
      <c r="AX537" s="111">
        <f t="shared" si="262"/>
        <v>1</v>
      </c>
      <c r="AY537" s="111">
        <f t="shared" si="263"/>
        <v>1</v>
      </c>
      <c r="AZ537" s="111">
        <f t="shared" si="264"/>
        <v>1</v>
      </c>
      <c r="BA537" s="111">
        <f t="shared" si="265"/>
        <v>3.2127267195708971E-2</v>
      </c>
      <c r="BB537" s="111">
        <f t="shared" si="266"/>
        <v>5.2099877753166504E-2</v>
      </c>
      <c r="BC537" s="111">
        <f t="shared" si="267"/>
        <v>0.2400420010521189</v>
      </c>
      <c r="BD537" s="111">
        <v>0</v>
      </c>
      <c r="BE537" s="111">
        <f t="shared" si="268"/>
        <v>0.32426914600099438</v>
      </c>
      <c r="BF537" s="6" t="str">
        <f t="shared" si="269"/>
        <v>OK</v>
      </c>
      <c r="BG537" s="16">
        <f t="shared" si="270"/>
        <v>63.625549371390676</v>
      </c>
      <c r="BH537" s="118">
        <f t="shared" si="271"/>
        <v>2.1193803644775273</v>
      </c>
      <c r="BI537" s="108">
        <f t="shared" si="272"/>
        <v>1.6216716297651719</v>
      </c>
      <c r="BJ537" s="6">
        <f t="shared" si="273"/>
        <v>1.1973167903854107</v>
      </c>
      <c r="BK537" s="108">
        <f t="shared" si="274"/>
        <v>1.9416546708095137</v>
      </c>
      <c r="BL537" s="118" cm="1">
        <f t="array" ref="BL537">IF(AO537=0,FactorPhi7121(BH537,"a"),noisuy2chieu(BK537,BH537,Data!$A$63:$M$85))</f>
        <v>0</v>
      </c>
      <c r="BM537" s="111">
        <v>1.26</v>
      </c>
      <c r="BN537" s="118">
        <f t="shared" si="275"/>
        <v>0.98629070242668448</v>
      </c>
      <c r="BO537" s="108" t="e">
        <f t="shared" si="276"/>
        <v>#DIV/0!</v>
      </c>
      <c r="BP537" s="6" t="e">
        <f t="shared" si="277"/>
        <v>#DIV/0!</v>
      </c>
      <c r="BQ537" s="16">
        <f t="shared" si="278"/>
        <v>127.25109874278135</v>
      </c>
      <c r="BR537" s="118">
        <f t="shared" si="279"/>
        <v>4.2387607289550546</v>
      </c>
      <c r="BS537" s="108">
        <f t="shared" si="280"/>
        <v>7.4715972444795966</v>
      </c>
      <c r="BT537" s="118">
        <f t="shared" si="281"/>
        <v>1.1000000000000001</v>
      </c>
      <c r="BU537" s="108">
        <f t="shared" si="282"/>
        <v>8.2187569689275577</v>
      </c>
      <c r="BV537" s="6" cm="1">
        <f t="array" ref="BV537">IF(AP537=0,FactorPhi7121(BR537,"a"),noisuy2chieu(BU537,BR537,Data!$A$63:$M$85))</f>
        <v>0</v>
      </c>
      <c r="BW537" s="111">
        <v>1.26</v>
      </c>
      <c r="BX537" s="111">
        <f t="shared" si="283"/>
        <v>0.94516280970673816</v>
      </c>
      <c r="BY537" s="113" t="e">
        <f t="shared" si="284"/>
        <v>#DIV/0!</v>
      </c>
      <c r="BZ537" s="6" t="e">
        <f t="shared" si="285"/>
        <v>#DIV/0!</v>
      </c>
      <c r="CA537" s="114">
        <f t="shared" si="286"/>
        <v>127.25109874278135</v>
      </c>
      <c r="CB537" s="115" t="e">
        <f t="shared" si="287"/>
        <v>#DIV/0!</v>
      </c>
      <c r="CC537" s="6" t="e">
        <f t="shared" si="288"/>
        <v>#DIV/0!</v>
      </c>
    </row>
    <row r="538" spans="27:81">
      <c r="AA538" s="79" t="s">
        <v>175</v>
      </c>
      <c r="AB538" s="80" t="s">
        <v>205</v>
      </c>
      <c r="AC538" s="81">
        <v>5.48</v>
      </c>
      <c r="AD538" s="81">
        <v>6</v>
      </c>
      <c r="AE538" s="80">
        <v>273</v>
      </c>
      <c r="AF538" s="80">
        <v>6.35</v>
      </c>
      <c r="AG538" s="108" cm="1">
        <f t="array" ref="AG538">_xll.DCEPropSectPipe(AE538, AF538, "Area")/100</f>
        <v>53.19431074856206</v>
      </c>
      <c r="AH538" s="16" cm="1">
        <f t="array" ref="AH538">_xll.DCEPropSectPipe(AE538, AF538, "Ix")/10000</f>
        <v>4730.4733077169503</v>
      </c>
      <c r="AI538" s="16" cm="1">
        <f t="array" ref="AI538">_xll.DCEPropSectPipe(AE538, AF538, "Wx")/1000</f>
        <v>346.55482107816493</v>
      </c>
      <c r="AJ538" s="108">
        <f t="shared" si="257"/>
        <v>9.4301739777164251</v>
      </c>
      <c r="AK538" s="80" t="s">
        <v>208</v>
      </c>
      <c r="AL538" s="82">
        <v>-35.762189776413003</v>
      </c>
      <c r="AM538" s="82">
        <v>-6.587752596817225</v>
      </c>
      <c r="AN538" s="82">
        <v>-1.4298377094755228</v>
      </c>
      <c r="AO538" s="82">
        <v>7.8412299987637661</v>
      </c>
      <c r="AP538" s="82">
        <v>36.127235240945666</v>
      </c>
      <c r="AQ538" s="82">
        <v>0.18935853043782444</v>
      </c>
      <c r="AR538" s="72">
        <v>1</v>
      </c>
      <c r="AS538" s="116">
        <f t="shared" si="258"/>
        <v>6</v>
      </c>
      <c r="AT538" s="82">
        <v>2</v>
      </c>
      <c r="AU538" s="6">
        <f t="shared" si="259"/>
        <v>12</v>
      </c>
      <c r="AV538" s="111">
        <f t="shared" si="260"/>
        <v>2.9412840973042646E-2</v>
      </c>
      <c r="AW538" s="117">
        <f t="shared" si="261"/>
        <v>105</v>
      </c>
      <c r="AX538" s="111">
        <f t="shared" si="262"/>
        <v>1</v>
      </c>
      <c r="AY538" s="111">
        <f t="shared" si="263"/>
        <v>1</v>
      </c>
      <c r="AZ538" s="111">
        <f t="shared" si="264"/>
        <v>1</v>
      </c>
      <c r="BA538" s="111">
        <f t="shared" si="265"/>
        <v>3.0960885234781736E-2</v>
      </c>
      <c r="BB538" s="111">
        <f t="shared" si="266"/>
        <v>0.10419975550633301</v>
      </c>
      <c r="BC538" s="111">
        <f t="shared" si="267"/>
        <v>0.48008400210423779</v>
      </c>
      <c r="BD538" s="111">
        <v>0</v>
      </c>
      <c r="BE538" s="111">
        <f t="shared" si="268"/>
        <v>0.61524464284535252</v>
      </c>
      <c r="BF538" s="6" t="str">
        <f t="shared" si="269"/>
        <v>OK</v>
      </c>
      <c r="BG538" s="16">
        <f t="shared" si="270"/>
        <v>63.625549371390676</v>
      </c>
      <c r="BH538" s="118">
        <f t="shared" si="271"/>
        <v>2.1193803644775273</v>
      </c>
      <c r="BI538" s="108">
        <f t="shared" si="272"/>
        <v>3.3655289477729178</v>
      </c>
      <c r="BJ538" s="6">
        <f t="shared" si="273"/>
        <v>1.1470828940673843</v>
      </c>
      <c r="BK538" s="108">
        <f t="shared" si="274"/>
        <v>3.860540685478917</v>
      </c>
      <c r="BL538" s="118" cm="1">
        <f t="array" ref="BL538">IF(AO538=0,FactorPhi7121(BH538,"a"),noisuy2chieu(BK538,BH538,Data!$A$63:$M$85))</f>
        <v>0</v>
      </c>
      <c r="BM538" s="111">
        <v>1.26</v>
      </c>
      <c r="BN538" s="118">
        <f t="shared" si="275"/>
        <v>0.98678841912599458</v>
      </c>
      <c r="BO538" s="108" t="e">
        <f t="shared" si="276"/>
        <v>#DIV/0!</v>
      </c>
      <c r="BP538" s="6" t="e">
        <f t="shared" si="277"/>
        <v>#DIV/0!</v>
      </c>
      <c r="BQ538" s="16">
        <f t="shared" si="278"/>
        <v>127.25109874278135</v>
      </c>
      <c r="BR538" s="118">
        <f t="shared" si="279"/>
        <v>4.2387607289550546</v>
      </c>
      <c r="BS538" s="108">
        <f t="shared" si="280"/>
        <v>15.506145850277793</v>
      </c>
      <c r="BT538" s="118">
        <f t="shared" si="281"/>
        <v>1.1000000000000001</v>
      </c>
      <c r="BU538" s="108">
        <f t="shared" si="282"/>
        <v>17.056760435305574</v>
      </c>
      <c r="BV538" s="6" cm="1">
        <f t="array" ref="BV538">IF(AP538=0,FactorPhi7121(BR538,"a"),noisuy2chieu(BU538,BR538,Data!$A$63:$M$85))</f>
        <v>0</v>
      </c>
      <c r="BW538" s="111">
        <v>1.26</v>
      </c>
      <c r="BX538" s="111">
        <f t="shared" si="283"/>
        <v>0.94715367650397819</v>
      </c>
      <c r="BY538" s="113" t="e">
        <f t="shared" si="284"/>
        <v>#DIV/0!</v>
      </c>
      <c r="BZ538" s="6" t="e">
        <f t="shared" si="285"/>
        <v>#DIV/0!</v>
      </c>
      <c r="CA538" s="114">
        <f t="shared" si="286"/>
        <v>127.25109874278135</v>
      </c>
      <c r="CB538" s="115" t="e">
        <f t="shared" si="287"/>
        <v>#DIV/0!</v>
      </c>
      <c r="CC538" s="6" t="e">
        <f t="shared" si="288"/>
        <v>#DIV/0!</v>
      </c>
    </row>
    <row r="539" spans="27:81">
      <c r="AA539" s="79" t="s">
        <v>175</v>
      </c>
      <c r="AB539" s="80" t="s">
        <v>205</v>
      </c>
      <c r="AC539" s="81">
        <v>0</v>
      </c>
      <c r="AD539" s="81">
        <v>6</v>
      </c>
      <c r="AE539" s="80">
        <v>273</v>
      </c>
      <c r="AF539" s="80">
        <v>6.35</v>
      </c>
      <c r="AG539" s="108" cm="1">
        <f t="array" ref="AG539">_xll.DCEPropSectPipe(AE539, AF539, "Area")/100</f>
        <v>53.19431074856206</v>
      </c>
      <c r="AH539" s="16" cm="1">
        <f t="array" ref="AH539">_xll.DCEPropSectPipe(AE539, AF539, "Ix")/10000</f>
        <v>4730.4733077169503</v>
      </c>
      <c r="AI539" s="16" cm="1">
        <f t="array" ref="AI539">_xll.DCEPropSectPipe(AE539, AF539, "Wx")/1000</f>
        <v>346.55482107816493</v>
      </c>
      <c r="AJ539" s="108">
        <f t="shared" si="257"/>
        <v>9.4301739777164251</v>
      </c>
      <c r="AK539" s="80" t="s">
        <v>209</v>
      </c>
      <c r="AL539" s="82">
        <v>8.6313834976985078</v>
      </c>
      <c r="AM539" s="82">
        <v>1.3279148170885302</v>
      </c>
      <c r="AN539" s="82">
        <v>0.18496918792048275</v>
      </c>
      <c r="AO539" s="82">
        <v>0</v>
      </c>
      <c r="AP539" s="82">
        <v>0</v>
      </c>
      <c r="AQ539" s="82">
        <v>-0.10858967233428463</v>
      </c>
      <c r="AR539" s="72">
        <v>1</v>
      </c>
      <c r="AS539" s="116">
        <f t="shared" si="258"/>
        <v>6</v>
      </c>
      <c r="AT539" s="82">
        <v>2</v>
      </c>
      <c r="AU539" s="6">
        <f t="shared" si="259"/>
        <v>12</v>
      </c>
      <c r="AV539" s="111">
        <f t="shared" si="260"/>
        <v>7.0989363845553278E-3</v>
      </c>
      <c r="AW539" s="117">
        <f t="shared" si="261"/>
        <v>105</v>
      </c>
      <c r="AX539" s="111">
        <f t="shared" si="262"/>
        <v>1</v>
      </c>
      <c r="AY539" s="111">
        <f t="shared" si="263"/>
        <v>1</v>
      </c>
      <c r="AZ539" s="111">
        <f t="shared" si="264"/>
        <v>1</v>
      </c>
      <c r="BA539" s="111">
        <f t="shared" si="265"/>
        <v>7.4725646153213981E-3</v>
      </c>
      <c r="BB539" s="111">
        <f t="shared" si="266"/>
        <v>0</v>
      </c>
      <c r="BC539" s="111">
        <f t="shared" si="267"/>
        <v>0</v>
      </c>
      <c r="BD539" s="111">
        <v>0</v>
      </c>
      <c r="BE539" s="111">
        <f t="shared" si="268"/>
        <v>7.4725646153213981E-3</v>
      </c>
      <c r="BF539" s="6" t="str">
        <f t="shared" si="269"/>
        <v>OK</v>
      </c>
      <c r="BG539" s="16">
        <f t="shared" si="270"/>
        <v>63.625549371390676</v>
      </c>
      <c r="BH539" s="118">
        <f t="shared" si="271"/>
        <v>2.1193803644775273</v>
      </c>
      <c r="BI539" s="108">
        <f t="shared" si="272"/>
        <v>0</v>
      </c>
      <c r="BJ539" s="6">
        <f t="shared" si="273"/>
        <v>1.2440309817761237</v>
      </c>
      <c r="BK539" s="108">
        <f t="shared" si="274"/>
        <v>0</v>
      </c>
      <c r="BL539" s="118" cm="1">
        <f t="array" ref="BL539">IF(AO539=0,FactorPhi7121(BH539,"a"),noisuy2chieu(BK539,BH539,Data!$A$63:$M$85))</f>
        <v>0.86214274110469236</v>
      </c>
      <c r="BM539" s="111">
        <v>1.26</v>
      </c>
      <c r="BN539" s="118">
        <f t="shared" si="275"/>
        <v>0.9968113188301011</v>
      </c>
      <c r="BO539" s="108">
        <f t="shared" si="276"/>
        <v>1.7665825483280835E-2</v>
      </c>
      <c r="BP539" s="6" t="str">
        <f t="shared" si="277"/>
        <v>OK</v>
      </c>
      <c r="BQ539" s="16">
        <f t="shared" si="278"/>
        <v>127.25109874278135</v>
      </c>
      <c r="BR539" s="118">
        <f t="shared" si="279"/>
        <v>4.2387607289550546</v>
      </c>
      <c r="BS539" s="108">
        <f t="shared" si="280"/>
        <v>0</v>
      </c>
      <c r="BT539" s="118">
        <f t="shared" si="281"/>
        <v>1.1380619635522473</v>
      </c>
      <c r="BU539" s="108">
        <f t="shared" si="282"/>
        <v>0</v>
      </c>
      <c r="BV539" s="6" cm="1">
        <f t="array" ref="BV539">IF(AP539=0,FactorPhi7121(BR539,"a"),noisuy2chieu(BU539,BR539,Data!$A$63:$M$85))</f>
        <v>0.42299549615688942</v>
      </c>
      <c r="BW539" s="111">
        <v>1.26</v>
      </c>
      <c r="BX539" s="111">
        <f t="shared" si="283"/>
        <v>0.98724527532040429</v>
      </c>
      <c r="BY539" s="113">
        <f t="shared" si="284"/>
        <v>8.6674331976008406E-3</v>
      </c>
      <c r="BZ539" s="6" t="str">
        <f t="shared" si="285"/>
        <v>OK</v>
      </c>
      <c r="CA539" s="114">
        <f t="shared" si="286"/>
        <v>127.25109874278135</v>
      </c>
      <c r="CB539" s="115">
        <f t="shared" si="287"/>
        <v>150</v>
      </c>
      <c r="CC539" s="6" t="str">
        <f t="shared" si="288"/>
        <v>OK</v>
      </c>
    </row>
    <row r="540" spans="27:81">
      <c r="AA540" s="79" t="s">
        <v>175</v>
      </c>
      <c r="AB540" s="80" t="s">
        <v>205</v>
      </c>
      <c r="AC540" s="81">
        <v>2.74</v>
      </c>
      <c r="AD540" s="81">
        <v>6</v>
      </c>
      <c r="AE540" s="80">
        <v>273</v>
      </c>
      <c r="AF540" s="80">
        <v>6.35</v>
      </c>
      <c r="AG540" s="108" cm="1">
        <f t="array" ref="AG540">_xll.DCEPropSectPipe(AE540, AF540, "Area")/100</f>
        <v>53.19431074856206</v>
      </c>
      <c r="AH540" s="16" cm="1">
        <f t="array" ref="AH540">_xll.DCEPropSectPipe(AE540, AF540, "Ix")/10000</f>
        <v>4730.4733077169503</v>
      </c>
      <c r="AI540" s="16" cm="1">
        <f t="array" ref="AI540">_xll.DCEPropSectPipe(AE540, AF540, "Wx")/1000</f>
        <v>346.55482107816493</v>
      </c>
      <c r="AJ540" s="108">
        <f t="shared" si="257"/>
        <v>9.4301739777164251</v>
      </c>
      <c r="AK540" s="80" t="s">
        <v>209</v>
      </c>
      <c r="AL540" s="82">
        <v>9.9786438464305416</v>
      </c>
      <c r="AM540" s="82">
        <v>1.3279148170885302</v>
      </c>
      <c r="AN540" s="82">
        <v>0.18496918792048275</v>
      </c>
      <c r="AO540" s="82">
        <v>-0.50718551327796335</v>
      </c>
      <c r="AP540" s="82">
        <v>-3.64114242845675</v>
      </c>
      <c r="AQ540" s="82">
        <v>-0.10858967233428463</v>
      </c>
      <c r="AR540" s="72">
        <v>1</v>
      </c>
      <c r="AS540" s="116">
        <f t="shared" si="258"/>
        <v>6</v>
      </c>
      <c r="AT540" s="82">
        <v>2</v>
      </c>
      <c r="AU540" s="6">
        <f t="shared" si="259"/>
        <v>12</v>
      </c>
      <c r="AV540" s="111">
        <f t="shared" si="260"/>
        <v>8.2069992474361995E-3</v>
      </c>
      <c r="AW540" s="117">
        <f t="shared" si="261"/>
        <v>105</v>
      </c>
      <c r="AX540" s="111">
        <f t="shared" si="262"/>
        <v>1</v>
      </c>
      <c r="AY540" s="111">
        <f t="shared" si="263"/>
        <v>1</v>
      </c>
      <c r="AZ540" s="111">
        <f t="shared" si="264"/>
        <v>1</v>
      </c>
      <c r="BA540" s="111">
        <f t="shared" si="265"/>
        <v>8.6389465762486337E-3</v>
      </c>
      <c r="BB540" s="111">
        <f t="shared" si="266"/>
        <v>6.7398362869409284E-3</v>
      </c>
      <c r="BC540" s="111">
        <f t="shared" si="267"/>
        <v>4.8386050513598691E-2</v>
      </c>
      <c r="BD540" s="111">
        <v>0</v>
      </c>
      <c r="BE540" s="111">
        <f t="shared" si="268"/>
        <v>6.376483337678826E-2</v>
      </c>
      <c r="BF540" s="6" t="str">
        <f t="shared" si="269"/>
        <v>OK</v>
      </c>
      <c r="BG540" s="16">
        <f t="shared" si="270"/>
        <v>63.625549371390676</v>
      </c>
      <c r="BH540" s="118">
        <f t="shared" si="271"/>
        <v>2.1193803644775273</v>
      </c>
      <c r="BI540" s="108">
        <f t="shared" si="272"/>
        <v>0.78016876565378968</v>
      </c>
      <c r="BJ540" s="6">
        <f t="shared" si="273"/>
        <v>1.2215572871224873</v>
      </c>
      <c r="BK540" s="108">
        <f t="shared" si="274"/>
        <v>0.95302084086974292</v>
      </c>
      <c r="BL540" s="118" cm="1">
        <f t="array" ref="BL540">IF(AO540=0,FactorPhi7121(BH540,"a"),noisuy2chieu(BK540,BH540,Data!$A$63:$M$85))</f>
        <v>0</v>
      </c>
      <c r="BM540" s="111">
        <v>1.26</v>
      </c>
      <c r="BN540" s="118">
        <f t="shared" si="275"/>
        <v>0.99631360213079112</v>
      </c>
      <c r="BO540" s="108" t="e">
        <f t="shared" si="276"/>
        <v>#DIV/0!</v>
      </c>
      <c r="BP540" s="6" t="e">
        <f t="shared" si="277"/>
        <v>#DIV/0!</v>
      </c>
      <c r="BQ540" s="16">
        <f t="shared" si="278"/>
        <v>127.25109874278135</v>
      </c>
      <c r="BR540" s="118">
        <f t="shared" si="279"/>
        <v>4.2387607289550546</v>
      </c>
      <c r="BS540" s="108">
        <f t="shared" si="280"/>
        <v>5.6009202148127883</v>
      </c>
      <c r="BT540" s="118">
        <f t="shared" si="281"/>
        <v>1.1000000000000001</v>
      </c>
      <c r="BU540" s="108">
        <f t="shared" si="282"/>
        <v>6.1610122362940674</v>
      </c>
      <c r="BV540" s="6" cm="1">
        <f t="array" ref="BV540">IF(AP540=0,FactorPhi7121(BR540,"a"),noisuy2chieu(BU540,BR540,Data!$A$63:$M$85))</f>
        <v>0</v>
      </c>
      <c r="BW540" s="111">
        <v>1.26</v>
      </c>
      <c r="BX540" s="111">
        <f t="shared" si="283"/>
        <v>0.98525440852316426</v>
      </c>
      <c r="BY540" s="113" t="e">
        <f t="shared" si="284"/>
        <v>#DIV/0!</v>
      </c>
      <c r="BZ540" s="6" t="e">
        <f t="shared" si="285"/>
        <v>#DIV/0!</v>
      </c>
      <c r="CA540" s="114">
        <f t="shared" si="286"/>
        <v>127.25109874278135</v>
      </c>
      <c r="CB540" s="115" t="e">
        <f t="shared" si="287"/>
        <v>#DIV/0!</v>
      </c>
      <c r="CC540" s="6" t="e">
        <f t="shared" si="288"/>
        <v>#DIV/0!</v>
      </c>
    </row>
    <row r="541" spans="27:81">
      <c r="AA541" s="79" t="s">
        <v>175</v>
      </c>
      <c r="AB541" s="80" t="s">
        <v>205</v>
      </c>
      <c r="AC541" s="81">
        <v>5.48</v>
      </c>
      <c r="AD541" s="81">
        <v>6</v>
      </c>
      <c r="AE541" s="80">
        <v>273</v>
      </c>
      <c r="AF541" s="80">
        <v>6.35</v>
      </c>
      <c r="AG541" s="108" cm="1">
        <f t="array" ref="AG541">_xll.DCEPropSectPipe(AE541, AF541, "Area")/100</f>
        <v>53.19431074856206</v>
      </c>
      <c r="AH541" s="16" cm="1">
        <f t="array" ref="AH541">_xll.DCEPropSectPipe(AE541, AF541, "Ix")/10000</f>
        <v>4730.4733077169503</v>
      </c>
      <c r="AI541" s="16" cm="1">
        <f t="array" ref="AI541">_xll.DCEPropSectPipe(AE541, AF541, "Wx")/1000</f>
        <v>346.55482107816493</v>
      </c>
      <c r="AJ541" s="108">
        <f t="shared" si="257"/>
        <v>9.4301739777164251</v>
      </c>
      <c r="AK541" s="80" t="s">
        <v>209</v>
      </c>
      <c r="AL541" s="82">
        <v>11.325904195162574</v>
      </c>
      <c r="AM541" s="82">
        <v>1.3279148170885302</v>
      </c>
      <c r="AN541" s="82">
        <v>0.18496918792048275</v>
      </c>
      <c r="AO541" s="82">
        <v>-1.0143710265559267</v>
      </c>
      <c r="AP541" s="82">
        <v>-7.2822848569134999</v>
      </c>
      <c r="AQ541" s="82">
        <v>-0.10858967233428463</v>
      </c>
      <c r="AR541" s="72">
        <v>1</v>
      </c>
      <c r="AS541" s="116">
        <f t="shared" si="258"/>
        <v>6</v>
      </c>
      <c r="AT541" s="82">
        <v>2</v>
      </c>
      <c r="AU541" s="6">
        <f t="shared" si="259"/>
        <v>12</v>
      </c>
      <c r="AV541" s="111">
        <f t="shared" si="260"/>
        <v>9.3150621103170739E-3</v>
      </c>
      <c r="AW541" s="117">
        <f t="shared" si="261"/>
        <v>105</v>
      </c>
      <c r="AX541" s="111">
        <f t="shared" si="262"/>
        <v>1</v>
      </c>
      <c r="AY541" s="111">
        <f t="shared" si="263"/>
        <v>1</v>
      </c>
      <c r="AZ541" s="111">
        <f t="shared" si="264"/>
        <v>1</v>
      </c>
      <c r="BA541" s="111">
        <f t="shared" si="265"/>
        <v>9.8053285371758683E-3</v>
      </c>
      <c r="BB541" s="111">
        <f t="shared" si="266"/>
        <v>1.3479672573881857E-2</v>
      </c>
      <c r="BC541" s="111">
        <f t="shared" si="267"/>
        <v>9.6772101027197382E-2</v>
      </c>
      <c r="BD541" s="111">
        <v>0</v>
      </c>
      <c r="BE541" s="111">
        <f t="shared" si="268"/>
        <v>0.1200571021382551</v>
      </c>
      <c r="BF541" s="6" t="str">
        <f t="shared" si="269"/>
        <v>OK</v>
      </c>
      <c r="BG541" s="16">
        <f t="shared" si="270"/>
        <v>63.625549371390676</v>
      </c>
      <c r="BH541" s="118">
        <f t="shared" si="271"/>
        <v>2.1193803644775273</v>
      </c>
      <c r="BI541" s="108">
        <f t="shared" si="272"/>
        <v>1.37472931404339</v>
      </c>
      <c r="BJ541" s="6">
        <f t="shared" si="273"/>
        <v>1.2044302592205065</v>
      </c>
      <c r="BK541" s="108">
        <f t="shared" si="274"/>
        <v>1.6557655840713095</v>
      </c>
      <c r="BL541" s="118" cm="1">
        <f t="array" ref="BL541">IF(AO541=0,FactorPhi7121(BH541,"a"),noisuy2chieu(BK541,BH541,Data!$A$63:$M$85))</f>
        <v>0</v>
      </c>
      <c r="BM541" s="111">
        <v>1.26</v>
      </c>
      <c r="BN541" s="118">
        <f t="shared" si="275"/>
        <v>0.99581588543148103</v>
      </c>
      <c r="BO541" s="108" t="e">
        <f t="shared" si="276"/>
        <v>#DIV/0!</v>
      </c>
      <c r="BP541" s="6" t="e">
        <f t="shared" si="277"/>
        <v>#DIV/0!</v>
      </c>
      <c r="BQ541" s="16">
        <f t="shared" si="278"/>
        <v>127.25109874278135</v>
      </c>
      <c r="BR541" s="118">
        <f t="shared" si="279"/>
        <v>4.2387607289550546</v>
      </c>
      <c r="BS541" s="108">
        <f t="shared" si="280"/>
        <v>9.8693379482692709</v>
      </c>
      <c r="BT541" s="118">
        <f t="shared" si="281"/>
        <v>1.1000000000000001</v>
      </c>
      <c r="BU541" s="108">
        <f t="shared" si="282"/>
        <v>10.856271743096199</v>
      </c>
      <c r="BV541" s="6" cm="1">
        <f t="array" ref="BV541">IF(AP541=0,FactorPhi7121(BR541,"a"),noisuy2chieu(BU541,BR541,Data!$A$63:$M$85))</f>
        <v>0</v>
      </c>
      <c r="BW541" s="111">
        <v>1.26</v>
      </c>
      <c r="BX541" s="111">
        <f t="shared" si="283"/>
        <v>0.98326354172592434</v>
      </c>
      <c r="BY541" s="113" t="e">
        <f t="shared" si="284"/>
        <v>#DIV/0!</v>
      </c>
      <c r="BZ541" s="6" t="e">
        <f t="shared" si="285"/>
        <v>#DIV/0!</v>
      </c>
      <c r="CA541" s="114">
        <f t="shared" si="286"/>
        <v>127.25109874278135</v>
      </c>
      <c r="CB541" s="115" t="e">
        <f t="shared" si="287"/>
        <v>#DIV/0!</v>
      </c>
      <c r="CC541" s="6" t="e">
        <f t="shared" si="288"/>
        <v>#DIV/0!</v>
      </c>
    </row>
    <row r="542" spans="27:81">
      <c r="AA542" s="79" t="s">
        <v>175</v>
      </c>
      <c r="AB542" s="80" t="s">
        <v>205</v>
      </c>
      <c r="AC542" s="81">
        <v>0</v>
      </c>
      <c r="AD542" s="81">
        <v>6</v>
      </c>
      <c r="AE542" s="80">
        <v>273</v>
      </c>
      <c r="AF542" s="80">
        <v>6.35</v>
      </c>
      <c r="AG542" s="108" cm="1">
        <f t="array" ref="AG542">_xll.DCEPropSectPipe(AE542, AF542, "Area")/100</f>
        <v>53.19431074856206</v>
      </c>
      <c r="AH542" s="16" cm="1">
        <f t="array" ref="AH542">_xll.DCEPropSectPipe(AE542, AF542, "Ix")/10000</f>
        <v>4730.4733077169503</v>
      </c>
      <c r="AI542" s="16" cm="1">
        <f t="array" ref="AI542">_xll.DCEPropSectPipe(AE542, AF542, "Wx")/1000</f>
        <v>346.55482107816493</v>
      </c>
      <c r="AJ542" s="108">
        <f t="shared" si="257"/>
        <v>9.4301739777164251</v>
      </c>
      <c r="AK542" s="80" t="s">
        <v>210</v>
      </c>
      <c r="AL542" s="82">
        <v>-1.3912951258391983</v>
      </c>
      <c r="AM542" s="82">
        <v>1.3968842665973569</v>
      </c>
      <c r="AN542" s="82">
        <v>9.2711371331693146E-2</v>
      </c>
      <c r="AO542" s="82">
        <v>0</v>
      </c>
      <c r="AP542" s="82">
        <v>0</v>
      </c>
      <c r="AQ542" s="82">
        <v>-7.521572446179231E-2</v>
      </c>
      <c r="AR542" s="72">
        <v>1</v>
      </c>
      <c r="AS542" s="116">
        <f t="shared" si="258"/>
        <v>6</v>
      </c>
      <c r="AT542" s="82">
        <v>2</v>
      </c>
      <c r="AU542" s="6">
        <f t="shared" si="259"/>
        <v>12</v>
      </c>
      <c r="AV542" s="111">
        <f t="shared" si="260"/>
        <v>1.1442795460435652E-3</v>
      </c>
      <c r="AW542" s="117">
        <f t="shared" si="261"/>
        <v>105</v>
      </c>
      <c r="AX542" s="111">
        <f t="shared" si="262"/>
        <v>1</v>
      </c>
      <c r="AY542" s="111">
        <f t="shared" si="263"/>
        <v>1</v>
      </c>
      <c r="AZ542" s="111">
        <f t="shared" si="264"/>
        <v>1</v>
      </c>
      <c r="BA542" s="111">
        <f t="shared" si="265"/>
        <v>1.2045047853090161E-3</v>
      </c>
      <c r="BB542" s="111">
        <f t="shared" si="266"/>
        <v>0</v>
      </c>
      <c r="BC542" s="111">
        <f t="shared" si="267"/>
        <v>0</v>
      </c>
      <c r="BD542" s="111">
        <v>0</v>
      </c>
      <c r="BE542" s="111">
        <f t="shared" si="268"/>
        <v>1.2045047853090161E-3</v>
      </c>
      <c r="BF542" s="6" t="str">
        <f t="shared" si="269"/>
        <v>OK</v>
      </c>
      <c r="BG542" s="16">
        <f t="shared" si="270"/>
        <v>63.625549371390676</v>
      </c>
      <c r="BH542" s="118">
        <f t="shared" si="271"/>
        <v>2.1193803644775273</v>
      </c>
      <c r="BI542" s="108">
        <f t="shared" si="272"/>
        <v>0</v>
      </c>
      <c r="BJ542" s="6">
        <f t="shared" si="273"/>
        <v>1.2440309817761237</v>
      </c>
      <c r="BK542" s="108">
        <f t="shared" si="274"/>
        <v>0</v>
      </c>
      <c r="BL542" s="118" cm="1">
        <f t="array" ref="BL542">IF(AO542=0,FactorPhi7121(BH542,"a"),noisuy2chieu(BK542,BH542,Data!$A$63:$M$85))</f>
        <v>0.86214274110469236</v>
      </c>
      <c r="BM542" s="111">
        <v>1.26</v>
      </c>
      <c r="BN542" s="118">
        <f t="shared" si="275"/>
        <v>0.99948601558826367</v>
      </c>
      <c r="BO542" s="108">
        <f t="shared" si="276"/>
        <v>2.8475593623395559E-3</v>
      </c>
      <c r="BP542" s="6" t="str">
        <f t="shared" si="277"/>
        <v>OK</v>
      </c>
      <c r="BQ542" s="16">
        <f t="shared" si="278"/>
        <v>127.25109874278135</v>
      </c>
      <c r="BR542" s="118">
        <f t="shared" si="279"/>
        <v>4.2387607289550546</v>
      </c>
      <c r="BS542" s="108">
        <f t="shared" si="280"/>
        <v>0</v>
      </c>
      <c r="BT542" s="118">
        <f t="shared" si="281"/>
        <v>1.1380619635522473</v>
      </c>
      <c r="BU542" s="108">
        <f t="shared" si="282"/>
        <v>0</v>
      </c>
      <c r="BV542" s="6" cm="1">
        <f t="array" ref="BV542">IF(AP542=0,FactorPhi7121(BR542,"a"),noisuy2chieu(BU542,BR542,Data!$A$63:$M$85))</f>
        <v>0.42299549615688942</v>
      </c>
      <c r="BW542" s="111">
        <v>1.26</v>
      </c>
      <c r="BX542" s="111">
        <f t="shared" si="283"/>
        <v>0.99794406235305455</v>
      </c>
      <c r="BY542" s="113">
        <f t="shared" si="284"/>
        <v>1.3971059870731425E-3</v>
      </c>
      <c r="BZ542" s="6" t="str">
        <f t="shared" si="285"/>
        <v>OK</v>
      </c>
      <c r="CA542" s="114">
        <f t="shared" si="286"/>
        <v>127.25109874278135</v>
      </c>
      <c r="CB542" s="115">
        <f t="shared" si="287"/>
        <v>150</v>
      </c>
      <c r="CC542" s="6" t="str">
        <f t="shared" si="288"/>
        <v>OK</v>
      </c>
    </row>
    <row r="543" spans="27:81">
      <c r="AA543" s="79" t="s">
        <v>175</v>
      </c>
      <c r="AB543" s="80" t="s">
        <v>205</v>
      </c>
      <c r="AC543" s="81">
        <v>2.74</v>
      </c>
      <c r="AD543" s="81">
        <v>6</v>
      </c>
      <c r="AE543" s="80">
        <v>273</v>
      </c>
      <c r="AF543" s="80">
        <v>6.35</v>
      </c>
      <c r="AG543" s="108" cm="1">
        <f t="array" ref="AG543">_xll.DCEPropSectPipe(AE543, AF543, "Area")/100</f>
        <v>53.19431074856206</v>
      </c>
      <c r="AH543" s="16" cm="1">
        <f t="array" ref="AH543">_xll.DCEPropSectPipe(AE543, AF543, "Ix")/10000</f>
        <v>4730.4733077169503</v>
      </c>
      <c r="AI543" s="16" cm="1">
        <f t="array" ref="AI543">_xll.DCEPropSectPipe(AE543, AF543, "Wx")/1000</f>
        <v>346.55482107816493</v>
      </c>
      <c r="AJ543" s="108">
        <f t="shared" si="257"/>
        <v>9.4301739777164251</v>
      </c>
      <c r="AK543" s="80" t="s">
        <v>210</v>
      </c>
      <c r="AL543" s="82">
        <v>-4.4034777107164691E-2</v>
      </c>
      <c r="AM543" s="82">
        <v>1.3968842665973569</v>
      </c>
      <c r="AN543" s="82">
        <v>9.2711371331693146E-2</v>
      </c>
      <c r="AO543" s="82">
        <v>-0.25421458019150273</v>
      </c>
      <c r="AP543" s="82">
        <v>-3.8302566590099518</v>
      </c>
      <c r="AQ543" s="82">
        <v>-7.521572446179231E-2</v>
      </c>
      <c r="AR543" s="72">
        <v>1</v>
      </c>
      <c r="AS543" s="116">
        <f t="shared" si="258"/>
        <v>6</v>
      </c>
      <c r="AT543" s="82">
        <v>2</v>
      </c>
      <c r="AU543" s="6">
        <f t="shared" si="259"/>
        <v>12</v>
      </c>
      <c r="AV543" s="111">
        <f t="shared" si="260"/>
        <v>3.6216683162692032E-5</v>
      </c>
      <c r="AW543" s="117">
        <f t="shared" si="261"/>
        <v>105</v>
      </c>
      <c r="AX543" s="111">
        <f t="shared" si="262"/>
        <v>1</v>
      </c>
      <c r="AY543" s="111">
        <f t="shared" si="263"/>
        <v>1</v>
      </c>
      <c r="AZ543" s="111">
        <f t="shared" si="264"/>
        <v>1</v>
      </c>
      <c r="BA543" s="111">
        <f t="shared" si="265"/>
        <v>3.8122824381781086E-5</v>
      </c>
      <c r="BB543" s="111">
        <f t="shared" si="266"/>
        <v>3.3781813703049005E-3</v>
      </c>
      <c r="BC543" s="111">
        <f t="shared" si="267"/>
        <v>5.0899132847558884E-2</v>
      </c>
      <c r="BD543" s="111">
        <v>0</v>
      </c>
      <c r="BE543" s="111">
        <f t="shared" si="268"/>
        <v>5.4315437042245562E-2</v>
      </c>
      <c r="BF543" s="6" t="str">
        <f t="shared" si="269"/>
        <v>OK</v>
      </c>
      <c r="BG543" s="16">
        <f t="shared" si="270"/>
        <v>63.625549371390676</v>
      </c>
      <c r="BH543" s="118">
        <f t="shared" si="271"/>
        <v>2.1193803644775273</v>
      </c>
      <c r="BI543" s="108">
        <f t="shared" si="272"/>
        <v>88.613092683640062</v>
      </c>
      <c r="BJ543" s="6">
        <f t="shared" si="273"/>
        <v>1.1000000000000001</v>
      </c>
      <c r="BK543" s="108">
        <f t="shared" si="274"/>
        <v>97.474401952004072</v>
      </c>
      <c r="BL543" s="118" cm="1">
        <f t="array" ref="BL543">IF(AO543=0,FactorPhi7121(BH543,"a"),noisuy2chieu(BK543,BH543,Data!$A$63:$M$85))</f>
        <v>0</v>
      </c>
      <c r="BM543" s="111">
        <v>1.26</v>
      </c>
      <c r="BN543" s="118">
        <f t="shared" si="275"/>
        <v>0.99998373228757365</v>
      </c>
      <c r="BO543" s="108" t="e">
        <f t="shared" si="276"/>
        <v>#DIV/0!</v>
      </c>
      <c r="BP543" s="6" t="e">
        <f t="shared" si="277"/>
        <v>#DIV/0!</v>
      </c>
      <c r="BQ543" s="16">
        <f t="shared" si="278"/>
        <v>127.25109874278135</v>
      </c>
      <c r="BR543" s="118">
        <f t="shared" si="279"/>
        <v>4.2387607289550546</v>
      </c>
      <c r="BS543" s="108">
        <f t="shared" si="280"/>
        <v>1335.1354122619414</v>
      </c>
      <c r="BT543" s="118">
        <f t="shared" si="281"/>
        <v>1.1000000000000001</v>
      </c>
      <c r="BU543" s="108">
        <f t="shared" si="282"/>
        <v>1468.6489534881357</v>
      </c>
      <c r="BV543" s="6" cm="1">
        <f t="array" ref="BV543">IF(AP543=0,FactorPhi7121(BR543,"a"),noisuy2chieu(BU543,BR543,Data!$A$63:$M$85))</f>
        <v>0</v>
      </c>
      <c r="BW543" s="111">
        <v>1.26</v>
      </c>
      <c r="BX543" s="111">
        <f t="shared" si="283"/>
        <v>0.99993492915029447</v>
      </c>
      <c r="BY543" s="113" t="e">
        <f t="shared" si="284"/>
        <v>#DIV/0!</v>
      </c>
      <c r="BZ543" s="6" t="e">
        <f t="shared" si="285"/>
        <v>#DIV/0!</v>
      </c>
      <c r="CA543" s="114">
        <f t="shared" si="286"/>
        <v>127.25109874278135</v>
      </c>
      <c r="CB543" s="115" t="e">
        <f t="shared" si="287"/>
        <v>#DIV/0!</v>
      </c>
      <c r="CC543" s="6" t="e">
        <f t="shared" si="288"/>
        <v>#DIV/0!</v>
      </c>
    </row>
    <row r="544" spans="27:81">
      <c r="AA544" s="79" t="s">
        <v>175</v>
      </c>
      <c r="AB544" s="80" t="s">
        <v>205</v>
      </c>
      <c r="AC544" s="81">
        <v>5.48</v>
      </c>
      <c r="AD544" s="81">
        <v>6</v>
      </c>
      <c r="AE544" s="80">
        <v>273</v>
      </c>
      <c r="AF544" s="80">
        <v>6.35</v>
      </c>
      <c r="AG544" s="108" cm="1">
        <f t="array" ref="AG544">_xll.DCEPropSectPipe(AE544, AF544, "Area")/100</f>
        <v>53.19431074856206</v>
      </c>
      <c r="AH544" s="16" cm="1">
        <f t="array" ref="AH544">_xll.DCEPropSectPipe(AE544, AF544, "Ix")/10000</f>
        <v>4730.4733077169503</v>
      </c>
      <c r="AI544" s="16" cm="1">
        <f t="array" ref="AI544">_xll.DCEPropSectPipe(AE544, AF544, "Wx")/1000</f>
        <v>346.55482107816493</v>
      </c>
      <c r="AJ544" s="108">
        <f t="shared" si="257"/>
        <v>9.4301739777164251</v>
      </c>
      <c r="AK544" s="80" t="s">
        <v>210</v>
      </c>
      <c r="AL544" s="82">
        <v>1.3032255716248671</v>
      </c>
      <c r="AM544" s="82">
        <v>1.3968842665973569</v>
      </c>
      <c r="AN544" s="82">
        <v>9.2711371331693146E-2</v>
      </c>
      <c r="AO544" s="82">
        <v>-0.50842916038300545</v>
      </c>
      <c r="AP544" s="82">
        <v>-7.6605133180199037</v>
      </c>
      <c r="AQ544" s="82">
        <v>-7.521572446179231E-2</v>
      </c>
      <c r="AR544" s="72">
        <v>1</v>
      </c>
      <c r="AS544" s="116">
        <f t="shared" si="258"/>
        <v>6</v>
      </c>
      <c r="AT544" s="82">
        <v>2</v>
      </c>
      <c r="AU544" s="6">
        <f t="shared" si="259"/>
        <v>12</v>
      </c>
      <c r="AV544" s="111">
        <f t="shared" si="260"/>
        <v>1.0718461797181796E-3</v>
      </c>
      <c r="AW544" s="117">
        <f t="shared" si="261"/>
        <v>105</v>
      </c>
      <c r="AX544" s="111">
        <f t="shared" si="262"/>
        <v>1</v>
      </c>
      <c r="AY544" s="111">
        <f t="shared" si="263"/>
        <v>1</v>
      </c>
      <c r="AZ544" s="111">
        <f t="shared" si="264"/>
        <v>1</v>
      </c>
      <c r="BA544" s="111">
        <f t="shared" si="265"/>
        <v>1.1282591365454522E-3</v>
      </c>
      <c r="BB544" s="111">
        <f t="shared" si="266"/>
        <v>6.756362740609801E-3</v>
      </c>
      <c r="BC544" s="111">
        <f t="shared" si="267"/>
        <v>0.10179826569511777</v>
      </c>
      <c r="BD544" s="111">
        <v>0</v>
      </c>
      <c r="BE544" s="111">
        <f t="shared" si="268"/>
        <v>0.10968288757227301</v>
      </c>
      <c r="BF544" s="6" t="str">
        <f t="shared" si="269"/>
        <v>OK</v>
      </c>
      <c r="BG544" s="16">
        <f t="shared" si="270"/>
        <v>63.625549371390676</v>
      </c>
      <c r="BH544" s="118">
        <f t="shared" si="271"/>
        <v>2.1193803644775273</v>
      </c>
      <c r="BI544" s="108">
        <f t="shared" si="272"/>
        <v>5.9883075809132782</v>
      </c>
      <c r="BJ544" s="6">
        <f t="shared" si="273"/>
        <v>1.1000000000000001</v>
      </c>
      <c r="BK544" s="108">
        <f t="shared" si="274"/>
        <v>6.5871383390046061</v>
      </c>
      <c r="BL544" s="118" cm="1">
        <f t="array" ref="BL544">IF(AO544=0,FactorPhi7121(BH544,"a"),noisuy2chieu(BK544,BH544,Data!$A$63:$M$85))</f>
        <v>0</v>
      </c>
      <c r="BM544" s="111">
        <v>1.26</v>
      </c>
      <c r="BN544" s="118">
        <f t="shared" si="275"/>
        <v>0.99951855101311637</v>
      </c>
      <c r="BO544" s="108" t="e">
        <f t="shared" si="276"/>
        <v>#DIV/0!</v>
      </c>
      <c r="BP544" s="6" t="e">
        <f t="shared" si="277"/>
        <v>#DIV/0!</v>
      </c>
      <c r="BQ544" s="16">
        <f t="shared" si="278"/>
        <v>127.25109874278135</v>
      </c>
      <c r="BR544" s="118">
        <f t="shared" si="279"/>
        <v>4.2387607289550546</v>
      </c>
      <c r="BS544" s="108">
        <f t="shared" si="280"/>
        <v>90.225961747411745</v>
      </c>
      <c r="BT544" s="118">
        <f t="shared" si="281"/>
        <v>1.1000000000000001</v>
      </c>
      <c r="BU544" s="108">
        <f t="shared" si="282"/>
        <v>99.248557922152926</v>
      </c>
      <c r="BV544" s="6" cm="1">
        <f t="array" ref="BV544">IF(AP544=0,FactorPhi7121(BR544,"a"),noisuy2chieu(BU544,BR544,Data!$A$63:$M$85))</f>
        <v>0</v>
      </c>
      <c r="BW544" s="111">
        <v>1.26</v>
      </c>
      <c r="BX544" s="111">
        <f t="shared" si="283"/>
        <v>0.9980742040524655</v>
      </c>
      <c r="BY544" s="113" t="e">
        <f t="shared" si="284"/>
        <v>#DIV/0!</v>
      </c>
      <c r="BZ544" s="6" t="e">
        <f t="shared" si="285"/>
        <v>#DIV/0!</v>
      </c>
      <c r="CA544" s="114">
        <f t="shared" si="286"/>
        <v>127.25109874278135</v>
      </c>
      <c r="CB544" s="115" t="e">
        <f t="shared" si="287"/>
        <v>#DIV/0!</v>
      </c>
      <c r="CC544" s="6" t="e">
        <f t="shared" si="288"/>
        <v>#DIV/0!</v>
      </c>
    </row>
    <row r="545" spans="27:81">
      <c r="AA545" s="79" t="s">
        <v>175</v>
      </c>
      <c r="AB545" s="80" t="s">
        <v>205</v>
      </c>
      <c r="AC545" s="81">
        <v>0</v>
      </c>
      <c r="AD545" s="81">
        <v>6</v>
      </c>
      <c r="AE545" s="80">
        <v>273</v>
      </c>
      <c r="AF545" s="80">
        <v>6.35</v>
      </c>
      <c r="AG545" s="108" cm="1">
        <f t="array" ref="AG545">_xll.DCEPropSectPipe(AE545, AF545, "Area")/100</f>
        <v>53.19431074856206</v>
      </c>
      <c r="AH545" s="16" cm="1">
        <f t="array" ref="AH545">_xll.DCEPropSectPipe(AE545, AF545, "Ix")/10000</f>
        <v>4730.4733077169503</v>
      </c>
      <c r="AI545" s="16" cm="1">
        <f t="array" ref="AI545">_xll.DCEPropSectPipe(AE545, AF545, "Wx")/1000</f>
        <v>346.55482107816493</v>
      </c>
      <c r="AJ545" s="108">
        <f t="shared" si="257"/>
        <v>9.4301739777164251</v>
      </c>
      <c r="AK545" s="80" t="s">
        <v>211</v>
      </c>
      <c r="AL545" s="82">
        <v>-56.977299154761873</v>
      </c>
      <c r="AM545" s="82">
        <v>-8.2033308796334587</v>
      </c>
      <c r="AN545" s="82">
        <v>-1.8502239327500947</v>
      </c>
      <c r="AO545" s="82">
        <v>0</v>
      </c>
      <c r="AP545" s="82">
        <v>0</v>
      </c>
      <c r="AQ545" s="82">
        <v>0.28088851822403932</v>
      </c>
      <c r="AR545" s="72">
        <v>1</v>
      </c>
      <c r="AS545" s="116">
        <f t="shared" si="258"/>
        <v>6</v>
      </c>
      <c r="AT545" s="82">
        <v>2</v>
      </c>
      <c r="AU545" s="6">
        <f t="shared" si="259"/>
        <v>12</v>
      </c>
      <c r="AV545" s="111">
        <f t="shared" si="260"/>
        <v>4.686134293202053E-2</v>
      </c>
      <c r="AW545" s="117">
        <f t="shared" si="261"/>
        <v>105</v>
      </c>
      <c r="AX545" s="111">
        <f t="shared" si="262"/>
        <v>1</v>
      </c>
      <c r="AY545" s="111">
        <f t="shared" si="263"/>
        <v>1</v>
      </c>
      <c r="AZ545" s="111">
        <f t="shared" si="264"/>
        <v>1</v>
      </c>
      <c r="BA545" s="111">
        <f t="shared" si="265"/>
        <v>4.9327729402126874E-2</v>
      </c>
      <c r="BB545" s="111">
        <f t="shared" si="266"/>
        <v>0</v>
      </c>
      <c r="BC545" s="111">
        <f t="shared" si="267"/>
        <v>0</v>
      </c>
      <c r="BD545" s="111">
        <v>0</v>
      </c>
      <c r="BE545" s="111">
        <f t="shared" si="268"/>
        <v>4.9327729402126874E-2</v>
      </c>
      <c r="BF545" s="6" t="str">
        <f t="shared" si="269"/>
        <v>OK</v>
      </c>
      <c r="BG545" s="16">
        <f t="shared" si="270"/>
        <v>63.625549371390676</v>
      </c>
      <c r="BH545" s="118">
        <f t="shared" si="271"/>
        <v>2.1193803644775273</v>
      </c>
      <c r="BI545" s="108">
        <f t="shared" si="272"/>
        <v>0</v>
      </c>
      <c r="BJ545" s="6">
        <f t="shared" si="273"/>
        <v>1.2440309817761237</v>
      </c>
      <c r="BK545" s="108">
        <f t="shared" si="274"/>
        <v>0</v>
      </c>
      <c r="BL545" s="118" cm="1">
        <f t="array" ref="BL545">IF(AO545=0,FactorPhi7121(BH545,"a"),noisuy2chieu(BK545,BH545,Data!$A$63:$M$85))</f>
        <v>0.86214274110469236</v>
      </c>
      <c r="BM545" s="111">
        <v>1.26</v>
      </c>
      <c r="BN545" s="118">
        <f t="shared" si="275"/>
        <v>0.97895094790134962</v>
      </c>
      <c r="BO545" s="108">
        <f t="shared" si="276"/>
        <v>0.11661525914647367</v>
      </c>
      <c r="BP545" s="6" t="str">
        <f t="shared" si="277"/>
        <v>OK</v>
      </c>
      <c r="BQ545" s="16">
        <f t="shared" si="278"/>
        <v>127.25109874278135</v>
      </c>
      <c r="BR545" s="118">
        <f t="shared" si="279"/>
        <v>4.2387607289550546</v>
      </c>
      <c r="BS545" s="108">
        <f t="shared" si="280"/>
        <v>0</v>
      </c>
      <c r="BT545" s="118">
        <f t="shared" si="281"/>
        <v>1.1380619635522473</v>
      </c>
      <c r="BU545" s="108">
        <f t="shared" si="282"/>
        <v>0</v>
      </c>
      <c r="BV545" s="6" cm="1">
        <f t="array" ref="BV545">IF(AP545=0,FactorPhi7121(BR545,"a"),noisuy2chieu(BU545,BR545,Data!$A$63:$M$85))</f>
        <v>0.42299549615688942</v>
      </c>
      <c r="BW545" s="111">
        <v>1.26</v>
      </c>
      <c r="BX545" s="111">
        <f t="shared" si="283"/>
        <v>0.91580379160539849</v>
      </c>
      <c r="BY545" s="113">
        <f t="shared" si="284"/>
        <v>5.7215269641917532E-2</v>
      </c>
      <c r="BZ545" s="6" t="str">
        <f t="shared" si="285"/>
        <v>OK</v>
      </c>
      <c r="CA545" s="114">
        <f t="shared" si="286"/>
        <v>127.25109874278135</v>
      </c>
      <c r="CB545" s="115">
        <f t="shared" si="287"/>
        <v>150</v>
      </c>
      <c r="CC545" s="6" t="str">
        <f t="shared" si="288"/>
        <v>OK</v>
      </c>
    </row>
    <row r="546" spans="27:81">
      <c r="AA546" s="79" t="s">
        <v>175</v>
      </c>
      <c r="AB546" s="80" t="s">
        <v>205</v>
      </c>
      <c r="AC546" s="81">
        <v>2.74</v>
      </c>
      <c r="AD546" s="81">
        <v>6</v>
      </c>
      <c r="AE546" s="80">
        <v>273</v>
      </c>
      <c r="AF546" s="80">
        <v>6.35</v>
      </c>
      <c r="AG546" s="108" cm="1">
        <f t="array" ref="AG546">_xll.DCEPropSectPipe(AE546, AF546, "Area")/100</f>
        <v>53.19431074856206</v>
      </c>
      <c r="AH546" s="16" cm="1">
        <f t="array" ref="AH546">_xll.DCEPropSectPipe(AE546, AF546, "Ix")/10000</f>
        <v>4730.4733077169503</v>
      </c>
      <c r="AI546" s="16" cm="1">
        <f t="array" ref="AI546">_xll.DCEPropSectPipe(AE546, AF546, "Wx")/1000</f>
        <v>346.55482107816493</v>
      </c>
      <c r="AJ546" s="108">
        <f t="shared" si="257"/>
        <v>9.4301739777164251</v>
      </c>
      <c r="AK546" s="80" t="s">
        <v>211</v>
      </c>
      <c r="AL546" s="82">
        <v>-55.630038806029837</v>
      </c>
      <c r="AM546" s="82">
        <v>-8.2033308796334587</v>
      </c>
      <c r="AN546" s="82">
        <v>-1.8502239327500947</v>
      </c>
      <c r="AO546" s="82">
        <v>5.0733140236007594</v>
      </c>
      <c r="AP546" s="82">
        <v>22.493533271954941</v>
      </c>
      <c r="AQ546" s="82">
        <v>0.28088851822403932</v>
      </c>
      <c r="AR546" s="72">
        <v>1</v>
      </c>
      <c r="AS546" s="116">
        <f t="shared" si="258"/>
        <v>6</v>
      </c>
      <c r="AT546" s="82">
        <v>2</v>
      </c>
      <c r="AU546" s="6">
        <f t="shared" si="259"/>
        <v>12</v>
      </c>
      <c r="AV546" s="111">
        <f t="shared" si="260"/>
        <v>4.5753280069139653E-2</v>
      </c>
      <c r="AW546" s="117">
        <f t="shared" si="261"/>
        <v>105</v>
      </c>
      <c r="AX546" s="111">
        <f t="shared" si="262"/>
        <v>1</v>
      </c>
      <c r="AY546" s="111">
        <f t="shared" si="263"/>
        <v>1</v>
      </c>
      <c r="AZ546" s="111">
        <f t="shared" si="264"/>
        <v>1</v>
      </c>
      <c r="BA546" s="111">
        <f t="shared" si="265"/>
        <v>4.816134744119964E-2</v>
      </c>
      <c r="BB546" s="111">
        <f t="shared" si="266"/>
        <v>6.7417749632314547E-2</v>
      </c>
      <c r="BC546" s="111">
        <f t="shared" si="267"/>
        <v>0.29890982253814702</v>
      </c>
      <c r="BD546" s="111">
        <v>0</v>
      </c>
      <c r="BE546" s="111">
        <f t="shared" si="268"/>
        <v>0.41448891961166123</v>
      </c>
      <c r="BF546" s="6" t="str">
        <f t="shared" si="269"/>
        <v>OK</v>
      </c>
      <c r="BG546" s="16">
        <f t="shared" si="270"/>
        <v>63.625549371390676</v>
      </c>
      <c r="BH546" s="118">
        <f t="shared" si="271"/>
        <v>2.1193803644775273</v>
      </c>
      <c r="BI546" s="108">
        <f t="shared" si="272"/>
        <v>1.3998310515424248</v>
      </c>
      <c r="BJ546" s="6">
        <f t="shared" si="273"/>
        <v>1.2037071736412519</v>
      </c>
      <c r="BK546" s="108">
        <f t="shared" si="274"/>
        <v>1.6849866786273937</v>
      </c>
      <c r="BL546" s="118" cm="1">
        <f t="array" ref="BL546">IF(AO546=0,FactorPhi7121(BH546,"a"),noisuy2chieu(BK546,BH546,Data!$A$63:$M$85))</f>
        <v>0</v>
      </c>
      <c r="BM546" s="111">
        <v>1.26</v>
      </c>
      <c r="BN546" s="118">
        <f t="shared" si="275"/>
        <v>0.9794486646006596</v>
      </c>
      <c r="BO546" s="108" t="e">
        <f t="shared" si="276"/>
        <v>#DIV/0!</v>
      </c>
      <c r="BP546" s="6" t="e">
        <f t="shared" si="277"/>
        <v>#DIV/0!</v>
      </c>
      <c r="BQ546" s="16">
        <f t="shared" si="278"/>
        <v>127.25109874278135</v>
      </c>
      <c r="BR546" s="118">
        <f t="shared" si="279"/>
        <v>4.2387607289550546</v>
      </c>
      <c r="BS546" s="108">
        <f t="shared" si="280"/>
        <v>6.2064256591468316</v>
      </c>
      <c r="BT546" s="118">
        <f t="shared" si="281"/>
        <v>1.1000000000000001</v>
      </c>
      <c r="BU546" s="108">
        <f t="shared" si="282"/>
        <v>6.8270682250615158</v>
      </c>
      <c r="BV546" s="6" cm="1">
        <f t="array" ref="BV546">IF(AP546=0,FactorPhi7121(BR546,"a"),noisuy2chieu(BU546,BR546,Data!$A$63:$M$85))</f>
        <v>0</v>
      </c>
      <c r="BW546" s="111">
        <v>1.26</v>
      </c>
      <c r="BX546" s="111">
        <f t="shared" si="283"/>
        <v>0.91779465840263841</v>
      </c>
      <c r="BY546" s="113" t="e">
        <f t="shared" si="284"/>
        <v>#DIV/0!</v>
      </c>
      <c r="BZ546" s="6" t="e">
        <f t="shared" si="285"/>
        <v>#DIV/0!</v>
      </c>
      <c r="CA546" s="114">
        <f t="shared" si="286"/>
        <v>127.25109874278135</v>
      </c>
      <c r="CB546" s="115" t="e">
        <f t="shared" si="287"/>
        <v>#DIV/0!</v>
      </c>
      <c r="CC546" s="6" t="e">
        <f t="shared" si="288"/>
        <v>#DIV/0!</v>
      </c>
    </row>
    <row r="547" spans="27:81">
      <c r="AA547" s="79" t="s">
        <v>175</v>
      </c>
      <c r="AB547" s="80" t="s">
        <v>205</v>
      </c>
      <c r="AC547" s="81">
        <v>5.48</v>
      </c>
      <c r="AD547" s="81">
        <v>6</v>
      </c>
      <c r="AE547" s="80">
        <v>273</v>
      </c>
      <c r="AF547" s="80">
        <v>6.35</v>
      </c>
      <c r="AG547" s="108" cm="1">
        <f t="array" ref="AG547">_xll.DCEPropSectPipe(AE547, AF547, "Area")/100</f>
        <v>53.19431074856206</v>
      </c>
      <c r="AH547" s="16" cm="1">
        <f t="array" ref="AH547">_xll.DCEPropSectPipe(AE547, AF547, "Ix")/10000</f>
        <v>4730.4733077169503</v>
      </c>
      <c r="AI547" s="16" cm="1">
        <f t="array" ref="AI547">_xll.DCEPropSectPipe(AE547, AF547, "Wx")/1000</f>
        <v>346.55482107816493</v>
      </c>
      <c r="AJ547" s="108">
        <f t="shared" si="257"/>
        <v>9.4301739777164251</v>
      </c>
      <c r="AK547" s="80" t="s">
        <v>211</v>
      </c>
      <c r="AL547" s="82">
        <v>-54.282778457297809</v>
      </c>
      <c r="AM547" s="82">
        <v>-8.2033308796334587</v>
      </c>
      <c r="AN547" s="82">
        <v>-1.8502239327500947</v>
      </c>
      <c r="AO547" s="82">
        <v>10.146628047201519</v>
      </c>
      <c r="AP547" s="82">
        <v>44.987066543909883</v>
      </c>
      <c r="AQ547" s="82">
        <v>0.28088851822403932</v>
      </c>
      <c r="AR547" s="72">
        <v>1</v>
      </c>
      <c r="AS547" s="116">
        <f t="shared" si="258"/>
        <v>6</v>
      </c>
      <c r="AT547" s="82">
        <v>2</v>
      </c>
      <c r="AU547" s="6">
        <f t="shared" si="259"/>
        <v>12</v>
      </c>
      <c r="AV547" s="111">
        <f t="shared" si="260"/>
        <v>4.4645217206258782E-2</v>
      </c>
      <c r="AW547" s="117">
        <f t="shared" si="261"/>
        <v>105</v>
      </c>
      <c r="AX547" s="111">
        <f t="shared" si="262"/>
        <v>1</v>
      </c>
      <c r="AY547" s="111">
        <f t="shared" si="263"/>
        <v>1</v>
      </c>
      <c r="AZ547" s="111">
        <f t="shared" si="264"/>
        <v>1</v>
      </c>
      <c r="BA547" s="111">
        <f t="shared" si="265"/>
        <v>4.6994965480272405E-2</v>
      </c>
      <c r="BB547" s="111">
        <f t="shared" si="266"/>
        <v>0.13483549926462909</v>
      </c>
      <c r="BC547" s="111">
        <f t="shared" si="267"/>
        <v>0.59781964507629404</v>
      </c>
      <c r="BD547" s="111">
        <v>0</v>
      </c>
      <c r="BE547" s="111">
        <f t="shared" si="268"/>
        <v>0.77965010982119554</v>
      </c>
      <c r="BF547" s="6" t="str">
        <f t="shared" si="269"/>
        <v>OK</v>
      </c>
      <c r="BG547" s="16">
        <f t="shared" si="270"/>
        <v>63.625549371390676</v>
      </c>
      <c r="BH547" s="118">
        <f t="shared" si="271"/>
        <v>2.1193803644775273</v>
      </c>
      <c r="BI547" s="108">
        <f t="shared" si="272"/>
        <v>2.8691477456501269</v>
      </c>
      <c r="BJ547" s="6">
        <f t="shared" si="273"/>
        <v>1.161381748442776</v>
      </c>
      <c r="BK547" s="108">
        <f t="shared" si="274"/>
        <v>3.3321758253837936</v>
      </c>
      <c r="BL547" s="118" cm="1">
        <f t="array" ref="BL547">IF(AO547=0,FactorPhi7121(BH547,"a"),noisuy2chieu(BK547,BH547,Data!$A$63:$M$85))</f>
        <v>0</v>
      </c>
      <c r="BM547" s="111">
        <v>1.26</v>
      </c>
      <c r="BN547" s="118">
        <f t="shared" si="275"/>
        <v>0.97994638129996958</v>
      </c>
      <c r="BO547" s="108" t="e">
        <f t="shared" si="276"/>
        <v>#DIV/0!</v>
      </c>
      <c r="BP547" s="6" t="e">
        <f t="shared" si="277"/>
        <v>#DIV/0!</v>
      </c>
      <c r="BQ547" s="16">
        <f t="shared" si="278"/>
        <v>127.25109874278135</v>
      </c>
      <c r="BR547" s="118">
        <f t="shared" si="279"/>
        <v>4.2387607289550546</v>
      </c>
      <c r="BS547" s="108">
        <f t="shared" si="280"/>
        <v>12.720929549937585</v>
      </c>
      <c r="BT547" s="118">
        <f t="shared" si="281"/>
        <v>1.1000000000000001</v>
      </c>
      <c r="BU547" s="108">
        <f t="shared" si="282"/>
        <v>13.993022504931345</v>
      </c>
      <c r="BV547" s="6" cm="1">
        <f t="array" ref="BV547">IF(AP547=0,FactorPhi7121(BR547,"a"),noisuy2chieu(BU547,BR547,Data!$A$63:$M$85))</f>
        <v>0</v>
      </c>
      <c r="BW547" s="111">
        <v>1.26</v>
      </c>
      <c r="BX547" s="111">
        <f t="shared" si="283"/>
        <v>0.91978552519987844</v>
      </c>
      <c r="BY547" s="113" t="e">
        <f t="shared" si="284"/>
        <v>#DIV/0!</v>
      </c>
      <c r="BZ547" s="6" t="e">
        <f t="shared" si="285"/>
        <v>#DIV/0!</v>
      </c>
      <c r="CA547" s="114">
        <f t="shared" si="286"/>
        <v>127.25109874278135</v>
      </c>
      <c r="CB547" s="115" t="e">
        <f t="shared" si="287"/>
        <v>#DIV/0!</v>
      </c>
      <c r="CC547" s="6" t="e">
        <f t="shared" si="288"/>
        <v>#DIV/0!</v>
      </c>
    </row>
    <row r="548" spans="27:81">
      <c r="AA548" s="79" t="s">
        <v>175</v>
      </c>
      <c r="AB548" s="80" t="s">
        <v>205</v>
      </c>
      <c r="AC548" s="81">
        <v>0</v>
      </c>
      <c r="AD548" s="81">
        <v>6</v>
      </c>
      <c r="AE548" s="80">
        <v>273</v>
      </c>
      <c r="AF548" s="80">
        <v>6.35</v>
      </c>
      <c r="AG548" s="108" cm="1">
        <f t="array" ref="AG548">_xll.DCEPropSectPipe(AE548, AF548, "Area")/100</f>
        <v>53.19431074856206</v>
      </c>
      <c r="AH548" s="16" cm="1">
        <f t="array" ref="AH548">_xll.DCEPropSectPipe(AE548, AF548, "Ix")/10000</f>
        <v>4730.4733077169503</v>
      </c>
      <c r="AI548" s="16" cm="1">
        <f t="array" ref="AI548">_xll.DCEPropSectPipe(AE548, AF548, "Wx")/1000</f>
        <v>346.55482107816493</v>
      </c>
      <c r="AJ548" s="108">
        <f t="shared" si="257"/>
        <v>9.4301739777164251</v>
      </c>
      <c r="AK548" s="80" t="s">
        <v>212</v>
      </c>
      <c r="AL548" s="82">
        <v>-48.77692573550376</v>
      </c>
      <c r="AM548" s="82">
        <v>-8.2597604292315907</v>
      </c>
      <c r="AN548" s="82">
        <v>-1.7747402646319943</v>
      </c>
      <c r="AO548" s="82">
        <v>0</v>
      </c>
      <c r="AP548" s="82">
        <v>0</v>
      </c>
      <c r="AQ548" s="82">
        <v>0.25358256087381914</v>
      </c>
      <c r="AR548" s="72">
        <v>1</v>
      </c>
      <c r="AS548" s="116">
        <f t="shared" si="258"/>
        <v>6</v>
      </c>
      <c r="AT548" s="82">
        <v>2</v>
      </c>
      <c r="AU548" s="6">
        <f t="shared" si="259"/>
        <v>12</v>
      </c>
      <c r="AV548" s="111">
        <f t="shared" si="260"/>
        <v>4.0116893534257805E-2</v>
      </c>
      <c r="AW548" s="117">
        <f t="shared" si="261"/>
        <v>105</v>
      </c>
      <c r="AX548" s="111">
        <f t="shared" si="262"/>
        <v>1</v>
      </c>
      <c r="AY548" s="111">
        <f t="shared" si="263"/>
        <v>1</v>
      </c>
      <c r="AZ548" s="111">
        <f t="shared" si="264"/>
        <v>1</v>
      </c>
      <c r="BA548" s="111">
        <f t="shared" si="265"/>
        <v>4.2228308983429275E-2</v>
      </c>
      <c r="BB548" s="111">
        <f t="shared" si="266"/>
        <v>0</v>
      </c>
      <c r="BC548" s="111">
        <f t="shared" si="267"/>
        <v>0</v>
      </c>
      <c r="BD548" s="111">
        <v>0</v>
      </c>
      <c r="BE548" s="111">
        <f t="shared" si="268"/>
        <v>4.2228308983429275E-2</v>
      </c>
      <c r="BF548" s="6" t="str">
        <f t="shared" si="269"/>
        <v>OK</v>
      </c>
      <c r="BG548" s="16">
        <f t="shared" si="270"/>
        <v>63.625549371390676</v>
      </c>
      <c r="BH548" s="118">
        <f t="shared" si="271"/>
        <v>2.1193803644775273</v>
      </c>
      <c r="BI548" s="108">
        <f t="shared" si="272"/>
        <v>0</v>
      </c>
      <c r="BJ548" s="6">
        <f t="shared" si="273"/>
        <v>1.2440309817761237</v>
      </c>
      <c r="BK548" s="108">
        <f t="shared" si="274"/>
        <v>0</v>
      </c>
      <c r="BL548" s="118" cm="1">
        <f t="array" ref="BL548">IF(AO548=0,FactorPhi7121(BH548,"a"),noisuy2chieu(BK548,BH548,Data!$A$63:$M$85))</f>
        <v>0.86214274110469236</v>
      </c>
      <c r="BM548" s="111">
        <v>1.26</v>
      </c>
      <c r="BN548" s="118">
        <f t="shared" si="275"/>
        <v>0.9819804015590512</v>
      </c>
      <c r="BO548" s="108">
        <f t="shared" si="276"/>
        <v>9.9831580636420642E-2</v>
      </c>
      <c r="BP548" s="6" t="str">
        <f t="shared" si="277"/>
        <v>OK</v>
      </c>
      <c r="BQ548" s="16">
        <f t="shared" si="278"/>
        <v>127.25109874278135</v>
      </c>
      <c r="BR548" s="118">
        <f t="shared" si="279"/>
        <v>4.2387607289550546</v>
      </c>
      <c r="BS548" s="108">
        <f t="shared" si="280"/>
        <v>0</v>
      </c>
      <c r="BT548" s="118">
        <f t="shared" si="281"/>
        <v>1.1380619635522473</v>
      </c>
      <c r="BU548" s="108">
        <f t="shared" si="282"/>
        <v>0</v>
      </c>
      <c r="BV548" s="6" cm="1">
        <f t="array" ref="BV548">IF(AP548=0,FactorPhi7121(BR548,"a"),noisuy2chieu(BU548,BR548,Data!$A$63:$M$85))</f>
        <v>0.42299549615688942</v>
      </c>
      <c r="BW548" s="111">
        <v>1.26</v>
      </c>
      <c r="BX548" s="111">
        <f t="shared" si="283"/>
        <v>0.9279216062362049</v>
      </c>
      <c r="BY548" s="113">
        <f t="shared" si="284"/>
        <v>4.8980646672638829E-2</v>
      </c>
      <c r="BZ548" s="6" t="str">
        <f t="shared" si="285"/>
        <v>OK</v>
      </c>
      <c r="CA548" s="114">
        <f t="shared" si="286"/>
        <v>127.25109874278135</v>
      </c>
      <c r="CB548" s="115">
        <f t="shared" si="287"/>
        <v>150</v>
      </c>
      <c r="CC548" s="6" t="str">
        <f t="shared" si="288"/>
        <v>OK</v>
      </c>
    </row>
    <row r="549" spans="27:81">
      <c r="AA549" s="79" t="s">
        <v>175</v>
      </c>
      <c r="AB549" s="80" t="s">
        <v>205</v>
      </c>
      <c r="AC549" s="81">
        <v>2.74</v>
      </c>
      <c r="AD549" s="81">
        <v>6</v>
      </c>
      <c r="AE549" s="80">
        <v>273</v>
      </c>
      <c r="AF549" s="80">
        <v>6.35</v>
      </c>
      <c r="AG549" s="108" cm="1">
        <f t="array" ref="AG549">_xll.DCEPropSectPipe(AE549, AF549, "Area")/100</f>
        <v>53.19431074856206</v>
      </c>
      <c r="AH549" s="16" cm="1">
        <f t="array" ref="AH549">_xll.DCEPropSectPipe(AE549, AF549, "Ix")/10000</f>
        <v>4730.4733077169503</v>
      </c>
      <c r="AI549" s="16" cm="1">
        <f t="array" ref="AI549">_xll.DCEPropSectPipe(AE549, AF549, "Wx")/1000</f>
        <v>346.55482107816493</v>
      </c>
      <c r="AJ549" s="108">
        <f t="shared" si="257"/>
        <v>9.4301739777164251</v>
      </c>
      <c r="AK549" s="80" t="s">
        <v>212</v>
      </c>
      <c r="AL549" s="82">
        <v>-47.429665386771731</v>
      </c>
      <c r="AM549" s="82">
        <v>-8.2597604292315907</v>
      </c>
      <c r="AN549" s="82">
        <v>-1.7747402646319943</v>
      </c>
      <c r="AO549" s="82">
        <v>4.8663378056209279</v>
      </c>
      <c r="AP549" s="82">
        <v>22.64826309695302</v>
      </c>
      <c r="AQ549" s="82">
        <v>0.25358256087381914</v>
      </c>
      <c r="AR549" s="72">
        <v>1</v>
      </c>
      <c r="AS549" s="116">
        <f t="shared" si="258"/>
        <v>6</v>
      </c>
      <c r="AT549" s="82">
        <v>2</v>
      </c>
      <c r="AU549" s="6">
        <f t="shared" si="259"/>
        <v>12</v>
      </c>
      <c r="AV549" s="111">
        <f t="shared" si="260"/>
        <v>3.9008830671376934E-2</v>
      </c>
      <c r="AW549" s="117">
        <f t="shared" si="261"/>
        <v>105</v>
      </c>
      <c r="AX549" s="111">
        <f t="shared" si="262"/>
        <v>1</v>
      </c>
      <c r="AY549" s="111">
        <f t="shared" si="263"/>
        <v>1</v>
      </c>
      <c r="AZ549" s="111">
        <f t="shared" si="264"/>
        <v>1</v>
      </c>
      <c r="BA549" s="111">
        <f t="shared" si="265"/>
        <v>4.106192702250204E-2</v>
      </c>
      <c r="BB549" s="111">
        <f t="shared" si="266"/>
        <v>6.4667304700521441E-2</v>
      </c>
      <c r="BC549" s="111">
        <f t="shared" si="267"/>
        <v>0.3009659808113872</v>
      </c>
      <c r="BD549" s="111">
        <v>0</v>
      </c>
      <c r="BE549" s="111">
        <f t="shared" si="268"/>
        <v>0.40669521253441066</v>
      </c>
      <c r="BF549" s="6" t="str">
        <f t="shared" si="269"/>
        <v>OK</v>
      </c>
      <c r="BG549" s="16">
        <f t="shared" si="270"/>
        <v>63.625549371390676</v>
      </c>
      <c r="BH549" s="118">
        <f t="shared" si="271"/>
        <v>2.1193803644775273</v>
      </c>
      <c r="BI549" s="108">
        <f t="shared" si="272"/>
        <v>1.5748726226385723</v>
      </c>
      <c r="BJ549" s="6">
        <f t="shared" si="273"/>
        <v>1.1986648917739291</v>
      </c>
      <c r="BK549" s="108">
        <f t="shared" si="274"/>
        <v>1.8877445217727882</v>
      </c>
      <c r="BL549" s="118" cm="1">
        <f t="array" ref="BL549">IF(AO549=0,FactorPhi7121(BH549,"a"),noisuy2chieu(BK549,BH549,Data!$A$63:$M$85))</f>
        <v>0</v>
      </c>
      <c r="BM549" s="111">
        <v>1.26</v>
      </c>
      <c r="BN549" s="118">
        <f t="shared" si="275"/>
        <v>0.98247811825836118</v>
      </c>
      <c r="BO549" s="108" t="e">
        <f t="shared" si="276"/>
        <v>#DIV/0!</v>
      </c>
      <c r="BP549" s="6" t="e">
        <f t="shared" si="277"/>
        <v>#DIV/0!</v>
      </c>
      <c r="BQ549" s="16">
        <f t="shared" si="278"/>
        <v>127.25109874278135</v>
      </c>
      <c r="BR549" s="118">
        <f t="shared" si="279"/>
        <v>4.2387607289550546</v>
      </c>
      <c r="BS549" s="108">
        <f t="shared" si="280"/>
        <v>7.3295629950941441</v>
      </c>
      <c r="BT549" s="118">
        <f t="shared" si="281"/>
        <v>1.1000000000000001</v>
      </c>
      <c r="BU549" s="108">
        <f t="shared" si="282"/>
        <v>8.0625192946035593</v>
      </c>
      <c r="BV549" s="6" cm="1">
        <f t="array" ref="BV549">IF(AP549=0,FactorPhi7121(BR549,"a"),noisuy2chieu(BU549,BR549,Data!$A$63:$M$85))</f>
        <v>0</v>
      </c>
      <c r="BW549" s="111">
        <v>1.26</v>
      </c>
      <c r="BX549" s="111">
        <f t="shared" si="283"/>
        <v>0.92991247303344482</v>
      </c>
      <c r="BY549" s="113" t="e">
        <f t="shared" si="284"/>
        <v>#DIV/0!</v>
      </c>
      <c r="BZ549" s="6" t="e">
        <f t="shared" si="285"/>
        <v>#DIV/0!</v>
      </c>
      <c r="CA549" s="114">
        <f t="shared" si="286"/>
        <v>127.25109874278135</v>
      </c>
      <c r="CB549" s="115" t="e">
        <f t="shared" si="287"/>
        <v>#DIV/0!</v>
      </c>
      <c r="CC549" s="6" t="e">
        <f t="shared" si="288"/>
        <v>#DIV/0!</v>
      </c>
    </row>
    <row r="550" spans="27:81">
      <c r="AA550" s="79" t="s">
        <v>175</v>
      </c>
      <c r="AB550" s="80" t="s">
        <v>205</v>
      </c>
      <c r="AC550" s="81">
        <v>5.48</v>
      </c>
      <c r="AD550" s="81">
        <v>6</v>
      </c>
      <c r="AE550" s="80">
        <v>273</v>
      </c>
      <c r="AF550" s="80">
        <v>6.35</v>
      </c>
      <c r="AG550" s="108" cm="1">
        <f t="array" ref="AG550">_xll.DCEPropSectPipe(AE550, AF550, "Area")/100</f>
        <v>53.19431074856206</v>
      </c>
      <c r="AH550" s="16" cm="1">
        <f t="array" ref="AH550">_xll.DCEPropSectPipe(AE550, AF550, "Ix")/10000</f>
        <v>4730.4733077169503</v>
      </c>
      <c r="AI550" s="16" cm="1">
        <f t="array" ref="AI550">_xll.DCEPropSectPipe(AE550, AF550, "Wx")/1000</f>
        <v>346.55482107816493</v>
      </c>
      <c r="AJ550" s="108">
        <f t="shared" si="257"/>
        <v>9.4301739777164251</v>
      </c>
      <c r="AK550" s="80" t="s">
        <v>212</v>
      </c>
      <c r="AL550" s="82">
        <v>-46.082405038039703</v>
      </c>
      <c r="AM550" s="82">
        <v>-8.2597604292315907</v>
      </c>
      <c r="AN550" s="82">
        <v>-1.7747402646319943</v>
      </c>
      <c r="AO550" s="82">
        <v>9.7326756112418558</v>
      </c>
      <c r="AP550" s="82">
        <v>45.29652619390604</v>
      </c>
      <c r="AQ550" s="82">
        <v>0.25358256087381914</v>
      </c>
      <c r="AR550" s="72">
        <v>1</v>
      </c>
      <c r="AS550" s="116">
        <f t="shared" si="258"/>
        <v>6</v>
      </c>
      <c r="AT550" s="82">
        <v>2</v>
      </c>
      <c r="AU550" s="6">
        <f t="shared" si="259"/>
        <v>12</v>
      </c>
      <c r="AV550" s="111">
        <f t="shared" si="260"/>
        <v>3.7900767808496064E-2</v>
      </c>
      <c r="AW550" s="117">
        <f t="shared" si="261"/>
        <v>105</v>
      </c>
      <c r="AX550" s="111">
        <f t="shared" si="262"/>
        <v>1</v>
      </c>
      <c r="AY550" s="111">
        <f t="shared" si="263"/>
        <v>1</v>
      </c>
      <c r="AZ550" s="111">
        <f t="shared" si="264"/>
        <v>1</v>
      </c>
      <c r="BA550" s="111">
        <f t="shared" si="265"/>
        <v>3.9895545061574805E-2</v>
      </c>
      <c r="BB550" s="111">
        <f t="shared" si="266"/>
        <v>0.12933460940104288</v>
      </c>
      <c r="BC550" s="111">
        <f t="shared" si="267"/>
        <v>0.6019319616227744</v>
      </c>
      <c r="BD550" s="111">
        <v>0</v>
      </c>
      <c r="BE550" s="111">
        <f t="shared" si="268"/>
        <v>0.77116211608539209</v>
      </c>
      <c r="BF550" s="6" t="str">
        <f t="shared" si="269"/>
        <v>OK</v>
      </c>
      <c r="BG550" s="16">
        <f t="shared" si="270"/>
        <v>63.625549371390676</v>
      </c>
      <c r="BH550" s="118">
        <f t="shared" si="271"/>
        <v>2.1193803644775273</v>
      </c>
      <c r="BI550" s="108">
        <f t="shared" si="272"/>
        <v>3.2418308661136921</v>
      </c>
      <c r="BJ550" s="6">
        <f t="shared" si="273"/>
        <v>1.1506461652964244</v>
      </c>
      <c r="BK550" s="108">
        <f t="shared" si="274"/>
        <v>3.730200254633306</v>
      </c>
      <c r="BL550" s="118" cm="1">
        <f t="array" ref="BL550">IF(AO550=0,FactorPhi7121(BH550,"a"),noisuy2chieu(BK550,BH550,Data!$A$63:$M$85))</f>
        <v>0</v>
      </c>
      <c r="BM550" s="111">
        <v>1.26</v>
      </c>
      <c r="BN550" s="118">
        <f t="shared" si="275"/>
        <v>0.98297583495767116</v>
      </c>
      <c r="BO550" s="108" t="e">
        <f t="shared" si="276"/>
        <v>#DIV/0!</v>
      </c>
      <c r="BP550" s="6" t="e">
        <f t="shared" si="277"/>
        <v>#DIV/0!</v>
      </c>
      <c r="BQ550" s="16">
        <f t="shared" si="278"/>
        <v>127.25109874278135</v>
      </c>
      <c r="BR550" s="118">
        <f t="shared" si="279"/>
        <v>4.2387607289550546</v>
      </c>
      <c r="BS550" s="108">
        <f t="shared" si="280"/>
        <v>15.087698656422722</v>
      </c>
      <c r="BT550" s="118">
        <f t="shared" si="281"/>
        <v>1.1000000000000001</v>
      </c>
      <c r="BU550" s="108">
        <f t="shared" si="282"/>
        <v>16.596468522064995</v>
      </c>
      <c r="BV550" s="6" cm="1">
        <f t="array" ref="BV550">IF(AP550=0,FactorPhi7121(BR550,"a"),noisuy2chieu(BU550,BR550,Data!$A$63:$M$85))</f>
        <v>0</v>
      </c>
      <c r="BW550" s="111">
        <v>1.26</v>
      </c>
      <c r="BX550" s="111">
        <f t="shared" si="283"/>
        <v>0.93190333983068485</v>
      </c>
      <c r="BY550" s="113" t="e">
        <f t="shared" si="284"/>
        <v>#DIV/0!</v>
      </c>
      <c r="BZ550" s="6" t="e">
        <f t="shared" si="285"/>
        <v>#DIV/0!</v>
      </c>
      <c r="CA550" s="114">
        <f t="shared" si="286"/>
        <v>127.25109874278135</v>
      </c>
      <c r="CB550" s="115" t="e">
        <f t="shared" si="287"/>
        <v>#DIV/0!</v>
      </c>
      <c r="CC550" s="6" t="e">
        <f t="shared" si="288"/>
        <v>#DIV/0!</v>
      </c>
    </row>
    <row r="551" spans="27:81">
      <c r="AA551" s="79" t="s">
        <v>175</v>
      </c>
      <c r="AB551" s="80" t="s">
        <v>205</v>
      </c>
      <c r="AC551" s="81">
        <v>0</v>
      </c>
      <c r="AD551" s="81">
        <v>6</v>
      </c>
      <c r="AE551" s="80">
        <v>273</v>
      </c>
      <c r="AF551" s="80">
        <v>6.35</v>
      </c>
      <c r="AG551" s="108" cm="1">
        <f t="array" ref="AG551">_xll.DCEPropSectPipe(AE551, AF551, "Area")/100</f>
        <v>53.19431074856206</v>
      </c>
      <c r="AH551" s="16" cm="1">
        <f t="array" ref="AH551">_xll.DCEPropSectPipe(AE551, AF551, "Ix")/10000</f>
        <v>4730.4733077169503</v>
      </c>
      <c r="AI551" s="16" cm="1">
        <f t="array" ref="AI551">_xll.DCEPropSectPipe(AE551, AF551, "Wx")/1000</f>
        <v>346.55482107816493</v>
      </c>
      <c r="AJ551" s="108">
        <f t="shared" si="257"/>
        <v>9.4301739777164251</v>
      </c>
      <c r="AK551" s="80" t="s">
        <v>213</v>
      </c>
      <c r="AL551" s="82">
        <v>-6.3976411610857493</v>
      </c>
      <c r="AM551" s="82">
        <v>-1.1356597567164102</v>
      </c>
      <c r="AN551" s="82">
        <v>-0.3214140569755895</v>
      </c>
      <c r="AO551" s="82">
        <v>0</v>
      </c>
      <c r="AP551" s="82">
        <v>0</v>
      </c>
      <c r="AQ551" s="82">
        <v>-1.4570821621078979E-2</v>
      </c>
      <c r="AR551" s="72">
        <v>1</v>
      </c>
      <c r="AS551" s="116">
        <f t="shared" si="258"/>
        <v>6</v>
      </c>
      <c r="AT551" s="82">
        <v>2</v>
      </c>
      <c r="AU551" s="6">
        <f t="shared" si="259"/>
        <v>12</v>
      </c>
      <c r="AV551" s="111">
        <f t="shared" si="260"/>
        <v>5.2617807592340634E-3</v>
      </c>
      <c r="AW551" s="117">
        <f t="shared" si="261"/>
        <v>105</v>
      </c>
      <c r="AX551" s="111">
        <f t="shared" si="262"/>
        <v>1</v>
      </c>
      <c r="AY551" s="111">
        <f t="shared" si="263"/>
        <v>1</v>
      </c>
      <c r="AZ551" s="111">
        <f t="shared" si="264"/>
        <v>1</v>
      </c>
      <c r="BA551" s="111">
        <f t="shared" si="265"/>
        <v>5.5387165886674351E-3</v>
      </c>
      <c r="BB551" s="111">
        <f t="shared" si="266"/>
        <v>0</v>
      </c>
      <c r="BC551" s="111">
        <f t="shared" si="267"/>
        <v>0</v>
      </c>
      <c r="BD551" s="111">
        <v>0</v>
      </c>
      <c r="BE551" s="111">
        <f t="shared" si="268"/>
        <v>5.5387165886674351E-3</v>
      </c>
      <c r="BF551" s="6" t="str">
        <f t="shared" si="269"/>
        <v>OK</v>
      </c>
      <c r="BG551" s="16">
        <f t="shared" si="270"/>
        <v>63.625549371390676</v>
      </c>
      <c r="BH551" s="118">
        <f t="shared" si="271"/>
        <v>2.1193803644775273</v>
      </c>
      <c r="BI551" s="108">
        <f t="shared" si="272"/>
        <v>0</v>
      </c>
      <c r="BJ551" s="6">
        <f t="shared" si="273"/>
        <v>1.2440309817761237</v>
      </c>
      <c r="BK551" s="108">
        <f t="shared" si="274"/>
        <v>0</v>
      </c>
      <c r="BL551" s="118" cm="1">
        <f t="array" ref="BL551">IF(AO551=0,FactorPhi7121(BH551,"a"),noisuy2chieu(BK551,BH551,Data!$A$63:$M$85))</f>
        <v>0.86214274110469236</v>
      </c>
      <c r="BM551" s="111">
        <v>1.26</v>
      </c>
      <c r="BN551" s="118">
        <f t="shared" si="275"/>
        <v>0.99763652745732312</v>
      </c>
      <c r="BO551" s="108">
        <f t="shared" si="276"/>
        <v>1.3094032061781386E-2</v>
      </c>
      <c r="BP551" s="6" t="str">
        <f t="shared" si="277"/>
        <v>OK</v>
      </c>
      <c r="BQ551" s="16">
        <f t="shared" si="278"/>
        <v>127.25109874278135</v>
      </c>
      <c r="BR551" s="118">
        <f t="shared" si="279"/>
        <v>4.2387607289550546</v>
      </c>
      <c r="BS551" s="108">
        <f t="shared" si="280"/>
        <v>0</v>
      </c>
      <c r="BT551" s="118">
        <f t="shared" si="281"/>
        <v>1.1380619635522473</v>
      </c>
      <c r="BU551" s="108">
        <f t="shared" si="282"/>
        <v>0</v>
      </c>
      <c r="BV551" s="6" cm="1">
        <f t="array" ref="BV551">IF(AP551=0,FactorPhi7121(BR551,"a"),noisuy2chieu(BU551,BR551,Data!$A$63:$M$85))</f>
        <v>0.42299549615688942</v>
      </c>
      <c r="BW551" s="111">
        <v>1.26</v>
      </c>
      <c r="BX551" s="111">
        <f t="shared" si="283"/>
        <v>0.99054610982929259</v>
      </c>
      <c r="BY551" s="113">
        <f t="shared" si="284"/>
        <v>6.4243614480480249E-3</v>
      </c>
      <c r="BZ551" s="6" t="str">
        <f t="shared" si="285"/>
        <v>OK</v>
      </c>
      <c r="CA551" s="114">
        <f t="shared" si="286"/>
        <v>127.25109874278135</v>
      </c>
      <c r="CB551" s="115">
        <f t="shared" si="287"/>
        <v>150</v>
      </c>
      <c r="CC551" s="6" t="str">
        <f t="shared" si="288"/>
        <v>OK</v>
      </c>
    </row>
    <row r="552" spans="27:81">
      <c r="AA552" s="79" t="s">
        <v>175</v>
      </c>
      <c r="AB552" s="80" t="s">
        <v>205</v>
      </c>
      <c r="AC552" s="81">
        <v>2.74</v>
      </c>
      <c r="AD552" s="81">
        <v>6</v>
      </c>
      <c r="AE552" s="80">
        <v>273</v>
      </c>
      <c r="AF552" s="80">
        <v>6.35</v>
      </c>
      <c r="AG552" s="108" cm="1">
        <f t="array" ref="AG552">_xll.DCEPropSectPipe(AE552, AF552, "Area")/100</f>
        <v>53.19431074856206</v>
      </c>
      <c r="AH552" s="16" cm="1">
        <f t="array" ref="AH552">_xll.DCEPropSectPipe(AE552, AF552, "Ix")/10000</f>
        <v>4730.4733077169503</v>
      </c>
      <c r="AI552" s="16" cm="1">
        <f t="array" ref="AI552">_xll.DCEPropSectPipe(AE552, AF552, "Wx")/1000</f>
        <v>346.55482107816493</v>
      </c>
      <c r="AJ552" s="108">
        <f t="shared" si="257"/>
        <v>9.4301739777164251</v>
      </c>
      <c r="AK552" s="80" t="s">
        <v>213</v>
      </c>
      <c r="AL552" s="82">
        <v>-5.0503808123537119</v>
      </c>
      <c r="AM552" s="82">
        <v>-1.1356597567164102</v>
      </c>
      <c r="AN552" s="82">
        <v>-0.3214140569755895</v>
      </c>
      <c r="AO552" s="82">
        <v>0.88131734422706698</v>
      </c>
      <c r="AP552" s="82">
        <v>3.1139790529163975</v>
      </c>
      <c r="AQ552" s="82">
        <v>-1.4570821621078979E-2</v>
      </c>
      <c r="AR552" s="72">
        <v>1</v>
      </c>
      <c r="AS552" s="116">
        <f t="shared" si="258"/>
        <v>6</v>
      </c>
      <c r="AT552" s="82">
        <v>2</v>
      </c>
      <c r="AU552" s="6">
        <f t="shared" si="259"/>
        <v>12</v>
      </c>
      <c r="AV552" s="111">
        <f t="shared" si="260"/>
        <v>4.1537178963531873E-3</v>
      </c>
      <c r="AW552" s="117">
        <f t="shared" si="261"/>
        <v>105</v>
      </c>
      <c r="AX552" s="111">
        <f t="shared" si="262"/>
        <v>1</v>
      </c>
      <c r="AY552" s="111">
        <f t="shared" si="263"/>
        <v>1</v>
      </c>
      <c r="AZ552" s="111">
        <f t="shared" si="264"/>
        <v>1</v>
      </c>
      <c r="BA552" s="111">
        <f t="shared" si="265"/>
        <v>4.3723346277401969E-3</v>
      </c>
      <c r="BB552" s="111">
        <f t="shared" si="266"/>
        <v>1.1711562064424757E-2</v>
      </c>
      <c r="BC552" s="111">
        <f t="shared" si="267"/>
        <v>4.1380734402241402E-2</v>
      </c>
      <c r="BD552" s="111">
        <v>0</v>
      </c>
      <c r="BE552" s="111">
        <f t="shared" si="268"/>
        <v>5.746463109440636E-2</v>
      </c>
      <c r="BF552" s="6" t="str">
        <f t="shared" si="269"/>
        <v>OK</v>
      </c>
      <c r="BG552" s="16">
        <f t="shared" si="270"/>
        <v>63.625549371390676</v>
      </c>
      <c r="BH552" s="118">
        <f t="shared" si="271"/>
        <v>2.1193803644775273</v>
      </c>
      <c r="BI552" s="108">
        <f t="shared" si="272"/>
        <v>2.6785603256715453</v>
      </c>
      <c r="BJ552" s="6">
        <f t="shared" si="273"/>
        <v>1.1668718470855146</v>
      </c>
      <c r="BK552" s="108">
        <f t="shared" si="274"/>
        <v>3.1255366347463336</v>
      </c>
      <c r="BL552" s="118" cm="1">
        <f t="array" ref="BL552">IF(AO552=0,FactorPhi7121(BH552,"a"),noisuy2chieu(BK552,BH552,Data!$A$63:$M$85))</f>
        <v>0</v>
      </c>
      <c r="BM552" s="111">
        <v>1.26</v>
      </c>
      <c r="BN552" s="118">
        <f t="shared" si="275"/>
        <v>0.99813424415663321</v>
      </c>
      <c r="BO552" s="108" t="e">
        <f t="shared" si="276"/>
        <v>#DIV/0!</v>
      </c>
      <c r="BP552" s="6" t="e">
        <f t="shared" si="277"/>
        <v>#DIV/0!</v>
      </c>
      <c r="BQ552" s="16">
        <f t="shared" si="278"/>
        <v>127.25109874278135</v>
      </c>
      <c r="BR552" s="118">
        <f t="shared" si="279"/>
        <v>4.2387607289550546</v>
      </c>
      <c r="BS552" s="108">
        <f t="shared" si="280"/>
        <v>9.4642194446193777</v>
      </c>
      <c r="BT552" s="118">
        <f t="shared" si="281"/>
        <v>1.1000000000000001</v>
      </c>
      <c r="BU552" s="108">
        <f t="shared" si="282"/>
        <v>10.410641389081317</v>
      </c>
      <c r="BV552" s="6" cm="1">
        <f t="array" ref="BV552">IF(AP552=0,FactorPhi7121(BR552,"a"),noisuy2chieu(BU552,BR552,Data!$A$63:$M$85))</f>
        <v>0</v>
      </c>
      <c r="BW552" s="111">
        <v>1.26</v>
      </c>
      <c r="BX552" s="111">
        <f t="shared" si="283"/>
        <v>0.99253697662653262</v>
      </c>
      <c r="BY552" s="113" t="e">
        <f t="shared" si="284"/>
        <v>#DIV/0!</v>
      </c>
      <c r="BZ552" s="6" t="e">
        <f t="shared" si="285"/>
        <v>#DIV/0!</v>
      </c>
      <c r="CA552" s="114">
        <f t="shared" si="286"/>
        <v>127.25109874278135</v>
      </c>
      <c r="CB552" s="115" t="e">
        <f t="shared" si="287"/>
        <v>#DIV/0!</v>
      </c>
      <c r="CC552" s="6" t="e">
        <f t="shared" si="288"/>
        <v>#DIV/0!</v>
      </c>
    </row>
    <row r="553" spans="27:81">
      <c r="AA553" s="79" t="s">
        <v>175</v>
      </c>
      <c r="AB553" s="80" t="s">
        <v>205</v>
      </c>
      <c r="AC553" s="81">
        <v>5.48</v>
      </c>
      <c r="AD553" s="81">
        <v>6</v>
      </c>
      <c r="AE553" s="80">
        <v>273</v>
      </c>
      <c r="AF553" s="80">
        <v>6.35</v>
      </c>
      <c r="AG553" s="108" cm="1">
        <f t="array" ref="AG553">_xll.DCEPropSectPipe(AE553, AF553, "Area")/100</f>
        <v>53.19431074856206</v>
      </c>
      <c r="AH553" s="16" cm="1">
        <f t="array" ref="AH553">_xll.DCEPropSectPipe(AE553, AF553, "Ix")/10000</f>
        <v>4730.4733077169503</v>
      </c>
      <c r="AI553" s="16" cm="1">
        <f t="array" ref="AI553">_xll.DCEPropSectPipe(AE553, AF553, "Wx")/1000</f>
        <v>346.55482107816493</v>
      </c>
      <c r="AJ553" s="108">
        <f t="shared" si="257"/>
        <v>9.4301739777164251</v>
      </c>
      <c r="AK553" s="80" t="s">
        <v>213</v>
      </c>
      <c r="AL553" s="82">
        <v>-3.7031204636216817</v>
      </c>
      <c r="AM553" s="82">
        <v>-1.1356597567164102</v>
      </c>
      <c r="AN553" s="82">
        <v>-0.3214140569755895</v>
      </c>
      <c r="AO553" s="82">
        <v>1.762634688454134</v>
      </c>
      <c r="AP553" s="82">
        <v>6.2279581058327951</v>
      </c>
      <c r="AQ553" s="82">
        <v>-1.4570821621078979E-2</v>
      </c>
      <c r="AR553" s="72">
        <v>1</v>
      </c>
      <c r="AS553" s="116">
        <f t="shared" si="258"/>
        <v>6</v>
      </c>
      <c r="AT553" s="82">
        <v>2</v>
      </c>
      <c r="AU553" s="6">
        <f t="shared" si="259"/>
        <v>12</v>
      </c>
      <c r="AV553" s="111">
        <f t="shared" si="260"/>
        <v>3.0456550334723165E-3</v>
      </c>
      <c r="AW553" s="117">
        <f t="shared" si="261"/>
        <v>105</v>
      </c>
      <c r="AX553" s="111">
        <f t="shared" si="262"/>
        <v>1</v>
      </c>
      <c r="AY553" s="111">
        <f t="shared" si="263"/>
        <v>1</v>
      </c>
      <c r="AZ553" s="111">
        <f t="shared" si="264"/>
        <v>1</v>
      </c>
      <c r="BA553" s="111">
        <f t="shared" si="265"/>
        <v>3.2059526668129653E-3</v>
      </c>
      <c r="BB553" s="111">
        <f t="shared" si="266"/>
        <v>2.3423124128849514E-2</v>
      </c>
      <c r="BC553" s="111">
        <f t="shared" si="267"/>
        <v>8.2761468804482805E-2</v>
      </c>
      <c r="BD553" s="111">
        <v>0</v>
      </c>
      <c r="BE553" s="111">
        <f t="shared" si="268"/>
        <v>0.10939054560014529</v>
      </c>
      <c r="BF553" s="6" t="str">
        <f t="shared" si="269"/>
        <v>OK</v>
      </c>
      <c r="BG553" s="16">
        <f t="shared" si="270"/>
        <v>63.625549371390676</v>
      </c>
      <c r="BH553" s="118">
        <f t="shared" si="271"/>
        <v>2.1193803644775273</v>
      </c>
      <c r="BI553" s="108">
        <f t="shared" si="272"/>
        <v>7.3061353560576503</v>
      </c>
      <c r="BJ553" s="6">
        <f t="shared" si="273"/>
        <v>1.1000000000000001</v>
      </c>
      <c r="BK553" s="108">
        <f t="shared" si="274"/>
        <v>8.0367488916634162</v>
      </c>
      <c r="BL553" s="118" cm="1">
        <f t="array" ref="BL553">IF(AO553=0,FactorPhi7121(BH553,"a"),noisuy2chieu(BK553,BH553,Data!$A$63:$M$85))</f>
        <v>0</v>
      </c>
      <c r="BM553" s="111">
        <v>1.26</v>
      </c>
      <c r="BN553" s="118">
        <f t="shared" si="275"/>
        <v>0.99863196085594319</v>
      </c>
      <c r="BO553" s="108" t="e">
        <f t="shared" si="276"/>
        <v>#DIV/0!</v>
      </c>
      <c r="BP553" s="6" t="e">
        <f t="shared" si="277"/>
        <v>#DIV/0!</v>
      </c>
      <c r="BQ553" s="16">
        <f t="shared" si="278"/>
        <v>127.25109874278135</v>
      </c>
      <c r="BR553" s="118">
        <f t="shared" si="279"/>
        <v>4.2387607289550546</v>
      </c>
      <c r="BS553" s="108">
        <f t="shared" si="280"/>
        <v>25.814937837730429</v>
      </c>
      <c r="BT553" s="118">
        <f t="shared" si="281"/>
        <v>1.1000000000000001</v>
      </c>
      <c r="BU553" s="108">
        <f t="shared" si="282"/>
        <v>28.396431621503474</v>
      </c>
      <c r="BV553" s="6" cm="1">
        <f t="array" ref="BV553">IF(AP553=0,FactorPhi7121(BR553,"a"),noisuy2chieu(BU553,BR553,Data!$A$63:$M$85))</f>
        <v>0</v>
      </c>
      <c r="BW553" s="111">
        <v>1.26</v>
      </c>
      <c r="BX553" s="111">
        <f t="shared" si="283"/>
        <v>0.99452784342377265</v>
      </c>
      <c r="BY553" s="113" t="e">
        <f t="shared" si="284"/>
        <v>#DIV/0!</v>
      </c>
      <c r="BZ553" s="6" t="e">
        <f t="shared" si="285"/>
        <v>#DIV/0!</v>
      </c>
      <c r="CA553" s="114">
        <f t="shared" si="286"/>
        <v>127.25109874278135</v>
      </c>
      <c r="CB553" s="115" t="e">
        <f t="shared" si="287"/>
        <v>#DIV/0!</v>
      </c>
      <c r="CC553" s="6" t="e">
        <f t="shared" si="288"/>
        <v>#DIV/0!</v>
      </c>
    </row>
    <row r="554" spans="27:81">
      <c r="AA554" s="79" t="s">
        <v>175</v>
      </c>
      <c r="AB554" s="80" t="s">
        <v>205</v>
      </c>
      <c r="AC554" s="81">
        <v>0</v>
      </c>
      <c r="AD554" s="81">
        <v>6</v>
      </c>
      <c r="AE554" s="80">
        <v>273</v>
      </c>
      <c r="AF554" s="80">
        <v>6.35</v>
      </c>
      <c r="AG554" s="108" cm="1">
        <f t="array" ref="AG554">_xll.DCEPropSectPipe(AE554, AF554, "Area")/100</f>
        <v>53.19431074856206</v>
      </c>
      <c r="AH554" s="16" cm="1">
        <f t="array" ref="AH554">_xll.DCEPropSectPipe(AE554, AF554, "Ix")/10000</f>
        <v>4730.4733077169503</v>
      </c>
      <c r="AI554" s="16" cm="1">
        <f t="array" ref="AI554">_xll.DCEPropSectPipe(AE554, AF554, "Wx")/1000</f>
        <v>346.55482107816493</v>
      </c>
      <c r="AJ554" s="108">
        <f t="shared" si="257"/>
        <v>9.4301739777164251</v>
      </c>
      <c r="AK554" s="80" t="s">
        <v>214</v>
      </c>
      <c r="AL554" s="82">
        <v>-15.418051922269685</v>
      </c>
      <c r="AM554" s="82">
        <v>-1.0735872521584664</v>
      </c>
      <c r="AN554" s="82">
        <v>-0.40444609190550013</v>
      </c>
      <c r="AO554" s="82">
        <v>0</v>
      </c>
      <c r="AP554" s="82">
        <v>0</v>
      </c>
      <c r="AQ554" s="82">
        <v>1.5465731464164094E-2</v>
      </c>
      <c r="AR554" s="72">
        <v>1</v>
      </c>
      <c r="AS554" s="116">
        <f t="shared" si="258"/>
        <v>6</v>
      </c>
      <c r="AT554" s="82">
        <v>2</v>
      </c>
      <c r="AU554" s="6">
        <f t="shared" si="259"/>
        <v>12</v>
      </c>
      <c r="AV554" s="111">
        <f t="shared" si="260"/>
        <v>1.2680675096773068E-2</v>
      </c>
      <c r="AW554" s="117">
        <f t="shared" si="261"/>
        <v>105</v>
      </c>
      <c r="AX554" s="111">
        <f t="shared" si="262"/>
        <v>1</v>
      </c>
      <c r="AY554" s="111">
        <f t="shared" si="263"/>
        <v>1</v>
      </c>
      <c r="AZ554" s="111">
        <f t="shared" si="264"/>
        <v>1</v>
      </c>
      <c r="BA554" s="111">
        <f t="shared" si="265"/>
        <v>1.3348079049234809E-2</v>
      </c>
      <c r="BB554" s="111">
        <f t="shared" si="266"/>
        <v>0</v>
      </c>
      <c r="BC554" s="111">
        <f t="shared" si="267"/>
        <v>0</v>
      </c>
      <c r="BD554" s="111">
        <v>0</v>
      </c>
      <c r="BE554" s="111">
        <f t="shared" si="268"/>
        <v>1.3348079049234809E-2</v>
      </c>
      <c r="BF554" s="6" t="str">
        <f t="shared" si="269"/>
        <v>OK</v>
      </c>
      <c r="BG554" s="16">
        <f t="shared" si="270"/>
        <v>63.625549371390676</v>
      </c>
      <c r="BH554" s="118">
        <f t="shared" si="271"/>
        <v>2.1193803644775273</v>
      </c>
      <c r="BI554" s="108">
        <f t="shared" si="272"/>
        <v>0</v>
      </c>
      <c r="BJ554" s="6">
        <f t="shared" si="273"/>
        <v>1.2440309817761237</v>
      </c>
      <c r="BK554" s="108">
        <f t="shared" si="274"/>
        <v>0</v>
      </c>
      <c r="BL554" s="118" cm="1">
        <f t="array" ref="BL554">IF(AO554=0,FactorPhi7121(BH554,"a"),noisuy2chieu(BK554,BH554,Data!$A$63:$M$85))</f>
        <v>0.86214274110469236</v>
      </c>
      <c r="BM554" s="111">
        <v>1.26</v>
      </c>
      <c r="BN554" s="118">
        <f t="shared" si="275"/>
        <v>0.99430412843385141</v>
      </c>
      <c r="BO554" s="108">
        <f t="shared" si="276"/>
        <v>3.1556078422839737E-2</v>
      </c>
      <c r="BP554" s="6" t="str">
        <f t="shared" si="277"/>
        <v>OK</v>
      </c>
      <c r="BQ554" s="16">
        <f t="shared" si="278"/>
        <v>127.25109874278135</v>
      </c>
      <c r="BR554" s="118">
        <f t="shared" si="279"/>
        <v>4.2387607289550546</v>
      </c>
      <c r="BS554" s="108">
        <f t="shared" si="280"/>
        <v>0</v>
      </c>
      <c r="BT554" s="118">
        <f t="shared" si="281"/>
        <v>1.1380619635522473</v>
      </c>
      <c r="BU554" s="108">
        <f t="shared" si="282"/>
        <v>0</v>
      </c>
      <c r="BV554" s="6" cm="1">
        <f t="array" ref="BV554">IF(AP554=0,FactorPhi7121(BR554,"a"),noisuy2chieu(BU554,BR554,Data!$A$63:$M$85))</f>
        <v>0.42299549615688942</v>
      </c>
      <c r="BW554" s="111">
        <v>1.26</v>
      </c>
      <c r="BX554" s="111">
        <f t="shared" si="283"/>
        <v>0.97721651373540552</v>
      </c>
      <c r="BY554" s="113">
        <f t="shared" si="284"/>
        <v>1.5482446714254611E-2</v>
      </c>
      <c r="BZ554" s="6" t="str">
        <f t="shared" si="285"/>
        <v>OK</v>
      </c>
      <c r="CA554" s="114">
        <f t="shared" si="286"/>
        <v>127.25109874278135</v>
      </c>
      <c r="CB554" s="115">
        <f t="shared" si="287"/>
        <v>150</v>
      </c>
      <c r="CC554" s="6" t="str">
        <f t="shared" si="288"/>
        <v>OK</v>
      </c>
    </row>
    <row r="555" spans="27:81">
      <c r="AA555" s="79" t="s">
        <v>175</v>
      </c>
      <c r="AB555" s="80" t="s">
        <v>205</v>
      </c>
      <c r="AC555" s="81">
        <v>2.74</v>
      </c>
      <c r="AD555" s="81">
        <v>6</v>
      </c>
      <c r="AE555" s="80">
        <v>273</v>
      </c>
      <c r="AF555" s="80">
        <v>6.35</v>
      </c>
      <c r="AG555" s="108" cm="1">
        <f t="array" ref="AG555">_xll.DCEPropSectPipe(AE555, AF555, "Area")/100</f>
        <v>53.19431074856206</v>
      </c>
      <c r="AH555" s="16" cm="1">
        <f t="array" ref="AH555">_xll.DCEPropSectPipe(AE555, AF555, "Ix")/10000</f>
        <v>4730.4733077169503</v>
      </c>
      <c r="AI555" s="16" cm="1">
        <f t="array" ref="AI555">_xll.DCEPropSectPipe(AE555, AF555, "Wx")/1000</f>
        <v>346.55482107816493</v>
      </c>
      <c r="AJ555" s="108">
        <f t="shared" si="257"/>
        <v>9.4301739777164251</v>
      </c>
      <c r="AK555" s="80" t="s">
        <v>214</v>
      </c>
      <c r="AL555" s="82">
        <v>-14.070791573537647</v>
      </c>
      <c r="AM555" s="82">
        <v>-1.0735872521584664</v>
      </c>
      <c r="AN555" s="82">
        <v>-0.40444609190550013</v>
      </c>
      <c r="AO555" s="82">
        <v>1.1089911840048814</v>
      </c>
      <c r="AP555" s="82">
        <v>2.9437762454185141</v>
      </c>
      <c r="AQ555" s="82">
        <v>1.5465731464164094E-2</v>
      </c>
      <c r="AR555" s="72">
        <v>1</v>
      </c>
      <c r="AS555" s="116">
        <f t="shared" si="258"/>
        <v>6</v>
      </c>
      <c r="AT555" s="82">
        <v>2</v>
      </c>
      <c r="AU555" s="6">
        <f t="shared" si="259"/>
        <v>12</v>
      </c>
      <c r="AV555" s="111">
        <f t="shared" si="260"/>
        <v>1.157261223389219E-2</v>
      </c>
      <c r="AW555" s="117">
        <f t="shared" si="261"/>
        <v>105</v>
      </c>
      <c r="AX555" s="111">
        <f t="shared" si="262"/>
        <v>1</v>
      </c>
      <c r="AY555" s="111">
        <f t="shared" si="263"/>
        <v>1</v>
      </c>
      <c r="AZ555" s="111">
        <f t="shared" si="264"/>
        <v>1</v>
      </c>
      <c r="BA555" s="111">
        <f t="shared" si="265"/>
        <v>1.218169708830757E-2</v>
      </c>
      <c r="BB555" s="111">
        <f t="shared" si="266"/>
        <v>1.4737051489397182E-2</v>
      </c>
      <c r="BC555" s="111">
        <f t="shared" si="267"/>
        <v>3.9118960301677198E-2</v>
      </c>
      <c r="BD555" s="111">
        <v>0</v>
      </c>
      <c r="BE555" s="111">
        <f t="shared" si="268"/>
        <v>6.6037708879381957E-2</v>
      </c>
      <c r="BF555" s="6" t="str">
        <f t="shared" si="269"/>
        <v>OK</v>
      </c>
      <c r="BG555" s="16">
        <f t="shared" si="270"/>
        <v>63.625549371390676</v>
      </c>
      <c r="BH555" s="118">
        <f t="shared" si="271"/>
        <v>2.1193803644775273</v>
      </c>
      <c r="BI555" s="108">
        <f t="shared" si="272"/>
        <v>1.2097699838179634</v>
      </c>
      <c r="BJ555" s="6">
        <f t="shared" si="273"/>
        <v>1.2091821100776063</v>
      </c>
      <c r="BK555" s="108">
        <f t="shared" si="274"/>
        <v>1.4628322217415566</v>
      </c>
      <c r="BL555" s="118" cm="1">
        <f t="array" ref="BL555">IF(AO555=0,FactorPhi7121(BH555,"a"),noisuy2chieu(BK555,BH555,Data!$A$63:$M$85))</f>
        <v>0</v>
      </c>
      <c r="BM555" s="111">
        <v>1.26</v>
      </c>
      <c r="BN555" s="118">
        <f t="shared" si="275"/>
        <v>0.99480184513316139</v>
      </c>
      <c r="BO555" s="108" t="e">
        <f t="shared" si="276"/>
        <v>#DIV/0!</v>
      </c>
      <c r="BP555" s="6" t="e">
        <f t="shared" si="277"/>
        <v>#DIV/0!</v>
      </c>
      <c r="BQ555" s="16">
        <f t="shared" si="278"/>
        <v>127.25109874278135</v>
      </c>
      <c r="BR555" s="118">
        <f t="shared" si="279"/>
        <v>4.2387607289550546</v>
      </c>
      <c r="BS555" s="108">
        <f t="shared" si="280"/>
        <v>3.2112898570778765</v>
      </c>
      <c r="BT555" s="118">
        <f t="shared" si="281"/>
        <v>1.1136163640530874</v>
      </c>
      <c r="BU555" s="108">
        <f t="shared" si="282"/>
        <v>3.5761449345596237</v>
      </c>
      <c r="BV555" s="6" cm="1">
        <f t="array" ref="BV555">IF(AP555=0,FactorPhi7121(BR555,"a"),noisuy2chieu(BU555,BR555,Data!$A$63:$M$85))</f>
        <v>0</v>
      </c>
      <c r="BW555" s="111">
        <v>1.26</v>
      </c>
      <c r="BX555" s="111">
        <f t="shared" si="283"/>
        <v>0.97920738053264555</v>
      </c>
      <c r="BY555" s="113" t="e">
        <f t="shared" si="284"/>
        <v>#DIV/0!</v>
      </c>
      <c r="BZ555" s="6" t="e">
        <f t="shared" si="285"/>
        <v>#DIV/0!</v>
      </c>
      <c r="CA555" s="114">
        <f t="shared" si="286"/>
        <v>127.25109874278135</v>
      </c>
      <c r="CB555" s="115" t="e">
        <f t="shared" si="287"/>
        <v>#DIV/0!</v>
      </c>
      <c r="CC555" s="6" t="e">
        <f t="shared" si="288"/>
        <v>#DIV/0!</v>
      </c>
    </row>
    <row r="556" spans="27:81">
      <c r="AA556" s="79" t="s">
        <v>175</v>
      </c>
      <c r="AB556" s="80" t="s">
        <v>205</v>
      </c>
      <c r="AC556" s="81">
        <v>5.48</v>
      </c>
      <c r="AD556" s="81">
        <v>6</v>
      </c>
      <c r="AE556" s="80">
        <v>273</v>
      </c>
      <c r="AF556" s="80">
        <v>6.35</v>
      </c>
      <c r="AG556" s="108" cm="1">
        <f t="array" ref="AG556">_xll.DCEPropSectPipe(AE556, AF556, "Area")/100</f>
        <v>53.19431074856206</v>
      </c>
      <c r="AH556" s="16" cm="1">
        <f t="array" ref="AH556">_xll.DCEPropSectPipe(AE556, AF556, "Ix")/10000</f>
        <v>4730.4733077169503</v>
      </c>
      <c r="AI556" s="16" cm="1">
        <f t="array" ref="AI556">_xll.DCEPropSectPipe(AE556, AF556, "Wx")/1000</f>
        <v>346.55482107816493</v>
      </c>
      <c r="AJ556" s="108">
        <f t="shared" si="257"/>
        <v>9.4301739777164251</v>
      </c>
      <c r="AK556" s="80" t="s">
        <v>214</v>
      </c>
      <c r="AL556" s="82">
        <v>-12.723531224805617</v>
      </c>
      <c r="AM556" s="82">
        <v>-1.0735872521584664</v>
      </c>
      <c r="AN556" s="82">
        <v>-0.40444609190550013</v>
      </c>
      <c r="AO556" s="82">
        <v>2.2179823680097628</v>
      </c>
      <c r="AP556" s="82">
        <v>5.8875524908370283</v>
      </c>
      <c r="AQ556" s="82">
        <v>1.5465731464164094E-2</v>
      </c>
      <c r="AR556" s="72">
        <v>1</v>
      </c>
      <c r="AS556" s="116">
        <f t="shared" si="258"/>
        <v>6</v>
      </c>
      <c r="AT556" s="82">
        <v>2</v>
      </c>
      <c r="AU556" s="6">
        <f t="shared" si="259"/>
        <v>12</v>
      </c>
      <c r="AV556" s="111">
        <f t="shared" si="260"/>
        <v>1.0464549371011319E-2</v>
      </c>
      <c r="AW556" s="117">
        <f t="shared" si="261"/>
        <v>105</v>
      </c>
      <c r="AX556" s="111">
        <f t="shared" si="262"/>
        <v>1</v>
      </c>
      <c r="AY556" s="111">
        <f t="shared" si="263"/>
        <v>1</v>
      </c>
      <c r="AZ556" s="111">
        <f t="shared" si="264"/>
        <v>1</v>
      </c>
      <c r="BA556" s="111">
        <f t="shared" si="265"/>
        <v>1.1015315127380338E-2</v>
      </c>
      <c r="BB556" s="111">
        <f t="shared" si="266"/>
        <v>2.9474102978794364E-2</v>
      </c>
      <c r="BC556" s="111">
        <f t="shared" si="267"/>
        <v>7.8237920603354397E-2</v>
      </c>
      <c r="BD556" s="111">
        <v>0</v>
      </c>
      <c r="BE556" s="111">
        <f t="shared" si="268"/>
        <v>0.11872733870952909</v>
      </c>
      <c r="BF556" s="6" t="str">
        <f t="shared" si="269"/>
        <v>OK</v>
      </c>
      <c r="BG556" s="16">
        <f t="shared" si="270"/>
        <v>63.625549371390676</v>
      </c>
      <c r="BH556" s="118">
        <f t="shared" si="271"/>
        <v>2.1193803644775273</v>
      </c>
      <c r="BI556" s="108">
        <f t="shared" si="272"/>
        <v>2.6757385184134894</v>
      </c>
      <c r="BJ556" s="6">
        <f t="shared" si="273"/>
        <v>1.1669531326194666</v>
      </c>
      <c r="BK556" s="108">
        <f t="shared" si="274"/>
        <v>3.1224614461331921</v>
      </c>
      <c r="BL556" s="118" cm="1">
        <f t="array" ref="BL556">IF(AO556=0,FactorPhi7121(BH556,"a"),noisuy2chieu(BK556,BH556,Data!$A$63:$M$85))</f>
        <v>0</v>
      </c>
      <c r="BM556" s="111">
        <v>1.26</v>
      </c>
      <c r="BN556" s="118">
        <f t="shared" si="275"/>
        <v>0.99529956183247137</v>
      </c>
      <c r="BO556" s="108" t="e">
        <f t="shared" si="276"/>
        <v>#DIV/0!</v>
      </c>
      <c r="BP556" s="6" t="e">
        <f t="shared" si="277"/>
        <v>#DIV/0!</v>
      </c>
      <c r="BQ556" s="16">
        <f t="shared" si="278"/>
        <v>127.25109874278135</v>
      </c>
      <c r="BR556" s="118">
        <f t="shared" si="279"/>
        <v>4.2387607289550546</v>
      </c>
      <c r="BS556" s="108">
        <f t="shared" si="280"/>
        <v>7.1026493294668871</v>
      </c>
      <c r="BT556" s="118">
        <f t="shared" si="281"/>
        <v>1.1000000000000001</v>
      </c>
      <c r="BU556" s="108">
        <f t="shared" si="282"/>
        <v>7.8129142624135763</v>
      </c>
      <c r="BV556" s="6" cm="1">
        <f t="array" ref="BV556">IF(AP556=0,FactorPhi7121(BR556,"a"),noisuy2chieu(BU556,BR556,Data!$A$63:$M$85))</f>
        <v>0</v>
      </c>
      <c r="BW556" s="111">
        <v>1.26</v>
      </c>
      <c r="BX556" s="111">
        <f t="shared" si="283"/>
        <v>0.98119824732988559</v>
      </c>
      <c r="BY556" s="113" t="e">
        <f t="shared" si="284"/>
        <v>#DIV/0!</v>
      </c>
      <c r="BZ556" s="6" t="e">
        <f t="shared" si="285"/>
        <v>#DIV/0!</v>
      </c>
      <c r="CA556" s="114">
        <f t="shared" si="286"/>
        <v>127.25109874278135</v>
      </c>
      <c r="CB556" s="115" t="e">
        <f t="shared" si="287"/>
        <v>#DIV/0!</v>
      </c>
      <c r="CC556" s="6" t="e">
        <f t="shared" si="288"/>
        <v>#DIV/0!</v>
      </c>
    </row>
    <row r="557" spans="27:81">
      <c r="AA557" s="79" t="s">
        <v>175</v>
      </c>
      <c r="AB557" s="80" t="s">
        <v>205</v>
      </c>
      <c r="AC557" s="81">
        <v>0</v>
      </c>
      <c r="AD557" s="81">
        <v>6</v>
      </c>
      <c r="AE557" s="80">
        <v>273</v>
      </c>
      <c r="AF557" s="80">
        <v>6.35</v>
      </c>
      <c r="AG557" s="108" cm="1">
        <f t="array" ref="AG557">_xll.DCEPropSectPipe(AE557, AF557, "Area")/100</f>
        <v>53.19431074856206</v>
      </c>
      <c r="AH557" s="16" cm="1">
        <f t="array" ref="AH557">_xll.DCEPropSectPipe(AE557, AF557, "Ix")/10000</f>
        <v>4730.4733077169503</v>
      </c>
      <c r="AI557" s="16" cm="1">
        <f t="array" ref="AI557">_xll.DCEPropSectPipe(AE557, AF557, "Wx")/1000</f>
        <v>346.55482107816493</v>
      </c>
      <c r="AJ557" s="108">
        <f t="shared" si="257"/>
        <v>9.4301739777164251</v>
      </c>
      <c r="AK557" s="80" t="s">
        <v>215</v>
      </c>
      <c r="AL557" s="82">
        <v>-58.735644245419103</v>
      </c>
      <c r="AM557" s="82">
        <v>-8.4214228320981306</v>
      </c>
      <c r="AN557" s="82">
        <v>-1.8994130421139142</v>
      </c>
      <c r="AO557" s="82">
        <v>0</v>
      </c>
      <c r="AP557" s="82">
        <v>0</v>
      </c>
      <c r="AQ557" s="82">
        <v>0.29068688991737651</v>
      </c>
      <c r="AR557" s="72">
        <v>1</v>
      </c>
      <c r="AS557" s="116">
        <f t="shared" si="258"/>
        <v>6</v>
      </c>
      <c r="AT557" s="82">
        <v>2</v>
      </c>
      <c r="AU557" s="6">
        <f t="shared" si="259"/>
        <v>12</v>
      </c>
      <c r="AV557" s="111">
        <f t="shared" si="260"/>
        <v>4.8307505061648895E-2</v>
      </c>
      <c r="AW557" s="117">
        <f t="shared" si="261"/>
        <v>105</v>
      </c>
      <c r="AX557" s="111">
        <f t="shared" si="262"/>
        <v>1</v>
      </c>
      <c r="AY557" s="111">
        <f t="shared" si="263"/>
        <v>1</v>
      </c>
      <c r="AZ557" s="111">
        <f t="shared" si="264"/>
        <v>1</v>
      </c>
      <c r="BA557" s="111">
        <f t="shared" si="265"/>
        <v>5.0850005328051472E-2</v>
      </c>
      <c r="BB557" s="111">
        <f t="shared" si="266"/>
        <v>0</v>
      </c>
      <c r="BC557" s="111">
        <f t="shared" si="267"/>
        <v>0</v>
      </c>
      <c r="BD557" s="111">
        <v>0</v>
      </c>
      <c r="BE557" s="111">
        <f t="shared" si="268"/>
        <v>5.0850005328051472E-2</v>
      </c>
      <c r="BF557" s="6" t="str">
        <f t="shared" si="269"/>
        <v>OK</v>
      </c>
      <c r="BG557" s="16">
        <f t="shared" si="270"/>
        <v>63.625549371390676</v>
      </c>
      <c r="BH557" s="118">
        <f t="shared" si="271"/>
        <v>2.1193803644775273</v>
      </c>
      <c r="BI557" s="108">
        <f t="shared" si="272"/>
        <v>0</v>
      </c>
      <c r="BJ557" s="6">
        <f t="shared" si="273"/>
        <v>1.2440309817761237</v>
      </c>
      <c r="BK557" s="108">
        <f t="shared" si="274"/>
        <v>0</v>
      </c>
      <c r="BL557" s="118" cm="1">
        <f t="array" ref="BL557">IF(AO557=0,FactorPhi7121(BH557,"a"),noisuy2chieu(BK557,BH557,Data!$A$63:$M$85))</f>
        <v>0.86214274110469236</v>
      </c>
      <c r="BM557" s="111">
        <v>1.26</v>
      </c>
      <c r="BN557" s="118">
        <f t="shared" si="275"/>
        <v>0.97830136468189721</v>
      </c>
      <c r="BO557" s="108">
        <f t="shared" si="276"/>
        <v>0.12021405851846508</v>
      </c>
      <c r="BP557" s="6" t="str">
        <f t="shared" si="277"/>
        <v>OK</v>
      </c>
      <c r="BQ557" s="16">
        <f t="shared" si="278"/>
        <v>127.25109874278135</v>
      </c>
      <c r="BR557" s="118">
        <f t="shared" si="279"/>
        <v>4.2387607289550546</v>
      </c>
      <c r="BS557" s="108">
        <f t="shared" si="280"/>
        <v>0</v>
      </c>
      <c r="BT557" s="118">
        <f t="shared" si="281"/>
        <v>1.1380619635522473</v>
      </c>
      <c r="BU557" s="108">
        <f t="shared" si="282"/>
        <v>0</v>
      </c>
      <c r="BV557" s="6" cm="1">
        <f t="array" ref="BV557">IF(AP557=0,FactorPhi7121(BR557,"a"),noisuy2chieu(BU557,BR557,Data!$A$63:$M$85))</f>
        <v>0.42299549615688942</v>
      </c>
      <c r="BW557" s="111">
        <v>1.26</v>
      </c>
      <c r="BX557" s="111">
        <f t="shared" si="283"/>
        <v>0.91320545872758907</v>
      </c>
      <c r="BY557" s="113">
        <f t="shared" si="284"/>
        <v>5.898095860889075E-2</v>
      </c>
      <c r="BZ557" s="6" t="str">
        <f t="shared" si="285"/>
        <v>OK</v>
      </c>
      <c r="CA557" s="114">
        <f t="shared" si="286"/>
        <v>127.25109874278135</v>
      </c>
      <c r="CB557" s="115">
        <f t="shared" si="287"/>
        <v>150</v>
      </c>
      <c r="CC557" s="6" t="str">
        <f t="shared" si="288"/>
        <v>OK</v>
      </c>
    </row>
    <row r="558" spans="27:81">
      <c r="AA558" s="79" t="s">
        <v>175</v>
      </c>
      <c r="AB558" s="80" t="s">
        <v>205</v>
      </c>
      <c r="AC558" s="81">
        <v>2.74</v>
      </c>
      <c r="AD558" s="81">
        <v>6</v>
      </c>
      <c r="AE558" s="80">
        <v>273</v>
      </c>
      <c r="AF558" s="80">
        <v>6.35</v>
      </c>
      <c r="AG558" s="108" cm="1">
        <f t="array" ref="AG558">_xll.DCEPropSectPipe(AE558, AF558, "Area")/100</f>
        <v>53.19431074856206</v>
      </c>
      <c r="AH558" s="16" cm="1">
        <f t="array" ref="AH558">_xll.DCEPropSectPipe(AE558, AF558, "Ix")/10000</f>
        <v>4730.4733077169503</v>
      </c>
      <c r="AI558" s="16" cm="1">
        <f t="array" ref="AI558">_xll.DCEPropSectPipe(AE558, AF558, "Wx")/1000</f>
        <v>346.55482107816493</v>
      </c>
      <c r="AJ558" s="108">
        <f t="shared" si="257"/>
        <v>9.4301739777164251</v>
      </c>
      <c r="AK558" s="80" t="s">
        <v>215</v>
      </c>
      <c r="AL558" s="82">
        <v>-57.388383896687067</v>
      </c>
      <c r="AM558" s="82">
        <v>-8.4214228320981306</v>
      </c>
      <c r="AN558" s="82">
        <v>-1.8994130421139142</v>
      </c>
      <c r="AO558" s="82">
        <v>5.2081905614763526</v>
      </c>
      <c r="AP558" s="82">
        <v>23.091541405613075</v>
      </c>
      <c r="AQ558" s="82">
        <v>0.29068688991737651</v>
      </c>
      <c r="AR558" s="72">
        <v>1</v>
      </c>
      <c r="AS558" s="116">
        <f t="shared" si="258"/>
        <v>6</v>
      </c>
      <c r="AT558" s="82">
        <v>2</v>
      </c>
      <c r="AU558" s="6">
        <f t="shared" si="259"/>
        <v>12</v>
      </c>
      <c r="AV558" s="111">
        <f t="shared" si="260"/>
        <v>4.7199442198768017E-2</v>
      </c>
      <c r="AW558" s="117">
        <f t="shared" si="261"/>
        <v>105</v>
      </c>
      <c r="AX558" s="111">
        <f t="shared" si="262"/>
        <v>1</v>
      </c>
      <c r="AY558" s="111">
        <f t="shared" si="263"/>
        <v>1</v>
      </c>
      <c r="AZ558" s="111">
        <f t="shared" si="264"/>
        <v>1</v>
      </c>
      <c r="BA558" s="111">
        <f t="shared" si="265"/>
        <v>4.9683623367124244E-2</v>
      </c>
      <c r="BB558" s="111">
        <f t="shared" si="266"/>
        <v>6.9210083522838514E-2</v>
      </c>
      <c r="BC558" s="111">
        <f t="shared" si="267"/>
        <v>0.30685657340858441</v>
      </c>
      <c r="BD558" s="111">
        <v>0</v>
      </c>
      <c r="BE558" s="111">
        <f t="shared" si="268"/>
        <v>0.42575028029854717</v>
      </c>
      <c r="BF558" s="6" t="str">
        <f t="shared" si="269"/>
        <v>OK</v>
      </c>
      <c r="BG558" s="16">
        <f t="shared" si="270"/>
        <v>63.625549371390676</v>
      </c>
      <c r="BH558" s="118">
        <f t="shared" si="271"/>
        <v>2.1193803644775273</v>
      </c>
      <c r="BI558" s="108">
        <f t="shared" si="272"/>
        <v>1.3930160248464285</v>
      </c>
      <c r="BJ558" s="6">
        <f t="shared" si="273"/>
        <v>1.203903488638423</v>
      </c>
      <c r="BK558" s="108">
        <f t="shared" si="274"/>
        <v>1.6770568520418434</v>
      </c>
      <c r="BL558" s="118" cm="1">
        <f t="array" ref="BL558">IF(AO558=0,FactorPhi7121(BH558,"a"),noisuy2chieu(BK558,BH558,Data!$A$63:$M$85))</f>
        <v>0</v>
      </c>
      <c r="BM558" s="111">
        <v>1.26</v>
      </c>
      <c r="BN558" s="118">
        <f t="shared" si="275"/>
        <v>0.9787990813812073</v>
      </c>
      <c r="BO558" s="108" t="e">
        <f t="shared" si="276"/>
        <v>#DIV/0!</v>
      </c>
      <c r="BP558" s="6" t="e">
        <f t="shared" si="277"/>
        <v>#DIV/0!</v>
      </c>
      <c r="BQ558" s="16">
        <f t="shared" si="278"/>
        <v>127.25109874278135</v>
      </c>
      <c r="BR558" s="118">
        <f t="shared" si="279"/>
        <v>4.2387607289550546</v>
      </c>
      <c r="BS558" s="108">
        <f t="shared" si="280"/>
        <v>6.1762116490809751</v>
      </c>
      <c r="BT558" s="118">
        <f t="shared" si="281"/>
        <v>1.1000000000000001</v>
      </c>
      <c r="BU558" s="108">
        <f t="shared" si="282"/>
        <v>6.7938328139890736</v>
      </c>
      <c r="BV558" s="6" cm="1">
        <f t="array" ref="BV558">IF(AP558=0,FactorPhi7121(BR558,"a"),noisuy2chieu(BU558,BR558,Data!$A$63:$M$85))</f>
        <v>0</v>
      </c>
      <c r="BW558" s="111">
        <v>1.26</v>
      </c>
      <c r="BX558" s="111">
        <f t="shared" si="283"/>
        <v>0.91519632552482899</v>
      </c>
      <c r="BY558" s="113" t="e">
        <f t="shared" si="284"/>
        <v>#DIV/0!</v>
      </c>
      <c r="BZ558" s="6" t="e">
        <f t="shared" si="285"/>
        <v>#DIV/0!</v>
      </c>
      <c r="CA558" s="114">
        <f t="shared" si="286"/>
        <v>127.25109874278135</v>
      </c>
      <c r="CB558" s="115" t="e">
        <f t="shared" si="287"/>
        <v>#DIV/0!</v>
      </c>
      <c r="CC558" s="6" t="e">
        <f t="shared" si="288"/>
        <v>#DIV/0!</v>
      </c>
    </row>
    <row r="559" spans="27:81">
      <c r="AA559" s="79" t="s">
        <v>175</v>
      </c>
      <c r="AB559" s="80" t="s">
        <v>205</v>
      </c>
      <c r="AC559" s="81">
        <v>5.48</v>
      </c>
      <c r="AD559" s="81">
        <v>6</v>
      </c>
      <c r="AE559" s="80">
        <v>273</v>
      </c>
      <c r="AF559" s="80">
        <v>6.35</v>
      </c>
      <c r="AG559" s="108" cm="1">
        <f t="array" ref="AG559">_xll.DCEPropSectPipe(AE559, AF559, "Area")/100</f>
        <v>53.19431074856206</v>
      </c>
      <c r="AH559" s="16" cm="1">
        <f t="array" ref="AH559">_xll.DCEPropSectPipe(AE559, AF559, "Ix")/10000</f>
        <v>4730.4733077169503</v>
      </c>
      <c r="AI559" s="16" cm="1">
        <f t="array" ref="AI559">_xll.DCEPropSectPipe(AE559, AF559, "Wx")/1000</f>
        <v>346.55482107816493</v>
      </c>
      <c r="AJ559" s="108">
        <f t="shared" si="257"/>
        <v>9.4301739777164251</v>
      </c>
      <c r="AK559" s="80" t="s">
        <v>215</v>
      </c>
      <c r="AL559" s="82">
        <v>-56.041123547955024</v>
      </c>
      <c r="AM559" s="82">
        <v>-8.4214228320981306</v>
      </c>
      <c r="AN559" s="82">
        <v>-1.8994130421139142</v>
      </c>
      <c r="AO559" s="82">
        <v>10.416381122952705</v>
      </c>
      <c r="AP559" s="82">
        <v>46.18308281122615</v>
      </c>
      <c r="AQ559" s="82">
        <v>0.29068688991737651</v>
      </c>
      <c r="AR559" s="72">
        <v>1</v>
      </c>
      <c r="AS559" s="116">
        <f t="shared" si="258"/>
        <v>6</v>
      </c>
      <c r="AT559" s="82">
        <v>2</v>
      </c>
      <c r="AU559" s="6">
        <f t="shared" si="259"/>
        <v>12</v>
      </c>
      <c r="AV559" s="111">
        <f t="shared" si="260"/>
        <v>4.6091379335887139E-2</v>
      </c>
      <c r="AW559" s="117">
        <f t="shared" si="261"/>
        <v>105</v>
      </c>
      <c r="AX559" s="111">
        <f t="shared" si="262"/>
        <v>1</v>
      </c>
      <c r="AY559" s="111">
        <f t="shared" si="263"/>
        <v>1</v>
      </c>
      <c r="AZ559" s="111">
        <f t="shared" si="264"/>
        <v>1</v>
      </c>
      <c r="BA559" s="111">
        <f t="shared" si="265"/>
        <v>4.8517241406196988E-2</v>
      </c>
      <c r="BB559" s="111">
        <f t="shared" si="266"/>
        <v>0.13842016704567703</v>
      </c>
      <c r="BC559" s="111">
        <f t="shared" si="267"/>
        <v>0.61371314681716882</v>
      </c>
      <c r="BD559" s="111">
        <v>0</v>
      </c>
      <c r="BE559" s="111">
        <f t="shared" si="268"/>
        <v>0.80065055526904283</v>
      </c>
      <c r="BF559" s="6" t="str">
        <f t="shared" si="269"/>
        <v>OK</v>
      </c>
      <c r="BG559" s="16">
        <f t="shared" si="270"/>
        <v>63.625549371390676</v>
      </c>
      <c r="BH559" s="118">
        <f t="shared" si="271"/>
        <v>2.1193803644775273</v>
      </c>
      <c r="BI559" s="108">
        <f t="shared" si="272"/>
        <v>2.8530098380242404</v>
      </c>
      <c r="BJ559" s="6">
        <f t="shared" si="273"/>
        <v>1.1618466201786097</v>
      </c>
      <c r="BK559" s="108">
        <f t="shared" si="274"/>
        <v>3.3147598376447864</v>
      </c>
      <c r="BL559" s="118" cm="1">
        <f t="array" ref="BL559">IF(AO559=0,FactorPhi7121(BH559,"a"),noisuy2chieu(BK559,BH559,Data!$A$63:$M$85))</f>
        <v>0</v>
      </c>
      <c r="BM559" s="111">
        <v>1.26</v>
      </c>
      <c r="BN559" s="118">
        <f t="shared" si="275"/>
        <v>0.97929679808051728</v>
      </c>
      <c r="BO559" s="108" t="e">
        <f t="shared" si="276"/>
        <v>#DIV/0!</v>
      </c>
      <c r="BP559" s="6" t="e">
        <f t="shared" si="277"/>
        <v>#DIV/0!</v>
      </c>
      <c r="BQ559" s="16">
        <f t="shared" si="278"/>
        <v>127.25109874278135</v>
      </c>
      <c r="BR559" s="118">
        <f t="shared" si="279"/>
        <v>4.2387607289550546</v>
      </c>
      <c r="BS559" s="108">
        <f t="shared" si="280"/>
        <v>12.649382549989346</v>
      </c>
      <c r="BT559" s="118">
        <f t="shared" si="281"/>
        <v>1.1000000000000001</v>
      </c>
      <c r="BU559" s="108">
        <f t="shared" si="282"/>
        <v>13.914320804988282</v>
      </c>
      <c r="BV559" s="6" cm="1">
        <f t="array" ref="BV559">IF(AP559=0,FactorPhi7121(BR559,"a"),noisuy2chieu(BU559,BR559,Data!$A$63:$M$85))</f>
        <v>0</v>
      </c>
      <c r="BW559" s="111">
        <v>1.26</v>
      </c>
      <c r="BX559" s="111">
        <f t="shared" si="283"/>
        <v>0.91718719232206902</v>
      </c>
      <c r="BY559" s="113" t="e">
        <f t="shared" si="284"/>
        <v>#DIV/0!</v>
      </c>
      <c r="BZ559" s="6" t="e">
        <f t="shared" si="285"/>
        <v>#DIV/0!</v>
      </c>
      <c r="CA559" s="114">
        <f t="shared" si="286"/>
        <v>127.25109874278135</v>
      </c>
      <c r="CB559" s="115" t="e">
        <f t="shared" si="287"/>
        <v>#DIV/0!</v>
      </c>
      <c r="CC559" s="6" t="e">
        <f t="shared" si="288"/>
        <v>#DIV/0!</v>
      </c>
    </row>
    <row r="560" spans="27:81">
      <c r="AA560" s="79" t="s">
        <v>175</v>
      </c>
      <c r="AB560" s="80" t="s">
        <v>205</v>
      </c>
      <c r="AC560" s="81">
        <v>0</v>
      </c>
      <c r="AD560" s="81">
        <v>6</v>
      </c>
      <c r="AE560" s="80">
        <v>273</v>
      </c>
      <c r="AF560" s="80">
        <v>6.35</v>
      </c>
      <c r="AG560" s="108" cm="1">
        <f t="array" ref="AG560">_xll.DCEPropSectPipe(AE560, AF560, "Area")/100</f>
        <v>53.19431074856206</v>
      </c>
      <c r="AH560" s="16" cm="1">
        <f t="array" ref="AH560">_xll.DCEPropSectPipe(AE560, AF560, "Ix")/10000</f>
        <v>4730.4733077169503</v>
      </c>
      <c r="AI560" s="16" cm="1">
        <f t="array" ref="AI560">_xll.DCEPropSectPipe(AE560, AF560, "Wx")/1000</f>
        <v>346.55482107816493</v>
      </c>
      <c r="AJ560" s="108">
        <f t="shared" si="257"/>
        <v>9.4301739777164251</v>
      </c>
      <c r="AK560" s="80" t="s">
        <v>216</v>
      </c>
      <c r="AL560" s="82">
        <v>-49.624118224021196</v>
      </c>
      <c r="AM560" s="82">
        <v>-8.4841223316516103</v>
      </c>
      <c r="AN560" s="82">
        <v>-1.8155422997604695</v>
      </c>
      <c r="AO560" s="82">
        <v>0</v>
      </c>
      <c r="AP560" s="82">
        <v>0</v>
      </c>
      <c r="AQ560" s="82">
        <v>0.26034693730602071</v>
      </c>
      <c r="AR560" s="72">
        <v>1</v>
      </c>
      <c r="AS560" s="116">
        <f t="shared" si="258"/>
        <v>6</v>
      </c>
      <c r="AT560" s="82">
        <v>2</v>
      </c>
      <c r="AU560" s="6">
        <f t="shared" si="259"/>
        <v>12</v>
      </c>
      <c r="AV560" s="111">
        <f t="shared" si="260"/>
        <v>4.0813672397468088E-2</v>
      </c>
      <c r="AW560" s="117">
        <f t="shared" si="261"/>
        <v>105</v>
      </c>
      <c r="AX560" s="111">
        <f t="shared" si="262"/>
        <v>1</v>
      </c>
      <c r="AY560" s="111">
        <f t="shared" si="263"/>
        <v>1</v>
      </c>
      <c r="AZ560" s="111">
        <f t="shared" si="264"/>
        <v>1</v>
      </c>
      <c r="BA560" s="111">
        <f t="shared" si="265"/>
        <v>4.2961760418387465E-2</v>
      </c>
      <c r="BB560" s="111">
        <f t="shared" si="266"/>
        <v>0</v>
      </c>
      <c r="BC560" s="111">
        <f t="shared" si="267"/>
        <v>0</v>
      </c>
      <c r="BD560" s="111">
        <v>0</v>
      </c>
      <c r="BE560" s="111">
        <f t="shared" si="268"/>
        <v>4.2961760418387465E-2</v>
      </c>
      <c r="BF560" s="6" t="str">
        <f t="shared" si="269"/>
        <v>OK</v>
      </c>
      <c r="BG560" s="16">
        <f t="shared" si="270"/>
        <v>63.625549371390676</v>
      </c>
      <c r="BH560" s="118">
        <f t="shared" si="271"/>
        <v>2.1193803644775273</v>
      </c>
      <c r="BI560" s="108">
        <f t="shared" si="272"/>
        <v>0</v>
      </c>
      <c r="BJ560" s="6">
        <f t="shared" si="273"/>
        <v>1.2440309817761237</v>
      </c>
      <c r="BK560" s="108">
        <f t="shared" si="274"/>
        <v>0</v>
      </c>
      <c r="BL560" s="118" cm="1">
        <f t="array" ref="BL560">IF(AO560=0,FactorPhi7121(BH560,"a"),noisuy2chieu(BK560,BH560,Data!$A$63:$M$85))</f>
        <v>0.86214274110469236</v>
      </c>
      <c r="BM560" s="111">
        <v>1.26</v>
      </c>
      <c r="BN560" s="118">
        <f t="shared" si="275"/>
        <v>0.98166742430156573</v>
      </c>
      <c r="BO560" s="108">
        <f t="shared" si="276"/>
        <v>0.10156552684062836</v>
      </c>
      <c r="BP560" s="6" t="str">
        <f t="shared" si="277"/>
        <v>OK</v>
      </c>
      <c r="BQ560" s="16">
        <f t="shared" si="278"/>
        <v>127.25109874278135</v>
      </c>
      <c r="BR560" s="118">
        <f t="shared" si="279"/>
        <v>4.2387607289550546</v>
      </c>
      <c r="BS560" s="108">
        <f t="shared" si="280"/>
        <v>0</v>
      </c>
      <c r="BT560" s="118">
        <f t="shared" si="281"/>
        <v>1.1380619635522473</v>
      </c>
      <c r="BU560" s="108">
        <f t="shared" si="282"/>
        <v>0</v>
      </c>
      <c r="BV560" s="6" cm="1">
        <f t="array" ref="BV560">IF(AP560=0,FactorPhi7121(BR560,"a"),noisuy2chieu(BU560,BR560,Data!$A$63:$M$85))</f>
        <v>0.42299549615688942</v>
      </c>
      <c r="BW560" s="111">
        <v>1.26</v>
      </c>
      <c r="BX560" s="111">
        <f t="shared" si="283"/>
        <v>0.9266696972062628</v>
      </c>
      <c r="BY560" s="113">
        <f t="shared" si="284"/>
        <v>4.9831377531914411E-2</v>
      </c>
      <c r="BZ560" s="6" t="str">
        <f t="shared" si="285"/>
        <v>OK</v>
      </c>
      <c r="CA560" s="114">
        <f t="shared" si="286"/>
        <v>127.25109874278135</v>
      </c>
      <c r="CB560" s="115">
        <f t="shared" si="287"/>
        <v>150</v>
      </c>
      <c r="CC560" s="6" t="str">
        <f t="shared" si="288"/>
        <v>OK</v>
      </c>
    </row>
    <row r="561" spans="27:81">
      <c r="AA561" s="79" t="s">
        <v>175</v>
      </c>
      <c r="AB561" s="80" t="s">
        <v>205</v>
      </c>
      <c r="AC561" s="81">
        <v>2.74</v>
      </c>
      <c r="AD561" s="81">
        <v>6</v>
      </c>
      <c r="AE561" s="80">
        <v>273</v>
      </c>
      <c r="AF561" s="80">
        <v>6.35</v>
      </c>
      <c r="AG561" s="108" cm="1">
        <f t="array" ref="AG561">_xll.DCEPropSectPipe(AE561, AF561, "Area")/100</f>
        <v>53.19431074856206</v>
      </c>
      <c r="AH561" s="16" cm="1">
        <f t="array" ref="AH561">_xll.DCEPropSectPipe(AE561, AF561, "Ix")/10000</f>
        <v>4730.4733077169503</v>
      </c>
      <c r="AI561" s="16" cm="1">
        <f t="array" ref="AI561">_xll.DCEPropSectPipe(AE561, AF561, "Wx")/1000</f>
        <v>346.55482107816493</v>
      </c>
      <c r="AJ561" s="108">
        <f t="shared" si="257"/>
        <v>9.4301739777164251</v>
      </c>
      <c r="AK561" s="80" t="s">
        <v>216</v>
      </c>
      <c r="AL561" s="82">
        <v>-48.27685787528916</v>
      </c>
      <c r="AM561" s="82">
        <v>-8.4841223316516103</v>
      </c>
      <c r="AN561" s="82">
        <v>-1.8155422997604695</v>
      </c>
      <c r="AO561" s="82">
        <v>4.9782169859432068</v>
      </c>
      <c r="AP561" s="82">
        <v>23.263463433388718</v>
      </c>
      <c r="AQ561" s="82">
        <v>0.26034693730602071</v>
      </c>
      <c r="AR561" s="72">
        <v>1</v>
      </c>
      <c r="AS561" s="116">
        <f t="shared" si="258"/>
        <v>6</v>
      </c>
      <c r="AT561" s="82">
        <v>2</v>
      </c>
      <c r="AU561" s="6">
        <f t="shared" si="259"/>
        <v>12</v>
      </c>
      <c r="AV561" s="111">
        <f t="shared" si="260"/>
        <v>3.9705609534587211E-2</v>
      </c>
      <c r="AW561" s="117">
        <f t="shared" si="261"/>
        <v>105</v>
      </c>
      <c r="AX561" s="111">
        <f t="shared" si="262"/>
        <v>1</v>
      </c>
      <c r="AY561" s="111">
        <f t="shared" si="263"/>
        <v>1</v>
      </c>
      <c r="AZ561" s="111">
        <f t="shared" si="264"/>
        <v>1</v>
      </c>
      <c r="BA561" s="111">
        <f t="shared" si="265"/>
        <v>4.1795378457460231E-2</v>
      </c>
      <c r="BB561" s="111">
        <f t="shared" si="266"/>
        <v>6.6154033598623957E-2</v>
      </c>
      <c r="BC561" s="111">
        <f t="shared" si="267"/>
        <v>0.30914119371218468</v>
      </c>
      <c r="BD561" s="111">
        <v>0</v>
      </c>
      <c r="BE561" s="111">
        <f t="shared" si="268"/>
        <v>0.41709060576826884</v>
      </c>
      <c r="BF561" s="6" t="str">
        <f t="shared" si="269"/>
        <v>OK</v>
      </c>
      <c r="BG561" s="16">
        <f t="shared" si="270"/>
        <v>63.625549371390676</v>
      </c>
      <c r="BH561" s="118">
        <f t="shared" si="271"/>
        <v>2.1193803644775273</v>
      </c>
      <c r="BI561" s="108">
        <f t="shared" si="272"/>
        <v>1.582807383020977</v>
      </c>
      <c r="BJ561" s="6">
        <f t="shared" si="273"/>
        <v>1.198436321508322</v>
      </c>
      <c r="BK561" s="108">
        <f t="shared" si="274"/>
        <v>1.8968938577638734</v>
      </c>
      <c r="BL561" s="118" cm="1">
        <f t="array" ref="BL561">IF(AO561=0,FactorPhi7121(BH561,"a"),noisuy2chieu(BK561,BH561,Data!$A$63:$M$85))</f>
        <v>0</v>
      </c>
      <c r="BM561" s="111">
        <v>1.26</v>
      </c>
      <c r="BN561" s="118">
        <f t="shared" si="275"/>
        <v>0.98216514100087571</v>
      </c>
      <c r="BO561" s="108" t="e">
        <f t="shared" si="276"/>
        <v>#DIV/0!</v>
      </c>
      <c r="BP561" s="6" t="e">
        <f t="shared" si="277"/>
        <v>#DIV/0!</v>
      </c>
      <c r="BQ561" s="16">
        <f t="shared" si="278"/>
        <v>127.25109874278135</v>
      </c>
      <c r="BR561" s="118">
        <f t="shared" si="279"/>
        <v>4.2387607289550546</v>
      </c>
      <c r="BS561" s="108">
        <f t="shared" si="280"/>
        <v>7.3965401228949696</v>
      </c>
      <c r="BT561" s="118">
        <f t="shared" si="281"/>
        <v>1.1000000000000001</v>
      </c>
      <c r="BU561" s="108">
        <f t="shared" si="282"/>
        <v>8.1361941351844678</v>
      </c>
      <c r="BV561" s="6" cm="1">
        <f t="array" ref="BV561">IF(AP561=0,FactorPhi7121(BR561,"a"),noisuy2chieu(BU561,BR561,Data!$A$63:$M$85))</f>
        <v>0</v>
      </c>
      <c r="BW561" s="111">
        <v>1.26</v>
      </c>
      <c r="BX561" s="111">
        <f t="shared" si="283"/>
        <v>0.92866056400350283</v>
      </c>
      <c r="BY561" s="113" t="e">
        <f t="shared" si="284"/>
        <v>#DIV/0!</v>
      </c>
      <c r="BZ561" s="6" t="e">
        <f t="shared" si="285"/>
        <v>#DIV/0!</v>
      </c>
      <c r="CA561" s="114">
        <f t="shared" si="286"/>
        <v>127.25109874278135</v>
      </c>
      <c r="CB561" s="115" t="e">
        <f t="shared" si="287"/>
        <v>#DIV/0!</v>
      </c>
      <c r="CC561" s="6" t="e">
        <f t="shared" si="288"/>
        <v>#DIV/0!</v>
      </c>
    </row>
    <row r="562" spans="27:81">
      <c r="AA562" s="79" t="s">
        <v>175</v>
      </c>
      <c r="AB562" s="80" t="s">
        <v>205</v>
      </c>
      <c r="AC562" s="81">
        <v>5.48</v>
      </c>
      <c r="AD562" s="81">
        <v>6</v>
      </c>
      <c r="AE562" s="80">
        <v>273</v>
      </c>
      <c r="AF562" s="80">
        <v>6.35</v>
      </c>
      <c r="AG562" s="108" cm="1">
        <f t="array" ref="AG562">_xll.DCEPropSectPipe(AE562, AF562, "Area")/100</f>
        <v>53.19431074856206</v>
      </c>
      <c r="AH562" s="16" cm="1">
        <f t="array" ref="AH562">_xll.DCEPropSectPipe(AE562, AF562, "Ix")/10000</f>
        <v>4730.4733077169503</v>
      </c>
      <c r="AI562" s="16" cm="1">
        <f t="array" ref="AI562">_xll.DCEPropSectPipe(AE562, AF562, "Wx")/1000</f>
        <v>346.55482107816493</v>
      </c>
      <c r="AJ562" s="108">
        <f t="shared" si="257"/>
        <v>9.4301739777164251</v>
      </c>
      <c r="AK562" s="80" t="s">
        <v>216</v>
      </c>
      <c r="AL562" s="82">
        <v>-46.929597526557124</v>
      </c>
      <c r="AM562" s="82">
        <v>-8.4841223316516103</v>
      </c>
      <c r="AN562" s="82">
        <v>-1.8155422997604695</v>
      </c>
      <c r="AO562" s="82">
        <v>9.9564339718864137</v>
      </c>
      <c r="AP562" s="82">
        <v>46.526926866777437</v>
      </c>
      <c r="AQ562" s="82">
        <v>0.26034693730602071</v>
      </c>
      <c r="AR562" s="72">
        <v>1</v>
      </c>
      <c r="AS562" s="116">
        <f t="shared" si="258"/>
        <v>6</v>
      </c>
      <c r="AT562" s="82">
        <v>2</v>
      </c>
      <c r="AU562" s="6">
        <f t="shared" si="259"/>
        <v>12</v>
      </c>
      <c r="AV562" s="111">
        <f t="shared" si="260"/>
        <v>3.859754667170634E-2</v>
      </c>
      <c r="AW562" s="117">
        <f t="shared" si="261"/>
        <v>105</v>
      </c>
      <c r="AX562" s="111">
        <f t="shared" si="262"/>
        <v>1</v>
      </c>
      <c r="AY562" s="111">
        <f t="shared" si="263"/>
        <v>1</v>
      </c>
      <c r="AZ562" s="111">
        <f t="shared" si="264"/>
        <v>1</v>
      </c>
      <c r="BA562" s="111">
        <f t="shared" si="265"/>
        <v>4.0628996496532989E-2</v>
      </c>
      <c r="BB562" s="111">
        <f t="shared" si="266"/>
        <v>0.13230806719724791</v>
      </c>
      <c r="BC562" s="111">
        <f t="shared" si="267"/>
        <v>0.61828238742436936</v>
      </c>
      <c r="BD562" s="111">
        <v>0</v>
      </c>
      <c r="BE562" s="111">
        <f t="shared" si="268"/>
        <v>0.79121945111815029</v>
      </c>
      <c r="BF562" s="6" t="str">
        <f t="shared" si="269"/>
        <v>OK</v>
      </c>
      <c r="BG562" s="16">
        <f t="shared" si="270"/>
        <v>63.625549371390676</v>
      </c>
      <c r="BH562" s="118">
        <f t="shared" si="271"/>
        <v>2.1193803644775273</v>
      </c>
      <c r="BI562" s="108">
        <f t="shared" si="272"/>
        <v>3.2564936032456075</v>
      </c>
      <c r="BJ562" s="6">
        <f t="shared" si="273"/>
        <v>1.1502237876114976</v>
      </c>
      <c r="BK562" s="108">
        <f t="shared" si="274"/>
        <v>3.745696406657776</v>
      </c>
      <c r="BL562" s="118" cm="1">
        <f t="array" ref="BL562">IF(AO562=0,FactorPhi7121(BH562,"a"),noisuy2chieu(BK562,BH562,Data!$A$63:$M$85))</f>
        <v>0</v>
      </c>
      <c r="BM562" s="111">
        <v>1.26</v>
      </c>
      <c r="BN562" s="118">
        <f t="shared" si="275"/>
        <v>0.98266285770018569</v>
      </c>
      <c r="BO562" s="108" t="e">
        <f t="shared" si="276"/>
        <v>#DIV/0!</v>
      </c>
      <c r="BP562" s="6" t="e">
        <f t="shared" si="277"/>
        <v>#DIV/0!</v>
      </c>
      <c r="BQ562" s="16">
        <f t="shared" si="278"/>
        <v>127.25109874278135</v>
      </c>
      <c r="BR562" s="118">
        <f t="shared" si="279"/>
        <v>4.2387607289550546</v>
      </c>
      <c r="BS562" s="108">
        <f t="shared" si="280"/>
        <v>15.217761715506052</v>
      </c>
      <c r="BT562" s="118">
        <f t="shared" si="281"/>
        <v>1.1000000000000001</v>
      </c>
      <c r="BU562" s="108">
        <f t="shared" si="282"/>
        <v>16.73953788705666</v>
      </c>
      <c r="BV562" s="6" cm="1">
        <f t="array" ref="BV562">IF(AP562=0,FactorPhi7121(BR562,"a"),noisuy2chieu(BU562,BR562,Data!$A$63:$M$85))</f>
        <v>0</v>
      </c>
      <c r="BW562" s="111">
        <v>1.26</v>
      </c>
      <c r="BX562" s="111">
        <f t="shared" si="283"/>
        <v>0.93065143080074286</v>
      </c>
      <c r="BY562" s="113" t="e">
        <f t="shared" si="284"/>
        <v>#DIV/0!</v>
      </c>
      <c r="BZ562" s="6" t="e">
        <f t="shared" si="285"/>
        <v>#DIV/0!</v>
      </c>
      <c r="CA562" s="114">
        <f t="shared" si="286"/>
        <v>127.25109874278135</v>
      </c>
      <c r="CB562" s="115" t="e">
        <f t="shared" si="287"/>
        <v>#DIV/0!</v>
      </c>
      <c r="CC562" s="6" t="e">
        <f t="shared" si="288"/>
        <v>#DIV/0!</v>
      </c>
    </row>
    <row r="563" spans="27:81">
      <c r="AA563" s="79" t="s">
        <v>175</v>
      </c>
      <c r="AB563" s="80" t="s">
        <v>205</v>
      </c>
      <c r="AC563" s="81">
        <v>0</v>
      </c>
      <c r="AD563" s="81">
        <v>6</v>
      </c>
      <c r="AE563" s="80">
        <v>273</v>
      </c>
      <c r="AF563" s="80">
        <v>6.35</v>
      </c>
      <c r="AG563" s="108" cm="1">
        <f t="array" ref="AG563">_xll.DCEPropSectPipe(AE563, AF563, "Area")/100</f>
        <v>53.19431074856206</v>
      </c>
      <c r="AH563" s="16" cm="1">
        <f t="array" ref="AH563">_xll.DCEPropSectPipe(AE563, AF563, "Ix")/10000</f>
        <v>4730.4733077169503</v>
      </c>
      <c r="AI563" s="16" cm="1">
        <f t="array" ref="AI563">_xll.DCEPropSectPipe(AE563, AF563, "Wx")/1000</f>
        <v>346.55482107816493</v>
      </c>
      <c r="AJ563" s="108">
        <f t="shared" si="257"/>
        <v>9.4301739777164251</v>
      </c>
      <c r="AK563" s="80" t="s">
        <v>217</v>
      </c>
      <c r="AL563" s="82">
        <v>-2.5360242524456185</v>
      </c>
      <c r="AM563" s="82">
        <v>-0.56845491774585466</v>
      </c>
      <c r="AN563" s="82">
        <v>-0.20073540236446397</v>
      </c>
      <c r="AO563" s="82">
        <v>0</v>
      </c>
      <c r="AP563" s="82">
        <v>0</v>
      </c>
      <c r="AQ563" s="82">
        <v>-3.7601265466088329E-2</v>
      </c>
      <c r="AR563" s="72">
        <v>1</v>
      </c>
      <c r="AS563" s="116">
        <f t="shared" si="258"/>
        <v>6</v>
      </c>
      <c r="AT563" s="82">
        <v>2</v>
      </c>
      <c r="AU563" s="6">
        <f t="shared" si="259"/>
        <v>12</v>
      </c>
      <c r="AV563" s="111">
        <f t="shared" si="260"/>
        <v>2.0857693141083707E-3</v>
      </c>
      <c r="AW563" s="117">
        <f t="shared" si="261"/>
        <v>105</v>
      </c>
      <c r="AX563" s="111">
        <f t="shared" si="262"/>
        <v>1</v>
      </c>
      <c r="AY563" s="111">
        <f t="shared" si="263"/>
        <v>1</v>
      </c>
      <c r="AZ563" s="111">
        <f t="shared" si="264"/>
        <v>1</v>
      </c>
      <c r="BA563" s="111">
        <f t="shared" si="265"/>
        <v>2.1955466464298641E-3</v>
      </c>
      <c r="BB563" s="111">
        <f t="shared" si="266"/>
        <v>0</v>
      </c>
      <c r="BC563" s="111">
        <f t="shared" si="267"/>
        <v>0</v>
      </c>
      <c r="BD563" s="111">
        <v>0</v>
      </c>
      <c r="BE563" s="111">
        <f t="shared" si="268"/>
        <v>2.1955466464298641E-3</v>
      </c>
      <c r="BF563" s="6" t="str">
        <f t="shared" si="269"/>
        <v>OK</v>
      </c>
      <c r="BG563" s="16">
        <f t="shared" si="270"/>
        <v>63.625549371390676</v>
      </c>
      <c r="BH563" s="118">
        <f t="shared" si="271"/>
        <v>2.1193803644775273</v>
      </c>
      <c r="BI563" s="108">
        <f t="shared" si="272"/>
        <v>0</v>
      </c>
      <c r="BJ563" s="6">
        <f t="shared" si="273"/>
        <v>1.2440309817761237</v>
      </c>
      <c r="BK563" s="108">
        <f t="shared" si="274"/>
        <v>0</v>
      </c>
      <c r="BL563" s="118" cm="1">
        <f t="array" ref="BL563">IF(AO563=0,FactorPhi7121(BH563,"a"),noisuy2chieu(BK563,BH563,Data!$A$63:$M$85))</f>
        <v>0.86214274110469236</v>
      </c>
      <c r="BM563" s="111">
        <v>1.26</v>
      </c>
      <c r="BN563" s="118">
        <f t="shared" si="275"/>
        <v>0.99906311974409012</v>
      </c>
      <c r="BO563" s="108">
        <f t="shared" si="276"/>
        <v>5.1904728688069376E-3</v>
      </c>
      <c r="BP563" s="6" t="str">
        <f t="shared" si="277"/>
        <v>OK</v>
      </c>
      <c r="BQ563" s="16">
        <f t="shared" si="278"/>
        <v>127.25109874278135</v>
      </c>
      <c r="BR563" s="118">
        <f t="shared" si="279"/>
        <v>4.2387607289550546</v>
      </c>
      <c r="BS563" s="108">
        <f t="shared" si="280"/>
        <v>0</v>
      </c>
      <c r="BT563" s="118">
        <f t="shared" si="281"/>
        <v>1.1380619635522473</v>
      </c>
      <c r="BU563" s="108">
        <f t="shared" si="282"/>
        <v>0</v>
      </c>
      <c r="BV563" s="6" cm="1">
        <f t="array" ref="BV563">IF(AP563=0,FactorPhi7121(BR563,"a"),noisuy2chieu(BU563,BR563,Data!$A$63:$M$85))</f>
        <v>0.42299549615688942</v>
      </c>
      <c r="BW563" s="111">
        <v>1.26</v>
      </c>
      <c r="BX563" s="111">
        <f t="shared" si="283"/>
        <v>0.99625247897636038</v>
      </c>
      <c r="BY563" s="113">
        <f t="shared" si="284"/>
        <v>2.5466161712579477E-3</v>
      </c>
      <c r="BZ563" s="6" t="str">
        <f t="shared" si="285"/>
        <v>OK</v>
      </c>
      <c r="CA563" s="114">
        <f t="shared" si="286"/>
        <v>127.25109874278135</v>
      </c>
      <c r="CB563" s="115">
        <f t="shared" si="287"/>
        <v>150</v>
      </c>
      <c r="CC563" s="6" t="str">
        <f t="shared" si="288"/>
        <v>OK</v>
      </c>
    </row>
    <row r="564" spans="27:81">
      <c r="AA564" s="79" t="s">
        <v>175</v>
      </c>
      <c r="AB564" s="80" t="s">
        <v>205</v>
      </c>
      <c r="AC564" s="81">
        <v>2.74</v>
      </c>
      <c r="AD564" s="81">
        <v>6</v>
      </c>
      <c r="AE564" s="80">
        <v>273</v>
      </c>
      <c r="AF564" s="80">
        <v>6.35</v>
      </c>
      <c r="AG564" s="108" cm="1">
        <f t="array" ref="AG564">_xll.DCEPropSectPipe(AE564, AF564, "Area")/100</f>
        <v>53.19431074856206</v>
      </c>
      <c r="AH564" s="16" cm="1">
        <f t="array" ref="AH564">_xll.DCEPropSectPipe(AE564, AF564, "Ix")/10000</f>
        <v>4730.4733077169503</v>
      </c>
      <c r="AI564" s="16" cm="1">
        <f t="array" ref="AI564">_xll.DCEPropSectPipe(AE564, AF564, "Wx")/1000</f>
        <v>346.55482107816493</v>
      </c>
      <c r="AJ564" s="108">
        <f t="shared" si="257"/>
        <v>9.4301739777164251</v>
      </c>
      <c r="AK564" s="80" t="s">
        <v>217</v>
      </c>
      <c r="AL564" s="82">
        <v>-1.1887639037135849</v>
      </c>
      <c r="AM564" s="82">
        <v>-0.56845491774585466</v>
      </c>
      <c r="AN564" s="82">
        <v>-0.20073540236446397</v>
      </c>
      <c r="AO564" s="82">
        <v>0.55041647328336052</v>
      </c>
      <c r="AP564" s="82">
        <v>1.5587033844591338</v>
      </c>
      <c r="AQ564" s="82">
        <v>-3.7601265466088329E-2</v>
      </c>
      <c r="AR564" s="72">
        <v>1</v>
      </c>
      <c r="AS564" s="116">
        <f t="shared" si="258"/>
        <v>6</v>
      </c>
      <c r="AT564" s="82">
        <v>2</v>
      </c>
      <c r="AU564" s="6">
        <f t="shared" si="259"/>
        <v>12</v>
      </c>
      <c r="AV564" s="111">
        <f t="shared" si="260"/>
        <v>9.7770645122749749E-4</v>
      </c>
      <c r="AW564" s="117">
        <f t="shared" si="261"/>
        <v>105</v>
      </c>
      <c r="AX564" s="111">
        <f t="shared" si="262"/>
        <v>1</v>
      </c>
      <c r="AY564" s="111">
        <f t="shared" si="263"/>
        <v>1</v>
      </c>
      <c r="AZ564" s="111">
        <f t="shared" si="264"/>
        <v>1</v>
      </c>
      <c r="BA564" s="111">
        <f t="shared" si="265"/>
        <v>1.029164685502629E-3</v>
      </c>
      <c r="BB564" s="111">
        <f t="shared" si="266"/>
        <v>7.3143195585165148E-3</v>
      </c>
      <c r="BC564" s="111">
        <f t="shared" si="267"/>
        <v>2.0713142146467047E-2</v>
      </c>
      <c r="BD564" s="111">
        <v>0</v>
      </c>
      <c r="BE564" s="111">
        <f t="shared" si="268"/>
        <v>2.9056626390486191E-2</v>
      </c>
      <c r="BF564" s="6" t="str">
        <f t="shared" si="269"/>
        <v>OK</v>
      </c>
      <c r="BG564" s="16">
        <f t="shared" si="270"/>
        <v>63.625549371390676</v>
      </c>
      <c r="BH564" s="118">
        <f t="shared" si="271"/>
        <v>2.1193803644775273</v>
      </c>
      <c r="BI564" s="108">
        <f t="shared" si="272"/>
        <v>7.1070448311625727</v>
      </c>
      <c r="BJ564" s="6">
        <f t="shared" si="273"/>
        <v>1.1000000000000001</v>
      </c>
      <c r="BK564" s="108">
        <f t="shared" si="274"/>
        <v>7.8177493142788306</v>
      </c>
      <c r="BL564" s="118" cm="1">
        <f t="array" ref="BL564">IF(AO564=0,FactorPhi7121(BH564,"a"),noisuy2chieu(BK564,BH564,Data!$A$63:$M$85))</f>
        <v>0</v>
      </c>
      <c r="BM564" s="111">
        <v>1.26</v>
      </c>
      <c r="BN564" s="118">
        <f t="shared" si="275"/>
        <v>0.9995608364434001</v>
      </c>
      <c r="BO564" s="108" t="e">
        <f t="shared" si="276"/>
        <v>#DIV/0!</v>
      </c>
      <c r="BP564" s="6" t="e">
        <f t="shared" si="277"/>
        <v>#DIV/0!</v>
      </c>
      <c r="BQ564" s="16">
        <f t="shared" si="278"/>
        <v>127.25109874278135</v>
      </c>
      <c r="BR564" s="118">
        <f t="shared" si="279"/>
        <v>4.2387607289550546</v>
      </c>
      <c r="BS564" s="108">
        <f t="shared" si="280"/>
        <v>20.126168764089542</v>
      </c>
      <c r="BT564" s="118">
        <f t="shared" si="281"/>
        <v>1.1000000000000001</v>
      </c>
      <c r="BU564" s="108">
        <f t="shared" si="282"/>
        <v>22.138785640498497</v>
      </c>
      <c r="BV564" s="6" cm="1">
        <f t="array" ref="BV564">IF(AP564=0,FactorPhi7121(BR564,"a"),noisuy2chieu(BU564,BR564,Data!$A$63:$M$85))</f>
        <v>0</v>
      </c>
      <c r="BW564" s="111">
        <v>1.26</v>
      </c>
      <c r="BX564" s="111">
        <f t="shared" si="283"/>
        <v>0.99824334577360041</v>
      </c>
      <c r="BY564" s="113" t="e">
        <f t="shared" si="284"/>
        <v>#DIV/0!</v>
      </c>
      <c r="BZ564" s="6" t="e">
        <f t="shared" si="285"/>
        <v>#DIV/0!</v>
      </c>
      <c r="CA564" s="114">
        <f t="shared" si="286"/>
        <v>127.25109874278135</v>
      </c>
      <c r="CB564" s="115" t="e">
        <f t="shared" si="287"/>
        <v>#DIV/0!</v>
      </c>
      <c r="CC564" s="6" t="e">
        <f t="shared" si="288"/>
        <v>#DIV/0!</v>
      </c>
    </row>
    <row r="565" spans="27:81">
      <c r="AA565" s="79" t="s">
        <v>175</v>
      </c>
      <c r="AB565" s="80" t="s">
        <v>205</v>
      </c>
      <c r="AC565" s="81">
        <v>5.48</v>
      </c>
      <c r="AD565" s="81">
        <v>6</v>
      </c>
      <c r="AE565" s="80">
        <v>273</v>
      </c>
      <c r="AF565" s="80">
        <v>6.35</v>
      </c>
      <c r="AG565" s="108" cm="1">
        <f t="array" ref="AG565">_xll.DCEPropSectPipe(AE565, AF565, "Area")/100</f>
        <v>53.19431074856206</v>
      </c>
      <c r="AH565" s="16" cm="1">
        <f t="array" ref="AH565">_xll.DCEPropSectPipe(AE565, AF565, "Ix")/10000</f>
        <v>4730.4733077169503</v>
      </c>
      <c r="AI565" s="16" cm="1">
        <f t="array" ref="AI565">_xll.DCEPropSectPipe(AE565, AF565, "Wx")/1000</f>
        <v>346.55482107816493</v>
      </c>
      <c r="AJ565" s="108">
        <f t="shared" si="257"/>
        <v>9.4301739777164251</v>
      </c>
      <c r="AK565" s="80" t="s">
        <v>217</v>
      </c>
      <c r="AL565" s="82">
        <v>0.15849644501844884</v>
      </c>
      <c r="AM565" s="82">
        <v>-0.56845491774585466</v>
      </c>
      <c r="AN565" s="82">
        <v>-0.20073540236446397</v>
      </c>
      <c r="AO565" s="82">
        <v>1.100832946566721</v>
      </c>
      <c r="AP565" s="82">
        <v>3.1174067689182676</v>
      </c>
      <c r="AQ565" s="82">
        <v>-3.7601265466088329E-2</v>
      </c>
      <c r="AR565" s="72">
        <v>1</v>
      </c>
      <c r="AS565" s="116">
        <f t="shared" si="258"/>
        <v>6</v>
      </c>
      <c r="AT565" s="82">
        <v>2</v>
      </c>
      <c r="AU565" s="6">
        <f t="shared" si="259"/>
        <v>12</v>
      </c>
      <c r="AV565" s="111">
        <f t="shared" si="260"/>
        <v>1.303564116533756E-4</v>
      </c>
      <c r="AW565" s="117">
        <f t="shared" si="261"/>
        <v>105</v>
      </c>
      <c r="AX565" s="111">
        <f t="shared" si="262"/>
        <v>1</v>
      </c>
      <c r="AY565" s="111">
        <f t="shared" si="263"/>
        <v>1</v>
      </c>
      <c r="AZ565" s="111">
        <f t="shared" si="264"/>
        <v>1</v>
      </c>
      <c r="BA565" s="111">
        <f t="shared" si="265"/>
        <v>1.3721727542460589E-4</v>
      </c>
      <c r="BB565" s="111">
        <f t="shared" si="266"/>
        <v>1.462863911703303E-2</v>
      </c>
      <c r="BC565" s="111">
        <f t="shared" si="267"/>
        <v>4.1426284292934094E-2</v>
      </c>
      <c r="BD565" s="111">
        <v>0</v>
      </c>
      <c r="BE565" s="111">
        <f t="shared" si="268"/>
        <v>5.6192140685391731E-2</v>
      </c>
      <c r="BF565" s="6" t="str">
        <f t="shared" si="269"/>
        <v>OK</v>
      </c>
      <c r="BG565" s="16">
        <f t="shared" si="270"/>
        <v>63.625549371390676</v>
      </c>
      <c r="BH565" s="118">
        <f t="shared" si="271"/>
        <v>2.1193803644775273</v>
      </c>
      <c r="BI565" s="108">
        <f t="shared" si="272"/>
        <v>106.60931046594601</v>
      </c>
      <c r="BJ565" s="6">
        <f t="shared" si="273"/>
        <v>1.1000000000000001</v>
      </c>
      <c r="BK565" s="108">
        <f t="shared" si="274"/>
        <v>117.27024151254062</v>
      </c>
      <c r="BL565" s="118" cm="1">
        <f t="array" ref="BL565">IF(AO565=0,FactorPhi7121(BH565,"a"),noisuy2chieu(BK565,BH565,Data!$A$63:$M$85))</f>
        <v>0</v>
      </c>
      <c r="BM565" s="111">
        <v>1.26</v>
      </c>
      <c r="BN565" s="118">
        <f t="shared" si="275"/>
        <v>0.99994144685728992</v>
      </c>
      <c r="BO565" s="108" t="e">
        <f t="shared" si="276"/>
        <v>#DIV/0!</v>
      </c>
      <c r="BP565" s="6" t="e">
        <f t="shared" si="277"/>
        <v>#DIV/0!</v>
      </c>
      <c r="BQ565" s="16">
        <f t="shared" si="278"/>
        <v>127.25109874278135</v>
      </c>
      <c r="BR565" s="118">
        <f t="shared" si="279"/>
        <v>4.2387607289550546</v>
      </c>
      <c r="BS565" s="108">
        <f t="shared" si="280"/>
        <v>301.90283377034251</v>
      </c>
      <c r="BT565" s="118">
        <f t="shared" si="281"/>
        <v>1.1000000000000001</v>
      </c>
      <c r="BU565" s="108">
        <f t="shared" si="282"/>
        <v>332.0931171473768</v>
      </c>
      <c r="BV565" s="6" cm="1">
        <f t="array" ref="BV565">IF(AP565=0,FactorPhi7121(BR565,"a"),noisuy2chieu(BU565,BR565,Data!$A$63:$M$85))</f>
        <v>0</v>
      </c>
      <c r="BW565" s="111">
        <v>1.26</v>
      </c>
      <c r="BX565" s="111">
        <f t="shared" si="283"/>
        <v>0.99976578742915967</v>
      </c>
      <c r="BY565" s="113" t="e">
        <f t="shared" si="284"/>
        <v>#DIV/0!</v>
      </c>
      <c r="BZ565" s="6" t="e">
        <f t="shared" si="285"/>
        <v>#DIV/0!</v>
      </c>
      <c r="CA565" s="114">
        <f t="shared" si="286"/>
        <v>127.25109874278135</v>
      </c>
      <c r="CB565" s="115" t="e">
        <f t="shared" si="287"/>
        <v>#DIV/0!</v>
      </c>
      <c r="CC565" s="6" t="e">
        <f t="shared" si="288"/>
        <v>#DIV/0!</v>
      </c>
    </row>
    <row r="566" spans="27:81">
      <c r="AA566" s="79" t="s">
        <v>175</v>
      </c>
      <c r="AB566" s="80" t="s">
        <v>205</v>
      </c>
      <c r="AC566" s="81">
        <v>0</v>
      </c>
      <c r="AD566" s="81">
        <v>6</v>
      </c>
      <c r="AE566" s="80">
        <v>273</v>
      </c>
      <c r="AF566" s="80">
        <v>6.35</v>
      </c>
      <c r="AG566" s="108" cm="1">
        <f t="array" ref="AG566">_xll.DCEPropSectPipe(AE566, AF566, "Area")/100</f>
        <v>53.19431074856206</v>
      </c>
      <c r="AH566" s="16" cm="1">
        <f t="array" ref="AH566">_xll.DCEPropSectPipe(AE566, AF566, "Ix")/10000</f>
        <v>4730.4733077169503</v>
      </c>
      <c r="AI566" s="16" cm="1">
        <f t="array" ref="AI566">_xll.DCEPropSectPipe(AE566, AF566, "Wx")/1000</f>
        <v>346.55482107816493</v>
      </c>
      <c r="AJ566" s="108">
        <f t="shared" si="257"/>
        <v>9.4301739777164251</v>
      </c>
      <c r="AK566" s="80" t="s">
        <v>218</v>
      </c>
      <c r="AL566" s="82">
        <v>-12.558702875983323</v>
      </c>
      <c r="AM566" s="82">
        <v>-0.49948546823702816</v>
      </c>
      <c r="AN566" s="82">
        <v>-0.29299321895325359</v>
      </c>
      <c r="AO566" s="82">
        <v>0</v>
      </c>
      <c r="AP566" s="82">
        <v>0</v>
      </c>
      <c r="AQ566" s="82">
        <v>-4.2273175935960156E-3</v>
      </c>
      <c r="AR566" s="72">
        <v>1</v>
      </c>
      <c r="AS566" s="116">
        <f t="shared" si="258"/>
        <v>6</v>
      </c>
      <c r="AT566" s="82">
        <v>2</v>
      </c>
      <c r="AU566" s="6">
        <f t="shared" si="259"/>
        <v>12</v>
      </c>
      <c r="AV566" s="111">
        <f t="shared" si="260"/>
        <v>1.0328985244707262E-2</v>
      </c>
      <c r="AW566" s="117">
        <f t="shared" si="261"/>
        <v>105</v>
      </c>
      <c r="AX566" s="111">
        <f t="shared" si="262"/>
        <v>1</v>
      </c>
      <c r="AY566" s="111">
        <f t="shared" si="263"/>
        <v>1</v>
      </c>
      <c r="AZ566" s="111">
        <f t="shared" si="264"/>
        <v>1</v>
      </c>
      <c r="BA566" s="111">
        <f t="shared" si="265"/>
        <v>1.0872616047060277E-2</v>
      </c>
      <c r="BB566" s="111">
        <f t="shared" si="266"/>
        <v>0</v>
      </c>
      <c r="BC566" s="111">
        <f t="shared" si="267"/>
        <v>0</v>
      </c>
      <c r="BD566" s="111">
        <v>0</v>
      </c>
      <c r="BE566" s="111">
        <f t="shared" si="268"/>
        <v>1.0872616047060277E-2</v>
      </c>
      <c r="BF566" s="6" t="str">
        <f t="shared" si="269"/>
        <v>OK</v>
      </c>
      <c r="BG566" s="16">
        <f t="shared" si="270"/>
        <v>63.625549371390676</v>
      </c>
      <c r="BH566" s="118">
        <f t="shared" si="271"/>
        <v>2.1193803644775273</v>
      </c>
      <c r="BI566" s="108">
        <f t="shared" si="272"/>
        <v>0</v>
      </c>
      <c r="BJ566" s="6">
        <f t="shared" si="273"/>
        <v>1.2440309817761237</v>
      </c>
      <c r="BK566" s="108">
        <f t="shared" si="274"/>
        <v>0</v>
      </c>
      <c r="BL566" s="118" cm="1">
        <f t="array" ref="BL566">IF(AO566=0,FactorPhi7121(BH566,"a"),noisuy2chieu(BK566,BH566,Data!$A$63:$M$85))</f>
        <v>0.86214274110469236</v>
      </c>
      <c r="BM566" s="111">
        <v>1.26</v>
      </c>
      <c r="BN566" s="118">
        <f t="shared" si="275"/>
        <v>0.99536045416245478</v>
      </c>
      <c r="BO566" s="108">
        <f t="shared" si="276"/>
        <v>2.5703857714427326E-2</v>
      </c>
      <c r="BP566" s="6" t="str">
        <f t="shared" si="277"/>
        <v>OK</v>
      </c>
      <c r="BQ566" s="16">
        <f t="shared" si="278"/>
        <v>127.25109874278135</v>
      </c>
      <c r="BR566" s="118">
        <f t="shared" si="279"/>
        <v>4.2387607289550546</v>
      </c>
      <c r="BS566" s="108">
        <f t="shared" si="280"/>
        <v>0</v>
      </c>
      <c r="BT566" s="118">
        <f t="shared" si="281"/>
        <v>1.1380619635522473</v>
      </c>
      <c r="BU566" s="108">
        <f t="shared" si="282"/>
        <v>0</v>
      </c>
      <c r="BV566" s="6" cm="1">
        <f t="array" ref="BV566">IF(AP566=0,FactorPhi7121(BR566,"a"),noisuy2chieu(BU566,BR566,Data!$A$63:$M$85))</f>
        <v>0.42299549615688942</v>
      </c>
      <c r="BW566" s="111">
        <v>1.26</v>
      </c>
      <c r="BX566" s="111">
        <f t="shared" si="283"/>
        <v>0.98144181664981922</v>
      </c>
      <c r="BY566" s="113">
        <f t="shared" si="284"/>
        <v>1.261115535593193E-2</v>
      </c>
      <c r="BZ566" s="6" t="str">
        <f t="shared" si="285"/>
        <v>OK</v>
      </c>
      <c r="CA566" s="114">
        <f t="shared" si="286"/>
        <v>127.25109874278135</v>
      </c>
      <c r="CB566" s="115">
        <f t="shared" si="287"/>
        <v>150</v>
      </c>
      <c r="CC566" s="6" t="str">
        <f t="shared" si="288"/>
        <v>OK</v>
      </c>
    </row>
    <row r="567" spans="27:81">
      <c r="AA567" s="79" t="s">
        <v>175</v>
      </c>
      <c r="AB567" s="80" t="s">
        <v>205</v>
      </c>
      <c r="AC567" s="81">
        <v>2.74</v>
      </c>
      <c r="AD567" s="81">
        <v>6</v>
      </c>
      <c r="AE567" s="80">
        <v>273</v>
      </c>
      <c r="AF567" s="80">
        <v>6.35</v>
      </c>
      <c r="AG567" s="108" cm="1">
        <f t="array" ref="AG567">_xll.DCEPropSectPipe(AE567, AF567, "Area")/100</f>
        <v>53.19431074856206</v>
      </c>
      <c r="AH567" s="16" cm="1">
        <f t="array" ref="AH567">_xll.DCEPropSectPipe(AE567, AF567, "Ix")/10000</f>
        <v>4730.4733077169503</v>
      </c>
      <c r="AI567" s="16" cm="1">
        <f t="array" ref="AI567">_xll.DCEPropSectPipe(AE567, AF567, "Wx")/1000</f>
        <v>346.55482107816493</v>
      </c>
      <c r="AJ567" s="108">
        <f t="shared" si="257"/>
        <v>9.4301739777164251</v>
      </c>
      <c r="AK567" s="80" t="s">
        <v>218</v>
      </c>
      <c r="AL567" s="82">
        <v>-11.21144252725129</v>
      </c>
      <c r="AM567" s="82">
        <v>-0.49948546823702816</v>
      </c>
      <c r="AN567" s="82">
        <v>-0.29299321895325359</v>
      </c>
      <c r="AO567" s="82">
        <v>0.8033874063698212</v>
      </c>
      <c r="AP567" s="82">
        <v>1.3695891539059315</v>
      </c>
      <c r="AQ567" s="82">
        <v>-4.2273175935960156E-3</v>
      </c>
      <c r="AR567" s="72">
        <v>1</v>
      </c>
      <c r="AS567" s="116">
        <f t="shared" si="258"/>
        <v>6</v>
      </c>
      <c r="AT567" s="82">
        <v>2</v>
      </c>
      <c r="AU567" s="6">
        <f t="shared" si="259"/>
        <v>12</v>
      </c>
      <c r="AV567" s="111">
        <f t="shared" si="260"/>
        <v>9.2209223818263894E-3</v>
      </c>
      <c r="AW567" s="117">
        <f t="shared" si="261"/>
        <v>105</v>
      </c>
      <c r="AX567" s="111">
        <f t="shared" si="262"/>
        <v>1</v>
      </c>
      <c r="AY567" s="111">
        <f t="shared" si="263"/>
        <v>1</v>
      </c>
      <c r="AZ567" s="111">
        <f t="shared" si="264"/>
        <v>1</v>
      </c>
      <c r="BA567" s="111">
        <f t="shared" si="265"/>
        <v>9.7062340861330428E-3</v>
      </c>
      <c r="BB567" s="111">
        <f t="shared" si="266"/>
        <v>1.0675974475152544E-2</v>
      </c>
      <c r="BC567" s="111">
        <f t="shared" si="267"/>
        <v>1.8200059812506851E-2</v>
      </c>
      <c r="BD567" s="111">
        <v>0</v>
      </c>
      <c r="BE567" s="111">
        <f t="shared" si="268"/>
        <v>3.8582268373792437E-2</v>
      </c>
      <c r="BF567" s="6" t="str">
        <f t="shared" si="269"/>
        <v>OK</v>
      </c>
      <c r="BG567" s="16">
        <f t="shared" si="270"/>
        <v>63.625549371390676</v>
      </c>
      <c r="BH567" s="118">
        <f t="shared" si="271"/>
        <v>2.1193803644775273</v>
      </c>
      <c r="BI567" s="108">
        <f t="shared" si="272"/>
        <v>1.0999090255205091</v>
      </c>
      <c r="BJ567" s="6">
        <f t="shared" si="273"/>
        <v>1.2123467864140962</v>
      </c>
      <c r="BK567" s="108">
        <f t="shared" si="274"/>
        <v>1.3334711724376493</v>
      </c>
      <c r="BL567" s="118" cm="1">
        <f t="array" ref="BL567">IF(AO567=0,FactorPhi7121(BH567,"a"),noisuy2chieu(BK567,BH567,Data!$A$63:$M$85))</f>
        <v>0</v>
      </c>
      <c r="BM567" s="111">
        <v>1.26</v>
      </c>
      <c r="BN567" s="118">
        <f t="shared" si="275"/>
        <v>0.99585817086176476</v>
      </c>
      <c r="BO567" s="108" t="e">
        <f t="shared" si="276"/>
        <v>#DIV/0!</v>
      </c>
      <c r="BP567" s="6" t="e">
        <f t="shared" si="277"/>
        <v>#DIV/0!</v>
      </c>
      <c r="BQ567" s="16">
        <f t="shared" si="278"/>
        <v>127.25109874278135</v>
      </c>
      <c r="BR567" s="118">
        <f t="shared" si="279"/>
        <v>4.2387607289550546</v>
      </c>
      <c r="BS567" s="108">
        <f t="shared" si="280"/>
        <v>1.8750897259431072</v>
      </c>
      <c r="BT567" s="118">
        <f t="shared" si="281"/>
        <v>1.1237880441910395</v>
      </c>
      <c r="BU567" s="108">
        <f t="shared" si="282"/>
        <v>2.1072034158003166</v>
      </c>
      <c r="BV567" s="6" cm="1">
        <f t="array" ref="BV567">IF(AP567=0,FactorPhi7121(BR567,"a"),noisuy2chieu(BU567,BR567,Data!$A$63:$M$85))</f>
        <v>0</v>
      </c>
      <c r="BW567" s="111">
        <v>1.26</v>
      </c>
      <c r="BX567" s="111">
        <f t="shared" si="283"/>
        <v>0.98343268344705914</v>
      </c>
      <c r="BY567" s="113" t="e">
        <f t="shared" si="284"/>
        <v>#DIV/0!</v>
      </c>
      <c r="BZ567" s="6" t="e">
        <f t="shared" si="285"/>
        <v>#DIV/0!</v>
      </c>
      <c r="CA567" s="114">
        <f t="shared" si="286"/>
        <v>127.25109874278135</v>
      </c>
      <c r="CB567" s="115" t="e">
        <f t="shared" si="287"/>
        <v>#DIV/0!</v>
      </c>
      <c r="CC567" s="6" t="e">
        <f t="shared" si="288"/>
        <v>#DIV/0!</v>
      </c>
    </row>
    <row r="568" spans="27:81">
      <c r="AA568" s="79" t="s">
        <v>175</v>
      </c>
      <c r="AB568" s="80" t="s">
        <v>205</v>
      </c>
      <c r="AC568" s="81">
        <v>5.48</v>
      </c>
      <c r="AD568" s="81">
        <v>6</v>
      </c>
      <c r="AE568" s="80">
        <v>273</v>
      </c>
      <c r="AF568" s="80">
        <v>6.35</v>
      </c>
      <c r="AG568" s="108" cm="1">
        <f t="array" ref="AG568">_xll.DCEPropSectPipe(AE568, AF568, "Area")/100</f>
        <v>53.19431074856206</v>
      </c>
      <c r="AH568" s="16" cm="1">
        <f t="array" ref="AH568">_xll.DCEPropSectPipe(AE568, AF568, "Ix")/10000</f>
        <v>4730.4733077169503</v>
      </c>
      <c r="AI568" s="16" cm="1">
        <f t="array" ref="AI568">_xll.DCEPropSectPipe(AE568, AF568, "Wx")/1000</f>
        <v>346.55482107816493</v>
      </c>
      <c r="AJ568" s="108">
        <f t="shared" si="257"/>
        <v>9.4301739777164251</v>
      </c>
      <c r="AK568" s="80" t="s">
        <v>218</v>
      </c>
      <c r="AL568" s="82">
        <v>-9.8641821785192576</v>
      </c>
      <c r="AM568" s="82">
        <v>-0.49948546823702816</v>
      </c>
      <c r="AN568" s="82">
        <v>-0.29299321895325359</v>
      </c>
      <c r="AO568" s="82">
        <v>1.6067748127396424</v>
      </c>
      <c r="AP568" s="82">
        <v>2.739178307811863</v>
      </c>
      <c r="AQ568" s="82">
        <v>-4.2273175935960156E-3</v>
      </c>
      <c r="AR568" s="72">
        <v>1</v>
      </c>
      <c r="AS568" s="116">
        <f t="shared" si="258"/>
        <v>6</v>
      </c>
      <c r="AT568" s="82">
        <v>2</v>
      </c>
      <c r="AU568" s="6">
        <f t="shared" si="259"/>
        <v>12</v>
      </c>
      <c r="AV568" s="111">
        <f t="shared" si="260"/>
        <v>8.1128595189455168E-3</v>
      </c>
      <c r="AW568" s="117">
        <f t="shared" si="261"/>
        <v>105</v>
      </c>
      <c r="AX568" s="111">
        <f t="shared" si="262"/>
        <v>1</v>
      </c>
      <c r="AY568" s="111">
        <f t="shared" si="263"/>
        <v>1</v>
      </c>
      <c r="AZ568" s="111">
        <f t="shared" si="264"/>
        <v>1</v>
      </c>
      <c r="BA568" s="111">
        <f t="shared" si="265"/>
        <v>8.5398521252058081E-3</v>
      </c>
      <c r="BB568" s="111">
        <f t="shared" si="266"/>
        <v>2.1351948950305087E-2</v>
      </c>
      <c r="BC568" s="111">
        <f t="shared" si="267"/>
        <v>3.6400119625013702E-2</v>
      </c>
      <c r="BD568" s="111">
        <v>0</v>
      </c>
      <c r="BE568" s="111">
        <f t="shared" si="268"/>
        <v>6.6291920700524601E-2</v>
      </c>
      <c r="BF568" s="6" t="str">
        <f t="shared" si="269"/>
        <v>OK</v>
      </c>
      <c r="BG568" s="16">
        <f t="shared" si="270"/>
        <v>63.625549371390676</v>
      </c>
      <c r="BH568" s="118">
        <f t="shared" si="271"/>
        <v>2.1193803644775273</v>
      </c>
      <c r="BI568" s="108">
        <f t="shared" si="272"/>
        <v>2.5002715078969251</v>
      </c>
      <c r="BJ568" s="6">
        <f t="shared" si="273"/>
        <v>1.1720076697782711</v>
      </c>
      <c r="BK568" s="108">
        <f t="shared" si="274"/>
        <v>2.9303373837832791</v>
      </c>
      <c r="BL568" s="118" cm="1">
        <f t="array" ref="BL568">IF(AO568=0,FactorPhi7121(BH568,"a"),noisuy2chieu(BK568,BH568,Data!$A$63:$M$85))</f>
        <v>0</v>
      </c>
      <c r="BM568" s="111">
        <v>1.26</v>
      </c>
      <c r="BN568" s="118">
        <f t="shared" si="275"/>
        <v>0.99635588756107474</v>
      </c>
      <c r="BO568" s="108" t="e">
        <f t="shared" si="276"/>
        <v>#DIV/0!</v>
      </c>
      <c r="BP568" s="6" t="e">
        <f t="shared" si="277"/>
        <v>#DIV/0!</v>
      </c>
      <c r="BQ568" s="16">
        <f t="shared" si="278"/>
        <v>127.25109874278135</v>
      </c>
      <c r="BR568" s="118">
        <f t="shared" si="279"/>
        <v>4.2387607289550546</v>
      </c>
      <c r="BS568" s="108">
        <f t="shared" si="280"/>
        <v>4.2623828950827969</v>
      </c>
      <c r="BT568" s="118">
        <f t="shared" si="281"/>
        <v>1.1056150310725745</v>
      </c>
      <c r="BU568" s="108">
        <f t="shared" si="282"/>
        <v>4.7125545969901763</v>
      </c>
      <c r="BV568" s="6" cm="1">
        <f t="array" ref="BV568">IF(AP568=0,FactorPhi7121(BR568,"a"),noisuy2chieu(BU568,BR568,Data!$A$63:$M$85))</f>
        <v>0</v>
      </c>
      <c r="BW568" s="111">
        <v>1.26</v>
      </c>
      <c r="BX568" s="111">
        <f t="shared" si="283"/>
        <v>0.98542355024429917</v>
      </c>
      <c r="BY568" s="113" t="e">
        <f t="shared" si="284"/>
        <v>#DIV/0!</v>
      </c>
      <c r="BZ568" s="6" t="e">
        <f t="shared" si="285"/>
        <v>#DIV/0!</v>
      </c>
      <c r="CA568" s="114">
        <f t="shared" si="286"/>
        <v>127.25109874278135</v>
      </c>
      <c r="CB568" s="115" t="e">
        <f t="shared" si="287"/>
        <v>#DIV/0!</v>
      </c>
      <c r="CC568" s="6" t="e">
        <f t="shared" si="288"/>
        <v>#DIV/0!</v>
      </c>
    </row>
  </sheetData>
  <mergeCells count="84">
    <mergeCell ref="EG19:EZ20"/>
    <mergeCell ref="FA19:FC20"/>
    <mergeCell ref="EQ21:EY21"/>
    <mergeCell ref="DK21:DK22"/>
    <mergeCell ref="DR21:DR22"/>
    <mergeCell ref="DS21:DS22"/>
    <mergeCell ref="FB21:FB22"/>
    <mergeCell ref="FC21:FC22"/>
    <mergeCell ref="EZ21:EZ22"/>
    <mergeCell ref="FA21:FA22"/>
    <mergeCell ref="DM16:DN16"/>
    <mergeCell ref="DM17:DN17"/>
    <mergeCell ref="DA19:DQ20"/>
    <mergeCell ref="DR19:DU20"/>
    <mergeCell ref="DV19:EF20"/>
    <mergeCell ref="DA11:FC11"/>
    <mergeCell ref="DA12:FC12"/>
    <mergeCell ref="DC14:DD14"/>
    <mergeCell ref="DM14:DN14"/>
    <mergeCell ref="DC15:DD15"/>
    <mergeCell ref="DM15:DN15"/>
    <mergeCell ref="AV19:BF20"/>
    <mergeCell ref="BG19:BZ20"/>
    <mergeCell ref="AW21:AW22"/>
    <mergeCell ref="AX21:AX22"/>
    <mergeCell ref="AY21:AY22"/>
    <mergeCell ref="AZ21:AZ22"/>
    <mergeCell ref="BA21:BE21"/>
    <mergeCell ref="BF21:BF22"/>
    <mergeCell ref="BG21:BO21"/>
    <mergeCell ref="BZ21:BZ22"/>
    <mergeCell ref="BQ21:BY21"/>
    <mergeCell ref="BP21:BP22"/>
    <mergeCell ref="AV21:AV22"/>
    <mergeCell ref="B29:D29"/>
    <mergeCell ref="D25:D26"/>
    <mergeCell ref="I21:I22"/>
    <mergeCell ref="AA11:CC11"/>
    <mergeCell ref="AA12:CC12"/>
    <mergeCell ref="AC14:AD14"/>
    <mergeCell ref="AM14:AN14"/>
    <mergeCell ref="AC15:AD15"/>
    <mergeCell ref="AM15:AN15"/>
    <mergeCell ref="AM16:AN16"/>
    <mergeCell ref="AM17:AN17"/>
    <mergeCell ref="AA19:AQ20"/>
    <mergeCell ref="CA19:CC20"/>
    <mergeCell ref="AA21:AA22"/>
    <mergeCell ref="AB21:AB22"/>
    <mergeCell ref="AU21:AU22"/>
    <mergeCell ref="H47:I47"/>
    <mergeCell ref="K47:L47"/>
    <mergeCell ref="F25:G26"/>
    <mergeCell ref="F27:G27"/>
    <mergeCell ref="P41:Q42"/>
    <mergeCell ref="AR19:AU20"/>
    <mergeCell ref="B11:J12"/>
    <mergeCell ref="K11:N12"/>
    <mergeCell ref="B13:D13"/>
    <mergeCell ref="J20:M20"/>
    <mergeCell ref="D20:E20"/>
    <mergeCell ref="F20:G20"/>
    <mergeCell ref="H20:I20"/>
    <mergeCell ref="H21:H22"/>
    <mergeCell ref="AK21:AK22"/>
    <mergeCell ref="AR21:AR22"/>
    <mergeCell ref="AS21:AS22"/>
    <mergeCell ref="AT21:AT22"/>
    <mergeCell ref="CA21:CA22"/>
    <mergeCell ref="CB21:CB22"/>
    <mergeCell ref="CC21:CC22"/>
    <mergeCell ref="EG21:EO21"/>
    <mergeCell ref="EP21:EP22"/>
    <mergeCell ref="DY21:DY22"/>
    <mergeCell ref="DZ21:DZ22"/>
    <mergeCell ref="EA21:EE21"/>
    <mergeCell ref="EF21:EF22"/>
    <mergeCell ref="DT21:DT22"/>
    <mergeCell ref="DU21:DU22"/>
    <mergeCell ref="DV21:DV22"/>
    <mergeCell ref="DW21:DW22"/>
    <mergeCell ref="DX21:DX22"/>
    <mergeCell ref="DA21:DA22"/>
    <mergeCell ref="DB21:DB22"/>
  </mergeCells>
  <phoneticPr fontId="34" type="noConversion"/>
  <conditionalFormatting sqref="N45">
    <cfRule type="containsText" dxfId="25" priority="103" operator="containsText" text="Check">
      <formula>NOT(ISERROR(SEARCH("Check",N45)))</formula>
    </cfRule>
    <cfRule type="containsText" dxfId="24" priority="104" operator="containsText" text="OK">
      <formula>NOT(ISERROR(SEARCH("OK",N45)))</formula>
    </cfRule>
  </conditionalFormatting>
  <conditionalFormatting sqref="F63:F64">
    <cfRule type="containsText" dxfId="23" priority="52" operator="containsText" text="OK">
      <formula>NOT(ISERROR(SEARCH("OK",F63)))</formula>
    </cfRule>
  </conditionalFormatting>
  <conditionalFormatting sqref="N61:N62">
    <cfRule type="containsText" dxfId="22" priority="42" operator="containsText" text="Check">
      <formula>NOT(ISERROR(SEARCH("Check",N61)))</formula>
    </cfRule>
    <cfRule type="containsText" dxfId="21" priority="43" operator="containsText" text="OK">
      <formula>NOT(ISERROR(SEARCH("OK",N61)))</formula>
    </cfRule>
  </conditionalFormatting>
  <conditionalFormatting sqref="N56:N57">
    <cfRule type="containsText" dxfId="20" priority="13" operator="containsText" text="Check">
      <formula>NOT(ISERROR(SEARCH("Check",N56)))</formula>
    </cfRule>
    <cfRule type="containsText" dxfId="19" priority="14" operator="containsText" text="OK">
      <formula>NOT(ISERROR(SEARCH("OK",N56)))</formula>
    </cfRule>
  </conditionalFormatting>
  <conditionalFormatting sqref="BF569:BZ1974 AT569:AW1974 AT47:AT568 CC23:CC14173 AU23:AW568 BF23:BL568 BY23:BZ568 BN23:BV568">
    <cfRule type="containsText" dxfId="18" priority="11" operator="containsText" text="Check">
      <formula>NOT(ISERROR(SEARCH("Check",AT23)))</formula>
    </cfRule>
    <cfRule type="cellIs" dxfId="17" priority="12" operator="equal">
      <formula>"OK"</formula>
    </cfRule>
  </conditionalFormatting>
  <conditionalFormatting sqref="FC23:FC14173 DT47:DU1974 DV23:DW1974 DU23:DU46 EF23:EL23 EF40:EZ1974 EN23 EY23:EZ23 EP23:EV23 EF24:EN39 EP24:EZ39 EO23:EO39">
    <cfRule type="containsText" dxfId="16" priority="9" operator="containsText" text="Check">
      <formula>NOT(ISERROR(SEARCH("Check",DT23)))</formula>
    </cfRule>
    <cfRule type="cellIs" dxfId="15" priority="10" operator="equal">
      <formula>"OK"</formula>
    </cfRule>
  </conditionalFormatting>
  <conditionalFormatting sqref="BE1:BE1048576">
    <cfRule type="top10" dxfId="14" priority="8" rank="1"/>
  </conditionalFormatting>
  <conditionalFormatting sqref="BO1:BO1048576">
    <cfRule type="top10" dxfId="13" priority="7" rank="1"/>
  </conditionalFormatting>
  <conditionalFormatting sqref="BY1:BY20 BY22:BY1048576">
    <cfRule type="top10" dxfId="12" priority="6" rank="1"/>
  </conditionalFormatting>
  <conditionalFormatting sqref="BY21">
    <cfRule type="top10" dxfId="11" priority="5" rank="1"/>
  </conditionalFormatting>
  <conditionalFormatting sqref="EY22">
    <cfRule type="top10" dxfId="10" priority="4" rank="1"/>
  </conditionalFormatting>
  <conditionalFormatting sqref="EY21">
    <cfRule type="top10" dxfId="9" priority="3" rank="1"/>
  </conditionalFormatting>
  <conditionalFormatting sqref="EE23:EE39">
    <cfRule type="containsText" dxfId="8" priority="1" operator="containsText" text="Check">
      <formula>NOT(ISERROR(SEARCH("Check",EE23)))</formula>
    </cfRule>
    <cfRule type="cellIs" dxfId="7" priority="2" operator="equal">
      <formula>"OK"</formula>
    </cfRule>
  </conditionalFormatting>
  <pageMargins left="0.59055118110236227" right="0.31496062992125984" top="0.59055118110236227" bottom="0.59055118110236227" header="0.31496062992125984" footer="0.31496062992125984"/>
  <pageSetup orientation="portrait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HideTable">
                <anchor moveWithCells="1" sizeWithCells="1">
                  <from>
                    <xdr:col>1</xdr:col>
                    <xdr:colOff>38100</xdr:colOff>
                    <xdr:row>0</xdr:row>
                    <xdr:rowOff>0</xdr:rowOff>
                  </from>
                  <to>
                    <xdr:col>3</xdr:col>
                    <xdr:colOff>251460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UnHideTable">
                <anchor moveWithCells="1" sizeWithCells="1">
                  <from>
                    <xdr:col>4</xdr:col>
                    <xdr:colOff>38100</xdr:colOff>
                    <xdr:row>0</xdr:row>
                    <xdr:rowOff>0</xdr:rowOff>
                  </from>
                  <to>
                    <xdr:col>6</xdr:col>
                    <xdr:colOff>388620</xdr:colOff>
                    <xdr:row>9</xdr:row>
                    <xdr:rowOff>289560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Data!$A$3:$A$99</xm:f>
          </x14:formula1>
          <xm:sqref>F20:G20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3:FA61"/>
  <sheetViews>
    <sheetView showGridLines="0" topLeftCell="AA25" zoomScale="70" zoomScaleNormal="70" workbookViewId="0">
      <selection activeCell="AF55" sqref="AF55"/>
    </sheetView>
  </sheetViews>
  <sheetFormatPr defaultRowHeight="14.4"/>
  <sheetData>
    <row r="23" spans="2:157" s="1" customFormat="1" ht="13.8">
      <c r="B23" s="79" t="s">
        <v>175</v>
      </c>
      <c r="C23" s="80" t="s">
        <v>192</v>
      </c>
      <c r="D23" s="81">
        <v>0</v>
      </c>
      <c r="E23" s="81">
        <v>6</v>
      </c>
      <c r="F23" s="80">
        <v>273</v>
      </c>
      <c r="G23" s="80">
        <v>6.35</v>
      </c>
      <c r="H23" s="108">
        <v>53.19431074856206</v>
      </c>
      <c r="I23" s="16">
        <v>4730.4733077169503</v>
      </c>
      <c r="J23" s="16">
        <v>346.55482107816493</v>
      </c>
      <c r="K23" s="108">
        <v>9.4301739777164251</v>
      </c>
      <c r="L23" s="80" t="s">
        <v>206</v>
      </c>
      <c r="M23" s="82">
        <v>-26.999950680555763</v>
      </c>
      <c r="N23" s="82">
        <v>4.0343696448804733</v>
      </c>
      <c r="O23" s="82">
        <v>1.1818443427216452</v>
      </c>
      <c r="P23" s="82">
        <v>0</v>
      </c>
      <c r="Q23" s="82">
        <v>0</v>
      </c>
      <c r="R23" s="82">
        <v>0.11365940233522918</v>
      </c>
      <c r="S23" s="110">
        <v>1</v>
      </c>
      <c r="T23" s="116">
        <v>6</v>
      </c>
      <c r="U23" s="109">
        <v>2</v>
      </c>
      <c r="V23" s="6">
        <v>12</v>
      </c>
      <c r="W23" s="111">
        <v>2.1753092147803972E-2</v>
      </c>
      <c r="X23" s="117">
        <v>105</v>
      </c>
      <c r="Y23" s="111">
        <v>1</v>
      </c>
      <c r="Z23" s="111">
        <v>1</v>
      </c>
      <c r="AA23" s="111">
        <v>1</v>
      </c>
      <c r="AB23" s="111">
        <v>2.2897991734530498E-2</v>
      </c>
      <c r="AC23" s="111">
        <v>0</v>
      </c>
      <c r="AD23" s="111">
        <v>0</v>
      </c>
      <c r="AE23" s="111">
        <v>0</v>
      </c>
      <c r="AF23" s="111">
        <v>2.2897991734530498E-2</v>
      </c>
      <c r="AG23" s="6" t="s">
        <v>219</v>
      </c>
      <c r="AH23" s="16">
        <v>63.625549371390676</v>
      </c>
      <c r="AI23" s="118">
        <v>2.141343441906038</v>
      </c>
      <c r="AJ23" s="108">
        <v>0</v>
      </c>
      <c r="AK23" s="6">
        <v>1.2429328279046983</v>
      </c>
      <c r="AL23" s="108">
        <v>0</v>
      </c>
      <c r="AM23" s="118">
        <v>0.85917828633197524</v>
      </c>
      <c r="AN23" s="111">
        <v>1.26</v>
      </c>
      <c r="AO23" s="118">
        <v>0.9900254421152479</v>
      </c>
      <c r="AP23" s="108">
        <v>5.5260704026520113E-2</v>
      </c>
      <c r="AQ23" s="6" t="s">
        <v>219</v>
      </c>
      <c r="AR23" s="16">
        <v>127.25109874278135</v>
      </c>
      <c r="AS23" s="118">
        <v>4.282686883812076</v>
      </c>
      <c r="AT23" s="108">
        <v>0</v>
      </c>
      <c r="AU23" s="118">
        <v>1.1358656558093962</v>
      </c>
      <c r="AV23" s="108">
        <v>0</v>
      </c>
      <c r="AW23" s="6">
        <v>0.41436301143650911</v>
      </c>
      <c r="AX23" s="111">
        <v>1.26</v>
      </c>
      <c r="AY23" s="111">
        <v>0.9601017684609916</v>
      </c>
      <c r="AZ23" s="113">
        <v>2.6651036343442947E-2</v>
      </c>
      <c r="BA23" s="6" t="s">
        <v>219</v>
      </c>
      <c r="BB23" s="114">
        <v>127.25109874278135</v>
      </c>
      <c r="BC23" s="115">
        <v>150</v>
      </c>
      <c r="BD23" s="6" t="s">
        <v>219</v>
      </c>
      <c r="CA23" s="29"/>
      <c r="CB23" s="79" t="s">
        <v>175</v>
      </c>
      <c r="CC23" s="80">
        <v>49</v>
      </c>
      <c r="CD23" s="81">
        <v>2</v>
      </c>
      <c r="CE23" s="81">
        <v>6</v>
      </c>
      <c r="CF23" s="80">
        <v>406</v>
      </c>
      <c r="CG23" s="80">
        <v>10</v>
      </c>
      <c r="CH23" s="108" cm="1">
        <f t="array" ref="CH23">_xll.DCEPropSectPipe(CF23, CG23, "Area")/100</f>
        <v>124.4070690821558</v>
      </c>
      <c r="CI23" s="16" cm="1">
        <f t="array" ref="CI23">_xll.DCEPropSectPipe(CF23, CG23, "Ix")/10000</f>
        <v>24401.824565119456</v>
      </c>
      <c r="CJ23" s="16" cm="1">
        <f t="array" ref="CJ23">_xll.DCEPropSectPipe(CF23, CG23, "Wx")/1000</f>
        <v>1202.0603234048992</v>
      </c>
      <c r="CK23" s="108">
        <f>SQRT(CI23/CH23)</f>
        <v>14.005177614011185</v>
      </c>
      <c r="CL23" s="80" t="s">
        <v>176</v>
      </c>
      <c r="CM23" s="82">
        <f t="shared" ref="CM23:CR23" si="0">BI27</f>
        <v>0</v>
      </c>
      <c r="CN23" s="82">
        <f t="shared" si="0"/>
        <v>0</v>
      </c>
      <c r="CO23" s="82">
        <f t="shared" si="0"/>
        <v>0</v>
      </c>
      <c r="CP23" s="82">
        <f t="shared" si="0"/>
        <v>0</v>
      </c>
      <c r="CQ23" s="82">
        <f t="shared" si="0"/>
        <v>0</v>
      </c>
      <c r="CR23" s="82">
        <f t="shared" si="0"/>
        <v>0</v>
      </c>
      <c r="CS23" s="110">
        <v>1</v>
      </c>
      <c r="CT23" s="116">
        <f>CS23*CE23</f>
        <v>6</v>
      </c>
      <c r="CU23" s="109">
        <v>2</v>
      </c>
      <c r="CV23" s="6">
        <f>CU23*CE23</f>
        <v>12</v>
      </c>
      <c r="CW23" s="111" t="e">
        <f>ABS(CM23)/(CH23*#REF!)*10</f>
        <v>#REF!</v>
      </c>
      <c r="CX23" s="117" t="e">
        <f>IF(CW23&gt;0.1,104,105)</f>
        <v>#REF!</v>
      </c>
      <c r="CY23" s="111" t="e">
        <f>IF(CX23=104,1.5,1)</f>
        <v>#REF!</v>
      </c>
      <c r="CZ23" s="111" t="e">
        <f>IF(CX23=104,1.26,1)</f>
        <v>#REF!</v>
      </c>
      <c r="DA23" s="111" t="e">
        <f>IF(CX23=104,1.26,1)</f>
        <v>#REF!</v>
      </c>
      <c r="DB23" s="111" t="e">
        <f>(ABS(CM23)/(CH23*#REF!*#REF!)*10)^CY23</f>
        <v>#REF!</v>
      </c>
      <c r="DC23" s="111" t="e">
        <f>ABS(CP23)/(CZ23*CJ23*#REF!*#REF!)*1000</f>
        <v>#REF!</v>
      </c>
      <c r="DD23" s="111" t="e">
        <f>ABS(CQ23)/(DA23*CJ23*#REF!*#REF!)*1000</f>
        <v>#REF!</v>
      </c>
      <c r="DE23" s="111">
        <v>0</v>
      </c>
      <c r="DF23" s="111" t="e">
        <f>DB23+DC23+DD23+DE23</f>
        <v>#REF!</v>
      </c>
      <c r="DG23" s="6" t="e">
        <f>IF(DF23&lt;=1,"OK","Check")</f>
        <v>#REF!</v>
      </c>
      <c r="DH23" s="16">
        <f>CT23*100/CK23</f>
        <v>42.841298877905174</v>
      </c>
      <c r="DI23" s="118" t="e">
        <f>DH23*SQRT(#REF!/#REF!)</f>
        <v>#REF!</v>
      </c>
      <c r="DJ23" s="108" t="e">
        <f>ABS((CP23/CM23)*100*CH23/CJ23)</f>
        <v>#DIV/0!</v>
      </c>
      <c r="DK23" s="6" t="e">
        <f>IF(AND(DI23&lt;=5,DJ23&lt;=5),(1.35-0.05*DJ23)-0.01*(5-DJ23)*DI23,1.1)</f>
        <v>#REF!</v>
      </c>
      <c r="DL23" s="108" t="e">
        <f>DJ23*DK23</f>
        <v>#DIV/0!</v>
      </c>
      <c r="DM23" s="118" t="e" cm="1">
        <f t="array" ref="DM23">IF(CP23=0,FactorPhi7121(DI23,"a"),noisuy2chieu(DL23,DI23,Data!$A$63:$M$85))</f>
        <v>#VALUE!</v>
      </c>
      <c r="DN23" s="111">
        <v>1.26</v>
      </c>
      <c r="DO23" s="118" t="e">
        <f>IF(DI23&lt;=1,1,1-0.1*ABS(CM23)*DI23^2/(CH23*#REF!)*10)</f>
        <v>#REF!</v>
      </c>
      <c r="DP23" s="108" t="e">
        <f>ABS(CM23)/(DW23*CH23*#REF!*#REF!)*10+CP23*1000/(DN23*DO23*CJ23*#REF!*#REF!)</f>
        <v>#VALUE!</v>
      </c>
      <c r="DQ23" s="6" t="e">
        <f>IF(DP23&lt;=1,"OK","Check")</f>
        <v>#VALUE!</v>
      </c>
      <c r="DR23" s="16">
        <f>CV23*100/CK23</f>
        <v>85.682597755810349</v>
      </c>
      <c r="DS23" s="118" t="e">
        <f>DR23*SQRT(#REF!/#REF!)</f>
        <v>#REF!</v>
      </c>
      <c r="DT23" s="108" t="e">
        <f>ABS((CQ23/CM23)*100*CH23/CJ23)</f>
        <v>#DIV/0!</v>
      </c>
      <c r="DU23" s="118" t="e">
        <f>IF(AND(DS23&lt;=5,DT23&lt;=5),(1.35-0.05*DT23)-0.01*(5-DT23)*DS23,1.1)</f>
        <v>#REF!</v>
      </c>
      <c r="DV23" s="108" t="e">
        <f>DT23*DU23</f>
        <v>#DIV/0!</v>
      </c>
      <c r="DW23" s="6" t="e" cm="1">
        <f t="array" ref="DW23">IF(CQ23=0,FactorPhi7121(DS23,"a"),noisuy2chieu(DV23,DS23,Data!$A$63:$M$85))</f>
        <v>#VALUE!</v>
      </c>
      <c r="DX23" s="111">
        <v>1.26</v>
      </c>
      <c r="DY23" s="111" t="e">
        <f>IF(DS23&lt;=1,1,1-0.1*ABS(CM23)*DS23^2/(CH23*#REF!)*10)</f>
        <v>#REF!</v>
      </c>
      <c r="DZ23" s="113" t="e">
        <f>ABS(CM23)/(DM23*CH23*#REF!*#REF!)*10+CQ23*1000/(DX23*DY23*CJ23*#REF!*#REF!)</f>
        <v>#VALUE!</v>
      </c>
      <c r="EA23" s="6" t="e">
        <f>IF(DZ23&lt;=1,"OK","Check")</f>
        <v>#VALUE!</v>
      </c>
      <c r="EB23" s="114">
        <f>MAX(DH23,DR23)</f>
        <v>85.682597755810349</v>
      </c>
      <c r="EC23" s="115" t="e">
        <f>180-60*MAX(ABS(CM23)/(DW23*CH23*#REF!*#REF!)*10,ABS(CM23)/(DM23*CH23*#REF!*#REF!)*10,0.5)</f>
        <v>#VALUE!</v>
      </c>
      <c r="ED23" s="6" t="e">
        <f>IF(EB23&lt;=EC23,"OK","Check")</f>
        <v>#VALUE!</v>
      </c>
      <c r="FA23" s="29"/>
    </row>
    <row r="24" spans="2:157" s="1" customFormat="1" ht="13.8">
      <c r="B24" s="79" t="s">
        <v>175</v>
      </c>
      <c r="C24" s="80" t="s">
        <v>192</v>
      </c>
      <c r="D24" s="81">
        <v>2.74</v>
      </c>
      <c r="E24" s="81">
        <v>6</v>
      </c>
      <c r="F24" s="80">
        <v>273</v>
      </c>
      <c r="G24" s="80">
        <v>6.35</v>
      </c>
      <c r="H24" s="108">
        <v>53.19431074856206</v>
      </c>
      <c r="I24" s="16">
        <v>4730.4733077169503</v>
      </c>
      <c r="J24" s="16">
        <v>346.55482107816493</v>
      </c>
      <c r="K24" s="108">
        <v>9.4301739777164251</v>
      </c>
      <c r="L24" s="80" t="s">
        <v>206</v>
      </c>
      <c r="M24" s="82">
        <v>-25.652690331823734</v>
      </c>
      <c r="N24" s="82">
        <v>4.0343696448804733</v>
      </c>
      <c r="O24" s="82">
        <v>1.1818443427216452</v>
      </c>
      <c r="P24" s="82">
        <v>-3.240617187742751</v>
      </c>
      <c r="Q24" s="82">
        <v>-11.062241566262257</v>
      </c>
      <c r="R24" s="82">
        <v>0.11365940233522918</v>
      </c>
      <c r="S24" s="109">
        <v>1</v>
      </c>
      <c r="T24" s="116">
        <v>6</v>
      </c>
      <c r="U24" s="109">
        <v>2</v>
      </c>
      <c r="V24" s="6">
        <v>12</v>
      </c>
      <c r="W24" s="111">
        <v>2.0667642812737003E-2</v>
      </c>
      <c r="X24" s="117">
        <v>105</v>
      </c>
      <c r="Y24" s="111">
        <v>1</v>
      </c>
      <c r="Z24" s="111">
        <v>1</v>
      </c>
      <c r="AA24" s="111">
        <v>1</v>
      </c>
      <c r="AB24" s="111">
        <v>2.175541348709158E-2</v>
      </c>
      <c r="AC24" s="111">
        <v>4.2184741835383351E-2</v>
      </c>
      <c r="AD24" s="111">
        <v>0.14400275551166541</v>
      </c>
      <c r="AE24" s="111">
        <v>0</v>
      </c>
      <c r="AF24" s="111">
        <v>0.20794291083414035</v>
      </c>
      <c r="AG24" s="6" t="s">
        <v>219</v>
      </c>
      <c r="AH24" s="16">
        <v>63.625549371390676</v>
      </c>
      <c r="AI24" s="118">
        <v>2.141343441906038</v>
      </c>
      <c r="AJ24" s="108">
        <v>1.939045739600094</v>
      </c>
      <c r="AK24" s="6">
        <v>1.1875021697051784</v>
      </c>
      <c r="AL24" s="108">
        <v>2.3026210229326938</v>
      </c>
      <c r="AM24" s="118">
        <v>0.35931208729743958</v>
      </c>
      <c r="AN24" s="111">
        <v>1.26</v>
      </c>
      <c r="AO24" s="118">
        <v>0.99052315881455788</v>
      </c>
      <c r="AP24" s="108">
        <v>0.14819128892033451</v>
      </c>
      <c r="AQ24" s="6" t="s">
        <v>219</v>
      </c>
      <c r="AR24" s="16">
        <v>127.25109874278135</v>
      </c>
      <c r="AS24" s="118">
        <v>4.282686883812076</v>
      </c>
      <c r="AT24" s="108">
        <v>6.6191688609875605</v>
      </c>
      <c r="AU24" s="118">
        <v>1.1000000000000001</v>
      </c>
      <c r="AV24" s="108">
        <v>7.2810857470863173</v>
      </c>
      <c r="AW24" s="6">
        <v>0.11954078078269958</v>
      </c>
      <c r="AX24" s="111">
        <v>1.26</v>
      </c>
      <c r="AY24" s="111">
        <v>0.96209263525823163</v>
      </c>
      <c r="AZ24" s="113">
        <v>5.8243550928636333E-2</v>
      </c>
      <c r="BA24" s="6" t="s">
        <v>219</v>
      </c>
      <c r="BB24" s="114">
        <v>127.25109874278135</v>
      </c>
      <c r="BC24" s="115">
        <v>150</v>
      </c>
      <c r="BD24" s="6" t="s">
        <v>219</v>
      </c>
      <c r="CA24" s="29"/>
      <c r="CB24" s="79"/>
      <c r="CC24" s="80"/>
      <c r="CD24" s="81"/>
      <c r="CE24" s="81"/>
      <c r="CF24" s="80"/>
      <c r="CG24" s="80"/>
      <c r="CH24" s="108"/>
      <c r="CI24" s="16"/>
      <c r="CJ24" s="16"/>
      <c r="CK24" s="108"/>
      <c r="CL24" s="80"/>
      <c r="CM24" s="82"/>
      <c r="CN24" s="82"/>
      <c r="CO24" s="82"/>
      <c r="CP24" s="82"/>
      <c r="CQ24" s="82"/>
      <c r="CR24" s="82"/>
      <c r="CS24" s="109"/>
      <c r="CT24" s="116"/>
      <c r="CU24" s="109"/>
      <c r="CV24" s="6"/>
      <c r="CW24" s="111"/>
      <c r="CX24" s="111"/>
      <c r="CY24" s="111"/>
      <c r="CZ24" s="111"/>
      <c r="DA24" s="111"/>
      <c r="DB24" s="111"/>
      <c r="DC24" s="111"/>
      <c r="DD24" s="111"/>
      <c r="DE24" s="111"/>
      <c r="DF24" s="111"/>
      <c r="DG24" s="6"/>
      <c r="DH24" s="6"/>
      <c r="DI24" s="6"/>
      <c r="DJ24" s="6"/>
      <c r="DK24" s="6"/>
      <c r="DL24" s="6"/>
      <c r="DM24" s="112"/>
      <c r="DN24" s="112"/>
      <c r="DO24" s="112"/>
      <c r="DP24" s="112"/>
      <c r="DQ24" s="112"/>
      <c r="DR24" s="112"/>
      <c r="DS24" s="112"/>
      <c r="DT24" s="112"/>
      <c r="DU24" s="112"/>
      <c r="DV24" s="112"/>
      <c r="DW24" s="6"/>
      <c r="DX24" s="6"/>
      <c r="DY24" s="6"/>
      <c r="DZ24" s="113"/>
      <c r="EA24" s="6"/>
      <c r="EB24" s="114"/>
      <c r="EC24" s="115"/>
      <c r="ED24" s="6"/>
      <c r="FA24" s="29"/>
    </row>
    <row r="25" spans="2:157" s="1" customFormat="1" ht="13.8">
      <c r="B25" s="79" t="s">
        <v>175</v>
      </c>
      <c r="C25" s="80" t="s">
        <v>192</v>
      </c>
      <c r="D25" s="81">
        <v>5.48</v>
      </c>
      <c r="E25" s="81">
        <v>6</v>
      </c>
      <c r="F25" s="80">
        <v>273</v>
      </c>
      <c r="G25" s="80">
        <v>6.35</v>
      </c>
      <c r="H25" s="108">
        <v>53.19431074856206</v>
      </c>
      <c r="I25" s="16">
        <v>4730.4733077169503</v>
      </c>
      <c r="J25" s="16">
        <v>346.55482107816493</v>
      </c>
      <c r="K25" s="108">
        <v>9.4301739777164251</v>
      </c>
      <c r="L25" s="80" t="s">
        <v>206</v>
      </c>
      <c r="M25" s="82">
        <v>-24.305429983091699</v>
      </c>
      <c r="N25" s="82">
        <v>4.0343696448804733</v>
      </c>
      <c r="O25" s="82">
        <v>1.1818443427216452</v>
      </c>
      <c r="P25" s="82">
        <v>-6.481234375485502</v>
      </c>
      <c r="Q25" s="82">
        <v>-22.124483132524514</v>
      </c>
      <c r="R25" s="82">
        <v>0.11365940233522918</v>
      </c>
      <c r="S25" s="109">
        <v>1</v>
      </c>
      <c r="T25" s="116">
        <v>6</v>
      </c>
      <c r="U25" s="109">
        <v>2</v>
      </c>
      <c r="V25" s="6">
        <v>12</v>
      </c>
      <c r="W25" s="111">
        <v>1.9582193477670019E-2</v>
      </c>
      <c r="X25" s="117">
        <v>105</v>
      </c>
      <c r="Y25" s="111">
        <v>1</v>
      </c>
      <c r="Z25" s="111">
        <v>1</v>
      </c>
      <c r="AA25" s="111">
        <v>1</v>
      </c>
      <c r="AB25" s="111">
        <v>2.0612835239652655E-2</v>
      </c>
      <c r="AC25" s="111">
        <v>8.4369483670766701E-2</v>
      </c>
      <c r="AD25" s="111">
        <v>0.28800551102333083</v>
      </c>
      <c r="AE25" s="111">
        <v>0</v>
      </c>
      <c r="AF25" s="111">
        <v>0.3929878299337502</v>
      </c>
      <c r="AG25" s="6" t="s">
        <v>219</v>
      </c>
      <c r="AH25" s="16">
        <v>63.625549371390676</v>
      </c>
      <c r="AI25" s="118">
        <v>2.141343441906038</v>
      </c>
      <c r="AJ25" s="108">
        <v>4.0930557436594741</v>
      </c>
      <c r="AK25" s="6">
        <v>1.125926421462135</v>
      </c>
      <c r="AL25" s="108">
        <v>4.6084796063035496</v>
      </c>
      <c r="AM25" s="118">
        <v>0.23056365549564362</v>
      </c>
      <c r="AN25" s="111">
        <v>1.26</v>
      </c>
      <c r="AO25" s="118">
        <v>0.99102087551386786</v>
      </c>
      <c r="AP25" s="108">
        <v>0.22240985547569375</v>
      </c>
      <c r="AQ25" s="6" t="s">
        <v>219</v>
      </c>
      <c r="AR25" s="16">
        <v>127.25109874278135</v>
      </c>
      <c r="AS25" s="118">
        <v>4.282686883812076</v>
      </c>
      <c r="AT25" s="108">
        <v>13.97214442724008</v>
      </c>
      <c r="AU25" s="118">
        <v>1.1000000000000001</v>
      </c>
      <c r="AV25" s="108">
        <v>15.369358869964088</v>
      </c>
      <c r="AW25" s="6">
        <v>7.1084514260292053E-2</v>
      </c>
      <c r="AX25" s="111">
        <v>1.26</v>
      </c>
      <c r="AY25" s="111">
        <v>0.96408350205547155</v>
      </c>
      <c r="AZ25" s="113">
        <v>0.14768936365856711</v>
      </c>
      <c r="BA25" s="6" t="s">
        <v>219</v>
      </c>
      <c r="BB25" s="114">
        <v>127.25109874278135</v>
      </c>
      <c r="BC25" s="115">
        <v>150</v>
      </c>
      <c r="BD25" s="6" t="s">
        <v>219</v>
      </c>
      <c r="CA25" s="29"/>
      <c r="CB25" s="79"/>
      <c r="CC25" s="80"/>
      <c r="CD25" s="81"/>
      <c r="CE25" s="81"/>
      <c r="CF25" s="80"/>
      <c r="CG25" s="80"/>
      <c r="CH25" s="108"/>
      <c r="CI25" s="16"/>
      <c r="CJ25" s="16"/>
      <c r="CK25" s="108"/>
      <c r="CL25" s="80"/>
      <c r="CM25" s="82"/>
      <c r="CN25" s="82"/>
      <c r="CO25" s="82"/>
      <c r="CP25" s="82"/>
      <c r="CQ25" s="82"/>
      <c r="CR25" s="82"/>
      <c r="CS25" s="109"/>
      <c r="CT25" s="116"/>
      <c r="CU25" s="109"/>
      <c r="CV25" s="6"/>
      <c r="CW25" s="111"/>
      <c r="CX25" s="111"/>
      <c r="CY25" s="111"/>
      <c r="CZ25" s="111"/>
      <c r="DA25" s="111"/>
      <c r="DB25" s="111"/>
      <c r="DC25" s="111"/>
      <c r="DD25" s="111"/>
      <c r="DE25" s="111"/>
      <c r="DF25" s="111"/>
      <c r="DG25" s="6"/>
      <c r="DH25" s="6"/>
      <c r="DI25" s="6"/>
      <c r="DJ25" s="6"/>
      <c r="DK25" s="6"/>
      <c r="DL25" s="6"/>
      <c r="DM25" s="112"/>
      <c r="DN25" s="112"/>
      <c r="DO25" s="112"/>
      <c r="DP25" s="112"/>
      <c r="DQ25" s="112"/>
      <c r="DR25" s="112"/>
      <c r="DS25" s="112"/>
      <c r="DT25" s="112"/>
      <c r="DU25" s="112"/>
      <c r="DV25" s="112"/>
      <c r="DW25" s="6"/>
      <c r="DX25" s="6"/>
      <c r="DY25" s="6"/>
      <c r="DZ25" s="113"/>
      <c r="EA25" s="6"/>
      <c r="EB25" s="114"/>
      <c r="EC25" s="115"/>
      <c r="ED25" s="6"/>
      <c r="FA25" s="29"/>
    </row>
    <row r="26" spans="2:157" s="1" customFormat="1" ht="13.8">
      <c r="B26" s="79" t="s">
        <v>175</v>
      </c>
      <c r="C26" s="80" t="s">
        <v>192</v>
      </c>
      <c r="D26" s="81">
        <v>0</v>
      </c>
      <c r="E26" s="81">
        <v>6</v>
      </c>
      <c r="F26" s="80">
        <v>273</v>
      </c>
      <c r="G26" s="80">
        <v>6.35</v>
      </c>
      <c r="H26" s="108">
        <v>53.19431074856206</v>
      </c>
      <c r="I26" s="16">
        <v>4730.4733077169503</v>
      </c>
      <c r="J26" s="16">
        <v>346.55482107816493</v>
      </c>
      <c r="K26" s="108">
        <v>9.4301739777164251</v>
      </c>
      <c r="L26" s="80" t="s">
        <v>207</v>
      </c>
      <c r="M26" s="82">
        <v>-34.007490218843465</v>
      </c>
      <c r="N26" s="82">
        <v>6.0682891739080151</v>
      </c>
      <c r="O26" s="82">
        <v>1.7938616431007404</v>
      </c>
      <c r="P26" s="82">
        <v>0</v>
      </c>
      <c r="Q26" s="82">
        <v>0</v>
      </c>
      <c r="R26" s="82">
        <v>0.20458463289054069</v>
      </c>
      <c r="S26" s="109">
        <v>1</v>
      </c>
      <c r="T26" s="116">
        <v>6</v>
      </c>
      <c r="U26" s="109">
        <v>2</v>
      </c>
      <c r="V26" s="6">
        <v>12</v>
      </c>
      <c r="W26" s="111">
        <v>2.73988673978873E-2</v>
      </c>
      <c r="X26" s="117">
        <v>105</v>
      </c>
      <c r="Y26" s="111">
        <v>1</v>
      </c>
      <c r="Z26" s="111">
        <v>1</v>
      </c>
      <c r="AA26" s="111">
        <v>1</v>
      </c>
      <c r="AB26" s="111">
        <v>2.8840913050407684E-2</v>
      </c>
      <c r="AC26" s="111">
        <v>0</v>
      </c>
      <c r="AD26" s="111">
        <v>0</v>
      </c>
      <c r="AE26" s="111">
        <v>0</v>
      </c>
      <c r="AF26" s="111">
        <v>2.8840913050407684E-2</v>
      </c>
      <c r="AG26" s="6" t="s">
        <v>219</v>
      </c>
      <c r="AH26" s="16">
        <v>63.625549371390676</v>
      </c>
      <c r="AI26" s="118">
        <v>2.141343441906038</v>
      </c>
      <c r="AJ26" s="108">
        <v>0</v>
      </c>
      <c r="AK26" s="6">
        <v>1.2429328279046983</v>
      </c>
      <c r="AL26" s="108">
        <v>0</v>
      </c>
      <c r="AM26" s="118">
        <v>0.85917828633197524</v>
      </c>
      <c r="AN26" s="111">
        <v>1.26</v>
      </c>
      <c r="AO26" s="118">
        <v>0.98743665558073479</v>
      </c>
      <c r="AP26" s="108">
        <v>6.9603010535188276E-2</v>
      </c>
      <c r="AQ26" s="6" t="s">
        <v>219</v>
      </c>
      <c r="AR26" s="16">
        <v>127.25109874278135</v>
      </c>
      <c r="AS26" s="118">
        <v>4.282686883812076</v>
      </c>
      <c r="AT26" s="108">
        <v>0</v>
      </c>
      <c r="AU26" s="118">
        <v>1.1358656558093962</v>
      </c>
      <c r="AV26" s="108">
        <v>0</v>
      </c>
      <c r="AW26" s="6">
        <v>0.41436301143650911</v>
      </c>
      <c r="AX26" s="111">
        <v>1.26</v>
      </c>
      <c r="AY26" s="111">
        <v>0.94974662232293938</v>
      </c>
      <c r="AZ26" s="113">
        <v>3.3568019012137761E-2</v>
      </c>
      <c r="BA26" s="6" t="s">
        <v>219</v>
      </c>
      <c r="BB26" s="114">
        <v>127.25109874278135</v>
      </c>
      <c r="BC26" s="115">
        <v>150</v>
      </c>
      <c r="BD26" s="6" t="s">
        <v>219</v>
      </c>
      <c r="CA26" s="29"/>
      <c r="CB26" s="79"/>
      <c r="CC26" s="80"/>
      <c r="CD26" s="81"/>
      <c r="CE26" s="81"/>
      <c r="CF26" s="80"/>
      <c r="CG26" s="80"/>
      <c r="CH26" s="108"/>
      <c r="CI26" s="16"/>
      <c r="CJ26" s="16"/>
      <c r="CK26" s="108"/>
      <c r="CL26" s="80"/>
      <c r="CM26" s="82"/>
      <c r="CN26" s="82"/>
      <c r="CO26" s="82"/>
      <c r="CP26" s="82"/>
      <c r="CQ26" s="82"/>
      <c r="CR26" s="82"/>
      <c r="CS26" s="109"/>
      <c r="CT26" s="116"/>
      <c r="CU26" s="109"/>
      <c r="CV26" s="6"/>
      <c r="CW26" s="111"/>
      <c r="CX26" s="111"/>
      <c r="CY26" s="111"/>
      <c r="CZ26" s="111"/>
      <c r="DA26" s="111"/>
      <c r="DB26" s="111"/>
      <c r="DC26" s="111"/>
      <c r="DD26" s="111"/>
      <c r="DE26" s="111"/>
      <c r="DF26" s="111"/>
      <c r="DG26" s="6"/>
      <c r="DH26" s="6"/>
      <c r="DI26" s="6"/>
      <c r="DJ26" s="6"/>
      <c r="DK26" s="6"/>
      <c r="DL26" s="6"/>
      <c r="DM26" s="112"/>
      <c r="DN26" s="112"/>
      <c r="DO26" s="112"/>
      <c r="DP26" s="112"/>
      <c r="DQ26" s="112"/>
      <c r="DR26" s="112"/>
      <c r="DS26" s="112"/>
      <c r="DT26" s="112"/>
      <c r="DU26" s="112"/>
      <c r="DV26" s="112"/>
      <c r="DW26" s="6"/>
      <c r="DX26" s="6"/>
      <c r="DY26" s="6"/>
      <c r="DZ26" s="113"/>
      <c r="EA26" s="6"/>
      <c r="EB26" s="114"/>
      <c r="EC26" s="115"/>
      <c r="ED26" s="6"/>
      <c r="FA26" s="29"/>
    </row>
    <row r="27" spans="2:157" s="1" customFormat="1" ht="13.8">
      <c r="B27" s="79" t="s">
        <v>175</v>
      </c>
      <c r="C27" s="80" t="s">
        <v>192</v>
      </c>
      <c r="D27" s="81">
        <v>2.74</v>
      </c>
      <c r="E27" s="81">
        <v>6</v>
      </c>
      <c r="F27" s="80">
        <v>273</v>
      </c>
      <c r="G27" s="80">
        <v>6.35</v>
      </c>
      <c r="H27" s="108">
        <v>53.19431074856206</v>
      </c>
      <c r="I27" s="16">
        <v>4730.4733077169503</v>
      </c>
      <c r="J27" s="16">
        <v>346.55482107816493</v>
      </c>
      <c r="K27" s="108">
        <v>9.4301739777164251</v>
      </c>
      <c r="L27" s="80" t="s">
        <v>207</v>
      </c>
      <c r="M27" s="82">
        <v>-32.660229870111429</v>
      </c>
      <c r="N27" s="82">
        <v>6.0682891739080151</v>
      </c>
      <c r="O27" s="82">
        <v>1.7938616431007404</v>
      </c>
      <c r="P27" s="82">
        <v>-4.9187686253822305</v>
      </c>
      <c r="Q27" s="82">
        <v>-16.639248914855777</v>
      </c>
      <c r="R27" s="82">
        <v>0.20458463289054069</v>
      </c>
      <c r="S27" s="109">
        <v>1</v>
      </c>
      <c r="T27" s="116">
        <v>6</v>
      </c>
      <c r="U27" s="109">
        <v>2</v>
      </c>
      <c r="V27" s="6">
        <v>12</v>
      </c>
      <c r="W27" s="111">
        <v>2.6313418062820317E-2</v>
      </c>
      <c r="X27" s="117">
        <v>105</v>
      </c>
      <c r="Y27" s="111">
        <v>1</v>
      </c>
      <c r="Z27" s="111">
        <v>1</v>
      </c>
      <c r="AA27" s="111">
        <v>1</v>
      </c>
      <c r="AB27" s="111">
        <v>2.7698334802968752E-2</v>
      </c>
      <c r="AC27" s="111">
        <v>6.4030082107373099E-2</v>
      </c>
      <c r="AD27" s="111">
        <v>0.21660146174093367</v>
      </c>
      <c r="AE27" s="111">
        <v>0</v>
      </c>
      <c r="AF27" s="111">
        <v>0.30832987865127554</v>
      </c>
      <c r="AG27" s="6" t="s">
        <v>219</v>
      </c>
      <c r="AH27" s="16">
        <v>63.625549371390676</v>
      </c>
      <c r="AI27" s="118">
        <v>2.141343441906038</v>
      </c>
      <c r="AJ27" s="108">
        <v>2.3116942791994211</v>
      </c>
      <c r="AK27" s="6">
        <v>1.1768494277892809</v>
      </c>
      <c r="AL27" s="108">
        <v>2.720516089699593</v>
      </c>
      <c r="AM27" s="118">
        <v>0.32666048407554626</v>
      </c>
      <c r="AN27" s="111">
        <v>1.26</v>
      </c>
      <c r="AO27" s="118">
        <v>0.98793437228004488</v>
      </c>
      <c r="AP27" s="108">
        <v>0.2055104186489784</v>
      </c>
      <c r="AQ27" s="6" t="s">
        <v>219</v>
      </c>
      <c r="AR27" s="16">
        <v>127.25109874278135</v>
      </c>
      <c r="AS27" s="118">
        <v>4.282686883812076</v>
      </c>
      <c r="AT27" s="108">
        <v>7.8200174588733011</v>
      </c>
      <c r="AU27" s="118">
        <v>1.1000000000000001</v>
      </c>
      <c r="AV27" s="108">
        <v>8.6020192047606319</v>
      </c>
      <c r="AW27" s="6">
        <v>0.10779719054698944</v>
      </c>
      <c r="AX27" s="111">
        <v>1.26</v>
      </c>
      <c r="AY27" s="111">
        <v>0.9517374891201793</v>
      </c>
      <c r="AZ27" s="113">
        <v>9.5830828134432333E-2</v>
      </c>
      <c r="BA27" s="6" t="s">
        <v>219</v>
      </c>
      <c r="BB27" s="114">
        <v>127.25109874278135</v>
      </c>
      <c r="BC27" s="115">
        <v>150</v>
      </c>
      <c r="BD27" s="6" t="s">
        <v>219</v>
      </c>
      <c r="CA27" s="29"/>
      <c r="CB27" s="79"/>
      <c r="CC27" s="80"/>
      <c r="CD27" s="81"/>
      <c r="CE27" s="81"/>
      <c r="CF27" s="80"/>
      <c r="CG27" s="80"/>
      <c r="CH27" s="108"/>
      <c r="CI27" s="16"/>
      <c r="CJ27" s="16"/>
      <c r="CK27" s="108"/>
      <c r="CL27" s="80"/>
      <c r="CM27" s="82"/>
      <c r="CN27" s="82"/>
      <c r="CO27" s="82"/>
      <c r="CP27" s="82"/>
      <c r="CQ27" s="82"/>
      <c r="CR27" s="82"/>
      <c r="CS27" s="109"/>
      <c r="CT27" s="116"/>
      <c r="CU27" s="109"/>
      <c r="CV27" s="6"/>
      <c r="CW27" s="111"/>
      <c r="CX27" s="111"/>
      <c r="CY27" s="111"/>
      <c r="CZ27" s="111"/>
      <c r="DA27" s="111"/>
      <c r="DB27" s="111"/>
      <c r="DC27" s="111"/>
      <c r="DD27" s="111"/>
      <c r="DE27" s="111"/>
      <c r="DF27" s="111"/>
      <c r="DG27" s="6"/>
      <c r="DH27" s="6"/>
      <c r="DI27" s="6"/>
      <c r="DJ27" s="6"/>
      <c r="DK27" s="6"/>
      <c r="DL27" s="6"/>
      <c r="DM27" s="112"/>
      <c r="DN27" s="112"/>
      <c r="DO27" s="112"/>
      <c r="DP27" s="112"/>
      <c r="DQ27" s="112"/>
      <c r="DR27" s="112"/>
      <c r="DS27" s="112"/>
      <c r="DT27" s="112"/>
      <c r="DU27" s="112"/>
      <c r="DV27" s="112"/>
      <c r="DW27" s="6"/>
      <c r="DX27" s="6"/>
      <c r="DY27" s="6"/>
      <c r="DZ27" s="113"/>
      <c r="EA27" s="6"/>
      <c r="EB27" s="114"/>
      <c r="EC27" s="115"/>
      <c r="ED27" s="6"/>
      <c r="FA27" s="29"/>
    </row>
    <row r="28" spans="2:157" s="1" customFormat="1" ht="13.8">
      <c r="B28" s="79" t="s">
        <v>175</v>
      </c>
      <c r="C28" s="80" t="s">
        <v>192</v>
      </c>
      <c r="D28" s="81">
        <v>5.48</v>
      </c>
      <c r="E28" s="81">
        <v>6</v>
      </c>
      <c r="F28" s="80">
        <v>273</v>
      </c>
      <c r="G28" s="80">
        <v>6.35</v>
      </c>
      <c r="H28" s="108">
        <v>53.19431074856206</v>
      </c>
      <c r="I28" s="16">
        <v>4730.4733077169503</v>
      </c>
      <c r="J28" s="16">
        <v>346.55482107816493</v>
      </c>
      <c r="K28" s="108">
        <v>9.4301739777164251</v>
      </c>
      <c r="L28" s="80" t="s">
        <v>207</v>
      </c>
      <c r="M28" s="82">
        <v>-31.312969521379397</v>
      </c>
      <c r="N28" s="82">
        <v>6.0682891739080151</v>
      </c>
      <c r="O28" s="82">
        <v>1.7938616431007404</v>
      </c>
      <c r="P28" s="82">
        <v>-9.8375372507644609</v>
      </c>
      <c r="Q28" s="82">
        <v>-33.278497829711554</v>
      </c>
      <c r="R28" s="82">
        <v>0.20458463289054069</v>
      </c>
      <c r="S28" s="109">
        <v>1</v>
      </c>
      <c r="T28" s="116">
        <v>6</v>
      </c>
      <c r="U28" s="109">
        <v>2</v>
      </c>
      <c r="V28" s="6">
        <v>12</v>
      </c>
      <c r="W28" s="111">
        <v>2.522796872775334E-2</v>
      </c>
      <c r="X28" s="117">
        <v>105</v>
      </c>
      <c r="Y28" s="111">
        <v>1</v>
      </c>
      <c r="Z28" s="111">
        <v>1</v>
      </c>
      <c r="AA28" s="111">
        <v>1</v>
      </c>
      <c r="AB28" s="111">
        <v>2.6555756555529834E-2</v>
      </c>
      <c r="AC28" s="111">
        <v>0.1280601642147462</v>
      </c>
      <c r="AD28" s="111">
        <v>0.43320292348186734</v>
      </c>
      <c r="AE28" s="111">
        <v>0</v>
      </c>
      <c r="AF28" s="111">
        <v>0.58781884425214337</v>
      </c>
      <c r="AG28" s="6" t="s">
        <v>219</v>
      </c>
      <c r="AH28" s="16">
        <v>63.625549371390676</v>
      </c>
      <c r="AI28" s="118">
        <v>2.141343441906038</v>
      </c>
      <c r="AJ28" s="108">
        <v>4.8223127797908507</v>
      </c>
      <c r="AK28" s="6">
        <v>1.1050794673734037</v>
      </c>
      <c r="AL28" s="108">
        <v>5.3290388381992306</v>
      </c>
      <c r="AM28" s="118">
        <v>0.20675446093082428</v>
      </c>
      <c r="AN28" s="111">
        <v>1.26</v>
      </c>
      <c r="AO28" s="118">
        <v>0.98843208897935486</v>
      </c>
      <c r="AP28" s="108">
        <v>0.32524218701152335</v>
      </c>
      <c r="AQ28" s="6" t="s">
        <v>219</v>
      </c>
      <c r="AR28" s="16">
        <v>127.25109874278135</v>
      </c>
      <c r="AS28" s="118">
        <v>4.282686883812076</v>
      </c>
      <c r="AT28" s="108">
        <v>16.312957327199904</v>
      </c>
      <c r="AU28" s="118">
        <v>1.1000000000000001</v>
      </c>
      <c r="AV28" s="108">
        <v>17.944253059919895</v>
      </c>
      <c r="AW28" s="6">
        <v>6.2036491930484772E-2</v>
      </c>
      <c r="AX28" s="111">
        <v>1.26</v>
      </c>
      <c r="AY28" s="111">
        <v>0.95372835591741933</v>
      </c>
      <c r="AZ28" s="113">
        <v>0.23205138795533622</v>
      </c>
      <c r="BA28" s="6" t="s">
        <v>219</v>
      </c>
      <c r="BB28" s="114">
        <v>127.25109874278135</v>
      </c>
      <c r="BC28" s="115">
        <v>150</v>
      </c>
      <c r="BD28" s="6" t="s">
        <v>219</v>
      </c>
      <c r="CA28" s="29"/>
      <c r="CB28" s="79"/>
      <c r="CC28" s="80"/>
      <c r="CD28" s="81"/>
      <c r="CE28" s="81"/>
      <c r="CF28" s="80"/>
      <c r="CG28" s="80"/>
      <c r="CH28" s="108"/>
      <c r="CI28" s="16"/>
      <c r="CJ28" s="16"/>
      <c r="CK28" s="108"/>
      <c r="CL28" s="80"/>
      <c r="CM28" s="82"/>
      <c r="CN28" s="82"/>
      <c r="CO28" s="82"/>
      <c r="CP28" s="82"/>
      <c r="CQ28" s="82"/>
      <c r="CR28" s="82"/>
      <c r="CS28" s="109"/>
      <c r="CT28" s="116"/>
      <c r="CU28" s="109"/>
      <c r="CV28" s="6"/>
      <c r="CW28" s="111"/>
      <c r="CX28" s="111"/>
      <c r="CY28" s="111"/>
      <c r="CZ28" s="111"/>
      <c r="DA28" s="111"/>
      <c r="DB28" s="111"/>
      <c r="DC28" s="111"/>
      <c r="DD28" s="111"/>
      <c r="DE28" s="111"/>
      <c r="DF28" s="111"/>
      <c r="DG28" s="6"/>
      <c r="DH28" s="6"/>
      <c r="DI28" s="6"/>
      <c r="DJ28" s="6"/>
      <c r="DK28" s="6"/>
      <c r="DL28" s="6"/>
      <c r="DM28" s="112"/>
      <c r="DN28" s="112"/>
      <c r="DO28" s="112"/>
      <c r="DP28" s="112"/>
      <c r="DQ28" s="112"/>
      <c r="DR28" s="112"/>
      <c r="DS28" s="112"/>
      <c r="DT28" s="112"/>
      <c r="DU28" s="112"/>
      <c r="DV28" s="112"/>
      <c r="DW28" s="6"/>
      <c r="DX28" s="6"/>
      <c r="DY28" s="6"/>
      <c r="DZ28" s="113"/>
      <c r="EA28" s="6"/>
      <c r="EB28" s="114"/>
      <c r="EC28" s="115"/>
      <c r="ED28" s="6"/>
      <c r="FA28" s="29"/>
    </row>
    <row r="29" spans="2:157" s="1" customFormat="1" ht="13.8">
      <c r="B29" s="79" t="s">
        <v>175</v>
      </c>
      <c r="C29" s="80" t="s">
        <v>192</v>
      </c>
      <c r="D29" s="81">
        <v>0</v>
      </c>
      <c r="E29" s="81">
        <v>6</v>
      </c>
      <c r="F29" s="80">
        <v>273</v>
      </c>
      <c r="G29" s="80">
        <v>6.35</v>
      </c>
      <c r="H29" s="108">
        <v>53.19431074856206</v>
      </c>
      <c r="I29" s="16">
        <v>4730.4733077169503</v>
      </c>
      <c r="J29" s="16">
        <v>346.55482107816493</v>
      </c>
      <c r="K29" s="108">
        <v>9.4301739777164251</v>
      </c>
      <c r="L29" s="80" t="s">
        <v>208</v>
      </c>
      <c r="M29" s="82">
        <v>-42.770523164842714</v>
      </c>
      <c r="N29" s="82">
        <v>5.9761649344079739</v>
      </c>
      <c r="O29" s="82">
        <v>1.9561407310942986</v>
      </c>
      <c r="P29" s="82">
        <v>0</v>
      </c>
      <c r="Q29" s="82">
        <v>0</v>
      </c>
      <c r="R29" s="82">
        <v>0.17670731084375305</v>
      </c>
      <c r="S29" s="109">
        <v>1</v>
      </c>
      <c r="T29" s="116">
        <v>6</v>
      </c>
      <c r="U29" s="109">
        <v>2</v>
      </c>
      <c r="V29" s="6">
        <v>12</v>
      </c>
      <c r="W29" s="111">
        <v>3.4458993744926981E-2</v>
      </c>
      <c r="X29" s="117">
        <v>105</v>
      </c>
      <c r="Y29" s="111">
        <v>1</v>
      </c>
      <c r="Z29" s="111">
        <v>1</v>
      </c>
      <c r="AA29" s="111">
        <v>1</v>
      </c>
      <c r="AB29" s="111">
        <v>3.6272624994659983E-2</v>
      </c>
      <c r="AC29" s="111">
        <v>0</v>
      </c>
      <c r="AD29" s="111">
        <v>0</v>
      </c>
      <c r="AE29" s="111">
        <v>0</v>
      </c>
      <c r="AF29" s="111">
        <v>3.6272624994659983E-2</v>
      </c>
      <c r="AG29" s="6" t="s">
        <v>219</v>
      </c>
      <c r="AH29" s="16">
        <v>63.625549371390676</v>
      </c>
      <c r="AI29" s="118">
        <v>2.141343441906038</v>
      </c>
      <c r="AJ29" s="108">
        <v>0</v>
      </c>
      <c r="AK29" s="6">
        <v>1.2429328279046983</v>
      </c>
      <c r="AL29" s="108">
        <v>0</v>
      </c>
      <c r="AM29" s="118">
        <v>0.85917828633197524</v>
      </c>
      <c r="AN29" s="111">
        <v>1.26</v>
      </c>
      <c r="AO29" s="118">
        <v>0.98419933932042014</v>
      </c>
      <c r="AP29" s="108">
        <v>8.7538279222632465E-2</v>
      </c>
      <c r="AQ29" s="6" t="s">
        <v>219</v>
      </c>
      <c r="AR29" s="16">
        <v>127.25109874278135</v>
      </c>
      <c r="AS29" s="118">
        <v>4.282686883812076</v>
      </c>
      <c r="AT29" s="108">
        <v>0</v>
      </c>
      <c r="AU29" s="118">
        <v>1.1358656558093962</v>
      </c>
      <c r="AV29" s="108">
        <v>0</v>
      </c>
      <c r="AW29" s="6">
        <v>0.41436301143650911</v>
      </c>
      <c r="AX29" s="111">
        <v>1.26</v>
      </c>
      <c r="AY29" s="111">
        <v>0.93679735728168034</v>
      </c>
      <c r="AZ29" s="113">
        <v>4.2217809239006671E-2</v>
      </c>
      <c r="BA29" s="6" t="s">
        <v>219</v>
      </c>
      <c r="BB29" s="114">
        <v>127.25109874278135</v>
      </c>
      <c r="BC29" s="115">
        <v>150</v>
      </c>
      <c r="BD29" s="6" t="s">
        <v>219</v>
      </c>
      <c r="CA29" s="29"/>
      <c r="CB29" s="79"/>
      <c r="CC29" s="80"/>
      <c r="CD29" s="81"/>
      <c r="CE29" s="81"/>
      <c r="CF29" s="80"/>
      <c r="CG29" s="80"/>
      <c r="CH29" s="108"/>
      <c r="CI29" s="16"/>
      <c r="CJ29" s="16"/>
      <c r="CK29" s="108"/>
      <c r="CL29" s="80"/>
      <c r="CM29" s="82"/>
      <c r="CN29" s="82"/>
      <c r="CO29" s="82"/>
      <c r="CP29" s="82"/>
      <c r="CQ29" s="82"/>
      <c r="CR29" s="82"/>
      <c r="CS29" s="109"/>
      <c r="CT29" s="116"/>
      <c r="CU29" s="109"/>
      <c r="CV29" s="6"/>
      <c r="CW29" s="111"/>
      <c r="CX29" s="111"/>
      <c r="CY29" s="111"/>
      <c r="CZ29" s="111"/>
      <c r="DA29" s="111"/>
      <c r="DB29" s="111"/>
      <c r="DC29" s="111"/>
      <c r="DD29" s="111"/>
      <c r="DE29" s="111"/>
      <c r="DF29" s="111"/>
      <c r="DG29" s="6"/>
      <c r="DH29" s="6"/>
      <c r="DI29" s="6"/>
      <c r="DJ29" s="6"/>
      <c r="DK29" s="6"/>
      <c r="DL29" s="6"/>
      <c r="DM29" s="112"/>
      <c r="DN29" s="112"/>
      <c r="DO29" s="112"/>
      <c r="DP29" s="112"/>
      <c r="DQ29" s="112"/>
      <c r="DR29" s="112"/>
      <c r="DS29" s="112"/>
      <c r="DT29" s="112"/>
      <c r="DU29" s="112"/>
      <c r="DV29" s="112"/>
      <c r="DW29" s="6"/>
      <c r="DX29" s="6"/>
      <c r="DY29" s="6"/>
      <c r="DZ29" s="113"/>
      <c r="EA29" s="6"/>
      <c r="EB29" s="114"/>
      <c r="EC29" s="115"/>
      <c r="ED29" s="6"/>
      <c r="FA29" s="29"/>
    </row>
    <row r="30" spans="2:157" s="1" customFormat="1" ht="13.8">
      <c r="B30" s="79" t="s">
        <v>175</v>
      </c>
      <c r="C30" s="80" t="s">
        <v>192</v>
      </c>
      <c r="D30" s="81">
        <v>2.74</v>
      </c>
      <c r="E30" s="81">
        <v>6</v>
      </c>
      <c r="F30" s="80">
        <v>273</v>
      </c>
      <c r="G30" s="80">
        <v>6.35</v>
      </c>
      <c r="H30" s="108">
        <v>53.19431074856206</v>
      </c>
      <c r="I30" s="16">
        <v>4730.4733077169503</v>
      </c>
      <c r="J30" s="16">
        <v>346.55482107816493</v>
      </c>
      <c r="K30" s="108">
        <v>9.4301739777164251</v>
      </c>
      <c r="L30" s="80" t="s">
        <v>208</v>
      </c>
      <c r="M30" s="82">
        <v>-41.423262816110679</v>
      </c>
      <c r="N30" s="82">
        <v>5.9761649344079739</v>
      </c>
      <c r="O30" s="82">
        <v>1.9561407310942986</v>
      </c>
      <c r="P30" s="82">
        <v>-5.3637378846605674</v>
      </c>
      <c r="Q30" s="82">
        <v>-16.386644250146663</v>
      </c>
      <c r="R30" s="82">
        <v>0.17670731084375305</v>
      </c>
      <c r="S30" s="109">
        <v>1</v>
      </c>
      <c r="T30" s="116">
        <v>6</v>
      </c>
      <c r="U30" s="109">
        <v>2</v>
      </c>
      <c r="V30" s="6">
        <v>12</v>
      </c>
      <c r="W30" s="111">
        <v>3.3373544409859998E-2</v>
      </c>
      <c r="X30" s="117">
        <v>105</v>
      </c>
      <c r="Y30" s="111">
        <v>1</v>
      </c>
      <c r="Z30" s="111">
        <v>1</v>
      </c>
      <c r="AA30" s="111">
        <v>1</v>
      </c>
      <c r="AB30" s="111">
        <v>3.5130046747221054E-2</v>
      </c>
      <c r="AC30" s="111">
        <v>6.9822470482753293E-2</v>
      </c>
      <c r="AD30" s="111">
        <v>0.21331317992613838</v>
      </c>
      <c r="AE30" s="111">
        <v>0</v>
      </c>
      <c r="AF30" s="111">
        <v>0.31826569715611275</v>
      </c>
      <c r="AG30" s="6" t="s">
        <v>219</v>
      </c>
      <c r="AH30" s="16">
        <v>63.625549371390676</v>
      </c>
      <c r="AI30" s="118">
        <v>2.141343441906038</v>
      </c>
      <c r="AJ30" s="108">
        <v>1.9875427717236545</v>
      </c>
      <c r="AK30" s="6">
        <v>1.1861158061158974</v>
      </c>
      <c r="AL30" s="108">
        <v>2.3574558968728274</v>
      </c>
      <c r="AM30" s="118">
        <v>0.35453197360038757</v>
      </c>
      <c r="AN30" s="111">
        <v>1.26</v>
      </c>
      <c r="AO30" s="118">
        <v>0.98469705601973012</v>
      </c>
      <c r="AP30" s="108">
        <v>0.22103733682978755</v>
      </c>
      <c r="AQ30" s="6" t="s">
        <v>219</v>
      </c>
      <c r="AR30" s="16">
        <v>127.25109874278135</v>
      </c>
      <c r="AS30" s="118">
        <v>4.282686883812076</v>
      </c>
      <c r="AT30" s="108">
        <v>6.0721006567693339</v>
      </c>
      <c r="AU30" s="118">
        <v>1.1000000000000001</v>
      </c>
      <c r="AV30" s="108">
        <v>6.6793107224462682</v>
      </c>
      <c r="AW30" s="6">
        <v>0.12668004631996155</v>
      </c>
      <c r="AX30" s="111">
        <v>1.26</v>
      </c>
      <c r="AY30" s="111">
        <v>0.93878822407892037</v>
      </c>
      <c r="AZ30" s="113">
        <v>8.1246272228783584E-2</v>
      </c>
      <c r="BA30" s="6" t="s">
        <v>219</v>
      </c>
      <c r="BB30" s="114">
        <v>127.25109874278135</v>
      </c>
      <c r="BC30" s="115">
        <v>150</v>
      </c>
      <c r="BD30" s="6" t="s">
        <v>219</v>
      </c>
      <c r="CA30" s="29"/>
      <c r="CB30" s="79"/>
      <c r="CC30" s="80"/>
      <c r="CD30" s="81"/>
      <c r="CE30" s="81"/>
      <c r="CF30" s="80"/>
      <c r="CG30" s="80"/>
      <c r="CH30" s="108"/>
      <c r="CI30" s="16"/>
      <c r="CJ30" s="16"/>
      <c r="CK30" s="108"/>
      <c r="CL30" s="80"/>
      <c r="CM30" s="82"/>
      <c r="CN30" s="82"/>
      <c r="CO30" s="82"/>
      <c r="CP30" s="82"/>
      <c r="CQ30" s="82"/>
      <c r="CR30" s="82"/>
      <c r="CS30" s="109"/>
      <c r="CT30" s="116"/>
      <c r="CU30" s="109"/>
      <c r="CV30" s="6"/>
      <c r="CW30" s="111"/>
      <c r="CX30" s="111"/>
      <c r="CY30" s="111"/>
      <c r="CZ30" s="111"/>
      <c r="DA30" s="111"/>
      <c r="DB30" s="111"/>
      <c r="DC30" s="111"/>
      <c r="DD30" s="111"/>
      <c r="DE30" s="111"/>
      <c r="DF30" s="111"/>
      <c r="DG30" s="6"/>
      <c r="DH30" s="6"/>
      <c r="DI30" s="6"/>
      <c r="DJ30" s="6"/>
      <c r="DK30" s="6"/>
      <c r="DL30" s="6"/>
      <c r="DM30" s="112"/>
      <c r="DN30" s="112"/>
      <c r="DO30" s="112"/>
      <c r="DP30" s="112"/>
      <c r="DQ30" s="112"/>
      <c r="DR30" s="112"/>
      <c r="DS30" s="112"/>
      <c r="DT30" s="112"/>
      <c r="DU30" s="112"/>
      <c r="DV30" s="112"/>
      <c r="DW30" s="6"/>
      <c r="DX30" s="6"/>
      <c r="DY30" s="6"/>
      <c r="DZ30" s="113"/>
      <c r="EA30" s="6"/>
      <c r="EB30" s="114"/>
      <c r="EC30" s="115"/>
      <c r="ED30" s="6"/>
      <c r="FA30" s="29"/>
    </row>
    <row r="31" spans="2:157" s="1" customFormat="1" ht="13.8">
      <c r="B31" s="79" t="s">
        <v>175</v>
      </c>
      <c r="C31" s="80" t="s">
        <v>192</v>
      </c>
      <c r="D31" s="81">
        <v>5.48</v>
      </c>
      <c r="E31" s="81">
        <v>6</v>
      </c>
      <c r="F31" s="80">
        <v>273</v>
      </c>
      <c r="G31" s="80">
        <v>6.35</v>
      </c>
      <c r="H31" s="108">
        <v>53.19431074856206</v>
      </c>
      <c r="I31" s="16">
        <v>4730.4733077169503</v>
      </c>
      <c r="J31" s="16">
        <v>346.55482107816493</v>
      </c>
      <c r="K31" s="108">
        <v>9.4301739777164251</v>
      </c>
      <c r="L31" s="80" t="s">
        <v>208</v>
      </c>
      <c r="M31" s="82">
        <v>-40.076002467378643</v>
      </c>
      <c r="N31" s="82">
        <v>5.9761649344079739</v>
      </c>
      <c r="O31" s="82">
        <v>1.9561407310942986</v>
      </c>
      <c r="P31" s="82">
        <v>-10.727475769321135</v>
      </c>
      <c r="Q31" s="82">
        <v>-32.773288500293326</v>
      </c>
      <c r="R31" s="82">
        <v>0.17670731084375305</v>
      </c>
      <c r="S31" s="109">
        <v>1</v>
      </c>
      <c r="T31" s="116">
        <v>6</v>
      </c>
      <c r="U31" s="109">
        <v>2</v>
      </c>
      <c r="V31" s="6">
        <v>12</v>
      </c>
      <c r="W31" s="111">
        <v>3.2288095074793022E-2</v>
      </c>
      <c r="X31" s="117">
        <v>105</v>
      </c>
      <c r="Y31" s="111">
        <v>1</v>
      </c>
      <c r="Z31" s="111">
        <v>1</v>
      </c>
      <c r="AA31" s="111">
        <v>1</v>
      </c>
      <c r="AB31" s="111">
        <v>3.3987468499782132E-2</v>
      </c>
      <c r="AC31" s="111">
        <v>0.13964494096550659</v>
      </c>
      <c r="AD31" s="111">
        <v>0.42662635985227676</v>
      </c>
      <c r="AE31" s="111">
        <v>0</v>
      </c>
      <c r="AF31" s="111">
        <v>0.6002587693175655</v>
      </c>
      <c r="AG31" s="6" t="s">
        <v>219</v>
      </c>
      <c r="AH31" s="16">
        <v>63.625549371390676</v>
      </c>
      <c r="AI31" s="118">
        <v>2.141343441906038</v>
      </c>
      <c r="AJ31" s="108">
        <v>4.1087185109535813</v>
      </c>
      <c r="AK31" s="6">
        <v>1.1254786767377032</v>
      </c>
      <c r="AL31" s="108">
        <v>4.6242750727957427</v>
      </c>
      <c r="AM31" s="118">
        <v>0.23001287877559662</v>
      </c>
      <c r="AN31" s="111">
        <v>1.26</v>
      </c>
      <c r="AO31" s="118">
        <v>0.9851947727190401</v>
      </c>
      <c r="AP31" s="108">
        <v>0.32800480219718819</v>
      </c>
      <c r="AQ31" s="6" t="s">
        <v>219</v>
      </c>
      <c r="AR31" s="16">
        <v>127.25109874278135</v>
      </c>
      <c r="AS31" s="118">
        <v>4.282686883812076</v>
      </c>
      <c r="AT31" s="108">
        <v>12.552460618095504</v>
      </c>
      <c r="AU31" s="118">
        <v>1.1000000000000001</v>
      </c>
      <c r="AV31" s="108">
        <v>13.807706679905055</v>
      </c>
      <c r="AW31" s="6">
        <v>7.7156633138656616E-2</v>
      </c>
      <c r="AX31" s="111">
        <v>1.26</v>
      </c>
      <c r="AY31" s="111">
        <v>0.94077909087616041</v>
      </c>
      <c r="AZ31" s="113">
        <v>0.21214300088449509</v>
      </c>
      <c r="BA31" s="6" t="s">
        <v>219</v>
      </c>
      <c r="BB31" s="114">
        <v>127.25109874278135</v>
      </c>
      <c r="BC31" s="115">
        <v>150</v>
      </c>
      <c r="BD31" s="6" t="s">
        <v>219</v>
      </c>
      <c r="CA31" s="29"/>
      <c r="CB31" s="79"/>
      <c r="CC31" s="80"/>
      <c r="CD31" s="81"/>
      <c r="CE31" s="81"/>
      <c r="CF31" s="80"/>
      <c r="CG31" s="80"/>
      <c r="CH31" s="108"/>
      <c r="CI31" s="16"/>
      <c r="CJ31" s="16"/>
      <c r="CK31" s="108"/>
      <c r="CL31" s="80"/>
      <c r="CM31" s="82"/>
      <c r="CN31" s="82"/>
      <c r="CO31" s="82"/>
      <c r="CP31" s="82"/>
      <c r="CQ31" s="82"/>
      <c r="CR31" s="82"/>
      <c r="CS31" s="109"/>
      <c r="CT31" s="116"/>
      <c r="CU31" s="109"/>
      <c r="CV31" s="6"/>
      <c r="CW31" s="111"/>
      <c r="CX31" s="111"/>
      <c r="CY31" s="111"/>
      <c r="CZ31" s="111"/>
      <c r="DA31" s="111"/>
      <c r="DB31" s="111"/>
      <c r="DC31" s="111"/>
      <c r="DD31" s="111"/>
      <c r="DE31" s="111"/>
      <c r="DF31" s="111"/>
      <c r="DG31" s="6"/>
      <c r="DH31" s="6"/>
      <c r="DI31" s="6"/>
      <c r="DJ31" s="6"/>
      <c r="DK31" s="6"/>
      <c r="DL31" s="6"/>
      <c r="DM31" s="112"/>
      <c r="DN31" s="112"/>
      <c r="DO31" s="112"/>
      <c r="DP31" s="112"/>
      <c r="DQ31" s="112"/>
      <c r="DR31" s="112"/>
      <c r="DS31" s="112"/>
      <c r="DT31" s="112"/>
      <c r="DU31" s="112"/>
      <c r="DV31" s="112"/>
      <c r="DW31" s="6"/>
      <c r="DX31" s="6"/>
      <c r="DY31" s="6"/>
      <c r="DZ31" s="113"/>
      <c r="EA31" s="6"/>
      <c r="EB31" s="114"/>
      <c r="EC31" s="115"/>
      <c r="ED31" s="6"/>
      <c r="FA31" s="29"/>
    </row>
    <row r="32" spans="2:157" s="1" customFormat="1" ht="13.8">
      <c r="B32" s="79" t="s">
        <v>175</v>
      </c>
      <c r="C32" s="80" t="s">
        <v>192</v>
      </c>
      <c r="D32" s="81">
        <v>0</v>
      </c>
      <c r="E32" s="81">
        <v>6</v>
      </c>
      <c r="F32" s="80">
        <v>273</v>
      </c>
      <c r="G32" s="80">
        <v>6.35</v>
      </c>
      <c r="H32" s="108">
        <v>53.19431074856206</v>
      </c>
      <c r="I32" s="16">
        <v>4730.4733077169503</v>
      </c>
      <c r="J32" s="16">
        <v>346.55482107816493</v>
      </c>
      <c r="K32" s="108">
        <v>9.4301739777164251</v>
      </c>
      <c r="L32" s="80" t="s">
        <v>209</v>
      </c>
      <c r="M32" s="82">
        <v>-2.4416285072515254</v>
      </c>
      <c r="N32" s="82">
        <v>-1.1439629653366294</v>
      </c>
      <c r="O32" s="82">
        <v>-0.5168953890352862</v>
      </c>
      <c r="P32" s="82">
        <v>0</v>
      </c>
      <c r="Q32" s="82">
        <v>0</v>
      </c>
      <c r="R32" s="82">
        <v>-0.10025944223463769</v>
      </c>
      <c r="S32" s="109">
        <v>1</v>
      </c>
      <c r="T32" s="116">
        <v>6</v>
      </c>
      <c r="U32" s="109">
        <v>2</v>
      </c>
      <c r="V32" s="6">
        <v>12</v>
      </c>
      <c r="W32" s="111">
        <v>1.9671506269527089E-3</v>
      </c>
      <c r="X32" s="117">
        <v>105</v>
      </c>
      <c r="Y32" s="111">
        <v>1</v>
      </c>
      <c r="Z32" s="111">
        <v>1</v>
      </c>
      <c r="AA32" s="111">
        <v>1</v>
      </c>
      <c r="AB32" s="111">
        <v>2.0706848704765361E-3</v>
      </c>
      <c r="AC32" s="111">
        <v>0</v>
      </c>
      <c r="AD32" s="111">
        <v>0</v>
      </c>
      <c r="AE32" s="111">
        <v>0</v>
      </c>
      <c r="AF32" s="111">
        <v>2.0706848704765361E-3</v>
      </c>
      <c r="AG32" s="6" t="s">
        <v>219</v>
      </c>
      <c r="AH32" s="16">
        <v>63.625549371390676</v>
      </c>
      <c r="AI32" s="118">
        <v>2.141343441906038</v>
      </c>
      <c r="AJ32" s="108">
        <v>0</v>
      </c>
      <c r="AK32" s="6">
        <v>1.2429328279046983</v>
      </c>
      <c r="AL32" s="108">
        <v>0</v>
      </c>
      <c r="AM32" s="118">
        <v>0.85917828633197524</v>
      </c>
      <c r="AN32" s="111">
        <v>1.26</v>
      </c>
      <c r="AO32" s="118">
        <v>0.9990979922457347</v>
      </c>
      <c r="AP32" s="108">
        <v>4.9972724720237669E-3</v>
      </c>
      <c r="AQ32" s="6" t="s">
        <v>219</v>
      </c>
      <c r="AR32" s="16">
        <v>127.25109874278135</v>
      </c>
      <c r="AS32" s="118">
        <v>4.282686883812076</v>
      </c>
      <c r="AT32" s="108">
        <v>0</v>
      </c>
      <c r="AU32" s="118">
        <v>1.1358656558093962</v>
      </c>
      <c r="AV32" s="108">
        <v>0</v>
      </c>
      <c r="AW32" s="6">
        <v>0.41436301143650911</v>
      </c>
      <c r="AX32" s="111">
        <v>1.26</v>
      </c>
      <c r="AY32" s="111">
        <v>0.99639196898293891</v>
      </c>
      <c r="AZ32" s="113">
        <v>2.4100758869462988E-3</v>
      </c>
      <c r="BA32" s="6" t="s">
        <v>219</v>
      </c>
      <c r="BB32" s="114">
        <v>127.25109874278135</v>
      </c>
      <c r="BC32" s="115">
        <v>150</v>
      </c>
      <c r="BD32" s="6" t="s">
        <v>219</v>
      </c>
      <c r="CA32" s="29"/>
      <c r="CB32" s="79"/>
      <c r="CC32" s="80"/>
      <c r="CD32" s="81"/>
      <c r="CE32" s="81"/>
      <c r="CF32" s="80"/>
      <c r="CG32" s="80"/>
      <c r="CH32" s="108"/>
      <c r="CI32" s="16"/>
      <c r="CJ32" s="16"/>
      <c r="CK32" s="108"/>
      <c r="CL32" s="80"/>
      <c r="CM32" s="82"/>
      <c r="CN32" s="82"/>
      <c r="CO32" s="82"/>
      <c r="CP32" s="82"/>
      <c r="CQ32" s="82"/>
      <c r="CR32" s="82"/>
      <c r="CS32" s="109"/>
      <c r="CT32" s="116"/>
      <c r="CU32" s="109"/>
      <c r="CV32" s="6"/>
      <c r="CW32" s="111"/>
      <c r="CX32" s="111"/>
      <c r="CY32" s="111"/>
      <c r="CZ32" s="111"/>
      <c r="DA32" s="111"/>
      <c r="DB32" s="111"/>
      <c r="DC32" s="111"/>
      <c r="DD32" s="111"/>
      <c r="DE32" s="111"/>
      <c r="DF32" s="111"/>
      <c r="DG32" s="6"/>
      <c r="DH32" s="6"/>
      <c r="DI32" s="6"/>
      <c r="DJ32" s="6"/>
      <c r="DK32" s="6"/>
      <c r="DL32" s="6"/>
      <c r="DM32" s="112"/>
      <c r="DN32" s="112"/>
      <c r="DO32" s="112"/>
      <c r="DP32" s="112"/>
      <c r="DQ32" s="112"/>
      <c r="DR32" s="112"/>
      <c r="DS32" s="112"/>
      <c r="DT32" s="112"/>
      <c r="DU32" s="112"/>
      <c r="DV32" s="112"/>
      <c r="DW32" s="6"/>
      <c r="DX32" s="6"/>
      <c r="DY32" s="6"/>
      <c r="DZ32" s="113"/>
      <c r="EA32" s="6"/>
      <c r="EB32" s="114"/>
      <c r="EC32" s="115"/>
      <c r="ED32" s="6"/>
      <c r="FA32" s="29"/>
    </row>
    <row r="33" spans="2:157" s="1" customFormat="1" ht="13.8">
      <c r="B33" s="79" t="s">
        <v>175</v>
      </c>
      <c r="C33" s="80" t="s">
        <v>192</v>
      </c>
      <c r="D33" s="81">
        <v>2.74</v>
      </c>
      <c r="E33" s="81">
        <v>6</v>
      </c>
      <c r="F33" s="80">
        <v>273</v>
      </c>
      <c r="G33" s="80">
        <v>6.35</v>
      </c>
      <c r="H33" s="108">
        <v>53.19431074856206</v>
      </c>
      <c r="I33" s="16">
        <v>4730.4733077169503</v>
      </c>
      <c r="J33" s="16">
        <v>346.55482107816493</v>
      </c>
      <c r="K33" s="108">
        <v>9.4301739777164251</v>
      </c>
      <c r="L33" s="80" t="s">
        <v>209</v>
      </c>
      <c r="M33" s="82">
        <v>-1.0943681585194915</v>
      </c>
      <c r="N33" s="82">
        <v>-1.1439629653366294</v>
      </c>
      <c r="O33" s="82">
        <v>-0.5168953890352862</v>
      </c>
      <c r="P33" s="82">
        <v>1.4173271567347545</v>
      </c>
      <c r="Q33" s="82">
        <v>3.1367464509530376</v>
      </c>
      <c r="R33" s="82">
        <v>-0.10025944223463769</v>
      </c>
      <c r="S33" s="109">
        <v>1</v>
      </c>
      <c r="T33" s="116">
        <v>6</v>
      </c>
      <c r="U33" s="109">
        <v>2</v>
      </c>
      <c r="V33" s="6">
        <v>12</v>
      </c>
      <c r="W33" s="111">
        <v>8.8170129188573133E-4</v>
      </c>
      <c r="X33" s="117">
        <v>105</v>
      </c>
      <c r="Y33" s="111">
        <v>1</v>
      </c>
      <c r="Z33" s="111">
        <v>1</v>
      </c>
      <c r="AA33" s="111">
        <v>1</v>
      </c>
      <c r="AB33" s="111">
        <v>9.2810662303761189E-4</v>
      </c>
      <c r="AC33" s="111">
        <v>1.8450059584106542E-2</v>
      </c>
      <c r="AD33" s="111">
        <v>4.0832604275816427E-2</v>
      </c>
      <c r="AE33" s="111">
        <v>0</v>
      </c>
      <c r="AF33" s="111">
        <v>6.0210770482960585E-2</v>
      </c>
      <c r="AG33" s="6" t="s">
        <v>219</v>
      </c>
      <c r="AH33" s="16">
        <v>63.625549371390676</v>
      </c>
      <c r="AI33" s="118">
        <v>2.141343441906038</v>
      </c>
      <c r="AJ33" s="108">
        <v>19.879245688088194</v>
      </c>
      <c r="AK33" s="6">
        <v>1.1000000000000001</v>
      </c>
      <c r="AL33" s="108">
        <v>21.867170256897015</v>
      </c>
      <c r="AM33" s="118">
        <v>6.6434629261493683E-2</v>
      </c>
      <c r="AN33" s="111">
        <v>1.26</v>
      </c>
      <c r="AO33" s="118">
        <v>0.99959570894504468</v>
      </c>
      <c r="AP33" s="108">
        <v>3.1260945263942602E-2</v>
      </c>
      <c r="AQ33" s="6" t="s">
        <v>219</v>
      </c>
      <c r="AR33" s="16">
        <v>127.25109874278135</v>
      </c>
      <c r="AS33" s="118">
        <v>4.282686883812076</v>
      </c>
      <c r="AT33" s="108">
        <v>43.995596262609219</v>
      </c>
      <c r="AU33" s="118">
        <v>1.1000000000000001</v>
      </c>
      <c r="AV33" s="108">
        <v>48.395155888870143</v>
      </c>
      <c r="AW33" s="6">
        <v>5.5869251489639282E-2</v>
      </c>
      <c r="AX33" s="111">
        <v>1.26</v>
      </c>
      <c r="AY33" s="111">
        <v>0.99838283578017895</v>
      </c>
      <c r="AZ33" s="113">
        <v>4.6429544404536005E-2</v>
      </c>
      <c r="BA33" s="6" t="s">
        <v>219</v>
      </c>
      <c r="BB33" s="114">
        <v>127.25109874278135</v>
      </c>
      <c r="BC33" s="115">
        <v>150</v>
      </c>
      <c r="BD33" s="6" t="s">
        <v>219</v>
      </c>
      <c r="CA33" s="29"/>
      <c r="CB33" s="79"/>
      <c r="CC33" s="80"/>
      <c r="CD33" s="81"/>
      <c r="CE33" s="81"/>
      <c r="CF33" s="80"/>
      <c r="CG33" s="80"/>
      <c r="CH33" s="108"/>
      <c r="CI33" s="16"/>
      <c r="CJ33" s="16"/>
      <c r="CK33" s="108"/>
      <c r="CL33" s="80"/>
      <c r="CM33" s="82"/>
      <c r="CN33" s="82"/>
      <c r="CO33" s="82"/>
      <c r="CP33" s="82"/>
      <c r="CQ33" s="82"/>
      <c r="CR33" s="82"/>
      <c r="CS33" s="109"/>
      <c r="CT33" s="116"/>
      <c r="CU33" s="109"/>
      <c r="CV33" s="6"/>
      <c r="CW33" s="111"/>
      <c r="CX33" s="111"/>
      <c r="CY33" s="111"/>
      <c r="CZ33" s="111"/>
      <c r="DA33" s="111"/>
      <c r="DB33" s="111"/>
      <c r="DC33" s="111"/>
      <c r="DD33" s="111"/>
      <c r="DE33" s="111"/>
      <c r="DF33" s="111"/>
      <c r="DG33" s="6"/>
      <c r="DH33" s="6"/>
      <c r="DI33" s="6"/>
      <c r="DJ33" s="6"/>
      <c r="DK33" s="6"/>
      <c r="DL33" s="6"/>
      <c r="DM33" s="112"/>
      <c r="DN33" s="112"/>
      <c r="DO33" s="112"/>
      <c r="DP33" s="112"/>
      <c r="DQ33" s="112"/>
      <c r="DR33" s="112"/>
      <c r="DS33" s="112"/>
      <c r="DT33" s="112"/>
      <c r="DU33" s="112"/>
      <c r="DV33" s="112"/>
      <c r="DW33" s="6"/>
      <c r="DX33" s="6"/>
      <c r="DY33" s="6"/>
      <c r="DZ33" s="113"/>
      <c r="EA33" s="6"/>
      <c r="EB33" s="114"/>
      <c r="EC33" s="115"/>
      <c r="ED33" s="6"/>
      <c r="FA33" s="29"/>
    </row>
    <row r="34" spans="2:157" s="1" customFormat="1" ht="13.8">
      <c r="B34" s="79" t="s">
        <v>175</v>
      </c>
      <c r="C34" s="80" t="s">
        <v>192</v>
      </c>
      <c r="D34" s="81">
        <v>5.48</v>
      </c>
      <c r="E34" s="81">
        <v>6</v>
      </c>
      <c r="F34" s="80">
        <v>273</v>
      </c>
      <c r="G34" s="80">
        <v>6.35</v>
      </c>
      <c r="H34" s="108">
        <v>53.19431074856206</v>
      </c>
      <c r="I34" s="16">
        <v>4730.4733077169503</v>
      </c>
      <c r="J34" s="16">
        <v>346.55482107816493</v>
      </c>
      <c r="K34" s="108">
        <v>9.4301739777164251</v>
      </c>
      <c r="L34" s="80" t="s">
        <v>209</v>
      </c>
      <c r="M34" s="82">
        <v>0.25289219021254022</v>
      </c>
      <c r="N34" s="82">
        <v>-1.1439629653366294</v>
      </c>
      <c r="O34" s="82">
        <v>-0.5168953890352862</v>
      </c>
      <c r="P34" s="82">
        <v>2.834654313469509</v>
      </c>
      <c r="Q34" s="82">
        <v>6.2734929019060752</v>
      </c>
      <c r="R34" s="82">
        <v>-0.10025944223463769</v>
      </c>
      <c r="S34" s="109">
        <v>1</v>
      </c>
      <c r="T34" s="116">
        <v>6</v>
      </c>
      <c r="U34" s="109">
        <v>2</v>
      </c>
      <c r="V34" s="6">
        <v>12</v>
      </c>
      <c r="W34" s="111">
        <v>2.0374804318124489E-4</v>
      </c>
      <c r="X34" s="117">
        <v>105</v>
      </c>
      <c r="Y34" s="111">
        <v>1</v>
      </c>
      <c r="Z34" s="111">
        <v>1</v>
      </c>
      <c r="AA34" s="111">
        <v>1</v>
      </c>
      <c r="AB34" s="111">
        <v>2.1447162440131043E-4</v>
      </c>
      <c r="AC34" s="111">
        <v>3.6900119168213084E-2</v>
      </c>
      <c r="AD34" s="111">
        <v>8.1665208551632854E-2</v>
      </c>
      <c r="AE34" s="111">
        <v>0</v>
      </c>
      <c r="AF34" s="111">
        <v>0.11877979934424725</v>
      </c>
      <c r="AG34" s="6" t="s">
        <v>219</v>
      </c>
      <c r="AH34" s="16">
        <v>63.625549371390676</v>
      </c>
      <c r="AI34" s="118">
        <v>2.141343441906038</v>
      </c>
      <c r="AJ34" s="108">
        <v>172.05128776927205</v>
      </c>
      <c r="AK34" s="6">
        <v>1.1000000000000001</v>
      </c>
      <c r="AL34" s="108">
        <v>189.25641654619926</v>
      </c>
      <c r="AM34" s="118">
        <v>6.6434629261493683E-2</v>
      </c>
      <c r="AN34" s="111">
        <v>1.26</v>
      </c>
      <c r="AO34" s="118">
        <v>0.99990657435564523</v>
      </c>
      <c r="AP34" s="108">
        <v>3.3127358441987692E-2</v>
      </c>
      <c r="AQ34" s="6" t="s">
        <v>219</v>
      </c>
      <c r="AR34" s="16">
        <v>127.25109874278135</v>
      </c>
      <c r="AS34" s="118">
        <v>4.282686883812076</v>
      </c>
      <c r="AT34" s="108">
        <v>380.77395450143229</v>
      </c>
      <c r="AU34" s="118">
        <v>1.1000000000000001</v>
      </c>
      <c r="AV34" s="108">
        <v>418.85134995157557</v>
      </c>
      <c r="AW34" s="6">
        <v>5.5869251489639282E-2</v>
      </c>
      <c r="AX34" s="111">
        <v>1.26</v>
      </c>
      <c r="AY34" s="111">
        <v>0.99962629742258113</v>
      </c>
      <c r="AZ34" s="113">
        <v>6.8066198364979846E-2</v>
      </c>
      <c r="BA34" s="6" t="s">
        <v>219</v>
      </c>
      <c r="BB34" s="114">
        <v>127.25109874278135</v>
      </c>
      <c r="BC34" s="115">
        <v>150</v>
      </c>
      <c r="BD34" s="6" t="s">
        <v>219</v>
      </c>
      <c r="CA34" s="29"/>
      <c r="CB34" s="79"/>
      <c r="CC34" s="80"/>
      <c r="CD34" s="81"/>
      <c r="CE34" s="81"/>
      <c r="CF34" s="80"/>
      <c r="CG34" s="80"/>
      <c r="CH34" s="108"/>
      <c r="CI34" s="16"/>
      <c r="CJ34" s="16"/>
      <c r="CK34" s="108"/>
      <c r="CL34" s="80"/>
      <c r="CM34" s="82"/>
      <c r="CN34" s="82"/>
      <c r="CO34" s="82"/>
      <c r="CP34" s="82"/>
      <c r="CQ34" s="82"/>
      <c r="CR34" s="82"/>
      <c r="CS34" s="109"/>
      <c r="CT34" s="116"/>
      <c r="CU34" s="109"/>
      <c r="CV34" s="6"/>
      <c r="CW34" s="111"/>
      <c r="CX34" s="111"/>
      <c r="CY34" s="111"/>
      <c r="CZ34" s="111"/>
      <c r="DA34" s="111"/>
      <c r="DB34" s="111"/>
      <c r="DC34" s="111"/>
      <c r="DD34" s="111"/>
      <c r="DE34" s="111"/>
      <c r="DF34" s="111"/>
      <c r="DG34" s="6"/>
      <c r="DH34" s="6"/>
      <c r="DI34" s="6"/>
      <c r="DJ34" s="6"/>
      <c r="DK34" s="6"/>
      <c r="DL34" s="6"/>
      <c r="DM34" s="112"/>
      <c r="DN34" s="112"/>
      <c r="DO34" s="112"/>
      <c r="DP34" s="112"/>
      <c r="DQ34" s="112"/>
      <c r="DR34" s="112"/>
      <c r="DS34" s="112"/>
      <c r="DT34" s="112"/>
      <c r="DU34" s="112"/>
      <c r="DV34" s="112"/>
      <c r="DW34" s="6"/>
      <c r="DX34" s="6"/>
      <c r="DY34" s="6"/>
      <c r="DZ34" s="113"/>
      <c r="EA34" s="6"/>
      <c r="EB34" s="114"/>
      <c r="EC34" s="115"/>
      <c r="ED34" s="6"/>
      <c r="FA34" s="29"/>
    </row>
    <row r="35" spans="2:157" s="1" customFormat="1" ht="13.8">
      <c r="B35" s="79" t="s">
        <v>175</v>
      </c>
      <c r="C35" s="80" t="s">
        <v>192</v>
      </c>
      <c r="D35" s="81">
        <v>0</v>
      </c>
      <c r="E35" s="81">
        <v>6</v>
      </c>
      <c r="F35" s="80">
        <v>273</v>
      </c>
      <c r="G35" s="80">
        <v>6.35</v>
      </c>
      <c r="H35" s="108">
        <v>53.19431074856206</v>
      </c>
      <c r="I35" s="16">
        <v>4730.4733077169503</v>
      </c>
      <c r="J35" s="16">
        <v>346.55482107816493</v>
      </c>
      <c r="K35" s="108">
        <v>9.4301739777164251</v>
      </c>
      <c r="L35" s="80" t="s">
        <v>210</v>
      </c>
      <c r="M35" s="82">
        <v>7.1977077333476362</v>
      </c>
      <c r="N35" s="82">
        <v>-1.0426263018865813</v>
      </c>
      <c r="O35" s="82">
        <v>-0.69540238582820002</v>
      </c>
      <c r="P35" s="82">
        <v>0</v>
      </c>
      <c r="Q35" s="82">
        <v>0</v>
      </c>
      <c r="R35" s="82">
        <v>-6.9594387983170289E-2</v>
      </c>
      <c r="S35" s="109">
        <v>1</v>
      </c>
      <c r="T35" s="116">
        <v>6</v>
      </c>
      <c r="U35" s="109">
        <v>2</v>
      </c>
      <c r="V35" s="6">
        <v>12</v>
      </c>
      <c r="W35" s="111">
        <v>5.7989883547909342E-3</v>
      </c>
      <c r="X35" s="117">
        <v>105</v>
      </c>
      <c r="Y35" s="111">
        <v>1</v>
      </c>
      <c r="Z35" s="111">
        <v>1</v>
      </c>
      <c r="AA35" s="111">
        <v>1</v>
      </c>
      <c r="AB35" s="111">
        <v>6.1041982682009822E-3</v>
      </c>
      <c r="AC35" s="111">
        <v>0</v>
      </c>
      <c r="AD35" s="111">
        <v>0</v>
      </c>
      <c r="AE35" s="111">
        <v>0</v>
      </c>
      <c r="AF35" s="111">
        <v>6.1041982682009822E-3</v>
      </c>
      <c r="AG35" s="6" t="s">
        <v>219</v>
      </c>
      <c r="AH35" s="16">
        <v>63.625549371390676</v>
      </c>
      <c r="AI35" s="118">
        <v>2.141343441906038</v>
      </c>
      <c r="AJ35" s="108">
        <v>0</v>
      </c>
      <c r="AK35" s="6">
        <v>1.2429328279046983</v>
      </c>
      <c r="AL35" s="108">
        <v>0</v>
      </c>
      <c r="AM35" s="118">
        <v>0.85917828633197524</v>
      </c>
      <c r="AN35" s="111">
        <v>1.26</v>
      </c>
      <c r="AO35" s="118">
        <v>0.99734095986791904</v>
      </c>
      <c r="AP35" s="108">
        <v>1.4731523084164816E-2</v>
      </c>
      <c r="AQ35" s="6" t="s">
        <v>219</v>
      </c>
      <c r="AR35" s="16">
        <v>127.25109874278135</v>
      </c>
      <c r="AS35" s="118">
        <v>4.282686883812076</v>
      </c>
      <c r="AT35" s="108">
        <v>0</v>
      </c>
      <c r="AU35" s="118">
        <v>1.1358656558093962</v>
      </c>
      <c r="AV35" s="108">
        <v>0</v>
      </c>
      <c r="AW35" s="6">
        <v>0.41436301143650911</v>
      </c>
      <c r="AX35" s="111">
        <v>1.26</v>
      </c>
      <c r="AY35" s="111">
        <v>0.98936383947167628</v>
      </c>
      <c r="AZ35" s="113">
        <v>7.1046933626094932E-3</v>
      </c>
      <c r="BA35" s="6" t="s">
        <v>219</v>
      </c>
      <c r="BB35" s="114">
        <v>127.25109874278135</v>
      </c>
      <c r="BC35" s="115">
        <v>150</v>
      </c>
      <c r="BD35" s="6" t="s">
        <v>219</v>
      </c>
      <c r="CA35" s="29"/>
      <c r="CB35" s="79"/>
      <c r="CC35" s="80"/>
      <c r="CD35" s="81"/>
      <c r="CE35" s="81"/>
      <c r="CF35" s="80"/>
      <c r="CG35" s="80"/>
      <c r="CH35" s="108"/>
      <c r="CI35" s="16"/>
      <c r="CJ35" s="16"/>
      <c r="CK35" s="108"/>
      <c r="CL35" s="80"/>
      <c r="CM35" s="82"/>
      <c r="CN35" s="82"/>
      <c r="CO35" s="82"/>
      <c r="CP35" s="82"/>
      <c r="CQ35" s="82"/>
      <c r="CR35" s="82"/>
      <c r="CS35" s="109"/>
      <c r="CT35" s="116"/>
      <c r="CU35" s="109"/>
      <c r="CV35" s="6"/>
      <c r="CW35" s="111"/>
      <c r="CX35" s="111"/>
      <c r="CY35" s="111"/>
      <c r="CZ35" s="111"/>
      <c r="DA35" s="111"/>
      <c r="DB35" s="111"/>
      <c r="DC35" s="111"/>
      <c r="DD35" s="111"/>
      <c r="DE35" s="111"/>
      <c r="DF35" s="111"/>
      <c r="DG35" s="6"/>
      <c r="DH35" s="6"/>
      <c r="DI35" s="6"/>
      <c r="DJ35" s="6"/>
      <c r="DK35" s="6"/>
      <c r="DL35" s="6"/>
      <c r="DM35" s="112"/>
      <c r="DN35" s="112"/>
      <c r="DO35" s="112"/>
      <c r="DP35" s="112"/>
      <c r="DQ35" s="112"/>
      <c r="DR35" s="112"/>
      <c r="DS35" s="112"/>
      <c r="DT35" s="112"/>
      <c r="DU35" s="112"/>
      <c r="DV35" s="112"/>
      <c r="DW35" s="6"/>
      <c r="DX35" s="6"/>
      <c r="DY35" s="6"/>
      <c r="DZ35" s="113"/>
      <c r="EA35" s="6"/>
      <c r="EB35" s="114"/>
      <c r="EC35" s="115"/>
      <c r="ED35" s="6"/>
      <c r="FA35" s="29"/>
    </row>
    <row r="36" spans="2:157" s="1" customFormat="1" ht="13.8">
      <c r="B36" s="79" t="s">
        <v>175</v>
      </c>
      <c r="C36" s="80" t="s">
        <v>192</v>
      </c>
      <c r="D36" s="81">
        <v>2.74</v>
      </c>
      <c r="E36" s="81">
        <v>6</v>
      </c>
      <c r="F36" s="80">
        <v>273</v>
      </c>
      <c r="G36" s="80">
        <v>6.35</v>
      </c>
      <c r="H36" s="108">
        <v>53.19431074856206</v>
      </c>
      <c r="I36" s="16">
        <v>4730.4733077169503</v>
      </c>
      <c r="J36" s="16">
        <v>346.55482107816493</v>
      </c>
      <c r="K36" s="108">
        <v>9.4301739777164251</v>
      </c>
      <c r="L36" s="80" t="s">
        <v>210</v>
      </c>
      <c r="M36" s="82">
        <v>8.5449680820796701</v>
      </c>
      <c r="N36" s="82">
        <v>-1.0426263018865813</v>
      </c>
      <c r="O36" s="82">
        <v>-0.69540238582820002</v>
      </c>
      <c r="P36" s="82">
        <v>1.9067933419409244</v>
      </c>
      <c r="Q36" s="82">
        <v>2.8588813197730047</v>
      </c>
      <c r="R36" s="82">
        <v>-6.9594387983170289E-2</v>
      </c>
      <c r="S36" s="109">
        <v>1</v>
      </c>
      <c r="T36" s="116">
        <v>6</v>
      </c>
      <c r="U36" s="109">
        <v>2</v>
      </c>
      <c r="V36" s="6">
        <v>12</v>
      </c>
      <c r="W36" s="111">
        <v>6.8844376898579114E-3</v>
      </c>
      <c r="X36" s="117">
        <v>105</v>
      </c>
      <c r="Y36" s="111">
        <v>1</v>
      </c>
      <c r="Z36" s="111">
        <v>1</v>
      </c>
      <c r="AA36" s="111">
        <v>1</v>
      </c>
      <c r="AB36" s="111">
        <v>7.2467765156399066E-3</v>
      </c>
      <c r="AC36" s="111">
        <v>2.4821686797024758E-2</v>
      </c>
      <c r="AD36" s="111">
        <v>3.7215494279541503E-2</v>
      </c>
      <c r="AE36" s="111">
        <v>0</v>
      </c>
      <c r="AF36" s="111">
        <v>6.9283957592206166E-2</v>
      </c>
      <c r="AG36" s="6" t="s">
        <v>219</v>
      </c>
      <c r="AH36" s="16">
        <v>63.625549371390676</v>
      </c>
      <c r="AI36" s="118">
        <v>2.141343441906038</v>
      </c>
      <c r="AJ36" s="108">
        <v>3.4252038466282064</v>
      </c>
      <c r="AK36" s="6">
        <v>1.1450180135149743</v>
      </c>
      <c r="AL36" s="108">
        <v>3.921920104350078</v>
      </c>
      <c r="AM36" s="118">
        <v>0.25775274634361267</v>
      </c>
      <c r="AN36" s="111">
        <v>1.26</v>
      </c>
      <c r="AO36" s="118">
        <v>0.99684324316860906</v>
      </c>
      <c r="AP36" s="108">
        <v>7.1572762936678108E-2</v>
      </c>
      <c r="AQ36" s="6" t="s">
        <v>219</v>
      </c>
      <c r="AR36" s="16">
        <v>127.25109874278135</v>
      </c>
      <c r="AS36" s="118">
        <v>4.282686883812076</v>
      </c>
      <c r="AT36" s="108">
        <v>5.1354549432045369</v>
      </c>
      <c r="AU36" s="118">
        <v>1.1000000000000001</v>
      </c>
      <c r="AV36" s="108">
        <v>5.6490004375249914</v>
      </c>
      <c r="AW36" s="6">
        <v>0.13987046480178833</v>
      </c>
      <c r="AX36" s="111">
        <v>1.26</v>
      </c>
      <c r="AY36" s="111">
        <v>0.98737297267443624</v>
      </c>
      <c r="AZ36" s="113">
        <v>5.8029054535517918E-2</v>
      </c>
      <c r="BA36" s="6" t="s">
        <v>219</v>
      </c>
      <c r="BB36" s="114">
        <v>127.25109874278135</v>
      </c>
      <c r="BC36" s="115">
        <v>150</v>
      </c>
      <c r="BD36" s="6" t="s">
        <v>219</v>
      </c>
      <c r="CA36" s="29"/>
      <c r="CB36" s="79"/>
      <c r="CC36" s="80"/>
      <c r="CD36" s="81"/>
      <c r="CE36" s="81"/>
      <c r="CF36" s="80"/>
      <c r="CG36" s="80"/>
      <c r="CH36" s="108"/>
      <c r="CI36" s="16"/>
      <c r="CJ36" s="16"/>
      <c r="CK36" s="108"/>
      <c r="CL36" s="80"/>
      <c r="CM36" s="82"/>
      <c r="CN36" s="82"/>
      <c r="CO36" s="82"/>
      <c r="CP36" s="82"/>
      <c r="CQ36" s="82"/>
      <c r="CR36" s="82"/>
      <c r="CS36" s="109"/>
      <c r="CT36" s="116"/>
      <c r="CU36" s="109"/>
      <c r="CV36" s="6"/>
      <c r="CW36" s="111"/>
      <c r="CX36" s="111"/>
      <c r="CY36" s="111"/>
      <c r="CZ36" s="111"/>
      <c r="DA36" s="111"/>
      <c r="DB36" s="111"/>
      <c r="DC36" s="111"/>
      <c r="DD36" s="111"/>
      <c r="DE36" s="111"/>
      <c r="DF36" s="111"/>
      <c r="DG36" s="6"/>
      <c r="DH36" s="6"/>
      <c r="DI36" s="6"/>
      <c r="DJ36" s="6"/>
      <c r="DK36" s="6"/>
      <c r="DL36" s="6"/>
      <c r="DM36" s="112"/>
      <c r="DN36" s="112"/>
      <c r="DO36" s="112"/>
      <c r="DP36" s="112"/>
      <c r="DQ36" s="112"/>
      <c r="DR36" s="112"/>
      <c r="DS36" s="112"/>
      <c r="DT36" s="112"/>
      <c r="DU36" s="112"/>
      <c r="DV36" s="112"/>
      <c r="DW36" s="6"/>
      <c r="DX36" s="6"/>
      <c r="DY36" s="6"/>
      <c r="DZ36" s="113"/>
      <c r="EA36" s="6"/>
      <c r="EB36" s="114"/>
      <c r="EC36" s="115"/>
      <c r="ED36" s="6"/>
      <c r="FA36" s="29"/>
    </row>
    <row r="37" spans="2:157" s="1" customFormat="1" ht="13.8">
      <c r="B37" s="79" t="s">
        <v>175</v>
      </c>
      <c r="C37" s="80" t="s">
        <v>192</v>
      </c>
      <c r="D37" s="81">
        <v>5.48</v>
      </c>
      <c r="E37" s="81">
        <v>6</v>
      </c>
      <c r="F37" s="80">
        <v>273</v>
      </c>
      <c r="G37" s="80">
        <v>6.35</v>
      </c>
      <c r="H37" s="108">
        <v>53.19431074856206</v>
      </c>
      <c r="I37" s="16">
        <v>4730.4733077169503</v>
      </c>
      <c r="J37" s="16">
        <v>346.55482107816493</v>
      </c>
      <c r="K37" s="108">
        <v>9.4301739777164251</v>
      </c>
      <c r="L37" s="80" t="s">
        <v>210</v>
      </c>
      <c r="M37" s="82">
        <v>9.8922284308117021</v>
      </c>
      <c r="N37" s="82">
        <v>-1.0426263018865813</v>
      </c>
      <c r="O37" s="82">
        <v>-0.69540238582820002</v>
      </c>
      <c r="P37" s="82">
        <v>3.8135866838818488</v>
      </c>
      <c r="Q37" s="82">
        <v>5.7177626395460095</v>
      </c>
      <c r="R37" s="82">
        <v>-6.9594387983170289E-2</v>
      </c>
      <c r="S37" s="109">
        <v>1</v>
      </c>
      <c r="T37" s="116">
        <v>6</v>
      </c>
      <c r="U37" s="109">
        <v>2</v>
      </c>
      <c r="V37" s="6">
        <v>12</v>
      </c>
      <c r="W37" s="111">
        <v>7.969887024924887E-3</v>
      </c>
      <c r="X37" s="117">
        <v>105</v>
      </c>
      <c r="Y37" s="111">
        <v>1</v>
      </c>
      <c r="Z37" s="111">
        <v>1</v>
      </c>
      <c r="AA37" s="111">
        <v>1</v>
      </c>
      <c r="AB37" s="111">
        <v>8.3893547630788292E-3</v>
      </c>
      <c r="AC37" s="111">
        <v>4.9643373594049515E-2</v>
      </c>
      <c r="AD37" s="111">
        <v>7.4430988559083006E-2</v>
      </c>
      <c r="AE37" s="111">
        <v>0</v>
      </c>
      <c r="AF37" s="111">
        <v>0.13246371691621134</v>
      </c>
      <c r="AG37" s="6" t="s">
        <v>219</v>
      </c>
      <c r="AH37" s="16">
        <v>63.625549371390676</v>
      </c>
      <c r="AI37" s="118">
        <v>2.141343441906038</v>
      </c>
      <c r="AJ37" s="108">
        <v>5.9174245214337287</v>
      </c>
      <c r="AK37" s="6">
        <v>1.1000000000000001</v>
      </c>
      <c r="AL37" s="108">
        <v>6.5091669735771021</v>
      </c>
      <c r="AM37" s="118">
        <v>0.17783273756504059</v>
      </c>
      <c r="AN37" s="111">
        <v>1.26</v>
      </c>
      <c r="AO37" s="118">
        <v>0.99634552646929908</v>
      </c>
      <c r="AP37" s="108">
        <v>0.12575835462057233</v>
      </c>
      <c r="AQ37" s="6" t="s">
        <v>219</v>
      </c>
      <c r="AR37" s="16">
        <v>127.25109874278135</v>
      </c>
      <c r="AS37" s="118">
        <v>4.282686883812076</v>
      </c>
      <c r="AT37" s="108">
        <v>8.8720754648081446</v>
      </c>
      <c r="AU37" s="118">
        <v>1.1000000000000001</v>
      </c>
      <c r="AV37" s="108">
        <v>9.759283011288959</v>
      </c>
      <c r="AW37" s="6">
        <v>9.7308114171028137E-2</v>
      </c>
      <c r="AX37" s="111">
        <v>1.26</v>
      </c>
      <c r="AY37" s="111">
        <v>0.98538210587719621</v>
      </c>
      <c r="AZ37" s="113">
        <v>0.1071240707535856</v>
      </c>
      <c r="BA37" s="6" t="s">
        <v>219</v>
      </c>
      <c r="BB37" s="114">
        <v>127.25109874278135</v>
      </c>
      <c r="BC37" s="115">
        <v>150</v>
      </c>
      <c r="BD37" s="6" t="s">
        <v>219</v>
      </c>
      <c r="CA37" s="29"/>
      <c r="CB37" s="79"/>
      <c r="CC37" s="80"/>
      <c r="CD37" s="81"/>
      <c r="CE37" s="81"/>
      <c r="CF37" s="80"/>
      <c r="CG37" s="80"/>
      <c r="CH37" s="108"/>
      <c r="CI37" s="16"/>
      <c r="CJ37" s="16"/>
      <c r="CK37" s="108"/>
      <c r="CL37" s="80"/>
      <c r="CM37" s="82"/>
      <c r="CN37" s="82"/>
      <c r="CO37" s="82"/>
      <c r="CP37" s="82"/>
      <c r="CQ37" s="82"/>
      <c r="CR37" s="82"/>
      <c r="CS37" s="109"/>
      <c r="CT37" s="116"/>
      <c r="CU37" s="109"/>
      <c r="CV37" s="6"/>
      <c r="CW37" s="111"/>
      <c r="CX37" s="111"/>
      <c r="CY37" s="111"/>
      <c r="CZ37" s="111"/>
      <c r="DA37" s="111"/>
      <c r="DB37" s="111"/>
      <c r="DC37" s="111"/>
      <c r="DD37" s="111"/>
      <c r="DE37" s="111"/>
      <c r="DF37" s="111"/>
      <c r="DG37" s="6"/>
      <c r="DH37" s="6"/>
      <c r="DI37" s="6"/>
      <c r="DJ37" s="6"/>
      <c r="DK37" s="6"/>
      <c r="DL37" s="6"/>
      <c r="DM37" s="112"/>
      <c r="DN37" s="112"/>
      <c r="DO37" s="112"/>
      <c r="DP37" s="112"/>
      <c r="DQ37" s="112"/>
      <c r="DR37" s="112"/>
      <c r="DS37" s="112"/>
      <c r="DT37" s="112"/>
      <c r="DU37" s="112"/>
      <c r="DV37" s="112"/>
      <c r="DW37" s="6"/>
      <c r="DX37" s="6"/>
      <c r="DY37" s="6"/>
      <c r="DZ37" s="113"/>
      <c r="EA37" s="6"/>
      <c r="EB37" s="114"/>
      <c r="EC37" s="115"/>
      <c r="ED37" s="6"/>
      <c r="FA37" s="29"/>
    </row>
    <row r="38" spans="2:157" s="1" customFormat="1" ht="13.8">
      <c r="B38" s="79" t="s">
        <v>175</v>
      </c>
      <c r="C38" s="80" t="s">
        <v>192</v>
      </c>
      <c r="D38" s="81">
        <v>0</v>
      </c>
      <c r="E38" s="81">
        <v>6</v>
      </c>
      <c r="F38" s="80">
        <v>273</v>
      </c>
      <c r="G38" s="80">
        <v>6.35</v>
      </c>
      <c r="H38" s="108">
        <v>53.19431074856206</v>
      </c>
      <c r="I38" s="16">
        <v>4730.4733077169503</v>
      </c>
      <c r="J38" s="16">
        <v>346.55482107816493</v>
      </c>
      <c r="K38" s="108">
        <v>9.4301739777164251</v>
      </c>
      <c r="L38" s="80" t="s">
        <v>211</v>
      </c>
      <c r="M38" s="82">
        <v>-43.069499495439025</v>
      </c>
      <c r="N38" s="82">
        <v>7.5688998357423865</v>
      </c>
      <c r="O38" s="82">
        <v>2.3268378806207268</v>
      </c>
      <c r="P38" s="82">
        <v>0</v>
      </c>
      <c r="Q38" s="82">
        <v>0</v>
      </c>
      <c r="R38" s="82">
        <v>0.26148543268089081</v>
      </c>
      <c r="S38" s="109">
        <v>1</v>
      </c>
      <c r="T38" s="116">
        <v>6</v>
      </c>
      <c r="U38" s="109">
        <v>2</v>
      </c>
      <c r="V38" s="6">
        <v>12</v>
      </c>
      <c r="W38" s="111">
        <v>3.4699870468978093E-2</v>
      </c>
      <c r="X38" s="117">
        <v>105</v>
      </c>
      <c r="Y38" s="111">
        <v>1</v>
      </c>
      <c r="Z38" s="111">
        <v>1</v>
      </c>
      <c r="AA38" s="111">
        <v>1</v>
      </c>
      <c r="AB38" s="111">
        <v>3.6526179441029573E-2</v>
      </c>
      <c r="AC38" s="111">
        <v>0</v>
      </c>
      <c r="AD38" s="111">
        <v>0</v>
      </c>
      <c r="AE38" s="111">
        <v>0</v>
      </c>
      <c r="AF38" s="111">
        <v>3.6526179441029573E-2</v>
      </c>
      <c r="AG38" s="6" t="s">
        <v>219</v>
      </c>
      <c r="AH38" s="16">
        <v>63.625549371390676</v>
      </c>
      <c r="AI38" s="118">
        <v>2.141343441906038</v>
      </c>
      <c r="AJ38" s="108">
        <v>0</v>
      </c>
      <c r="AK38" s="6">
        <v>1.2429328279046983</v>
      </c>
      <c r="AL38" s="108">
        <v>0</v>
      </c>
      <c r="AM38" s="118">
        <v>0.85917828633197524</v>
      </c>
      <c r="AN38" s="111">
        <v>1.26</v>
      </c>
      <c r="AO38" s="118">
        <v>0.9840888888699364</v>
      </c>
      <c r="AP38" s="108">
        <v>8.8150193026160853E-2</v>
      </c>
      <c r="AQ38" s="6" t="s">
        <v>219</v>
      </c>
      <c r="AR38" s="16">
        <v>127.25109874278135</v>
      </c>
      <c r="AS38" s="118">
        <v>4.282686883812076</v>
      </c>
      <c r="AT38" s="108">
        <v>0</v>
      </c>
      <c r="AU38" s="118">
        <v>1.1358656558093962</v>
      </c>
      <c r="AV38" s="108">
        <v>0</v>
      </c>
      <c r="AW38" s="6">
        <v>0.41436301143650911</v>
      </c>
      <c r="AX38" s="111">
        <v>1.26</v>
      </c>
      <c r="AY38" s="111">
        <v>0.9363555554797458</v>
      </c>
      <c r="AZ38" s="113">
        <v>4.2512921965204717E-2</v>
      </c>
      <c r="BA38" s="6" t="s">
        <v>219</v>
      </c>
      <c r="BB38" s="114">
        <v>127.25109874278135</v>
      </c>
      <c r="BC38" s="115">
        <v>150</v>
      </c>
      <c r="BD38" s="6" t="s">
        <v>219</v>
      </c>
      <c r="CA38" s="29"/>
      <c r="CB38" s="79"/>
      <c r="CC38" s="80"/>
      <c r="CD38" s="81"/>
      <c r="CE38" s="81"/>
      <c r="CF38" s="80"/>
      <c r="CG38" s="80"/>
      <c r="CH38" s="108"/>
      <c r="CI38" s="16"/>
      <c r="CJ38" s="16"/>
      <c r="CK38" s="108"/>
      <c r="CL38" s="80"/>
      <c r="CM38" s="82"/>
      <c r="CN38" s="82"/>
      <c r="CO38" s="82"/>
      <c r="CP38" s="82"/>
      <c r="CQ38" s="82"/>
      <c r="CR38" s="82"/>
      <c r="CS38" s="109"/>
      <c r="CT38" s="116"/>
      <c r="CU38" s="109"/>
      <c r="CV38" s="6"/>
      <c r="CW38" s="111"/>
      <c r="CX38" s="111"/>
      <c r="CY38" s="111"/>
      <c r="CZ38" s="111"/>
      <c r="DA38" s="111"/>
      <c r="DB38" s="111"/>
      <c r="DC38" s="111"/>
      <c r="DD38" s="111"/>
      <c r="DE38" s="111"/>
      <c r="DF38" s="111"/>
      <c r="DG38" s="6"/>
      <c r="DH38" s="6"/>
      <c r="DI38" s="6"/>
      <c r="DJ38" s="6"/>
      <c r="DK38" s="6"/>
      <c r="DL38" s="6"/>
      <c r="DM38" s="112"/>
      <c r="DN38" s="112"/>
      <c r="DO38" s="112"/>
      <c r="DP38" s="112"/>
      <c r="DQ38" s="112"/>
      <c r="DR38" s="112"/>
      <c r="DS38" s="112"/>
      <c r="DT38" s="112"/>
      <c r="DU38" s="112"/>
      <c r="DV38" s="112"/>
      <c r="DW38" s="6"/>
      <c r="DX38" s="6"/>
      <c r="DY38" s="6"/>
      <c r="DZ38" s="113"/>
      <c r="EA38" s="6"/>
      <c r="EB38" s="114"/>
      <c r="EC38" s="115"/>
      <c r="ED38" s="6"/>
      <c r="FA38" s="29"/>
    </row>
    <row r="39" spans="2:157" s="1" customFormat="1" ht="13.8">
      <c r="B39" s="79" t="s">
        <v>175</v>
      </c>
      <c r="C39" s="80" t="s">
        <v>192</v>
      </c>
      <c r="D39" s="81">
        <v>2.74</v>
      </c>
      <c r="E39" s="81">
        <v>6</v>
      </c>
      <c r="F39" s="80">
        <v>273</v>
      </c>
      <c r="G39" s="80">
        <v>6.35</v>
      </c>
      <c r="H39" s="108">
        <v>53.19431074856206</v>
      </c>
      <c r="I39" s="16">
        <v>4730.4733077169503</v>
      </c>
      <c r="J39" s="16">
        <v>346.55482107816493</v>
      </c>
      <c r="K39" s="108">
        <v>9.4301739777164251</v>
      </c>
      <c r="L39" s="80" t="s">
        <v>211</v>
      </c>
      <c r="M39" s="82">
        <v>-41.722239146706997</v>
      </c>
      <c r="N39" s="82">
        <v>7.5688998357423865</v>
      </c>
      <c r="O39" s="82">
        <v>2.3268378806207268</v>
      </c>
      <c r="P39" s="82">
        <v>-6.3801894686620351</v>
      </c>
      <c r="Q39" s="82">
        <v>-20.753923349605621</v>
      </c>
      <c r="R39" s="82">
        <v>0.26148543268089081</v>
      </c>
      <c r="S39" s="109">
        <v>1</v>
      </c>
      <c r="T39" s="116">
        <v>6</v>
      </c>
      <c r="U39" s="109">
        <v>2</v>
      </c>
      <c r="V39" s="6">
        <v>12</v>
      </c>
      <c r="W39" s="111">
        <v>3.3614421133911117E-2</v>
      </c>
      <c r="X39" s="117">
        <v>105</v>
      </c>
      <c r="Y39" s="111">
        <v>1</v>
      </c>
      <c r="Z39" s="111">
        <v>1</v>
      </c>
      <c r="AA39" s="111">
        <v>1</v>
      </c>
      <c r="AB39" s="111">
        <v>3.5383601193590651E-2</v>
      </c>
      <c r="AC39" s="111">
        <v>8.305413135940734E-2</v>
      </c>
      <c r="AD39" s="111">
        <v>0.27016424583746518</v>
      </c>
      <c r="AE39" s="111">
        <v>0</v>
      </c>
      <c r="AF39" s="111">
        <v>0.38860197839046318</v>
      </c>
      <c r="AG39" s="6" t="s">
        <v>219</v>
      </c>
      <c r="AH39" s="16">
        <v>63.625549371390676</v>
      </c>
      <c r="AI39" s="118">
        <v>2.141343441906038</v>
      </c>
      <c r="AJ39" s="108">
        <v>2.3472492498714814</v>
      </c>
      <c r="AK39" s="6">
        <v>1.1758330332884357</v>
      </c>
      <c r="AL39" s="108">
        <v>2.7599732053603891</v>
      </c>
      <c r="AM39" s="118">
        <v>0.32389682531356812</v>
      </c>
      <c r="AN39" s="111">
        <v>1.26</v>
      </c>
      <c r="AO39" s="118">
        <v>0.98458660556924649</v>
      </c>
      <c r="AP39" s="108">
        <v>0.25555900155622518</v>
      </c>
      <c r="AQ39" s="6" t="s">
        <v>219</v>
      </c>
      <c r="AR39" s="16">
        <v>127.25109874278135</v>
      </c>
      <c r="AS39" s="118">
        <v>4.282686883812076</v>
      </c>
      <c r="AT39" s="108">
        <v>7.6352953550245868</v>
      </c>
      <c r="AU39" s="118">
        <v>1.1000000000000001</v>
      </c>
      <c r="AV39" s="108">
        <v>8.3988248905270453</v>
      </c>
      <c r="AW39" s="6">
        <v>0.10971425473690033</v>
      </c>
      <c r="AX39" s="111">
        <v>1.26</v>
      </c>
      <c r="AY39" s="111">
        <v>0.93834642227698573</v>
      </c>
      <c r="AZ39" s="113">
        <v>0.11926073440023595</v>
      </c>
      <c r="BA39" s="6" t="s">
        <v>219</v>
      </c>
      <c r="BB39" s="114">
        <v>127.25109874278135</v>
      </c>
      <c r="BC39" s="115">
        <v>150</v>
      </c>
      <c r="BD39" s="6" t="s">
        <v>219</v>
      </c>
      <c r="CA39" s="29"/>
      <c r="CB39" s="79"/>
      <c r="CC39" s="80"/>
      <c r="CD39" s="81"/>
      <c r="CE39" s="81"/>
      <c r="CF39" s="80"/>
      <c r="CG39" s="80"/>
      <c r="CH39" s="108"/>
      <c r="CI39" s="16"/>
      <c r="CJ39" s="16"/>
      <c r="CK39" s="108"/>
      <c r="CL39" s="80"/>
      <c r="CM39" s="82"/>
      <c r="CN39" s="82"/>
      <c r="CO39" s="82"/>
      <c r="CP39" s="82"/>
      <c r="CQ39" s="82"/>
      <c r="CR39" s="82"/>
      <c r="CS39" s="109"/>
      <c r="CT39" s="116"/>
      <c r="CU39" s="109"/>
      <c r="CV39" s="6"/>
      <c r="CW39" s="111"/>
      <c r="CX39" s="111"/>
      <c r="CY39" s="111"/>
      <c r="CZ39" s="111"/>
      <c r="DA39" s="111"/>
      <c r="DB39" s="111"/>
      <c r="DC39" s="111"/>
      <c r="DD39" s="111"/>
      <c r="DE39" s="111"/>
      <c r="DF39" s="111"/>
      <c r="DG39" s="6"/>
      <c r="DH39" s="6"/>
      <c r="DI39" s="6"/>
      <c r="DJ39" s="6"/>
      <c r="DK39" s="6"/>
      <c r="DL39" s="6"/>
      <c r="DM39" s="112"/>
      <c r="DN39" s="112"/>
      <c r="DO39" s="112"/>
      <c r="DP39" s="112"/>
      <c r="DQ39" s="112"/>
      <c r="DR39" s="112"/>
      <c r="DS39" s="112"/>
      <c r="DT39" s="112"/>
      <c r="DU39" s="112"/>
      <c r="DV39" s="112"/>
      <c r="DW39" s="6"/>
      <c r="DX39" s="6"/>
      <c r="DY39" s="6"/>
      <c r="DZ39" s="113"/>
      <c r="EA39" s="6"/>
      <c r="EB39" s="114"/>
      <c r="EC39" s="115"/>
      <c r="ED39" s="6"/>
      <c r="FA39" s="29"/>
    </row>
    <row r="40" spans="2:157" s="1" customFormat="1" ht="14.25" customHeight="1">
      <c r="B40" s="79" t="s">
        <v>175</v>
      </c>
      <c r="C40" s="80" t="s">
        <v>192</v>
      </c>
      <c r="D40" s="81">
        <v>5.48</v>
      </c>
      <c r="E40" s="81">
        <v>6</v>
      </c>
      <c r="F40" s="80">
        <v>273</v>
      </c>
      <c r="G40" s="80">
        <v>6.35</v>
      </c>
      <c r="H40" s="108">
        <v>53.19431074856206</v>
      </c>
      <c r="I40" s="16">
        <v>4730.4733077169503</v>
      </c>
      <c r="J40" s="16">
        <v>346.55482107816493</v>
      </c>
      <c r="K40" s="108">
        <v>9.4301739777164251</v>
      </c>
      <c r="L40" s="80" t="s">
        <v>211</v>
      </c>
      <c r="M40" s="82">
        <v>-40.374978797974961</v>
      </c>
      <c r="N40" s="82">
        <v>7.5688998357423865</v>
      </c>
      <c r="O40" s="82">
        <v>2.3268378806207268</v>
      </c>
      <c r="P40" s="82">
        <v>-12.76037893732407</v>
      </c>
      <c r="Q40" s="82">
        <v>-41.507846699211242</v>
      </c>
      <c r="R40" s="82">
        <v>0.26148543268089081</v>
      </c>
      <c r="S40" s="109">
        <v>1</v>
      </c>
      <c r="T40" s="116">
        <v>6</v>
      </c>
      <c r="U40" s="109">
        <v>2</v>
      </c>
      <c r="V40" s="6">
        <v>12</v>
      </c>
      <c r="W40" s="111">
        <v>3.252897179884414E-2</v>
      </c>
      <c r="X40" s="117">
        <v>105</v>
      </c>
      <c r="Y40" s="111">
        <v>1</v>
      </c>
      <c r="Z40" s="111">
        <v>1</v>
      </c>
      <c r="AA40" s="111">
        <v>1</v>
      </c>
      <c r="AB40" s="111">
        <v>3.4241022946151722E-2</v>
      </c>
      <c r="AC40" s="111">
        <v>0.16610826271881468</v>
      </c>
      <c r="AD40" s="111">
        <v>0.54032849167493036</v>
      </c>
      <c r="AE40" s="111">
        <v>0</v>
      </c>
      <c r="AF40" s="111">
        <v>0.7406777773398967</v>
      </c>
      <c r="AG40" s="6" t="s">
        <v>219</v>
      </c>
      <c r="AH40" s="16">
        <v>63.625549371390676</v>
      </c>
      <c r="AI40" s="118">
        <v>2.141343441906038</v>
      </c>
      <c r="AJ40" s="108">
        <v>4.8511477878461928</v>
      </c>
      <c r="AK40" s="6">
        <v>1.1042551735246029</v>
      </c>
      <c r="AL40" s="108">
        <v>5.3569050422615909</v>
      </c>
      <c r="AM40" s="118">
        <v>0.20589424669742584</v>
      </c>
      <c r="AN40" s="111">
        <v>1.26</v>
      </c>
      <c r="AO40" s="118">
        <v>0.98508432226855647</v>
      </c>
      <c r="AP40" s="108">
        <v>0.40290918826045774</v>
      </c>
      <c r="AQ40" s="6" t="s">
        <v>219</v>
      </c>
      <c r="AR40" s="16">
        <v>127.25109874278135</v>
      </c>
      <c r="AS40" s="118">
        <v>4.282686883812076</v>
      </c>
      <c r="AT40" s="108">
        <v>15.780150392255049</v>
      </c>
      <c r="AU40" s="118">
        <v>1.1000000000000001</v>
      </c>
      <c r="AV40" s="108">
        <v>17.358165431480554</v>
      </c>
      <c r="AW40" s="6">
        <v>6.3794754445552826E-2</v>
      </c>
      <c r="AX40" s="111">
        <v>1.26</v>
      </c>
      <c r="AY40" s="111">
        <v>0.94033728907422576</v>
      </c>
      <c r="AZ40" s="113">
        <v>0.28973683185569993</v>
      </c>
      <c r="BA40" s="6" t="s">
        <v>219</v>
      </c>
      <c r="BB40" s="114">
        <v>127.25109874278135</v>
      </c>
      <c r="BC40" s="115">
        <v>147.79576323124601</v>
      </c>
      <c r="BD40" s="6" t="s">
        <v>219</v>
      </c>
      <c r="CA40" s="29"/>
      <c r="CB40" s="79"/>
      <c r="CC40" s="80"/>
      <c r="CD40" s="81"/>
      <c r="CE40" s="81"/>
      <c r="CF40" s="80"/>
      <c r="CG40" s="80"/>
      <c r="CH40" s="108"/>
      <c r="CI40" s="16"/>
      <c r="CJ40" s="16"/>
      <c r="CK40" s="108"/>
      <c r="CL40" s="80"/>
      <c r="CM40" s="82"/>
      <c r="CN40" s="82"/>
      <c r="CO40" s="82"/>
      <c r="CP40" s="82"/>
      <c r="CQ40" s="82"/>
      <c r="CR40" s="82"/>
      <c r="CS40" s="109"/>
      <c r="CT40" s="116"/>
      <c r="CU40" s="109"/>
      <c r="CV40" s="6"/>
      <c r="CW40" s="111"/>
      <c r="CX40" s="111"/>
      <c r="CY40" s="111"/>
      <c r="CZ40" s="111"/>
      <c r="DA40" s="111"/>
      <c r="DB40" s="111"/>
      <c r="DC40" s="111"/>
      <c r="DD40" s="111"/>
      <c r="DE40" s="111"/>
      <c r="DF40" s="111"/>
      <c r="DG40" s="6"/>
      <c r="DH40" s="6"/>
      <c r="DI40" s="6"/>
      <c r="DJ40" s="6"/>
      <c r="DK40" s="6"/>
      <c r="DL40" s="6"/>
      <c r="DM40" s="112"/>
      <c r="DN40" s="112"/>
      <c r="DO40" s="112"/>
      <c r="DP40" s="112"/>
      <c r="DQ40" s="112"/>
      <c r="DR40" s="112"/>
      <c r="DS40" s="112"/>
      <c r="DT40" s="112"/>
      <c r="DU40" s="112"/>
      <c r="DV40" s="112"/>
      <c r="DW40" s="6"/>
      <c r="DX40" s="6"/>
      <c r="DY40" s="6"/>
      <c r="DZ40" s="113"/>
      <c r="EA40" s="6"/>
      <c r="EB40" s="114"/>
      <c r="EC40" s="115"/>
      <c r="ED40" s="6"/>
      <c r="FA40" s="29"/>
    </row>
    <row r="41" spans="2:157" s="1" customFormat="1" ht="14.25" customHeight="1">
      <c r="B41" s="79" t="s">
        <v>175</v>
      </c>
      <c r="C41" s="80" t="s">
        <v>192</v>
      </c>
      <c r="D41" s="81">
        <v>0</v>
      </c>
      <c r="E41" s="81">
        <v>6</v>
      </c>
      <c r="F41" s="80">
        <v>273</v>
      </c>
      <c r="G41" s="80">
        <v>6.35</v>
      </c>
      <c r="H41" s="108">
        <v>53.19431074856206</v>
      </c>
      <c r="I41" s="16">
        <v>4730.4733077169503</v>
      </c>
      <c r="J41" s="16">
        <v>346.55482107816493</v>
      </c>
      <c r="K41" s="108">
        <v>9.4301739777164251</v>
      </c>
      <c r="L41" s="80" t="s">
        <v>212</v>
      </c>
      <c r="M41" s="82">
        <v>-50.956229146838353</v>
      </c>
      <c r="N41" s="82">
        <v>7.485988020192349</v>
      </c>
      <c r="O41" s="82">
        <v>2.4728890598149302</v>
      </c>
      <c r="P41" s="82">
        <v>0</v>
      </c>
      <c r="Q41" s="82">
        <v>0</v>
      </c>
      <c r="R41" s="82">
        <v>0.23639584283878193</v>
      </c>
      <c r="S41" s="109">
        <v>1</v>
      </c>
      <c r="T41" s="116">
        <v>6</v>
      </c>
      <c r="U41" s="109">
        <v>2</v>
      </c>
      <c r="V41" s="6">
        <v>12</v>
      </c>
      <c r="W41" s="111">
        <v>4.1053984181313806E-2</v>
      </c>
      <c r="X41" s="117">
        <v>105</v>
      </c>
      <c r="Y41" s="111">
        <v>1</v>
      </c>
      <c r="Z41" s="111">
        <v>1</v>
      </c>
      <c r="AA41" s="111">
        <v>1</v>
      </c>
      <c r="AB41" s="111">
        <v>4.3214720190856641E-2</v>
      </c>
      <c r="AC41" s="111">
        <v>0</v>
      </c>
      <c r="AD41" s="111">
        <v>0</v>
      </c>
      <c r="AE41" s="111">
        <v>0</v>
      </c>
      <c r="AF41" s="111">
        <v>4.3214720190856641E-2</v>
      </c>
      <c r="AG41" s="6" t="s">
        <v>219</v>
      </c>
      <c r="AH41" s="16">
        <v>63.625549371390676</v>
      </c>
      <c r="AI41" s="118">
        <v>2.141343441906038</v>
      </c>
      <c r="AJ41" s="108">
        <v>0</v>
      </c>
      <c r="AK41" s="6">
        <v>1.2429328279046983</v>
      </c>
      <c r="AL41" s="108">
        <v>0</v>
      </c>
      <c r="AM41" s="118">
        <v>0.85917828633197524</v>
      </c>
      <c r="AN41" s="111">
        <v>1.26</v>
      </c>
      <c r="AO41" s="118">
        <v>0.98117530423565313</v>
      </c>
      <c r="AP41" s="108">
        <v>0.10429193484486064</v>
      </c>
      <c r="AQ41" s="6" t="s">
        <v>219</v>
      </c>
      <c r="AR41" s="16">
        <v>127.25109874278135</v>
      </c>
      <c r="AS41" s="118">
        <v>4.282686883812076</v>
      </c>
      <c r="AT41" s="108">
        <v>0</v>
      </c>
      <c r="AU41" s="118">
        <v>1.1358656558093962</v>
      </c>
      <c r="AV41" s="108">
        <v>0</v>
      </c>
      <c r="AW41" s="6">
        <v>0.41436301143650911</v>
      </c>
      <c r="AX41" s="111">
        <v>1.26</v>
      </c>
      <c r="AY41" s="111">
        <v>0.92470121694261276</v>
      </c>
      <c r="AZ41" s="113">
        <v>5.0297733169386745E-2</v>
      </c>
      <c r="BA41" s="6" t="s">
        <v>219</v>
      </c>
      <c r="BB41" s="114">
        <v>127.25109874278135</v>
      </c>
      <c r="BC41" s="115">
        <v>150</v>
      </c>
      <c r="BD41" s="6" t="s">
        <v>219</v>
      </c>
      <c r="CA41" s="29"/>
      <c r="CB41" s="79"/>
      <c r="CC41" s="80"/>
      <c r="CD41" s="81"/>
      <c r="CE41" s="81"/>
      <c r="CF41" s="80"/>
      <c r="CG41" s="80"/>
      <c r="CH41" s="108"/>
      <c r="CI41" s="16"/>
      <c r="CJ41" s="16"/>
      <c r="CK41" s="108"/>
      <c r="CL41" s="80"/>
      <c r="CM41" s="82"/>
      <c r="CN41" s="82"/>
      <c r="CO41" s="82"/>
      <c r="CP41" s="82"/>
      <c r="CQ41" s="82"/>
      <c r="CR41" s="82"/>
      <c r="CS41" s="109"/>
      <c r="CT41" s="116"/>
      <c r="CU41" s="109"/>
      <c r="CV41" s="6"/>
      <c r="CW41" s="111"/>
      <c r="CX41" s="111"/>
      <c r="CY41" s="111"/>
      <c r="CZ41" s="111"/>
      <c r="DA41" s="111"/>
      <c r="DB41" s="111"/>
      <c r="DC41" s="111"/>
      <c r="DD41" s="111"/>
      <c r="DE41" s="111"/>
      <c r="DF41" s="111"/>
      <c r="DG41" s="6"/>
      <c r="DH41" s="6"/>
      <c r="DI41" s="6"/>
      <c r="DJ41" s="6"/>
      <c r="DK41" s="6"/>
      <c r="DL41" s="6"/>
      <c r="DM41" s="112"/>
      <c r="DN41" s="112"/>
      <c r="DO41" s="112"/>
      <c r="DP41" s="112"/>
      <c r="DQ41" s="112"/>
      <c r="DR41" s="112"/>
      <c r="DS41" s="112"/>
      <c r="DT41" s="112"/>
      <c r="DU41" s="112"/>
      <c r="DV41" s="112"/>
      <c r="DW41" s="6"/>
      <c r="DX41" s="6"/>
      <c r="DY41" s="6"/>
      <c r="DZ41" s="113"/>
      <c r="EA41" s="6"/>
      <c r="EB41" s="114"/>
      <c r="EC41" s="115"/>
      <c r="ED41" s="6"/>
      <c r="FA41" s="29"/>
    </row>
    <row r="42" spans="2:157" s="1" customFormat="1" ht="14.25" customHeight="1">
      <c r="B42" s="79" t="s">
        <v>175</v>
      </c>
      <c r="C42" s="80" t="s">
        <v>192</v>
      </c>
      <c r="D42" s="81">
        <v>2.74</v>
      </c>
      <c r="E42" s="81">
        <v>6</v>
      </c>
      <c r="F42" s="80">
        <v>273</v>
      </c>
      <c r="G42" s="80">
        <v>6.35</v>
      </c>
      <c r="H42" s="108">
        <v>53.19431074856206</v>
      </c>
      <c r="I42" s="16">
        <v>4730.4733077169503</v>
      </c>
      <c r="J42" s="16">
        <v>346.55482107816493</v>
      </c>
      <c r="K42" s="108">
        <v>9.4301739777164251</v>
      </c>
      <c r="L42" s="80" t="s">
        <v>212</v>
      </c>
      <c r="M42" s="82">
        <v>-49.608968798106325</v>
      </c>
      <c r="N42" s="82">
        <v>7.485988020192349</v>
      </c>
      <c r="O42" s="82">
        <v>2.4728890598149302</v>
      </c>
      <c r="P42" s="82">
        <v>-6.7806618020125384</v>
      </c>
      <c r="Q42" s="82">
        <v>-20.526579151367422</v>
      </c>
      <c r="R42" s="82">
        <v>0.23639584283878193</v>
      </c>
      <c r="S42" s="109">
        <v>1</v>
      </c>
      <c r="T42" s="116">
        <v>6</v>
      </c>
      <c r="U42" s="109">
        <v>2</v>
      </c>
      <c r="V42" s="6">
        <v>12</v>
      </c>
      <c r="W42" s="111">
        <v>3.9968534846246837E-2</v>
      </c>
      <c r="X42" s="117">
        <v>105</v>
      </c>
      <c r="Y42" s="111">
        <v>1</v>
      </c>
      <c r="Z42" s="111">
        <v>1</v>
      </c>
      <c r="AA42" s="111">
        <v>1</v>
      </c>
      <c r="AB42" s="111">
        <v>4.2072141943417726E-2</v>
      </c>
      <c r="AC42" s="111">
        <v>8.8267280897249528E-2</v>
      </c>
      <c r="AD42" s="111">
        <v>0.26720479220414944</v>
      </c>
      <c r="AE42" s="111">
        <v>0</v>
      </c>
      <c r="AF42" s="111">
        <v>0.39754421504481668</v>
      </c>
      <c r="AG42" s="6" t="s">
        <v>219</v>
      </c>
      <c r="AH42" s="16">
        <v>63.625549371390676</v>
      </c>
      <c r="AI42" s="118">
        <v>2.141343441906038</v>
      </c>
      <c r="AJ42" s="108">
        <v>2.0979982672610067</v>
      </c>
      <c r="AK42" s="6">
        <v>1.1829582628489437</v>
      </c>
      <c r="AL42" s="108">
        <v>2.4818443856991745</v>
      </c>
      <c r="AM42" s="118">
        <v>0.34368863701820374</v>
      </c>
      <c r="AN42" s="111">
        <v>1.26</v>
      </c>
      <c r="AO42" s="118">
        <v>0.98167302093496323</v>
      </c>
      <c r="AP42" s="108">
        <v>0.27316331606848621</v>
      </c>
      <c r="AQ42" s="6" t="s">
        <v>219</v>
      </c>
      <c r="AR42" s="16">
        <v>127.25109874278135</v>
      </c>
      <c r="AS42" s="118">
        <v>4.282686883812076</v>
      </c>
      <c r="AT42" s="108">
        <v>6.3511097809926023</v>
      </c>
      <c r="AU42" s="118">
        <v>1.1000000000000001</v>
      </c>
      <c r="AV42" s="108">
        <v>6.9862207590918635</v>
      </c>
      <c r="AW42" s="6">
        <v>0.12211652845144272</v>
      </c>
      <c r="AX42" s="111">
        <v>1.26</v>
      </c>
      <c r="AY42" s="111">
        <v>0.92669208373985268</v>
      </c>
      <c r="AZ42" s="113">
        <v>0.10642978476994185</v>
      </c>
      <c r="BA42" s="6" t="s">
        <v>219</v>
      </c>
      <c r="BB42" s="114">
        <v>127.25109874278135</v>
      </c>
      <c r="BC42" s="115">
        <v>150</v>
      </c>
      <c r="BD42" s="6" t="s">
        <v>219</v>
      </c>
      <c r="CA42" s="29"/>
      <c r="CB42" s="79"/>
      <c r="CC42" s="80"/>
      <c r="CD42" s="81"/>
      <c r="CE42" s="81"/>
      <c r="CF42" s="80"/>
      <c r="CG42" s="80"/>
      <c r="CH42" s="108"/>
      <c r="CI42" s="16"/>
      <c r="CJ42" s="16"/>
      <c r="CK42" s="108"/>
      <c r="CL42" s="80"/>
      <c r="CM42" s="82"/>
      <c r="CN42" s="82"/>
      <c r="CO42" s="82"/>
      <c r="CP42" s="82"/>
      <c r="CQ42" s="82"/>
      <c r="CR42" s="82"/>
      <c r="CS42" s="109"/>
      <c r="CT42" s="116"/>
      <c r="CU42" s="109"/>
      <c r="CV42" s="6"/>
      <c r="CW42" s="111"/>
      <c r="CX42" s="111"/>
      <c r="CY42" s="111"/>
      <c r="CZ42" s="111"/>
      <c r="DA42" s="111"/>
      <c r="DB42" s="111"/>
      <c r="DC42" s="111"/>
      <c r="DD42" s="111"/>
      <c r="DE42" s="111"/>
      <c r="DF42" s="111"/>
      <c r="DG42" s="6"/>
      <c r="DH42" s="6"/>
      <c r="DI42" s="6"/>
      <c r="DJ42" s="6"/>
      <c r="DK42" s="6"/>
      <c r="DL42" s="6"/>
      <c r="DM42" s="112"/>
      <c r="DN42" s="112"/>
      <c r="DO42" s="112"/>
      <c r="DP42" s="112"/>
      <c r="DQ42" s="112"/>
      <c r="DR42" s="112"/>
      <c r="DS42" s="112"/>
      <c r="DT42" s="112"/>
      <c r="DU42" s="112"/>
      <c r="DV42" s="112"/>
      <c r="DW42" s="6"/>
      <c r="DX42" s="6"/>
      <c r="DY42" s="6"/>
      <c r="DZ42" s="113"/>
      <c r="EA42" s="6"/>
      <c r="EB42" s="114"/>
      <c r="EC42" s="115"/>
      <c r="ED42" s="6"/>
      <c r="FA42" s="29"/>
    </row>
    <row r="43" spans="2:157" s="1" customFormat="1" ht="14.25" customHeight="1">
      <c r="B43" s="79" t="s">
        <v>175</v>
      </c>
      <c r="C43" s="80" t="s">
        <v>192</v>
      </c>
      <c r="D43" s="81">
        <v>5.48</v>
      </c>
      <c r="E43" s="81">
        <v>6</v>
      </c>
      <c r="F43" s="80">
        <v>273</v>
      </c>
      <c r="G43" s="80">
        <v>6.35</v>
      </c>
      <c r="H43" s="108">
        <v>53.19431074856206</v>
      </c>
      <c r="I43" s="16">
        <v>4730.4733077169503</v>
      </c>
      <c r="J43" s="16">
        <v>346.55482107816493</v>
      </c>
      <c r="K43" s="108">
        <v>9.4301739777164251</v>
      </c>
      <c r="L43" s="80" t="s">
        <v>212</v>
      </c>
      <c r="M43" s="82">
        <v>-48.261708449374282</v>
      </c>
      <c r="N43" s="82">
        <v>7.485988020192349</v>
      </c>
      <c r="O43" s="82">
        <v>2.4728890598149302</v>
      </c>
      <c r="P43" s="82">
        <v>-13.561323604025077</v>
      </c>
      <c r="Q43" s="82">
        <v>-41.053158302734843</v>
      </c>
      <c r="R43" s="82">
        <v>0.23639584283878193</v>
      </c>
      <c r="S43" s="109">
        <v>1</v>
      </c>
      <c r="T43" s="116">
        <v>6</v>
      </c>
      <c r="U43" s="109">
        <v>2</v>
      </c>
      <c r="V43" s="6">
        <v>12</v>
      </c>
      <c r="W43" s="111">
        <v>3.8883085511179853E-2</v>
      </c>
      <c r="X43" s="117">
        <v>105</v>
      </c>
      <c r="Y43" s="111">
        <v>1</v>
      </c>
      <c r="Z43" s="111">
        <v>1</v>
      </c>
      <c r="AA43" s="111">
        <v>1</v>
      </c>
      <c r="AB43" s="111">
        <v>4.0929563695978791E-2</v>
      </c>
      <c r="AC43" s="111">
        <v>0.17653456179449906</v>
      </c>
      <c r="AD43" s="111">
        <v>0.53440958440829889</v>
      </c>
      <c r="AE43" s="111">
        <v>0</v>
      </c>
      <c r="AF43" s="111">
        <v>0.75187370989877667</v>
      </c>
      <c r="AG43" s="6" t="s">
        <v>219</v>
      </c>
      <c r="AH43" s="16">
        <v>63.625549371390676</v>
      </c>
      <c r="AI43" s="118">
        <v>2.141343441906038</v>
      </c>
      <c r="AJ43" s="108">
        <v>4.3131307996777659</v>
      </c>
      <c r="AK43" s="6">
        <v>1.1196352314405391</v>
      </c>
      <c r="AL43" s="108">
        <v>4.8291332011305332</v>
      </c>
      <c r="AM43" s="118">
        <v>0.22286964952945709</v>
      </c>
      <c r="AN43" s="111">
        <v>1.26</v>
      </c>
      <c r="AO43" s="118">
        <v>0.98217073763427321</v>
      </c>
      <c r="AP43" s="108">
        <v>0.40364387098215604</v>
      </c>
      <c r="AQ43" s="6" t="s">
        <v>219</v>
      </c>
      <c r="AR43" s="16">
        <v>127.25109874278135</v>
      </c>
      <c r="AS43" s="118">
        <v>4.282686883812076</v>
      </c>
      <c r="AT43" s="108">
        <v>13.056811169008455</v>
      </c>
      <c r="AU43" s="118">
        <v>1.1000000000000001</v>
      </c>
      <c r="AV43" s="108">
        <v>14.362492285909301</v>
      </c>
      <c r="AW43" s="6">
        <v>7.4922226369380951E-2</v>
      </c>
      <c r="AX43" s="111">
        <v>1.26</v>
      </c>
      <c r="AY43" s="111">
        <v>0.92868295053709271</v>
      </c>
      <c r="AZ43" s="113">
        <v>0.27305748559343429</v>
      </c>
      <c r="BA43" s="6" t="s">
        <v>219</v>
      </c>
      <c r="BB43" s="114">
        <v>127.25109874278135</v>
      </c>
      <c r="BC43" s="115">
        <v>147.22235922820431</v>
      </c>
      <c r="BD43" s="6" t="s">
        <v>219</v>
      </c>
      <c r="CA43" s="29"/>
      <c r="CB43" s="79"/>
      <c r="CC43" s="80"/>
      <c r="CD43" s="81"/>
      <c r="CE43" s="81"/>
      <c r="CF43" s="80"/>
      <c r="CG43" s="80"/>
      <c r="CH43" s="108"/>
      <c r="CI43" s="16"/>
      <c r="CJ43" s="16"/>
      <c r="CK43" s="108"/>
      <c r="CL43" s="80"/>
      <c r="CM43" s="82"/>
      <c r="CN43" s="82"/>
      <c r="CO43" s="82"/>
      <c r="CP43" s="82"/>
      <c r="CQ43" s="82"/>
      <c r="CR43" s="82"/>
      <c r="CS43" s="109"/>
      <c r="CT43" s="116"/>
      <c r="CU43" s="109"/>
      <c r="CV43" s="6"/>
      <c r="CW43" s="111"/>
      <c r="CX43" s="111"/>
      <c r="CY43" s="111"/>
      <c r="CZ43" s="111"/>
      <c r="DA43" s="111"/>
      <c r="DB43" s="111"/>
      <c r="DC43" s="111"/>
      <c r="DD43" s="111"/>
      <c r="DE43" s="111"/>
      <c r="DF43" s="111"/>
      <c r="DG43" s="6"/>
      <c r="DH43" s="6"/>
      <c r="DI43" s="6"/>
      <c r="DJ43" s="6"/>
      <c r="DK43" s="6"/>
      <c r="DL43" s="6"/>
      <c r="DM43" s="112"/>
      <c r="DN43" s="112"/>
      <c r="DO43" s="112"/>
      <c r="DP43" s="112"/>
      <c r="DQ43" s="112"/>
      <c r="DR43" s="112"/>
      <c r="DS43" s="112"/>
      <c r="DT43" s="112"/>
      <c r="DU43" s="112"/>
      <c r="DV43" s="112"/>
      <c r="DW43" s="6"/>
      <c r="DX43" s="6"/>
      <c r="DY43" s="6"/>
      <c r="DZ43" s="113"/>
      <c r="EA43" s="6"/>
      <c r="EB43" s="114"/>
      <c r="EC43" s="115"/>
      <c r="ED43" s="6"/>
      <c r="FA43" s="29"/>
    </row>
    <row r="44" spans="2:157" s="1" customFormat="1" ht="14.25" customHeight="1">
      <c r="B44" s="79" t="s">
        <v>175</v>
      </c>
      <c r="C44" s="80" t="s">
        <v>192</v>
      </c>
      <c r="D44" s="81">
        <v>0</v>
      </c>
      <c r="E44" s="81">
        <v>6</v>
      </c>
      <c r="F44" s="80">
        <v>273</v>
      </c>
      <c r="G44" s="80">
        <v>6.35</v>
      </c>
      <c r="H44" s="108">
        <v>53.19431074856206</v>
      </c>
      <c r="I44" s="16">
        <v>4730.4733077169503</v>
      </c>
      <c r="J44" s="16">
        <v>346.55482107816493</v>
      </c>
      <c r="K44" s="108">
        <v>9.4301739777164251</v>
      </c>
      <c r="L44" s="80" t="s">
        <v>213</v>
      </c>
      <c r="M44" s="82">
        <v>-14.660223955006282</v>
      </c>
      <c r="N44" s="82">
        <v>1.0778729104222069</v>
      </c>
      <c r="O44" s="82">
        <v>0.24715655169830378</v>
      </c>
      <c r="P44" s="82">
        <v>0</v>
      </c>
      <c r="Q44" s="82">
        <v>0</v>
      </c>
      <c r="R44" s="82">
        <v>-1.2874234931769705E-2</v>
      </c>
      <c r="S44" s="109">
        <v>1</v>
      </c>
      <c r="T44" s="116">
        <v>6</v>
      </c>
      <c r="U44" s="109">
        <v>2</v>
      </c>
      <c r="V44" s="6">
        <v>12</v>
      </c>
      <c r="W44" s="111">
        <v>1.1811325375136966E-2</v>
      </c>
      <c r="X44" s="117">
        <v>105</v>
      </c>
      <c r="Y44" s="111">
        <v>1</v>
      </c>
      <c r="Z44" s="111">
        <v>1</v>
      </c>
      <c r="AA44" s="111">
        <v>1</v>
      </c>
      <c r="AB44" s="111">
        <v>1.2432974079091543E-2</v>
      </c>
      <c r="AC44" s="111">
        <v>0</v>
      </c>
      <c r="AD44" s="111">
        <v>0</v>
      </c>
      <c r="AE44" s="111">
        <v>0</v>
      </c>
      <c r="AF44" s="111">
        <v>1.2432974079091543E-2</v>
      </c>
      <c r="AG44" s="6" t="s">
        <v>219</v>
      </c>
      <c r="AH44" s="16">
        <v>63.625549371390676</v>
      </c>
      <c r="AI44" s="118">
        <v>2.141343441906038</v>
      </c>
      <c r="AJ44" s="108">
        <v>0</v>
      </c>
      <c r="AK44" s="6">
        <v>1.2429328279046983</v>
      </c>
      <c r="AL44" s="108">
        <v>0</v>
      </c>
      <c r="AM44" s="118">
        <v>0.85917828633197524</v>
      </c>
      <c r="AN44" s="111">
        <v>1.26</v>
      </c>
      <c r="AO44" s="118">
        <v>0.99458409186843633</v>
      </c>
      <c r="AP44" s="108">
        <v>3.0005028769312801E-2</v>
      </c>
      <c r="AQ44" s="6" t="s">
        <v>219</v>
      </c>
      <c r="AR44" s="16">
        <v>127.25109874278135</v>
      </c>
      <c r="AS44" s="118">
        <v>4.282686883812076</v>
      </c>
      <c r="AT44" s="108">
        <v>0</v>
      </c>
      <c r="AU44" s="118">
        <v>1.1358656558093962</v>
      </c>
      <c r="AV44" s="108">
        <v>0</v>
      </c>
      <c r="AW44" s="6">
        <v>0.41436301143650911</v>
      </c>
      <c r="AX44" s="111">
        <v>1.26</v>
      </c>
      <c r="AY44" s="111">
        <v>0.97833636747374542</v>
      </c>
      <c r="AZ44" s="113">
        <v>1.4470773152532403E-2</v>
      </c>
      <c r="BA44" s="6" t="s">
        <v>219</v>
      </c>
      <c r="BB44" s="114">
        <v>127.25109874278135</v>
      </c>
      <c r="BC44" s="115">
        <v>150</v>
      </c>
      <c r="BD44" s="6" t="s">
        <v>219</v>
      </c>
      <c r="CA44" s="29"/>
      <c r="CB44" s="79"/>
      <c r="CC44" s="80"/>
      <c r="CD44" s="81"/>
      <c r="CE44" s="81"/>
      <c r="CF44" s="80"/>
      <c r="CG44" s="80"/>
      <c r="CH44" s="108"/>
      <c r="CI44" s="16"/>
      <c r="CJ44" s="16"/>
      <c r="CK44" s="108"/>
      <c r="CL44" s="80"/>
      <c r="CM44" s="82"/>
      <c r="CN44" s="82"/>
      <c r="CO44" s="82"/>
      <c r="CP44" s="82"/>
      <c r="CQ44" s="82"/>
      <c r="CR44" s="82"/>
      <c r="CS44" s="109"/>
      <c r="CT44" s="116"/>
      <c r="CU44" s="109"/>
      <c r="CV44" s="6"/>
      <c r="CW44" s="111"/>
      <c r="CX44" s="111"/>
      <c r="CY44" s="111"/>
      <c r="CZ44" s="111"/>
      <c r="DA44" s="111"/>
      <c r="DB44" s="111"/>
      <c r="DC44" s="111"/>
      <c r="DD44" s="111"/>
      <c r="DE44" s="111"/>
      <c r="DF44" s="111"/>
      <c r="DG44" s="6"/>
      <c r="DH44" s="6"/>
      <c r="DI44" s="6"/>
      <c r="DJ44" s="6"/>
      <c r="DK44" s="6"/>
      <c r="DL44" s="6"/>
      <c r="DM44" s="112"/>
      <c r="DN44" s="112"/>
      <c r="DO44" s="112"/>
      <c r="DP44" s="112"/>
      <c r="DQ44" s="112"/>
      <c r="DR44" s="112"/>
      <c r="DS44" s="112"/>
      <c r="DT44" s="112"/>
      <c r="DU44" s="112"/>
      <c r="DV44" s="112"/>
      <c r="DW44" s="6"/>
      <c r="DX44" s="6"/>
      <c r="DY44" s="6"/>
      <c r="DZ44" s="113"/>
      <c r="EA44" s="6"/>
      <c r="EB44" s="114"/>
      <c r="EC44" s="115"/>
      <c r="ED44" s="6"/>
      <c r="FA44" s="29"/>
    </row>
    <row r="45" spans="2:157" s="1" customFormat="1" ht="14.25" customHeight="1">
      <c r="B45" s="79" t="s">
        <v>175</v>
      </c>
      <c r="C45" s="80" t="s">
        <v>192</v>
      </c>
      <c r="D45" s="81">
        <v>2.74</v>
      </c>
      <c r="E45" s="81">
        <v>6</v>
      </c>
      <c r="F45" s="80">
        <v>273</v>
      </c>
      <c r="G45" s="80">
        <v>6.35</v>
      </c>
      <c r="H45" s="108">
        <v>53.19431074856206</v>
      </c>
      <c r="I45" s="16">
        <v>4730.4733077169503</v>
      </c>
      <c r="J45" s="16">
        <v>346.55482107816493</v>
      </c>
      <c r="K45" s="108">
        <v>9.4301739777164251</v>
      </c>
      <c r="L45" s="80" t="s">
        <v>213</v>
      </c>
      <c r="M45" s="82">
        <v>-13.312963606274254</v>
      </c>
      <c r="N45" s="82">
        <v>1.0778729104222069</v>
      </c>
      <c r="O45" s="82">
        <v>0.24715655169830378</v>
      </c>
      <c r="P45" s="82">
        <v>-0.67770326475674925</v>
      </c>
      <c r="Q45" s="82">
        <v>-2.9555275203776912</v>
      </c>
      <c r="R45" s="82">
        <v>-1.2874234931769705E-2</v>
      </c>
      <c r="S45" s="109">
        <v>1</v>
      </c>
      <c r="T45" s="116">
        <v>6</v>
      </c>
      <c r="U45" s="109">
        <v>2</v>
      </c>
      <c r="V45" s="6">
        <v>12</v>
      </c>
      <c r="W45" s="111">
        <v>1.0725876040069991E-2</v>
      </c>
      <c r="X45" s="117">
        <v>105</v>
      </c>
      <c r="Y45" s="111">
        <v>1</v>
      </c>
      <c r="Z45" s="111">
        <v>1</v>
      </c>
      <c r="AA45" s="111">
        <v>1</v>
      </c>
      <c r="AB45" s="111">
        <v>1.1290395831652625E-2</v>
      </c>
      <c r="AC45" s="111">
        <v>8.8220038370756711E-3</v>
      </c>
      <c r="AD45" s="111">
        <v>3.8473586422390134E-2</v>
      </c>
      <c r="AE45" s="111">
        <v>0</v>
      </c>
      <c r="AF45" s="111">
        <v>5.8585986091118432E-2</v>
      </c>
      <c r="AG45" s="6" t="s">
        <v>219</v>
      </c>
      <c r="AH45" s="16">
        <v>63.625549371390676</v>
      </c>
      <c r="AI45" s="118">
        <v>2.141343441906038</v>
      </c>
      <c r="AJ45" s="108">
        <v>0.78137241321010054</v>
      </c>
      <c r="AK45" s="6">
        <v>1.2205960741713304</v>
      </c>
      <c r="AL45" s="108">
        <v>0.95374010003002729</v>
      </c>
      <c r="AM45" s="118">
        <v>0.52934503555297852</v>
      </c>
      <c r="AN45" s="111">
        <v>1.26</v>
      </c>
      <c r="AO45" s="118">
        <v>0.99508180856774631</v>
      </c>
      <c r="AP45" s="108">
        <v>5.6379392118569446E-2</v>
      </c>
      <c r="AQ45" s="6" t="s">
        <v>219</v>
      </c>
      <c r="AR45" s="16">
        <v>127.25109874278135</v>
      </c>
      <c r="AS45" s="118">
        <v>4.282686883812076</v>
      </c>
      <c r="AT45" s="108">
        <v>3.4076384031221862</v>
      </c>
      <c r="AU45" s="118">
        <v>1.1114222185915441</v>
      </c>
      <c r="AV45" s="108">
        <v>3.7873250341558067</v>
      </c>
      <c r="AW45" s="6">
        <v>0.17803817987442017</v>
      </c>
      <c r="AX45" s="111">
        <v>1.26</v>
      </c>
      <c r="AY45" s="111">
        <v>0.98032723427098534</v>
      </c>
      <c r="AZ45" s="113">
        <v>9.8183552284734563E-3</v>
      </c>
      <c r="BA45" s="6" t="s">
        <v>219</v>
      </c>
      <c r="BB45" s="114">
        <v>127.25109874278135</v>
      </c>
      <c r="BC45" s="115">
        <v>150</v>
      </c>
      <c r="BD45" s="6" t="s">
        <v>219</v>
      </c>
      <c r="CA45" s="29"/>
      <c r="CB45" s="79"/>
      <c r="CC45" s="80"/>
      <c r="CD45" s="81"/>
      <c r="CE45" s="81"/>
      <c r="CF45" s="80"/>
      <c r="CG45" s="80"/>
      <c r="CH45" s="108"/>
      <c r="CI45" s="16"/>
      <c r="CJ45" s="16"/>
      <c r="CK45" s="108"/>
      <c r="CL45" s="80"/>
      <c r="CM45" s="82"/>
      <c r="CN45" s="82"/>
      <c r="CO45" s="82"/>
      <c r="CP45" s="82"/>
      <c r="CQ45" s="82"/>
      <c r="CR45" s="82"/>
      <c r="CS45" s="109"/>
      <c r="CT45" s="116"/>
      <c r="CU45" s="109"/>
      <c r="CV45" s="6"/>
      <c r="CW45" s="111"/>
      <c r="CX45" s="111"/>
      <c r="CY45" s="111"/>
      <c r="CZ45" s="111"/>
      <c r="DA45" s="111"/>
      <c r="DB45" s="111"/>
      <c r="DC45" s="111"/>
      <c r="DD45" s="111"/>
      <c r="DE45" s="111"/>
      <c r="DF45" s="111"/>
      <c r="DG45" s="6"/>
      <c r="DH45" s="6"/>
      <c r="DI45" s="6"/>
      <c r="DJ45" s="6"/>
      <c r="DK45" s="6"/>
      <c r="DL45" s="6"/>
      <c r="DM45" s="112"/>
      <c r="DN45" s="112"/>
      <c r="DO45" s="112"/>
      <c r="DP45" s="112"/>
      <c r="DQ45" s="112"/>
      <c r="DR45" s="112"/>
      <c r="DS45" s="112"/>
      <c r="DT45" s="112"/>
      <c r="DU45" s="112"/>
      <c r="DV45" s="112"/>
      <c r="DW45" s="6"/>
      <c r="DX45" s="6"/>
      <c r="DY45" s="6"/>
      <c r="DZ45" s="113"/>
      <c r="EA45" s="6"/>
      <c r="EB45" s="114"/>
      <c r="EC45" s="115"/>
      <c r="ED45" s="6"/>
      <c r="FA45" s="29"/>
    </row>
    <row r="46" spans="2:157" s="1" customFormat="1" ht="14.25" customHeight="1">
      <c r="B46" s="79" t="s">
        <v>175</v>
      </c>
      <c r="C46" s="80" t="s">
        <v>192</v>
      </c>
      <c r="D46" s="81">
        <v>5.48</v>
      </c>
      <c r="E46" s="81">
        <v>6</v>
      </c>
      <c r="F46" s="80">
        <v>273</v>
      </c>
      <c r="G46" s="80">
        <v>6.35</v>
      </c>
      <c r="H46" s="108">
        <v>53.19431074856206</v>
      </c>
      <c r="I46" s="16">
        <v>4730.4733077169503</v>
      </c>
      <c r="J46" s="16">
        <v>346.55482107816493</v>
      </c>
      <c r="K46" s="108">
        <v>9.4301739777164251</v>
      </c>
      <c r="L46" s="80" t="s">
        <v>213</v>
      </c>
      <c r="M46" s="82">
        <v>-11.96570325754222</v>
      </c>
      <c r="N46" s="82">
        <v>1.0778729104222069</v>
      </c>
      <c r="O46" s="82">
        <v>0.24715655169830378</v>
      </c>
      <c r="P46" s="82">
        <v>-1.3554065295134985</v>
      </c>
      <c r="Q46" s="82">
        <v>-5.9110550407553824</v>
      </c>
      <c r="R46" s="82">
        <v>-1.2874234931769705E-2</v>
      </c>
      <c r="S46" s="109">
        <v>1</v>
      </c>
      <c r="T46" s="116">
        <v>6</v>
      </c>
      <c r="U46" s="109">
        <v>2</v>
      </c>
      <c r="V46" s="6">
        <v>12</v>
      </c>
      <c r="W46" s="111">
        <v>9.6404267050030149E-3</v>
      </c>
      <c r="X46" s="117">
        <v>105</v>
      </c>
      <c r="Y46" s="111">
        <v>1</v>
      </c>
      <c r="Z46" s="111">
        <v>1</v>
      </c>
      <c r="AA46" s="111">
        <v>1</v>
      </c>
      <c r="AB46" s="111">
        <v>1.01478175842137E-2</v>
      </c>
      <c r="AC46" s="111">
        <v>1.7644007674151342E-2</v>
      </c>
      <c r="AD46" s="111">
        <v>7.6947172844780268E-2</v>
      </c>
      <c r="AE46" s="111">
        <v>0</v>
      </c>
      <c r="AF46" s="111">
        <v>0.10473899810314531</v>
      </c>
      <c r="AG46" s="6" t="s">
        <v>219</v>
      </c>
      <c r="AH46" s="16">
        <v>63.625549371390676</v>
      </c>
      <c r="AI46" s="118">
        <v>2.141343441906038</v>
      </c>
      <c r="AJ46" s="108">
        <v>1.738699728067538</v>
      </c>
      <c r="AK46" s="6">
        <v>1.1932293741027338</v>
      </c>
      <c r="AL46" s="108">
        <v>2.0746675882746217</v>
      </c>
      <c r="AM46" s="118">
        <v>0.37918353080749512</v>
      </c>
      <c r="AN46" s="111">
        <v>1.26</v>
      </c>
      <c r="AO46" s="118">
        <v>0.9955795252670564</v>
      </c>
      <c r="AP46" s="108">
        <v>7.7969331634728661E-2</v>
      </c>
      <c r="AQ46" s="6" t="s">
        <v>219</v>
      </c>
      <c r="AR46" s="16">
        <v>127.25109874278135</v>
      </c>
      <c r="AS46" s="118">
        <v>4.282686883812076</v>
      </c>
      <c r="AT46" s="108">
        <v>7.5826326405868754</v>
      </c>
      <c r="AU46" s="118">
        <v>1.1000000000000001</v>
      </c>
      <c r="AV46" s="108">
        <v>8.3408959046455635</v>
      </c>
      <c r="AW46" s="6">
        <v>0.11026079207658768</v>
      </c>
      <c r="AX46" s="111">
        <v>1.26</v>
      </c>
      <c r="AY46" s="111">
        <v>0.98231810106822537</v>
      </c>
      <c r="AZ46" s="113">
        <v>3.540615624081081E-2</v>
      </c>
      <c r="BA46" s="6" t="s">
        <v>219</v>
      </c>
      <c r="BB46" s="114">
        <v>127.25109874278135</v>
      </c>
      <c r="BC46" s="115">
        <v>150</v>
      </c>
      <c r="BD46" s="6" t="s">
        <v>219</v>
      </c>
      <c r="CA46" s="29"/>
      <c r="CB46" s="79"/>
      <c r="CC46" s="80"/>
      <c r="CD46" s="81"/>
      <c r="CE46" s="81"/>
      <c r="CF46" s="80"/>
      <c r="CG46" s="80"/>
      <c r="CH46" s="108"/>
      <c r="CI46" s="16"/>
      <c r="CJ46" s="16"/>
      <c r="CK46" s="108"/>
      <c r="CL46" s="80"/>
      <c r="CM46" s="82"/>
      <c r="CN46" s="82"/>
      <c r="CO46" s="82"/>
      <c r="CP46" s="82"/>
      <c r="CQ46" s="82"/>
      <c r="CR46" s="82"/>
      <c r="CS46" s="109"/>
      <c r="CT46" s="116"/>
      <c r="CU46" s="109"/>
      <c r="CV46" s="6"/>
      <c r="CW46" s="111"/>
      <c r="CX46" s="111"/>
      <c r="CY46" s="111"/>
      <c r="CZ46" s="111"/>
      <c r="DA46" s="111"/>
      <c r="DB46" s="111"/>
      <c r="DC46" s="111"/>
      <c r="DD46" s="111"/>
      <c r="DE46" s="111"/>
      <c r="DF46" s="111"/>
      <c r="DG46" s="6"/>
      <c r="DH46" s="6"/>
      <c r="DI46" s="6"/>
      <c r="DJ46" s="6"/>
      <c r="DK46" s="6"/>
      <c r="DL46" s="6"/>
      <c r="DM46" s="112"/>
      <c r="DN46" s="112"/>
      <c r="DO46" s="112"/>
      <c r="DP46" s="112"/>
      <c r="DQ46" s="112"/>
      <c r="DR46" s="112"/>
      <c r="DS46" s="112"/>
      <c r="DT46" s="112"/>
      <c r="DU46" s="112"/>
      <c r="DV46" s="112"/>
      <c r="DW46" s="6"/>
      <c r="DX46" s="6"/>
      <c r="DY46" s="6"/>
      <c r="DZ46" s="113"/>
      <c r="EA46" s="6"/>
      <c r="EB46" s="114"/>
      <c r="EC46" s="115"/>
      <c r="ED46" s="6"/>
      <c r="FA46" s="29"/>
    </row>
    <row r="47" spans="2:157" s="1" customFormat="1" ht="14.25" customHeight="1">
      <c r="B47" s="79" t="s">
        <v>175</v>
      </c>
      <c r="C47" s="80" t="s">
        <v>192</v>
      </c>
      <c r="D47" s="81">
        <v>0</v>
      </c>
      <c r="E47" s="81">
        <v>6</v>
      </c>
      <c r="F47" s="80">
        <v>273</v>
      </c>
      <c r="G47" s="80">
        <v>6.35</v>
      </c>
      <c r="H47" s="108">
        <v>53.19431074856206</v>
      </c>
      <c r="I47" s="16">
        <v>4730.4733077169503</v>
      </c>
      <c r="J47" s="16">
        <v>346.55482107816493</v>
      </c>
      <c r="K47" s="108">
        <v>9.4301739777164251</v>
      </c>
      <c r="L47" s="80" t="s">
        <v>214</v>
      </c>
      <c r="M47" s="82">
        <v>-5.9848213384670368</v>
      </c>
      <c r="N47" s="82">
        <v>1.1690759075272501</v>
      </c>
      <c r="O47" s="82">
        <v>8.6500254584681205E-2</v>
      </c>
      <c r="P47" s="82">
        <v>0</v>
      </c>
      <c r="Q47" s="82">
        <v>0</v>
      </c>
      <c r="R47" s="82">
        <v>1.4724313894550981E-2</v>
      </c>
      <c r="S47" s="109">
        <v>1</v>
      </c>
      <c r="T47" s="116">
        <v>6</v>
      </c>
      <c r="U47" s="7">
        <v>2</v>
      </c>
      <c r="V47" s="6">
        <v>12</v>
      </c>
      <c r="W47" s="111">
        <v>4.8218002915676877E-3</v>
      </c>
      <c r="X47" s="117">
        <v>105</v>
      </c>
      <c r="Y47" s="111">
        <v>1</v>
      </c>
      <c r="Z47" s="111">
        <v>1</v>
      </c>
      <c r="AA47" s="111">
        <v>1</v>
      </c>
      <c r="AB47" s="111">
        <v>5.0755792542817764E-3</v>
      </c>
      <c r="AC47" s="111">
        <v>0</v>
      </c>
      <c r="AD47" s="111">
        <v>0</v>
      </c>
      <c r="AE47" s="111">
        <v>0</v>
      </c>
      <c r="AF47" s="111">
        <v>5.0755792542817764E-3</v>
      </c>
      <c r="AG47" s="6" t="s">
        <v>219</v>
      </c>
      <c r="AH47" s="16">
        <v>63.625549371390676</v>
      </c>
      <c r="AI47" s="118">
        <v>2.141343441906038</v>
      </c>
      <c r="AJ47" s="108">
        <v>0</v>
      </c>
      <c r="AK47" s="6">
        <v>1.2429328279046983</v>
      </c>
      <c r="AL47" s="108">
        <v>0</v>
      </c>
      <c r="AM47" s="118">
        <v>0.85917828633197524</v>
      </c>
      <c r="AN47" s="111">
        <v>1.26</v>
      </c>
      <c r="AO47" s="118">
        <v>0.9977890349661479</v>
      </c>
      <c r="AP47" s="108">
        <v>1.2249112768743077E-2</v>
      </c>
      <c r="AQ47" s="6" t="s">
        <v>219</v>
      </c>
      <c r="AR47" s="16">
        <v>127.25109874278135</v>
      </c>
      <c r="AS47" s="118">
        <v>4.282686883812076</v>
      </c>
      <c r="AT47" s="108">
        <v>0</v>
      </c>
      <c r="AU47" s="118">
        <v>1.1358656558093962</v>
      </c>
      <c r="AV47" s="108">
        <v>0</v>
      </c>
      <c r="AW47" s="6">
        <v>0.41436301143650911</v>
      </c>
      <c r="AX47" s="111">
        <v>1.26</v>
      </c>
      <c r="AY47" s="111">
        <v>0.99115613986459172</v>
      </c>
      <c r="AZ47" s="113">
        <v>5.9074808279321895E-3</v>
      </c>
      <c r="BA47" s="6" t="s">
        <v>219</v>
      </c>
      <c r="BB47" s="114">
        <v>127.25109874278135</v>
      </c>
      <c r="BC47" s="115">
        <v>150</v>
      </c>
      <c r="BD47" s="6" t="s">
        <v>219</v>
      </c>
      <c r="CA47" s="29"/>
      <c r="CB47" s="79"/>
      <c r="CC47" s="80"/>
      <c r="CD47" s="81"/>
      <c r="CE47" s="81"/>
      <c r="CF47" s="80"/>
      <c r="CG47" s="80"/>
      <c r="CH47" s="108"/>
      <c r="CI47" s="108"/>
      <c r="CJ47" s="16"/>
      <c r="CK47" s="108"/>
      <c r="CL47" s="80"/>
      <c r="CM47" s="82"/>
      <c r="CN47" s="82"/>
      <c r="CO47" s="82"/>
      <c r="CP47" s="82"/>
      <c r="CQ47" s="82"/>
      <c r="CR47" s="82"/>
      <c r="CS47" s="109"/>
      <c r="CT47" s="110"/>
      <c r="CU47" s="6"/>
      <c r="CV47" s="6"/>
      <c r="CW47" s="111"/>
      <c r="CX47" s="111"/>
      <c r="CY47" s="111"/>
      <c r="CZ47" s="111"/>
      <c r="DA47" s="111"/>
      <c r="DB47" s="111"/>
      <c r="DC47" s="111"/>
      <c r="DD47" s="111"/>
      <c r="DE47" s="111"/>
      <c r="DF47" s="111"/>
      <c r="DG47" s="6"/>
      <c r="DH47" s="6"/>
      <c r="DI47" s="6"/>
      <c r="DJ47" s="6"/>
      <c r="DK47" s="6"/>
      <c r="DL47" s="6"/>
      <c r="DM47" s="112"/>
      <c r="DN47" s="112"/>
      <c r="DO47" s="112"/>
      <c r="DP47" s="112"/>
      <c r="DQ47" s="112"/>
      <c r="DR47" s="112"/>
      <c r="DS47" s="112"/>
      <c r="DT47" s="112"/>
      <c r="DU47" s="112"/>
      <c r="DV47" s="112"/>
      <c r="DW47" s="6"/>
      <c r="DX47" s="6"/>
      <c r="DY47" s="6"/>
      <c r="DZ47" s="113"/>
      <c r="EA47" s="6"/>
      <c r="EB47" s="114"/>
      <c r="EC47" s="115"/>
      <c r="ED47" s="6"/>
      <c r="FA47" s="29"/>
    </row>
    <row r="48" spans="2:157" s="1" customFormat="1" ht="14.25" customHeight="1">
      <c r="B48" s="79" t="s">
        <v>175</v>
      </c>
      <c r="C48" s="80" t="s">
        <v>192</v>
      </c>
      <c r="D48" s="81">
        <v>2.74</v>
      </c>
      <c r="E48" s="81">
        <v>6</v>
      </c>
      <c r="F48" s="80">
        <v>273</v>
      </c>
      <c r="G48" s="80">
        <v>6.35</v>
      </c>
      <c r="H48" s="108">
        <v>53.19431074856206</v>
      </c>
      <c r="I48" s="16">
        <v>4730.4733077169503</v>
      </c>
      <c r="J48" s="16">
        <v>346.55482107816493</v>
      </c>
      <c r="K48" s="108">
        <v>9.4301739777164251</v>
      </c>
      <c r="L48" s="80" t="s">
        <v>214</v>
      </c>
      <c r="M48" s="82">
        <v>-4.6375609897350065</v>
      </c>
      <c r="N48" s="82">
        <v>1.1690759075272501</v>
      </c>
      <c r="O48" s="82">
        <v>8.6500254584681205E-2</v>
      </c>
      <c r="P48" s="82">
        <v>-0.23718369807119569</v>
      </c>
      <c r="Q48" s="82">
        <v>-3.2056061384397205</v>
      </c>
      <c r="R48" s="82">
        <v>1.4724313894550981E-2</v>
      </c>
      <c r="S48" s="109">
        <v>1</v>
      </c>
      <c r="T48" s="116">
        <v>6</v>
      </c>
      <c r="U48" s="7">
        <v>2</v>
      </c>
      <c r="V48" s="6">
        <v>12</v>
      </c>
      <c r="W48" s="111">
        <v>3.7363509565007131E-3</v>
      </c>
      <c r="X48" s="117">
        <v>105</v>
      </c>
      <c r="Y48" s="111">
        <v>1</v>
      </c>
      <c r="Z48" s="111">
        <v>1</v>
      </c>
      <c r="AA48" s="111">
        <v>1</v>
      </c>
      <c r="AB48" s="111">
        <v>3.9330010068428555E-3</v>
      </c>
      <c r="AC48" s="111">
        <v>3.0875393454492684E-3</v>
      </c>
      <c r="AD48" s="111">
        <v>4.1728985419037558E-2</v>
      </c>
      <c r="AE48" s="111">
        <v>0</v>
      </c>
      <c r="AF48" s="111">
        <v>4.8749525771329683E-2</v>
      </c>
      <c r="AG48" s="6" t="s">
        <v>219</v>
      </c>
      <c r="AH48" s="16">
        <v>63.625549371390676</v>
      </c>
      <c r="AI48" s="118">
        <v>2.141343441906038</v>
      </c>
      <c r="AJ48" s="108">
        <v>0.78503395754981864</v>
      </c>
      <c r="AK48" s="6">
        <v>1.2204914031939358</v>
      </c>
      <c r="AL48" s="108">
        <v>0.95812719640486677</v>
      </c>
      <c r="AM48" s="118">
        <v>0.52847486734390259</v>
      </c>
      <c r="AN48" s="111">
        <v>1.26</v>
      </c>
      <c r="AO48" s="118">
        <v>0.99828675166545788</v>
      </c>
      <c r="AP48" s="108">
        <v>4.2846863738157943E-2</v>
      </c>
      <c r="AQ48" s="6" t="s">
        <v>219</v>
      </c>
      <c r="AR48" s="16">
        <v>127.25109874278135</v>
      </c>
      <c r="AS48" s="118">
        <v>4.282686883812076</v>
      </c>
      <c r="AT48" s="108">
        <v>10.609960522876838</v>
      </c>
      <c r="AU48" s="118">
        <v>1.1000000000000001</v>
      </c>
      <c r="AV48" s="108">
        <v>11.670956575164523</v>
      </c>
      <c r="AW48" s="6">
        <v>8.681834489107132E-2</v>
      </c>
      <c r="AX48" s="111">
        <v>1.26</v>
      </c>
      <c r="AY48" s="111">
        <v>0.99314700666183175</v>
      </c>
      <c r="AZ48" s="113">
        <v>2.5904595295073374E-2</v>
      </c>
      <c r="BA48" s="6" t="s">
        <v>219</v>
      </c>
      <c r="BB48" s="114">
        <v>127.25109874278135</v>
      </c>
      <c r="BC48" s="115">
        <v>150</v>
      </c>
      <c r="BD48" s="6" t="s">
        <v>219</v>
      </c>
      <c r="CA48" s="29"/>
      <c r="CB48" s="79"/>
      <c r="CC48" s="80"/>
      <c r="CD48" s="81"/>
      <c r="CE48" s="81"/>
      <c r="CF48" s="80"/>
      <c r="CG48" s="80"/>
      <c r="CH48" s="108"/>
      <c r="CI48" s="108"/>
      <c r="CJ48" s="16"/>
      <c r="CK48" s="108"/>
      <c r="CL48" s="80"/>
      <c r="CM48" s="82"/>
      <c r="CN48" s="82"/>
      <c r="CO48" s="82"/>
      <c r="CP48" s="82"/>
      <c r="CQ48" s="82"/>
      <c r="CR48" s="82"/>
      <c r="CS48" s="109"/>
      <c r="CT48" s="110"/>
      <c r="CU48" s="6"/>
      <c r="CV48" s="6"/>
      <c r="CW48" s="111"/>
      <c r="CX48" s="111"/>
      <c r="CY48" s="111"/>
      <c r="CZ48" s="111"/>
      <c r="DA48" s="111"/>
      <c r="DB48" s="111"/>
      <c r="DC48" s="111"/>
      <c r="DD48" s="111"/>
      <c r="DE48" s="111"/>
      <c r="DF48" s="111"/>
      <c r="DG48" s="6"/>
      <c r="DH48" s="6"/>
      <c r="DI48" s="6"/>
      <c r="DJ48" s="6"/>
      <c r="DK48" s="6"/>
      <c r="DL48" s="6"/>
      <c r="DM48" s="112"/>
      <c r="DN48" s="112"/>
      <c r="DO48" s="112"/>
      <c r="DP48" s="112"/>
      <c r="DQ48" s="112"/>
      <c r="DR48" s="112"/>
      <c r="DS48" s="112"/>
      <c r="DT48" s="112"/>
      <c r="DU48" s="112"/>
      <c r="DV48" s="112"/>
      <c r="DW48" s="6"/>
      <c r="DX48" s="6"/>
      <c r="DY48" s="6"/>
      <c r="DZ48" s="113"/>
      <c r="EA48" s="6"/>
      <c r="EB48" s="114"/>
      <c r="EC48" s="115"/>
      <c r="ED48" s="6"/>
      <c r="FA48" s="29"/>
    </row>
    <row r="49" spans="2:157" s="1" customFormat="1" ht="14.25" customHeight="1">
      <c r="B49" s="79" t="s">
        <v>175</v>
      </c>
      <c r="C49" s="80" t="s">
        <v>192</v>
      </c>
      <c r="D49" s="81">
        <v>5.48</v>
      </c>
      <c r="E49" s="81">
        <v>6</v>
      </c>
      <c r="F49" s="80">
        <v>273</v>
      </c>
      <c r="G49" s="80">
        <v>6.35</v>
      </c>
      <c r="H49" s="108">
        <v>53.19431074856206</v>
      </c>
      <c r="I49" s="16">
        <v>4730.4733077169503</v>
      </c>
      <c r="J49" s="16">
        <v>346.55482107816493</v>
      </c>
      <c r="K49" s="108">
        <v>9.4301739777164251</v>
      </c>
      <c r="L49" s="80" t="s">
        <v>214</v>
      </c>
      <c r="M49" s="82">
        <v>-3.2903006410029731</v>
      </c>
      <c r="N49" s="82">
        <v>1.1690759075272501</v>
      </c>
      <c r="O49" s="82">
        <v>8.6500254584681205E-2</v>
      </c>
      <c r="P49" s="82">
        <v>-0.47436739614239137</v>
      </c>
      <c r="Q49" s="82">
        <v>-6.4112122768794411</v>
      </c>
      <c r="R49" s="82">
        <v>1.4724313894550981E-2</v>
      </c>
      <c r="S49" s="72">
        <v>1</v>
      </c>
      <c r="T49" s="116">
        <v>6</v>
      </c>
      <c r="U49" s="7">
        <v>2</v>
      </c>
      <c r="V49" s="6">
        <v>12</v>
      </c>
      <c r="W49" s="111">
        <v>2.6509016214337354E-3</v>
      </c>
      <c r="X49" s="117">
        <v>105</v>
      </c>
      <c r="Y49" s="111">
        <v>1</v>
      </c>
      <c r="Z49" s="111">
        <v>1</v>
      </c>
      <c r="AA49" s="111">
        <v>1</v>
      </c>
      <c r="AB49" s="111">
        <v>2.790422759403932E-3</v>
      </c>
      <c r="AC49" s="111">
        <v>6.1750786908985368E-3</v>
      </c>
      <c r="AD49" s="111">
        <v>8.3457970838075116E-2</v>
      </c>
      <c r="AE49" s="111">
        <v>0</v>
      </c>
      <c r="AF49" s="111">
        <v>9.2423472288377578E-2</v>
      </c>
      <c r="AG49" s="6" t="s">
        <v>219</v>
      </c>
      <c r="AH49" s="16">
        <v>63.625549371390676</v>
      </c>
      <c r="AI49" s="118">
        <v>2.141343441906038</v>
      </c>
      <c r="AJ49" s="108">
        <v>2.2129545317418526</v>
      </c>
      <c r="AK49" s="6">
        <v>1.1796720580554221</v>
      </c>
      <c r="AL49" s="108">
        <v>2.6105606268429842</v>
      </c>
      <c r="AM49" s="118">
        <v>0.33436203002929688</v>
      </c>
      <c r="AN49" s="111">
        <v>1.26</v>
      </c>
      <c r="AO49" s="118">
        <v>0.99878446836476797</v>
      </c>
      <c r="AP49" s="108">
        <v>4.5038770053563645E-2</v>
      </c>
      <c r="AQ49" s="6" t="s">
        <v>219</v>
      </c>
      <c r="AR49" s="16">
        <v>127.25109874278135</v>
      </c>
      <c r="AS49" s="118">
        <v>4.282686883812076</v>
      </c>
      <c r="AT49" s="108">
        <v>29.908719227871668</v>
      </c>
      <c r="AU49" s="118">
        <v>1.1000000000000001</v>
      </c>
      <c r="AV49" s="108">
        <v>32.899591150658836</v>
      </c>
      <c r="AW49" s="6">
        <v>5.5869251489639282E-2</v>
      </c>
      <c r="AX49" s="111">
        <v>1.26</v>
      </c>
      <c r="AY49" s="111">
        <v>0.99513787345907179</v>
      </c>
      <c r="AZ49" s="113">
        <v>5.8214595189620057E-2</v>
      </c>
      <c r="BA49" s="6" t="s">
        <v>219</v>
      </c>
      <c r="BB49" s="114">
        <v>127.25109874278135</v>
      </c>
      <c r="BC49" s="115">
        <v>150</v>
      </c>
      <c r="BD49" s="6" t="s">
        <v>219</v>
      </c>
      <c r="CA49" s="29"/>
      <c r="CB49" s="79"/>
      <c r="CC49" s="80"/>
      <c r="CD49" s="81"/>
      <c r="CE49" s="81"/>
      <c r="CF49" s="80"/>
      <c r="CG49" s="80"/>
      <c r="CH49" s="108"/>
      <c r="CI49" s="108"/>
      <c r="CJ49" s="16"/>
      <c r="CK49" s="108"/>
      <c r="CL49" s="80"/>
      <c r="CM49" s="82"/>
      <c r="CN49" s="82"/>
      <c r="CO49" s="82"/>
      <c r="CP49" s="82"/>
      <c r="CQ49" s="82"/>
      <c r="CR49" s="82"/>
      <c r="CS49" s="72"/>
      <c r="CT49" s="72"/>
      <c r="CU49" s="6"/>
      <c r="CV49" s="6"/>
      <c r="CW49" s="111"/>
      <c r="CX49" s="111"/>
      <c r="CY49" s="111"/>
      <c r="CZ49" s="111"/>
      <c r="DA49" s="111"/>
      <c r="DB49" s="111"/>
      <c r="DC49" s="111"/>
      <c r="DD49" s="111"/>
      <c r="DE49" s="111"/>
      <c r="DF49" s="111"/>
      <c r="DG49" s="6"/>
      <c r="DH49" s="6"/>
      <c r="DI49" s="6"/>
      <c r="DJ49" s="6"/>
      <c r="DK49" s="6"/>
      <c r="DL49" s="6"/>
      <c r="DM49" s="112"/>
      <c r="DN49" s="112"/>
      <c r="DO49" s="112"/>
      <c r="DP49" s="112"/>
      <c r="DQ49" s="112"/>
      <c r="DR49" s="112"/>
      <c r="DS49" s="112"/>
      <c r="DT49" s="112"/>
      <c r="DU49" s="112"/>
      <c r="DV49" s="112"/>
      <c r="DW49" s="6"/>
      <c r="DX49" s="6"/>
      <c r="DY49" s="6"/>
      <c r="DZ49" s="113"/>
      <c r="EA49" s="6"/>
      <c r="EB49" s="114"/>
      <c r="EC49" s="115"/>
      <c r="ED49" s="6"/>
      <c r="FA49" s="29"/>
    </row>
    <row r="50" spans="2:157" s="1" customFormat="1" ht="14.25" customHeight="1">
      <c r="B50" s="79" t="s">
        <v>175</v>
      </c>
      <c r="C50" s="80" t="s">
        <v>192</v>
      </c>
      <c r="D50" s="81">
        <v>0</v>
      </c>
      <c r="E50" s="81">
        <v>6</v>
      </c>
      <c r="F50" s="80">
        <v>273</v>
      </c>
      <c r="G50" s="80">
        <v>6.35</v>
      </c>
      <c r="H50" s="108">
        <v>53.19431074856206</v>
      </c>
      <c r="I50" s="16">
        <v>4730.4733077169503</v>
      </c>
      <c r="J50" s="16">
        <v>346.55482107816493</v>
      </c>
      <c r="K50" s="108">
        <v>9.4301739777164251</v>
      </c>
      <c r="L50" s="80" t="s">
        <v>215</v>
      </c>
      <c r="M50" s="82">
        <v>-43.770253449267798</v>
      </c>
      <c r="N50" s="82">
        <v>7.7722917886451395</v>
      </c>
      <c r="O50" s="82">
        <v>2.388039610658637</v>
      </c>
      <c r="P50" s="82">
        <v>0</v>
      </c>
      <c r="Q50" s="82">
        <v>0</v>
      </c>
      <c r="R50" s="82">
        <v>0.27057795573642196</v>
      </c>
      <c r="S50" s="72">
        <v>1</v>
      </c>
      <c r="T50" s="116">
        <v>6</v>
      </c>
      <c r="U50" s="7">
        <v>2</v>
      </c>
      <c r="V50" s="6">
        <v>12</v>
      </c>
      <c r="W50" s="111">
        <v>3.5264447993986425E-2</v>
      </c>
      <c r="X50" s="117">
        <v>105</v>
      </c>
      <c r="Y50" s="111">
        <v>1</v>
      </c>
      <c r="Z50" s="111">
        <v>1</v>
      </c>
      <c r="AA50" s="111">
        <v>1</v>
      </c>
      <c r="AB50" s="111">
        <v>3.7120471572617289E-2</v>
      </c>
      <c r="AC50" s="111">
        <v>0</v>
      </c>
      <c r="AD50" s="111">
        <v>0</v>
      </c>
      <c r="AE50" s="111">
        <v>0</v>
      </c>
      <c r="AF50" s="111">
        <v>3.7120471572617289E-2</v>
      </c>
      <c r="AG50" s="6" t="s">
        <v>219</v>
      </c>
      <c r="AH50" s="16">
        <v>63.625549371390676</v>
      </c>
      <c r="AI50" s="118">
        <v>2.141343441906038</v>
      </c>
      <c r="AJ50" s="108">
        <v>0</v>
      </c>
      <c r="AK50" s="6">
        <v>1.2429328279046983</v>
      </c>
      <c r="AL50" s="108">
        <v>0</v>
      </c>
      <c r="AM50" s="118">
        <v>0.85917828633197524</v>
      </c>
      <c r="AN50" s="111">
        <v>1.26</v>
      </c>
      <c r="AO50" s="118">
        <v>0.9838300102164852</v>
      </c>
      <c r="AP50" s="108">
        <v>8.958442367702768E-2</v>
      </c>
      <c r="AQ50" s="6" t="s">
        <v>219</v>
      </c>
      <c r="AR50" s="16">
        <v>127.25109874278135</v>
      </c>
      <c r="AS50" s="118">
        <v>4.282686883812076</v>
      </c>
      <c r="AT50" s="108">
        <v>0</v>
      </c>
      <c r="AU50" s="118">
        <v>1.1358656558093962</v>
      </c>
      <c r="AV50" s="108">
        <v>0</v>
      </c>
      <c r="AW50" s="6">
        <v>0.41436301143650911</v>
      </c>
      <c r="AX50" s="111">
        <v>1.26</v>
      </c>
      <c r="AY50" s="111">
        <v>0.93532004086594056</v>
      </c>
      <c r="AZ50" s="113">
        <v>4.3204620232074199E-2</v>
      </c>
      <c r="BA50" s="6" t="s">
        <v>219</v>
      </c>
      <c r="BB50" s="114">
        <v>127.25109874278135</v>
      </c>
      <c r="BC50" s="115">
        <v>150</v>
      </c>
      <c r="BD50" s="6" t="s">
        <v>219</v>
      </c>
      <c r="CA50" s="29"/>
      <c r="CB50" s="79"/>
      <c r="CC50" s="80"/>
      <c r="CD50" s="81"/>
      <c r="CE50" s="81"/>
      <c r="CF50" s="80"/>
      <c r="CG50" s="80"/>
      <c r="CH50" s="108"/>
      <c r="CI50" s="108"/>
      <c r="CJ50" s="16"/>
      <c r="CK50" s="108"/>
      <c r="CL50" s="80"/>
      <c r="CM50" s="82"/>
      <c r="CN50" s="82"/>
      <c r="CO50" s="82"/>
      <c r="CP50" s="82"/>
      <c r="CQ50" s="82"/>
      <c r="CR50" s="82"/>
      <c r="CS50" s="72"/>
      <c r="CT50" s="72"/>
      <c r="CU50" s="6"/>
      <c r="CV50" s="6"/>
      <c r="CW50" s="111"/>
      <c r="CX50" s="111"/>
      <c r="CY50" s="111"/>
      <c r="CZ50" s="111"/>
      <c r="DA50" s="111"/>
      <c r="DB50" s="111"/>
      <c r="DC50" s="111"/>
      <c r="DD50" s="111"/>
      <c r="DE50" s="111"/>
      <c r="DF50" s="111"/>
      <c r="DG50" s="6"/>
      <c r="DH50" s="6"/>
      <c r="DI50" s="6"/>
      <c r="DJ50" s="6"/>
      <c r="DK50" s="6"/>
      <c r="DL50" s="6"/>
      <c r="DM50" s="112"/>
      <c r="DN50" s="112"/>
      <c r="DO50" s="112"/>
      <c r="DP50" s="112"/>
      <c r="DQ50" s="112"/>
      <c r="DR50" s="112"/>
      <c r="DS50" s="112"/>
      <c r="DT50" s="112"/>
      <c r="DU50" s="112"/>
      <c r="DV50" s="112"/>
      <c r="DW50" s="6"/>
      <c r="DX50" s="6"/>
      <c r="DY50" s="6"/>
      <c r="DZ50" s="113"/>
      <c r="EA50" s="6"/>
      <c r="EB50" s="114"/>
      <c r="EC50" s="115"/>
      <c r="ED50" s="6"/>
      <c r="FA50" s="29"/>
    </row>
    <row r="51" spans="2:157" s="1" customFormat="1" ht="14.25" customHeight="1">
      <c r="B51" s="79" t="s">
        <v>175</v>
      </c>
      <c r="C51" s="80" t="s">
        <v>192</v>
      </c>
      <c r="D51" s="81">
        <v>2.74</v>
      </c>
      <c r="E51" s="81">
        <v>6</v>
      </c>
      <c r="F51" s="80">
        <v>273</v>
      </c>
      <c r="G51" s="80">
        <v>6.35</v>
      </c>
      <c r="H51" s="108">
        <v>53.19431074856206</v>
      </c>
      <c r="I51" s="16">
        <v>4730.4733077169503</v>
      </c>
      <c r="J51" s="16">
        <v>346.55482107816493</v>
      </c>
      <c r="K51" s="108">
        <v>9.4301739777164251</v>
      </c>
      <c r="L51" s="80" t="s">
        <v>215</v>
      </c>
      <c r="M51" s="82">
        <v>-42.422993100535763</v>
      </c>
      <c r="N51" s="82">
        <v>7.7722917886451395</v>
      </c>
      <c r="O51" s="82">
        <v>2.388039610658637</v>
      </c>
      <c r="P51" s="82">
        <v>-6.5480046124259825</v>
      </c>
      <c r="Q51" s="82">
        <v>-21.311624084464974</v>
      </c>
      <c r="R51" s="82">
        <v>0.27057795573642196</v>
      </c>
      <c r="S51" s="72">
        <v>1</v>
      </c>
      <c r="T51" s="116">
        <v>6</v>
      </c>
      <c r="U51" s="7">
        <v>2</v>
      </c>
      <c r="V51" s="6">
        <v>12</v>
      </c>
      <c r="W51" s="111">
        <v>3.4178998658919449E-2</v>
      </c>
      <c r="X51" s="117">
        <v>105</v>
      </c>
      <c r="Y51" s="111">
        <v>1</v>
      </c>
      <c r="Z51" s="111">
        <v>1</v>
      </c>
      <c r="AA51" s="111">
        <v>1</v>
      </c>
      <c r="AB51" s="111">
        <v>3.5977893325178367E-2</v>
      </c>
      <c r="AC51" s="111">
        <v>8.5238665386606294E-2</v>
      </c>
      <c r="AD51" s="111">
        <v>0.277424116460392</v>
      </c>
      <c r="AE51" s="111">
        <v>0</v>
      </c>
      <c r="AF51" s="111">
        <v>0.39864067517217666</v>
      </c>
      <c r="AG51" s="6" t="s">
        <v>219</v>
      </c>
      <c r="AH51" s="16">
        <v>63.625549371390676</v>
      </c>
      <c r="AI51" s="118">
        <v>2.141343441906038</v>
      </c>
      <c r="AJ51" s="108">
        <v>2.3691955672944816</v>
      </c>
      <c r="AK51" s="6">
        <v>1.175205663446163</v>
      </c>
      <c r="AL51" s="108">
        <v>2.7842920484960194</v>
      </c>
      <c r="AM51" s="118">
        <v>0.32219347357749939</v>
      </c>
      <c r="AN51" s="111">
        <v>1.26</v>
      </c>
      <c r="AO51" s="118">
        <v>0.98432772691579518</v>
      </c>
      <c r="AP51" s="108">
        <v>0.26156075979354843</v>
      </c>
      <c r="AQ51" s="6" t="s">
        <v>219</v>
      </c>
      <c r="AR51" s="16">
        <v>127.25109874278135</v>
      </c>
      <c r="AS51" s="118">
        <v>4.282686883812076</v>
      </c>
      <c r="AT51" s="108">
        <v>7.7109605599459217</v>
      </c>
      <c r="AU51" s="118">
        <v>1.1000000000000001</v>
      </c>
      <c r="AV51" s="108">
        <v>8.4820566159405146</v>
      </c>
      <c r="AW51" s="6">
        <v>0.10892898589372635</v>
      </c>
      <c r="AX51" s="111">
        <v>1.26</v>
      </c>
      <c r="AY51" s="111">
        <v>0.93731090766318059</v>
      </c>
      <c r="AZ51" s="113">
        <v>0.12323828082742765</v>
      </c>
      <c r="BA51" s="6" t="s">
        <v>219</v>
      </c>
      <c r="BB51" s="114">
        <v>127.25109874278135</v>
      </c>
      <c r="BC51" s="115">
        <v>150</v>
      </c>
      <c r="BD51" s="6" t="s">
        <v>219</v>
      </c>
      <c r="CA51" s="29"/>
      <c r="CB51" s="79"/>
      <c r="CC51" s="80"/>
      <c r="CD51" s="81"/>
      <c r="CE51" s="81"/>
      <c r="CF51" s="80"/>
      <c r="CG51" s="80"/>
      <c r="CH51" s="108"/>
      <c r="CI51" s="108"/>
      <c r="CJ51" s="16"/>
      <c r="CK51" s="108"/>
      <c r="CL51" s="80"/>
      <c r="CM51" s="82"/>
      <c r="CN51" s="82"/>
      <c r="CO51" s="82"/>
      <c r="CP51" s="82"/>
      <c r="CQ51" s="82"/>
      <c r="CR51" s="82"/>
      <c r="CS51" s="72"/>
      <c r="CT51" s="72"/>
      <c r="CU51" s="6"/>
      <c r="CV51" s="6"/>
      <c r="CW51" s="111"/>
      <c r="CX51" s="111"/>
      <c r="CY51" s="111"/>
      <c r="CZ51" s="111"/>
      <c r="DA51" s="111"/>
      <c r="DB51" s="111"/>
      <c r="DC51" s="111"/>
      <c r="DD51" s="111"/>
      <c r="DE51" s="111"/>
      <c r="DF51" s="111"/>
      <c r="DG51" s="6"/>
      <c r="DH51" s="6"/>
      <c r="DI51" s="6"/>
      <c r="DJ51" s="6"/>
      <c r="DK51" s="6"/>
      <c r="DL51" s="6"/>
      <c r="DM51" s="112"/>
      <c r="DN51" s="112"/>
      <c r="DO51" s="112"/>
      <c r="DP51" s="112"/>
      <c r="DQ51" s="112"/>
      <c r="DR51" s="112"/>
      <c r="DS51" s="112"/>
      <c r="DT51" s="112"/>
      <c r="DU51" s="112"/>
      <c r="DV51" s="112"/>
      <c r="DW51" s="6"/>
      <c r="DX51" s="6"/>
      <c r="DY51" s="6"/>
      <c r="DZ51" s="113"/>
      <c r="EA51" s="6"/>
      <c r="EB51" s="114"/>
      <c r="EC51" s="115"/>
      <c r="ED51" s="6"/>
      <c r="FA51" s="29"/>
    </row>
    <row r="52" spans="2:157" s="1" customFormat="1" ht="14.25" customHeight="1">
      <c r="B52" s="79" t="s">
        <v>175</v>
      </c>
      <c r="C52" s="80" t="s">
        <v>192</v>
      </c>
      <c r="D52" s="81">
        <v>5.48</v>
      </c>
      <c r="E52" s="81">
        <v>6</v>
      </c>
      <c r="F52" s="80">
        <v>273</v>
      </c>
      <c r="G52" s="80">
        <v>6.35</v>
      </c>
      <c r="H52" s="108">
        <v>53.19431074856206</v>
      </c>
      <c r="I52" s="16">
        <v>4730.4733077169503</v>
      </c>
      <c r="J52" s="16">
        <v>346.55482107816493</v>
      </c>
      <c r="K52" s="108">
        <v>9.4301739777164251</v>
      </c>
      <c r="L52" s="80" t="s">
        <v>215</v>
      </c>
      <c r="M52" s="82">
        <v>-41.075732751803734</v>
      </c>
      <c r="N52" s="82">
        <v>7.7722917886451395</v>
      </c>
      <c r="O52" s="82">
        <v>2.388039610658637</v>
      </c>
      <c r="P52" s="82">
        <v>-13.096009224851965</v>
      </c>
      <c r="Q52" s="82">
        <v>-42.623248168929948</v>
      </c>
      <c r="R52" s="82">
        <v>0.27057795573642196</v>
      </c>
      <c r="S52" s="72">
        <v>1</v>
      </c>
      <c r="T52" s="116">
        <v>6</v>
      </c>
      <c r="U52" s="7">
        <v>2</v>
      </c>
      <c r="V52" s="6">
        <v>12</v>
      </c>
      <c r="W52" s="111">
        <v>3.3093549323852472E-2</v>
      </c>
      <c r="X52" s="117">
        <v>105</v>
      </c>
      <c r="Y52" s="111">
        <v>1</v>
      </c>
      <c r="Z52" s="111">
        <v>1</v>
      </c>
      <c r="AA52" s="111">
        <v>1</v>
      </c>
      <c r="AB52" s="111">
        <v>3.4835315077739445E-2</v>
      </c>
      <c r="AC52" s="111">
        <v>0.17047733077321259</v>
      </c>
      <c r="AD52" s="111">
        <v>0.554848232920784</v>
      </c>
      <c r="AE52" s="111">
        <v>0</v>
      </c>
      <c r="AF52" s="111">
        <v>0.76016087877173599</v>
      </c>
      <c r="AG52" s="6" t="s">
        <v>219</v>
      </c>
      <c r="AH52" s="16">
        <v>63.625549371390676</v>
      </c>
      <c r="AI52" s="118">
        <v>2.141343441906038</v>
      </c>
      <c r="AJ52" s="108">
        <v>4.8938076315018444</v>
      </c>
      <c r="AK52" s="6">
        <v>1.103035675106268</v>
      </c>
      <c r="AL52" s="108">
        <v>5.3980444046538434</v>
      </c>
      <c r="AM52" s="118">
        <v>0.20462431013584137</v>
      </c>
      <c r="AN52" s="111">
        <v>1.26</v>
      </c>
      <c r="AO52" s="118">
        <v>0.98482544361510516</v>
      </c>
      <c r="AP52" s="108">
        <v>0.41287002235266124</v>
      </c>
      <c r="AQ52" s="6" t="s">
        <v>219</v>
      </c>
      <c r="AR52" s="16">
        <v>127.25109874278135</v>
      </c>
      <c r="AS52" s="118">
        <v>4.282686883812076</v>
      </c>
      <c r="AT52" s="108">
        <v>15.927751239871647</v>
      </c>
      <c r="AU52" s="118">
        <v>1.1000000000000001</v>
      </c>
      <c r="AV52" s="108">
        <v>17.520526363858814</v>
      </c>
      <c r="AW52" s="6">
        <v>6.3307672739028931E-2</v>
      </c>
      <c r="AX52" s="111">
        <v>1.26</v>
      </c>
      <c r="AY52" s="111">
        <v>0.93930177446042051</v>
      </c>
      <c r="AZ52" s="113">
        <v>0.29857142939551851</v>
      </c>
      <c r="BA52" s="6" t="s">
        <v>219</v>
      </c>
      <c r="BB52" s="114">
        <v>127.25109874278135</v>
      </c>
      <c r="BC52" s="115">
        <v>146.98474585726137</v>
      </c>
      <c r="BD52" s="6" t="s">
        <v>219</v>
      </c>
      <c r="CA52" s="29"/>
      <c r="CB52" s="79"/>
      <c r="CC52" s="80"/>
      <c r="CD52" s="81"/>
      <c r="CE52" s="81"/>
      <c r="CF52" s="80"/>
      <c r="CG52" s="80"/>
      <c r="CH52" s="108"/>
      <c r="CI52" s="108"/>
      <c r="CJ52" s="16"/>
      <c r="CK52" s="108"/>
      <c r="CL52" s="80"/>
      <c r="CM52" s="82"/>
      <c r="CN52" s="82"/>
      <c r="CO52" s="82"/>
      <c r="CP52" s="82"/>
      <c r="CQ52" s="82"/>
      <c r="CR52" s="82"/>
      <c r="CS52" s="72"/>
      <c r="CT52" s="72"/>
      <c r="CU52" s="6"/>
      <c r="CV52" s="6"/>
      <c r="CW52" s="111"/>
      <c r="CX52" s="111"/>
      <c r="CY52" s="111"/>
      <c r="CZ52" s="111"/>
      <c r="DA52" s="111"/>
      <c r="DB52" s="111"/>
      <c r="DC52" s="111"/>
      <c r="DD52" s="111"/>
      <c r="DE52" s="111"/>
      <c r="DF52" s="111"/>
      <c r="DG52" s="6"/>
      <c r="DH52" s="6"/>
      <c r="DI52" s="6"/>
      <c r="DJ52" s="6"/>
      <c r="DK52" s="6"/>
      <c r="DL52" s="6"/>
      <c r="DM52" s="112"/>
      <c r="DN52" s="112"/>
      <c r="DO52" s="112"/>
      <c r="DP52" s="112"/>
      <c r="DQ52" s="112"/>
      <c r="DR52" s="112"/>
      <c r="DS52" s="112"/>
      <c r="DT52" s="112"/>
      <c r="DU52" s="112"/>
      <c r="DV52" s="112"/>
      <c r="DW52" s="6"/>
      <c r="DX52" s="6"/>
      <c r="DY52" s="6"/>
      <c r="DZ52" s="113"/>
      <c r="EA52" s="6"/>
      <c r="EB52" s="114"/>
      <c r="EC52" s="115"/>
      <c r="ED52" s="6"/>
      <c r="FA52" s="29"/>
    </row>
    <row r="53" spans="2:157" s="1" customFormat="1" ht="14.25" customHeight="1">
      <c r="B53" s="79" t="s">
        <v>175</v>
      </c>
      <c r="C53" s="80" t="s">
        <v>192</v>
      </c>
      <c r="D53" s="81">
        <v>0</v>
      </c>
      <c r="E53" s="81">
        <v>6</v>
      </c>
      <c r="F53" s="80">
        <v>273</v>
      </c>
      <c r="G53" s="80">
        <v>6.35</v>
      </c>
      <c r="H53" s="108">
        <v>53.19431074856206</v>
      </c>
      <c r="I53" s="16">
        <v>4730.4733077169503</v>
      </c>
      <c r="J53" s="16">
        <v>346.55482107816493</v>
      </c>
      <c r="K53" s="108">
        <v>9.4301739777164251</v>
      </c>
      <c r="L53" s="80" t="s">
        <v>216</v>
      </c>
      <c r="M53" s="82">
        <v>-52.533286395267048</v>
      </c>
      <c r="N53" s="82">
        <v>7.6801675491450991</v>
      </c>
      <c r="O53" s="82">
        <v>2.5503186986521955</v>
      </c>
      <c r="P53" s="82">
        <v>0</v>
      </c>
      <c r="Q53" s="82">
        <v>0</v>
      </c>
      <c r="R53" s="82">
        <v>0.24270063368963435</v>
      </c>
      <c r="S53" s="72">
        <v>1</v>
      </c>
      <c r="T53" s="116">
        <v>6</v>
      </c>
      <c r="U53" s="7">
        <v>2</v>
      </c>
      <c r="V53" s="6">
        <v>12</v>
      </c>
      <c r="W53" s="111">
        <v>4.2324574341026107E-2</v>
      </c>
      <c r="X53" s="117">
        <v>105</v>
      </c>
      <c r="Y53" s="111">
        <v>1</v>
      </c>
      <c r="Z53" s="111">
        <v>1</v>
      </c>
      <c r="AA53" s="111">
        <v>1</v>
      </c>
      <c r="AB53" s="111">
        <v>4.4552183516869598E-2</v>
      </c>
      <c r="AC53" s="111">
        <v>0</v>
      </c>
      <c r="AD53" s="111">
        <v>0</v>
      </c>
      <c r="AE53" s="111">
        <v>0</v>
      </c>
      <c r="AF53" s="111">
        <v>4.4552183516869598E-2</v>
      </c>
      <c r="AG53" s="6" t="s">
        <v>219</v>
      </c>
      <c r="AH53" s="16">
        <v>63.625549371390676</v>
      </c>
      <c r="AI53" s="118">
        <v>2.141343441906038</v>
      </c>
      <c r="AJ53" s="108">
        <v>0</v>
      </c>
      <c r="AK53" s="6">
        <v>1.2429328279046983</v>
      </c>
      <c r="AL53" s="108">
        <v>0</v>
      </c>
      <c r="AM53" s="118">
        <v>0.85917828633197524</v>
      </c>
      <c r="AN53" s="111">
        <v>1.26</v>
      </c>
      <c r="AO53" s="118">
        <v>0.98059269395617044</v>
      </c>
      <c r="AP53" s="108">
        <v>0.10751969236447187</v>
      </c>
      <c r="AQ53" s="6" t="s">
        <v>219</v>
      </c>
      <c r="AR53" s="16">
        <v>127.25109874278135</v>
      </c>
      <c r="AS53" s="118">
        <v>4.282686883812076</v>
      </c>
      <c r="AT53" s="108">
        <v>0</v>
      </c>
      <c r="AU53" s="118">
        <v>1.1358656558093962</v>
      </c>
      <c r="AV53" s="108">
        <v>0</v>
      </c>
      <c r="AW53" s="6">
        <v>0.41436301143650911</v>
      </c>
      <c r="AX53" s="111">
        <v>1.26</v>
      </c>
      <c r="AY53" s="111">
        <v>0.92237077582468163</v>
      </c>
      <c r="AZ53" s="113">
        <v>5.1854410458943116E-2</v>
      </c>
      <c r="BA53" s="6" t="s">
        <v>219</v>
      </c>
      <c r="BB53" s="114">
        <v>127.25109874278135</v>
      </c>
      <c r="BC53" s="115">
        <v>150</v>
      </c>
      <c r="BD53" s="6" t="s">
        <v>219</v>
      </c>
      <c r="CA53" s="29"/>
      <c r="CB53" s="79"/>
      <c r="CC53" s="80"/>
      <c r="CD53" s="81"/>
      <c r="CE53" s="81"/>
      <c r="CF53" s="80"/>
      <c r="CG53" s="80"/>
      <c r="CH53" s="108"/>
      <c r="CI53" s="108"/>
      <c r="CJ53" s="16"/>
      <c r="CK53" s="108"/>
      <c r="CL53" s="80"/>
      <c r="CM53" s="82"/>
      <c r="CN53" s="82"/>
      <c r="CO53" s="82"/>
      <c r="CP53" s="82"/>
      <c r="CQ53" s="82"/>
      <c r="CR53" s="82"/>
      <c r="CS53" s="72"/>
      <c r="CT53" s="72"/>
      <c r="CU53" s="6"/>
      <c r="CV53" s="6"/>
      <c r="CW53" s="111"/>
      <c r="CX53" s="111"/>
      <c r="CY53" s="111"/>
      <c r="CZ53" s="111"/>
      <c r="DA53" s="111"/>
      <c r="DB53" s="111"/>
      <c r="DC53" s="111"/>
      <c r="DD53" s="111"/>
      <c r="DE53" s="111"/>
      <c r="DF53" s="111"/>
      <c r="DG53" s="6"/>
      <c r="DH53" s="6"/>
      <c r="DI53" s="6"/>
      <c r="DJ53" s="6"/>
      <c r="DK53" s="6"/>
      <c r="DL53" s="6"/>
      <c r="DM53" s="112"/>
      <c r="DN53" s="112"/>
      <c r="DO53" s="112"/>
      <c r="DP53" s="112"/>
      <c r="DQ53" s="112"/>
      <c r="DR53" s="112"/>
      <c r="DS53" s="112"/>
      <c r="DT53" s="112"/>
      <c r="DU53" s="112"/>
      <c r="DV53" s="112"/>
      <c r="DW53" s="6"/>
      <c r="DX53" s="6"/>
      <c r="DY53" s="6"/>
      <c r="DZ53" s="113"/>
      <c r="EA53" s="6"/>
      <c r="EB53" s="114"/>
      <c r="EC53" s="115"/>
      <c r="ED53" s="6"/>
      <c r="FA53" s="29"/>
    </row>
    <row r="54" spans="2:157" s="1" customFormat="1" ht="14.25" customHeight="1">
      <c r="B54" s="79" t="s">
        <v>175</v>
      </c>
      <c r="C54" s="80" t="s">
        <v>192</v>
      </c>
      <c r="D54" s="81">
        <v>2.74</v>
      </c>
      <c r="E54" s="81">
        <v>6</v>
      </c>
      <c r="F54" s="80">
        <v>273</v>
      </c>
      <c r="G54" s="80">
        <v>6.35</v>
      </c>
      <c r="H54" s="108">
        <v>53.19431074856206</v>
      </c>
      <c r="I54" s="16">
        <v>4730.4733077169503</v>
      </c>
      <c r="J54" s="16">
        <v>346.55482107816493</v>
      </c>
      <c r="K54" s="108">
        <v>9.4301739777164251</v>
      </c>
      <c r="L54" s="80" t="s">
        <v>216</v>
      </c>
      <c r="M54" s="82">
        <v>-51.186026046535012</v>
      </c>
      <c r="N54" s="82">
        <v>7.6801675491450991</v>
      </c>
      <c r="O54" s="82">
        <v>2.5503186986521955</v>
      </c>
      <c r="P54" s="82">
        <v>-6.9929738717043195</v>
      </c>
      <c r="Q54" s="82">
        <v>-21.059019419755863</v>
      </c>
      <c r="R54" s="82">
        <v>0.24270063368963435</v>
      </c>
      <c r="S54" s="72">
        <v>1</v>
      </c>
      <c r="T54" s="116">
        <v>6</v>
      </c>
      <c r="U54" s="7">
        <v>2</v>
      </c>
      <c r="V54" s="6">
        <v>12</v>
      </c>
      <c r="W54" s="111">
        <v>4.123912500595913E-2</v>
      </c>
      <c r="X54" s="117">
        <v>105</v>
      </c>
      <c r="Y54" s="111">
        <v>1</v>
      </c>
      <c r="Z54" s="111">
        <v>1</v>
      </c>
      <c r="AA54" s="111">
        <v>1</v>
      </c>
      <c r="AB54" s="111">
        <v>4.3409605269430669E-2</v>
      </c>
      <c r="AC54" s="111">
        <v>9.1031053761986516E-2</v>
      </c>
      <c r="AD54" s="111">
        <v>0.27413583464559677</v>
      </c>
      <c r="AE54" s="111">
        <v>0</v>
      </c>
      <c r="AF54" s="111">
        <v>0.40857649367701399</v>
      </c>
      <c r="AG54" s="6" t="s">
        <v>219</v>
      </c>
      <c r="AH54" s="16">
        <v>63.625549371390676</v>
      </c>
      <c r="AI54" s="118">
        <v>2.141343441906038</v>
      </c>
      <c r="AJ54" s="108">
        <v>2.0970256052084206</v>
      </c>
      <c r="AK54" s="6">
        <v>1.1829860679164981</v>
      </c>
      <c r="AL54" s="108">
        <v>2.4807520750257241</v>
      </c>
      <c r="AM54" s="118">
        <v>0.34378385543823242</v>
      </c>
      <c r="AN54" s="111">
        <v>1.26</v>
      </c>
      <c r="AO54" s="118">
        <v>0.98109041065548042</v>
      </c>
      <c r="AP54" s="108">
        <v>0.28013109251878149</v>
      </c>
      <c r="AQ54" s="6" t="s">
        <v>219</v>
      </c>
      <c r="AR54" s="16">
        <v>127.25109874278135</v>
      </c>
      <c r="AS54" s="118">
        <v>4.282686883812076</v>
      </c>
      <c r="AT54" s="108">
        <v>6.3150962314473063</v>
      </c>
      <c r="AU54" s="118">
        <v>1.1000000000000001</v>
      </c>
      <c r="AV54" s="108">
        <v>6.9466058545920371</v>
      </c>
      <c r="AW54" s="6">
        <v>0.12270557135343552</v>
      </c>
      <c r="AX54" s="111">
        <v>1.26</v>
      </c>
      <c r="AY54" s="111">
        <v>0.92436164262192155</v>
      </c>
      <c r="AZ54" s="113">
        <v>0.10910116289333063</v>
      </c>
      <c r="BA54" s="6" t="s">
        <v>219</v>
      </c>
      <c r="BB54" s="114">
        <v>127.25109874278135</v>
      </c>
      <c r="BC54" s="115">
        <v>150</v>
      </c>
      <c r="BD54" s="6" t="s">
        <v>219</v>
      </c>
      <c r="CA54" s="29"/>
      <c r="CB54" s="79"/>
      <c r="CC54" s="80"/>
      <c r="CD54" s="81"/>
      <c r="CE54" s="81"/>
      <c r="CF54" s="80"/>
      <c r="CG54" s="80"/>
      <c r="CH54" s="108"/>
      <c r="CI54" s="108"/>
      <c r="CJ54" s="16"/>
      <c r="CK54" s="108"/>
      <c r="CL54" s="80"/>
      <c r="CM54" s="82"/>
      <c r="CN54" s="82"/>
      <c r="CO54" s="82"/>
      <c r="CP54" s="82"/>
      <c r="CQ54" s="82"/>
      <c r="CR54" s="82"/>
      <c r="CS54" s="72"/>
      <c r="CT54" s="72"/>
      <c r="CU54" s="6"/>
      <c r="CV54" s="6"/>
      <c r="CW54" s="111"/>
      <c r="CX54" s="111"/>
      <c r="CY54" s="111"/>
      <c r="CZ54" s="111"/>
      <c r="DA54" s="111"/>
      <c r="DB54" s="111"/>
      <c r="DC54" s="111"/>
      <c r="DD54" s="111"/>
      <c r="DE54" s="111"/>
      <c r="DF54" s="111"/>
      <c r="DG54" s="6"/>
      <c r="DH54" s="6"/>
      <c r="DI54" s="6"/>
      <c r="DJ54" s="6"/>
      <c r="DK54" s="6"/>
      <c r="DL54" s="6"/>
      <c r="DM54" s="112"/>
      <c r="DN54" s="112"/>
      <c r="DO54" s="112"/>
      <c r="DP54" s="112"/>
      <c r="DQ54" s="112"/>
      <c r="DR54" s="112"/>
      <c r="DS54" s="112"/>
      <c r="DT54" s="112"/>
      <c r="DU54" s="112"/>
      <c r="DV54" s="112"/>
      <c r="DW54" s="6"/>
      <c r="DX54" s="6"/>
      <c r="DY54" s="6"/>
      <c r="DZ54" s="113"/>
      <c r="EA54" s="6"/>
      <c r="EB54" s="114"/>
      <c r="EC54" s="115"/>
      <c r="ED54" s="6"/>
      <c r="FA54" s="29"/>
    </row>
    <row r="55" spans="2:157" s="1" customFormat="1" ht="14.25" customHeight="1">
      <c r="B55" s="79" t="s">
        <v>175</v>
      </c>
      <c r="C55" s="80" t="s">
        <v>192</v>
      </c>
      <c r="D55" s="81">
        <v>5.48</v>
      </c>
      <c r="E55" s="81">
        <v>6</v>
      </c>
      <c r="F55" s="80">
        <v>273</v>
      </c>
      <c r="G55" s="80">
        <v>6.35</v>
      </c>
      <c r="H55" s="108">
        <v>53.19431074856206</v>
      </c>
      <c r="I55" s="16">
        <v>4730.4733077169503</v>
      </c>
      <c r="J55" s="16">
        <v>346.55482107816493</v>
      </c>
      <c r="K55" s="108">
        <v>9.4301739777164251</v>
      </c>
      <c r="L55" s="80" t="s">
        <v>216</v>
      </c>
      <c r="M55" s="82">
        <v>-49.838765697802984</v>
      </c>
      <c r="N55" s="82">
        <v>7.6801675491450991</v>
      </c>
      <c r="O55" s="82">
        <v>2.5503186986521955</v>
      </c>
      <c r="P55" s="82">
        <v>-13.985947743408639</v>
      </c>
      <c r="Q55" s="82">
        <v>-42.118038839511726</v>
      </c>
      <c r="R55" s="82">
        <v>0.24270063368963435</v>
      </c>
      <c r="S55" s="72">
        <v>1</v>
      </c>
      <c r="T55" s="116">
        <v>6</v>
      </c>
      <c r="U55" s="7">
        <v>2</v>
      </c>
      <c r="V55" s="6">
        <v>12</v>
      </c>
      <c r="W55" s="111">
        <v>4.0153675670892154E-2</v>
      </c>
      <c r="X55" s="117">
        <v>105</v>
      </c>
      <c r="Y55" s="111">
        <v>1</v>
      </c>
      <c r="Z55" s="111">
        <v>1</v>
      </c>
      <c r="AA55" s="111">
        <v>1</v>
      </c>
      <c r="AB55" s="111">
        <v>4.226702702199174E-2</v>
      </c>
      <c r="AC55" s="111">
        <v>0.18206210752397303</v>
      </c>
      <c r="AD55" s="111">
        <v>0.54827166929119353</v>
      </c>
      <c r="AE55" s="111">
        <v>0</v>
      </c>
      <c r="AF55" s="111">
        <v>0.77260080383715835</v>
      </c>
      <c r="AG55" s="6" t="s">
        <v>219</v>
      </c>
      <c r="AH55" s="16">
        <v>63.625549371390676</v>
      </c>
      <c r="AI55" s="118">
        <v>2.141343441906038</v>
      </c>
      <c r="AJ55" s="108">
        <v>4.3074263876956662</v>
      </c>
      <c r="AK55" s="6">
        <v>1.1197983009877661</v>
      </c>
      <c r="AL55" s="108">
        <v>4.8234487505714778</v>
      </c>
      <c r="AM55" s="118">
        <v>0.22306784987449646</v>
      </c>
      <c r="AN55" s="111">
        <v>1.26</v>
      </c>
      <c r="AO55" s="118">
        <v>0.9815881273547904</v>
      </c>
      <c r="AP55" s="108">
        <v>0.41426449922359354</v>
      </c>
      <c r="AQ55" s="6" t="s">
        <v>219</v>
      </c>
      <c r="AR55" s="16">
        <v>127.25109874278135</v>
      </c>
      <c r="AS55" s="118">
        <v>4.282686883812076</v>
      </c>
      <c r="AT55" s="108">
        <v>12.971616598582271</v>
      </c>
      <c r="AU55" s="118">
        <v>1.1000000000000001</v>
      </c>
      <c r="AV55" s="108">
        <v>14.268778258440499</v>
      </c>
      <c r="AW55" s="6">
        <v>7.5279422104358673E-2</v>
      </c>
      <c r="AX55" s="111">
        <v>1.26</v>
      </c>
      <c r="AY55" s="111">
        <v>0.92635250941916158</v>
      </c>
      <c r="AZ55" s="113">
        <v>0.28025014888534328</v>
      </c>
      <c r="BA55" s="6" t="s">
        <v>219</v>
      </c>
      <c r="BB55" s="114">
        <v>127.25109874278135</v>
      </c>
      <c r="BC55" s="115">
        <v>146.31188775859812</v>
      </c>
      <c r="BD55" s="6" t="s">
        <v>219</v>
      </c>
      <c r="CA55" s="29"/>
      <c r="CB55" s="79"/>
      <c r="CC55" s="80"/>
      <c r="CD55" s="81"/>
      <c r="CE55" s="81"/>
      <c r="CF55" s="80"/>
      <c r="CG55" s="80"/>
      <c r="CH55" s="108"/>
      <c r="CI55" s="108"/>
      <c r="CJ55" s="16"/>
      <c r="CK55" s="108"/>
      <c r="CL55" s="80"/>
      <c r="CM55" s="82"/>
      <c r="CN55" s="82"/>
      <c r="CO55" s="82"/>
      <c r="CP55" s="82"/>
      <c r="CQ55" s="82"/>
      <c r="CR55" s="82"/>
      <c r="CS55" s="72"/>
      <c r="CT55" s="72"/>
      <c r="CU55" s="6"/>
      <c r="CV55" s="6"/>
      <c r="CW55" s="111"/>
      <c r="CX55" s="111"/>
      <c r="CY55" s="111"/>
      <c r="CZ55" s="111"/>
      <c r="DA55" s="111"/>
      <c r="DB55" s="111"/>
      <c r="DC55" s="111"/>
      <c r="DD55" s="111"/>
      <c r="DE55" s="111"/>
      <c r="DF55" s="111"/>
      <c r="DG55" s="6"/>
      <c r="DH55" s="6"/>
      <c r="DI55" s="6"/>
      <c r="DJ55" s="6"/>
      <c r="DK55" s="6"/>
      <c r="DL55" s="6"/>
      <c r="DM55" s="112"/>
      <c r="DN55" s="112"/>
      <c r="DO55" s="112"/>
      <c r="DP55" s="112"/>
      <c r="DQ55" s="112"/>
      <c r="DR55" s="112"/>
      <c r="DS55" s="112"/>
      <c r="DT55" s="112"/>
      <c r="DU55" s="112"/>
      <c r="DV55" s="112"/>
      <c r="DW55" s="6"/>
      <c r="DX55" s="6"/>
      <c r="DY55" s="6"/>
      <c r="DZ55" s="113"/>
      <c r="EA55" s="6"/>
      <c r="EB55" s="114"/>
      <c r="EC55" s="115"/>
      <c r="ED55" s="6"/>
      <c r="FA55" s="29"/>
    </row>
    <row r="56" spans="2:157" s="1" customFormat="1" ht="14.25" customHeight="1">
      <c r="B56" s="79" t="s">
        <v>175</v>
      </c>
      <c r="C56" s="80" t="s">
        <v>192</v>
      </c>
      <c r="D56" s="81">
        <v>0</v>
      </c>
      <c r="E56" s="81">
        <v>6</v>
      </c>
      <c r="F56" s="80">
        <v>273</v>
      </c>
      <c r="G56" s="80">
        <v>6.35</v>
      </c>
      <c r="H56" s="108">
        <v>53.19431074856206</v>
      </c>
      <c r="I56" s="16">
        <v>4730.4733077169503</v>
      </c>
      <c r="J56" s="16">
        <v>346.55482107816493</v>
      </c>
      <c r="K56" s="108">
        <v>9.4301739777164251</v>
      </c>
      <c r="L56" s="80" t="s">
        <v>217</v>
      </c>
      <c r="M56" s="82">
        <v>-12.204391737675857</v>
      </c>
      <c r="N56" s="82">
        <v>0.56003964940049611</v>
      </c>
      <c r="O56" s="82">
        <v>7.7282578522610473E-2</v>
      </c>
      <c r="P56" s="82">
        <v>0</v>
      </c>
      <c r="Q56" s="82">
        <v>0</v>
      </c>
      <c r="R56" s="82">
        <v>-3.4266119388756393E-2</v>
      </c>
      <c r="S56" s="72">
        <v>1</v>
      </c>
      <c r="T56" s="116">
        <v>6</v>
      </c>
      <c r="U56" s="7">
        <v>2</v>
      </c>
      <c r="V56" s="6">
        <v>12</v>
      </c>
      <c r="W56" s="111">
        <v>9.8327312230518382E-3</v>
      </c>
      <c r="X56" s="117">
        <v>105</v>
      </c>
      <c r="Y56" s="111">
        <v>1</v>
      </c>
      <c r="Z56" s="111">
        <v>1</v>
      </c>
      <c r="AA56" s="111">
        <v>1</v>
      </c>
      <c r="AB56" s="111">
        <v>1.0350243392686146E-2</v>
      </c>
      <c r="AC56" s="111">
        <v>0</v>
      </c>
      <c r="AD56" s="111">
        <v>0</v>
      </c>
      <c r="AE56" s="111">
        <v>0</v>
      </c>
      <c r="AF56" s="111">
        <v>1.0350243392686146E-2</v>
      </c>
      <c r="AG56" s="6" t="s">
        <v>219</v>
      </c>
      <c r="AH56" s="16">
        <v>63.625549371390676</v>
      </c>
      <c r="AI56" s="118">
        <v>2.141343441906038</v>
      </c>
      <c r="AJ56" s="108">
        <v>0</v>
      </c>
      <c r="AK56" s="6">
        <v>1.2429328279046983</v>
      </c>
      <c r="AL56" s="108">
        <v>0</v>
      </c>
      <c r="AM56" s="118">
        <v>0.85917828633197524</v>
      </c>
      <c r="AN56" s="111">
        <v>1.26</v>
      </c>
      <c r="AO56" s="118">
        <v>0.995491346881485</v>
      </c>
      <c r="AP56" s="108">
        <v>2.4978685613863162E-2</v>
      </c>
      <c r="AQ56" s="6" t="s">
        <v>219</v>
      </c>
      <c r="AR56" s="16">
        <v>127.25109874278135</v>
      </c>
      <c r="AS56" s="118">
        <v>4.282686883812076</v>
      </c>
      <c r="AT56" s="108">
        <v>0</v>
      </c>
      <c r="AU56" s="118">
        <v>1.1358656558093962</v>
      </c>
      <c r="AV56" s="108">
        <v>0</v>
      </c>
      <c r="AW56" s="6">
        <v>0.41436301143650911</v>
      </c>
      <c r="AX56" s="111">
        <v>1.26</v>
      </c>
      <c r="AY56" s="111">
        <v>0.98196538752594009</v>
      </c>
      <c r="AZ56" s="113">
        <v>1.2046677106882737E-2</v>
      </c>
      <c r="BA56" s="6" t="s">
        <v>219</v>
      </c>
      <c r="BB56" s="114">
        <v>127.25109874278135</v>
      </c>
      <c r="BC56" s="115">
        <v>150</v>
      </c>
      <c r="BD56" s="6" t="s">
        <v>219</v>
      </c>
      <c r="CA56" s="29"/>
      <c r="CB56" s="79"/>
      <c r="CC56" s="80"/>
      <c r="CD56" s="81"/>
      <c r="CE56" s="81"/>
      <c r="CF56" s="80"/>
      <c r="CG56" s="80"/>
      <c r="CH56" s="108"/>
      <c r="CI56" s="108"/>
      <c r="CJ56" s="16"/>
      <c r="CK56" s="108"/>
      <c r="CL56" s="80"/>
      <c r="CM56" s="82"/>
      <c r="CN56" s="82"/>
      <c r="CO56" s="82"/>
      <c r="CP56" s="82"/>
      <c r="CQ56" s="82"/>
      <c r="CR56" s="82"/>
      <c r="CS56" s="72"/>
      <c r="CT56" s="72"/>
      <c r="CU56" s="6"/>
      <c r="CV56" s="6"/>
      <c r="CW56" s="111"/>
      <c r="CX56" s="111"/>
      <c r="CY56" s="111"/>
      <c r="CZ56" s="111"/>
      <c r="DA56" s="111"/>
      <c r="DB56" s="111"/>
      <c r="DC56" s="111"/>
      <c r="DD56" s="111"/>
      <c r="DE56" s="111"/>
      <c r="DF56" s="111"/>
      <c r="DG56" s="6"/>
      <c r="DH56" s="6"/>
      <c r="DI56" s="6"/>
      <c r="DJ56" s="6"/>
      <c r="DK56" s="6"/>
      <c r="DL56" s="6"/>
      <c r="DM56" s="112"/>
      <c r="DN56" s="112"/>
      <c r="DO56" s="112"/>
      <c r="DP56" s="112"/>
      <c r="DQ56" s="112"/>
      <c r="DR56" s="112"/>
      <c r="DS56" s="112"/>
      <c r="DT56" s="112"/>
      <c r="DU56" s="112"/>
      <c r="DV56" s="112"/>
      <c r="DW56" s="6"/>
      <c r="DX56" s="6"/>
      <c r="DY56" s="6"/>
      <c r="DZ56" s="113"/>
      <c r="EA56" s="6"/>
      <c r="EB56" s="114"/>
      <c r="EC56" s="115"/>
      <c r="ED56" s="6"/>
      <c r="FA56" s="29"/>
    </row>
    <row r="57" spans="2:157" s="1" customFormat="1" ht="14.25" customHeight="1">
      <c r="B57" s="79" t="s">
        <v>175</v>
      </c>
      <c r="C57" s="80" t="s">
        <v>192</v>
      </c>
      <c r="D57" s="81">
        <v>2.74</v>
      </c>
      <c r="E57" s="81">
        <v>6</v>
      </c>
      <c r="F57" s="80">
        <v>273</v>
      </c>
      <c r="G57" s="80">
        <v>6.35</v>
      </c>
      <c r="H57" s="108">
        <v>53.19431074856206</v>
      </c>
      <c r="I57" s="16">
        <v>4730.4733077169503</v>
      </c>
      <c r="J57" s="16">
        <v>346.55482107816493</v>
      </c>
      <c r="K57" s="108">
        <v>9.4301739777164251</v>
      </c>
      <c r="L57" s="80" t="s">
        <v>217</v>
      </c>
      <c r="M57" s="82">
        <v>-10.857131388943824</v>
      </c>
      <c r="N57" s="82">
        <v>0.56003964940049611</v>
      </c>
      <c r="O57" s="82">
        <v>7.7282578522610473E-2</v>
      </c>
      <c r="P57" s="82">
        <v>-0.21190883030899796</v>
      </c>
      <c r="Q57" s="82">
        <v>-1.5356287186561595</v>
      </c>
      <c r="R57" s="82">
        <v>-3.4266119388756393E-2</v>
      </c>
      <c r="S57" s="72">
        <v>1</v>
      </c>
      <c r="T57" s="116">
        <v>6</v>
      </c>
      <c r="U57" s="7">
        <v>2</v>
      </c>
      <c r="V57" s="6">
        <v>12</v>
      </c>
      <c r="W57" s="111">
        <v>8.7472818879848601E-3</v>
      </c>
      <c r="X57" s="117">
        <v>105</v>
      </c>
      <c r="Y57" s="111">
        <v>1</v>
      </c>
      <c r="Z57" s="111">
        <v>1</v>
      </c>
      <c r="AA57" s="111">
        <v>1</v>
      </c>
      <c r="AB57" s="111">
        <v>9.2076651452472225E-3</v>
      </c>
      <c r="AC57" s="111">
        <v>2.7585236951266721E-3</v>
      </c>
      <c r="AD57" s="111">
        <v>1.9990050443641924E-2</v>
      </c>
      <c r="AE57" s="111">
        <v>0</v>
      </c>
      <c r="AF57" s="111">
        <v>3.1956239284015822E-2</v>
      </c>
      <c r="AG57" s="6" t="s">
        <v>219</v>
      </c>
      <c r="AH57" s="16">
        <v>63.625549371390676</v>
      </c>
      <c r="AI57" s="118">
        <v>2.141343441906038</v>
      </c>
      <c r="AJ57" s="108">
        <v>0.29958992335321361</v>
      </c>
      <c r="AK57" s="6">
        <v>1.2343685809133729</v>
      </c>
      <c r="AL57" s="108">
        <v>0.36980438854545244</v>
      </c>
      <c r="AM57" s="118">
        <v>0.68010348081588745</v>
      </c>
      <c r="AN57" s="111">
        <v>1.26</v>
      </c>
      <c r="AO57" s="118">
        <v>0.99598906358079509</v>
      </c>
      <c r="AP57" s="108">
        <v>3.9379675437740319E-2</v>
      </c>
      <c r="AQ57" s="6" t="s">
        <v>219</v>
      </c>
      <c r="AR57" s="16">
        <v>127.25109874278135</v>
      </c>
      <c r="AS57" s="118">
        <v>4.282686883812076</v>
      </c>
      <c r="AT57" s="108">
        <v>2.1710227433672813</v>
      </c>
      <c r="AU57" s="118">
        <v>1.1202926249157998</v>
      </c>
      <c r="AV57" s="108">
        <v>2.4321807679188323</v>
      </c>
      <c r="AW57" s="6">
        <v>0.22145630419254303</v>
      </c>
      <c r="AX57" s="111">
        <v>1.26</v>
      </c>
      <c r="AY57" s="111">
        <v>0.98395625432318012</v>
      </c>
      <c r="AZ57" s="113">
        <v>2.5851818757897903E-3</v>
      </c>
      <c r="BA57" s="6" t="s">
        <v>219</v>
      </c>
      <c r="BB57" s="114">
        <v>127.25109874278135</v>
      </c>
      <c r="BC57" s="115">
        <v>150</v>
      </c>
      <c r="BD57" s="6" t="s">
        <v>219</v>
      </c>
      <c r="CA57" s="29"/>
      <c r="CB57" s="79"/>
      <c r="CC57" s="80"/>
      <c r="CD57" s="81"/>
      <c r="CE57" s="81"/>
      <c r="CF57" s="80"/>
      <c r="CG57" s="80"/>
      <c r="CH57" s="108"/>
      <c r="CI57" s="108"/>
      <c r="CJ57" s="16"/>
      <c r="CK57" s="108"/>
      <c r="CL57" s="80"/>
      <c r="CM57" s="82"/>
      <c r="CN57" s="82"/>
      <c r="CO57" s="82"/>
      <c r="CP57" s="82"/>
      <c r="CQ57" s="82"/>
      <c r="CR57" s="82"/>
      <c r="CS57" s="72"/>
      <c r="CT57" s="72"/>
      <c r="CU57" s="6"/>
      <c r="CV57" s="6"/>
      <c r="CW57" s="111"/>
      <c r="CX57" s="111"/>
      <c r="CY57" s="111"/>
      <c r="CZ57" s="111"/>
      <c r="DA57" s="111"/>
      <c r="DB57" s="111"/>
      <c r="DC57" s="111"/>
      <c r="DD57" s="111"/>
      <c r="DE57" s="111"/>
      <c r="DF57" s="111"/>
      <c r="DG57" s="6"/>
      <c r="DH57" s="6"/>
      <c r="DI57" s="6"/>
      <c r="DJ57" s="6"/>
      <c r="DK57" s="6"/>
      <c r="DL57" s="6"/>
      <c r="DM57" s="112"/>
      <c r="DN57" s="112"/>
      <c r="DO57" s="112"/>
      <c r="DP57" s="112"/>
      <c r="DQ57" s="112"/>
      <c r="DR57" s="112"/>
      <c r="DS57" s="112"/>
      <c r="DT57" s="112"/>
      <c r="DU57" s="112"/>
      <c r="DV57" s="112"/>
      <c r="DW57" s="6"/>
      <c r="DX57" s="6"/>
      <c r="DY57" s="6"/>
      <c r="DZ57" s="113"/>
      <c r="EA57" s="6"/>
      <c r="EB57" s="114"/>
      <c r="EC57" s="115"/>
      <c r="ED57" s="6"/>
      <c r="FA57" s="29"/>
    </row>
    <row r="58" spans="2:157" s="1" customFormat="1" ht="14.25" customHeight="1">
      <c r="B58" s="79" t="s">
        <v>175</v>
      </c>
      <c r="C58" s="80" t="s">
        <v>192</v>
      </c>
      <c r="D58" s="81">
        <v>5.48</v>
      </c>
      <c r="E58" s="81">
        <v>6</v>
      </c>
      <c r="F58" s="80">
        <v>273</v>
      </c>
      <c r="G58" s="80">
        <v>6.35</v>
      </c>
      <c r="H58" s="108">
        <v>53.19431074856206</v>
      </c>
      <c r="I58" s="16">
        <v>4730.4733077169503</v>
      </c>
      <c r="J58" s="16">
        <v>346.55482107816493</v>
      </c>
      <c r="K58" s="108">
        <v>9.4301739777164251</v>
      </c>
      <c r="L58" s="80" t="s">
        <v>217</v>
      </c>
      <c r="M58" s="82">
        <v>-9.5098710402117934</v>
      </c>
      <c r="N58" s="82">
        <v>0.56003964940049611</v>
      </c>
      <c r="O58" s="82">
        <v>7.7282578522610473E-2</v>
      </c>
      <c r="P58" s="82">
        <v>-0.42381766061799592</v>
      </c>
      <c r="Q58" s="82">
        <v>-3.0712574373123189</v>
      </c>
      <c r="R58" s="82">
        <v>-3.4266119388756393E-2</v>
      </c>
      <c r="S58" s="72">
        <v>1</v>
      </c>
      <c r="T58" s="116">
        <v>6</v>
      </c>
      <c r="U58" s="7">
        <v>2</v>
      </c>
      <c r="V58" s="6">
        <v>12</v>
      </c>
      <c r="W58" s="111">
        <v>7.6618325529178863E-3</v>
      </c>
      <c r="X58" s="117">
        <v>105</v>
      </c>
      <c r="Y58" s="111">
        <v>1</v>
      </c>
      <c r="Z58" s="111">
        <v>1</v>
      </c>
      <c r="AA58" s="111">
        <v>1</v>
      </c>
      <c r="AB58" s="111">
        <v>8.0650868978083025E-3</v>
      </c>
      <c r="AC58" s="111">
        <v>5.5170473902533441E-3</v>
      </c>
      <c r="AD58" s="111">
        <v>3.9980100887283848E-2</v>
      </c>
      <c r="AE58" s="111">
        <v>0</v>
      </c>
      <c r="AF58" s="111">
        <v>5.3562235175345495E-2</v>
      </c>
      <c r="AG58" s="6" t="s">
        <v>219</v>
      </c>
      <c r="AH58" s="16">
        <v>63.625549371390676</v>
      </c>
      <c r="AI58" s="118">
        <v>2.141343441906038</v>
      </c>
      <c r="AJ58" s="108">
        <v>0.68406546143385116</v>
      </c>
      <c r="AK58" s="6">
        <v>1.2233777457297637</v>
      </c>
      <c r="AL58" s="108">
        <v>0.8368704621405354</v>
      </c>
      <c r="AM58" s="118">
        <v>0.55252569913864136</v>
      </c>
      <c r="AN58" s="111">
        <v>1.26</v>
      </c>
      <c r="AO58" s="118">
        <v>0.99648678028010507</v>
      </c>
      <c r="AP58" s="108">
        <v>5.199100009447831E-2</v>
      </c>
      <c r="AQ58" s="6" t="s">
        <v>219</v>
      </c>
      <c r="AR58" s="16">
        <v>127.25109874278135</v>
      </c>
      <c r="AS58" s="118">
        <v>4.282686883812076</v>
      </c>
      <c r="AT58" s="108">
        <v>4.9571816638638433</v>
      </c>
      <c r="AU58" s="118">
        <v>1.1003071415412382</v>
      </c>
      <c r="AV58" s="108">
        <v>5.4544223866666641</v>
      </c>
      <c r="AW58" s="6">
        <v>0.14303591847419739</v>
      </c>
      <c r="AX58" s="111">
        <v>1.26</v>
      </c>
      <c r="AY58" s="111">
        <v>0.98594712112042016</v>
      </c>
      <c r="AZ58" s="113">
        <v>1.7585732119825961E-2</v>
      </c>
      <c r="BA58" s="6" t="s">
        <v>219</v>
      </c>
      <c r="BB58" s="114">
        <v>127.25109874278135</v>
      </c>
      <c r="BC58" s="115">
        <v>150</v>
      </c>
      <c r="BD58" s="6" t="s">
        <v>219</v>
      </c>
      <c r="CA58" s="29"/>
      <c r="CB58" s="79"/>
      <c r="CC58" s="80"/>
      <c r="CD58" s="81"/>
      <c r="CE58" s="81"/>
      <c r="CF58" s="80"/>
      <c r="CG58" s="80"/>
      <c r="CH58" s="108"/>
      <c r="CI58" s="108"/>
      <c r="CJ58" s="16"/>
      <c r="CK58" s="108"/>
      <c r="CL58" s="80"/>
      <c r="CM58" s="82"/>
      <c r="CN58" s="82"/>
      <c r="CO58" s="82"/>
      <c r="CP58" s="82"/>
      <c r="CQ58" s="82"/>
      <c r="CR58" s="82"/>
      <c r="CS58" s="72"/>
      <c r="CT58" s="72"/>
      <c r="CU58" s="6"/>
      <c r="CV58" s="6"/>
      <c r="CW58" s="111"/>
      <c r="CX58" s="111"/>
      <c r="CY58" s="111"/>
      <c r="CZ58" s="111"/>
      <c r="DA58" s="111"/>
      <c r="DB58" s="111"/>
      <c r="DC58" s="111"/>
      <c r="DD58" s="111"/>
      <c r="DE58" s="111"/>
      <c r="DF58" s="111"/>
      <c r="DG58" s="6"/>
      <c r="DH58" s="6"/>
      <c r="DI58" s="6"/>
      <c r="DJ58" s="6"/>
      <c r="DK58" s="6"/>
      <c r="DL58" s="6"/>
      <c r="DM58" s="112"/>
      <c r="DN58" s="112"/>
      <c r="DO58" s="112"/>
      <c r="DP58" s="112"/>
      <c r="DQ58" s="112"/>
      <c r="DR58" s="112"/>
      <c r="DS58" s="112"/>
      <c r="DT58" s="112"/>
      <c r="DU58" s="112"/>
      <c r="DV58" s="112"/>
      <c r="DW58" s="6"/>
      <c r="DX58" s="6"/>
      <c r="DY58" s="6"/>
      <c r="DZ58" s="113"/>
      <c r="EA58" s="6"/>
      <c r="EB58" s="114"/>
      <c r="EC58" s="115"/>
      <c r="ED58" s="6"/>
      <c r="FA58" s="29"/>
    </row>
    <row r="59" spans="2:157" s="1" customFormat="1" ht="14.25" customHeight="1">
      <c r="B59" s="79" t="s">
        <v>175</v>
      </c>
      <c r="C59" s="80" t="s">
        <v>192</v>
      </c>
      <c r="D59" s="81">
        <v>0</v>
      </c>
      <c r="E59" s="81">
        <v>6</v>
      </c>
      <c r="F59" s="80">
        <v>273</v>
      </c>
      <c r="G59" s="80">
        <v>6.35</v>
      </c>
      <c r="H59" s="108">
        <v>53.19431074856206</v>
      </c>
      <c r="I59" s="16">
        <v>4730.4733077169503</v>
      </c>
      <c r="J59" s="16">
        <v>346.55482107816493</v>
      </c>
      <c r="K59" s="108">
        <v>9.4301739777164251</v>
      </c>
      <c r="L59" s="80" t="s">
        <v>218</v>
      </c>
      <c r="M59" s="82">
        <v>-2.5650554970766968</v>
      </c>
      <c r="N59" s="82">
        <v>0.66137631285054421</v>
      </c>
      <c r="O59" s="82">
        <v>-0.10122441827030342</v>
      </c>
      <c r="P59" s="82">
        <v>0</v>
      </c>
      <c r="Q59" s="82">
        <v>0</v>
      </c>
      <c r="R59" s="82">
        <v>-3.6010651372889832E-3</v>
      </c>
      <c r="S59" s="72">
        <v>1</v>
      </c>
      <c r="T59" s="116">
        <v>6</v>
      </c>
      <c r="U59" s="7">
        <v>2</v>
      </c>
      <c r="V59" s="6">
        <v>12</v>
      </c>
      <c r="W59" s="111">
        <v>2.0665922413081969E-3</v>
      </c>
      <c r="X59" s="117">
        <v>105</v>
      </c>
      <c r="Y59" s="111">
        <v>1</v>
      </c>
      <c r="Z59" s="111">
        <v>1</v>
      </c>
      <c r="AA59" s="111">
        <v>1</v>
      </c>
      <c r="AB59" s="111">
        <v>2.1753602540086282E-3</v>
      </c>
      <c r="AC59" s="111">
        <v>0</v>
      </c>
      <c r="AD59" s="111">
        <v>0</v>
      </c>
      <c r="AE59" s="111">
        <v>0</v>
      </c>
      <c r="AF59" s="111">
        <v>2.1753602540086282E-3</v>
      </c>
      <c r="AG59" s="6" t="s">
        <v>219</v>
      </c>
      <c r="AH59" s="16">
        <v>63.625549371390676</v>
      </c>
      <c r="AI59" s="118">
        <v>2.141343441906038</v>
      </c>
      <c r="AJ59" s="108">
        <v>0</v>
      </c>
      <c r="AK59" s="6">
        <v>1.2429328279046983</v>
      </c>
      <c r="AL59" s="108">
        <v>0</v>
      </c>
      <c r="AM59" s="118">
        <v>0.85917828633197524</v>
      </c>
      <c r="AN59" s="111">
        <v>1.26</v>
      </c>
      <c r="AO59" s="118">
        <v>0.99905239476783125</v>
      </c>
      <c r="AP59" s="108">
        <v>5.2498900576745822E-3</v>
      </c>
      <c r="AQ59" s="6" t="s">
        <v>219</v>
      </c>
      <c r="AR59" s="16">
        <v>127.25109874278135</v>
      </c>
      <c r="AS59" s="118">
        <v>4.282686883812076</v>
      </c>
      <c r="AT59" s="108">
        <v>0</v>
      </c>
      <c r="AU59" s="118">
        <v>1.1358656558093962</v>
      </c>
      <c r="AV59" s="108">
        <v>0</v>
      </c>
      <c r="AW59" s="6">
        <v>0.41436301143650911</v>
      </c>
      <c r="AX59" s="111">
        <v>1.26</v>
      </c>
      <c r="AY59" s="111">
        <v>0.99620957907132501</v>
      </c>
      <c r="AZ59" s="113">
        <v>2.5319078573269459E-3</v>
      </c>
      <c r="BA59" s="6" t="s">
        <v>219</v>
      </c>
      <c r="BB59" s="114">
        <v>127.25109874278135</v>
      </c>
      <c r="BC59" s="115">
        <v>150</v>
      </c>
      <c r="BD59" s="6" t="s">
        <v>219</v>
      </c>
      <c r="CA59" s="29"/>
      <c r="CB59" s="79"/>
      <c r="CC59" s="80"/>
      <c r="CD59" s="81"/>
      <c r="CE59" s="81"/>
      <c r="CF59" s="80"/>
      <c r="CG59" s="80"/>
      <c r="CH59" s="108"/>
      <c r="CI59" s="108"/>
      <c r="CJ59" s="16"/>
      <c r="CK59" s="108"/>
      <c r="CL59" s="80"/>
      <c r="CM59" s="82"/>
      <c r="CN59" s="82"/>
      <c r="CO59" s="82"/>
      <c r="CP59" s="82"/>
      <c r="CQ59" s="82"/>
      <c r="CR59" s="82"/>
      <c r="CS59" s="72"/>
      <c r="CT59" s="72"/>
      <c r="CU59" s="6"/>
      <c r="CV59" s="6"/>
      <c r="CW59" s="111"/>
      <c r="CX59" s="111"/>
      <c r="CY59" s="111"/>
      <c r="CZ59" s="111"/>
      <c r="DA59" s="111"/>
      <c r="DB59" s="111"/>
      <c r="DC59" s="111"/>
      <c r="DD59" s="111"/>
      <c r="DE59" s="111"/>
      <c r="DF59" s="111"/>
      <c r="DG59" s="6"/>
      <c r="DH59" s="6"/>
      <c r="DI59" s="6"/>
      <c r="DJ59" s="6"/>
      <c r="DK59" s="6"/>
      <c r="DL59" s="6"/>
      <c r="DM59" s="112"/>
      <c r="DN59" s="112"/>
      <c r="DO59" s="112"/>
      <c r="DP59" s="112"/>
      <c r="DQ59" s="112"/>
      <c r="DR59" s="112"/>
      <c r="DS59" s="112"/>
      <c r="DT59" s="112"/>
      <c r="DU59" s="112"/>
      <c r="DV59" s="112"/>
      <c r="DW59" s="6"/>
      <c r="DX59" s="6"/>
      <c r="DY59" s="6"/>
      <c r="DZ59" s="113"/>
      <c r="EA59" s="6"/>
      <c r="EB59" s="114"/>
      <c r="EC59" s="115"/>
      <c r="ED59" s="6"/>
      <c r="FA59" s="29"/>
    </row>
    <row r="60" spans="2:157" s="1" customFormat="1" ht="14.25" customHeight="1">
      <c r="B60" s="79" t="s">
        <v>175</v>
      </c>
      <c r="C60" s="80" t="s">
        <v>192</v>
      </c>
      <c r="D60" s="81">
        <v>2.74</v>
      </c>
      <c r="E60" s="81">
        <v>6</v>
      </c>
      <c r="F60" s="80">
        <v>273</v>
      </c>
      <c r="G60" s="80">
        <v>6.35</v>
      </c>
      <c r="H60" s="108">
        <v>53.19431074856206</v>
      </c>
      <c r="I60" s="16">
        <v>4730.4733077169503</v>
      </c>
      <c r="J60" s="16">
        <v>346.55482107816493</v>
      </c>
      <c r="K60" s="108">
        <v>9.4301739777164251</v>
      </c>
      <c r="L60" s="80" t="s">
        <v>218</v>
      </c>
      <c r="M60" s="82">
        <v>-1.217795148344663</v>
      </c>
      <c r="N60" s="82">
        <v>0.66137631285054421</v>
      </c>
      <c r="O60" s="82">
        <v>-0.10122441827030342</v>
      </c>
      <c r="P60" s="82">
        <v>0.27755735489717209</v>
      </c>
      <c r="Q60" s="82">
        <v>-1.8134938498361926</v>
      </c>
      <c r="R60" s="82">
        <v>-3.6010651372889832E-3</v>
      </c>
      <c r="S60" s="72">
        <v>1</v>
      </c>
      <c r="T60" s="116">
        <v>6</v>
      </c>
      <c r="U60" s="7">
        <v>2</v>
      </c>
      <c r="V60" s="6">
        <v>12</v>
      </c>
      <c r="W60" s="111">
        <v>9.8114290624121917E-4</v>
      </c>
      <c r="X60" s="117">
        <v>105</v>
      </c>
      <c r="Y60" s="111">
        <v>1</v>
      </c>
      <c r="Z60" s="111">
        <v>1</v>
      </c>
      <c r="AA60" s="111">
        <v>1</v>
      </c>
      <c r="AB60" s="111">
        <v>1.0327820065697043E-3</v>
      </c>
      <c r="AC60" s="111">
        <v>3.6131035177915456E-3</v>
      </c>
      <c r="AD60" s="111">
        <v>2.3607160439916845E-2</v>
      </c>
      <c r="AE60" s="111">
        <v>0</v>
      </c>
      <c r="AF60" s="111">
        <v>2.8253045964278092E-2</v>
      </c>
      <c r="AG60" s="6" t="s">
        <v>219</v>
      </c>
      <c r="AH60" s="16">
        <v>63.625549371390676</v>
      </c>
      <c r="AI60" s="118">
        <v>2.141343441906038</v>
      </c>
      <c r="AJ60" s="108">
        <v>3.4984183446341737</v>
      </c>
      <c r="AK60" s="6">
        <v>1.142925062466251</v>
      </c>
      <c r="AL60" s="108">
        <v>3.9984300050740913</v>
      </c>
      <c r="AM60" s="118">
        <v>0.25386074185371399</v>
      </c>
      <c r="AN60" s="111">
        <v>1.26</v>
      </c>
      <c r="AO60" s="118">
        <v>0.99955011146714123</v>
      </c>
      <c r="AP60" s="108">
        <v>2.135452926890298E-2</v>
      </c>
      <c r="AQ60" s="6" t="s">
        <v>219</v>
      </c>
      <c r="AR60" s="16">
        <v>127.25109874278135</v>
      </c>
      <c r="AS60" s="118">
        <v>4.282686883812076</v>
      </c>
      <c r="AT60" s="108">
        <v>22.857834750942239</v>
      </c>
      <c r="AU60" s="118">
        <v>1.1000000000000001</v>
      </c>
      <c r="AV60" s="108">
        <v>25.143618226036466</v>
      </c>
      <c r="AW60" s="6">
        <v>5.5869251489639282E-2</v>
      </c>
      <c r="AX60" s="111">
        <v>1.26</v>
      </c>
      <c r="AY60" s="111">
        <v>0.99820044586856493</v>
      </c>
      <c r="AZ60" s="113">
        <v>1.4701317182989202E-2</v>
      </c>
      <c r="BA60" s="6" t="s">
        <v>219</v>
      </c>
      <c r="BB60" s="114">
        <v>127.25109874278135</v>
      </c>
      <c r="BC60" s="115">
        <v>150</v>
      </c>
      <c r="BD60" s="6" t="s">
        <v>219</v>
      </c>
      <c r="CA60" s="29"/>
      <c r="CB60" s="79"/>
      <c r="CC60" s="80"/>
      <c r="CD60" s="81"/>
      <c r="CE60" s="81"/>
      <c r="CF60" s="80"/>
      <c r="CG60" s="80"/>
      <c r="CH60" s="108"/>
      <c r="CI60" s="108"/>
      <c r="CJ60" s="16"/>
      <c r="CK60" s="108"/>
      <c r="CL60" s="80"/>
      <c r="CM60" s="82"/>
      <c r="CN60" s="82"/>
      <c r="CO60" s="82"/>
      <c r="CP60" s="82"/>
      <c r="CQ60" s="82"/>
      <c r="CR60" s="82"/>
      <c r="CS60" s="72"/>
      <c r="CT60" s="72"/>
      <c r="CU60" s="6"/>
      <c r="CV60" s="6"/>
      <c r="CW60" s="111"/>
      <c r="CX60" s="111"/>
      <c r="CY60" s="111"/>
      <c r="CZ60" s="111"/>
      <c r="DA60" s="111"/>
      <c r="DB60" s="111"/>
      <c r="DC60" s="111"/>
      <c r="DD60" s="111"/>
      <c r="DE60" s="111"/>
      <c r="DF60" s="111"/>
      <c r="DG60" s="6"/>
      <c r="DH60" s="6"/>
      <c r="DI60" s="6"/>
      <c r="DJ60" s="6"/>
      <c r="DK60" s="6"/>
      <c r="DL60" s="6"/>
      <c r="DM60" s="112"/>
      <c r="DN60" s="112"/>
      <c r="DO60" s="112"/>
      <c r="DP60" s="112"/>
      <c r="DQ60" s="112"/>
      <c r="DR60" s="112"/>
      <c r="DS60" s="112"/>
      <c r="DT60" s="112"/>
      <c r="DU60" s="112"/>
      <c r="DV60" s="112"/>
      <c r="DW60" s="6"/>
      <c r="DX60" s="6"/>
      <c r="DY60" s="6"/>
      <c r="DZ60" s="113"/>
      <c r="EA60" s="6"/>
      <c r="EB60" s="114"/>
      <c r="EC60" s="115"/>
      <c r="ED60" s="6"/>
      <c r="FA60" s="29"/>
    </row>
    <row r="61" spans="2:157" s="1" customFormat="1" ht="14.25" customHeight="1">
      <c r="B61" s="79" t="s">
        <v>175</v>
      </c>
      <c r="C61" s="80" t="s">
        <v>192</v>
      </c>
      <c r="D61" s="81">
        <v>5.48</v>
      </c>
      <c r="E61" s="81">
        <v>6</v>
      </c>
      <c r="F61" s="80">
        <v>273</v>
      </c>
      <c r="G61" s="80">
        <v>6.35</v>
      </c>
      <c r="H61" s="108">
        <v>53.19431074856206</v>
      </c>
      <c r="I61" s="16">
        <v>4730.4733077169503</v>
      </c>
      <c r="J61" s="16">
        <v>346.55482107816493</v>
      </c>
      <c r="K61" s="108">
        <v>9.4301739777164251</v>
      </c>
      <c r="L61" s="80" t="s">
        <v>218</v>
      </c>
      <c r="M61" s="82">
        <v>0.12946520038736706</v>
      </c>
      <c r="N61" s="82">
        <v>0.66137631285054421</v>
      </c>
      <c r="O61" s="82">
        <v>-0.10122441827030342</v>
      </c>
      <c r="P61" s="82">
        <v>0.55511470979434419</v>
      </c>
      <c r="Q61" s="82">
        <v>-3.6269876996723851</v>
      </c>
      <c r="R61" s="82">
        <v>-3.6010651372889832E-3</v>
      </c>
      <c r="S61" s="72">
        <v>1</v>
      </c>
      <c r="T61" s="116">
        <v>6</v>
      </c>
      <c r="U61" s="7">
        <v>2</v>
      </c>
      <c r="V61" s="6">
        <v>12</v>
      </c>
      <c r="W61" s="111">
        <v>1.0430642882575564E-4</v>
      </c>
      <c r="X61" s="117">
        <v>105</v>
      </c>
      <c r="Y61" s="111">
        <v>1</v>
      </c>
      <c r="Z61" s="111">
        <v>1</v>
      </c>
      <c r="AA61" s="111">
        <v>1</v>
      </c>
      <c r="AB61" s="111">
        <v>1.0979624086921646E-4</v>
      </c>
      <c r="AC61" s="111">
        <v>7.2262070355830913E-3</v>
      </c>
      <c r="AD61" s="111">
        <v>4.7214320879833689E-2</v>
      </c>
      <c r="AE61" s="111">
        <v>0</v>
      </c>
      <c r="AF61" s="111">
        <v>5.4550324156285995E-2</v>
      </c>
      <c r="AG61" s="6" t="s">
        <v>219</v>
      </c>
      <c r="AH61" s="16">
        <v>63.625549371390676</v>
      </c>
      <c r="AI61" s="118">
        <v>2.141343441906038</v>
      </c>
      <c r="AJ61" s="108">
        <v>65.814703475964819</v>
      </c>
      <c r="AK61" s="6">
        <v>1.1000000000000001</v>
      </c>
      <c r="AL61" s="108">
        <v>72.396173823561313</v>
      </c>
      <c r="AM61" s="118">
        <v>6.6434629261493683E-2</v>
      </c>
      <c r="AN61" s="111">
        <v>1.26</v>
      </c>
      <c r="AO61" s="118">
        <v>0.99995217183354879</v>
      </c>
      <c r="AP61" s="108">
        <v>7.7005948408400155E-3</v>
      </c>
      <c r="AQ61" s="6" t="s">
        <v>219</v>
      </c>
      <c r="AR61" s="16">
        <v>127.25109874278135</v>
      </c>
      <c r="AS61" s="118">
        <v>4.282686883812076</v>
      </c>
      <c r="AT61" s="108">
        <v>430.01764455736605</v>
      </c>
      <c r="AU61" s="118">
        <v>1.1000000000000001</v>
      </c>
      <c r="AV61" s="108">
        <v>473.01940901310269</v>
      </c>
      <c r="AW61" s="6">
        <v>5.5869251489639282E-2</v>
      </c>
      <c r="AX61" s="111">
        <v>1.26</v>
      </c>
      <c r="AY61" s="111">
        <v>0.99980868733419503</v>
      </c>
      <c r="AZ61" s="113">
        <v>3.5826157495183884E-2</v>
      </c>
      <c r="BA61" s="6" t="s">
        <v>219</v>
      </c>
      <c r="BB61" s="114">
        <v>127.25109874278135</v>
      </c>
      <c r="BC61" s="115">
        <v>150</v>
      </c>
      <c r="BD61" s="6" t="s">
        <v>219</v>
      </c>
      <c r="CA61" s="29"/>
      <c r="CB61" s="79"/>
      <c r="CC61" s="80"/>
      <c r="CD61" s="81"/>
      <c r="CE61" s="81"/>
      <c r="CF61" s="80"/>
      <c r="CG61" s="80"/>
      <c r="CH61" s="108"/>
      <c r="CI61" s="108"/>
      <c r="CJ61" s="16"/>
      <c r="CK61" s="108"/>
      <c r="CL61" s="80"/>
      <c r="CM61" s="82"/>
      <c r="CN61" s="82"/>
      <c r="CO61" s="82"/>
      <c r="CP61" s="82"/>
      <c r="CQ61" s="82"/>
      <c r="CR61" s="82"/>
      <c r="CS61" s="72"/>
      <c r="CT61" s="72"/>
      <c r="CU61" s="6"/>
      <c r="CV61" s="6"/>
      <c r="CW61" s="111"/>
      <c r="CX61" s="111"/>
      <c r="CY61" s="111"/>
      <c r="CZ61" s="111"/>
      <c r="DA61" s="111"/>
      <c r="DB61" s="111"/>
      <c r="DC61" s="111"/>
      <c r="DD61" s="111"/>
      <c r="DE61" s="111"/>
      <c r="DF61" s="111"/>
      <c r="DG61" s="6"/>
      <c r="DH61" s="6"/>
      <c r="DI61" s="6"/>
      <c r="DJ61" s="6"/>
      <c r="DK61" s="6"/>
      <c r="DL61" s="6"/>
      <c r="DM61" s="112"/>
      <c r="DN61" s="112"/>
      <c r="DO61" s="112"/>
      <c r="DP61" s="112"/>
      <c r="DQ61" s="112"/>
      <c r="DR61" s="112"/>
      <c r="DS61" s="112"/>
      <c r="DT61" s="112"/>
      <c r="DU61" s="112"/>
      <c r="DV61" s="112"/>
      <c r="DW61" s="6"/>
      <c r="DX61" s="6"/>
      <c r="DY61" s="6"/>
      <c r="DZ61" s="113"/>
      <c r="EA61" s="6"/>
      <c r="EB61" s="114"/>
      <c r="EC61" s="115"/>
      <c r="ED61" s="6"/>
      <c r="FA61" s="29"/>
    </row>
  </sheetData>
  <autoFilter ref="B23:BD61" xr:uid="{00000000-0009-0000-0000-000002000000}"/>
  <conditionalFormatting sqref="U47:U61 BD23:BD61 V23:X61 AG23:AM61 AO23:AW61 AZ23:BA61">
    <cfRule type="containsText" dxfId="6" priority="6" operator="containsText" text="Check">
      <formula>NOT(ISERROR(SEARCH("Check",U23)))</formula>
    </cfRule>
    <cfRule type="cellIs" dxfId="5" priority="7" operator="equal">
      <formula>"OK"</formula>
    </cfRule>
  </conditionalFormatting>
  <conditionalFormatting sqref="ED23:ED61 CU47:CV61 CW23:CX61 CV23:CV46 DG23:DM23 DG24:EA61 DO23:DW23 DZ23:EA23">
    <cfRule type="containsText" dxfId="4" priority="4" operator="containsText" text="Check">
      <formula>NOT(ISERROR(SEARCH("Check",CU23)))</formula>
    </cfRule>
    <cfRule type="cellIs" dxfId="3" priority="5" operator="equal">
      <formula>"OK"</formula>
    </cfRule>
  </conditionalFormatting>
  <conditionalFormatting sqref="AF23:AF61">
    <cfRule type="top10" dxfId="2" priority="3" rank="1"/>
  </conditionalFormatting>
  <conditionalFormatting sqref="AP23:AP61">
    <cfRule type="top10" dxfId="1" priority="2" rank="1"/>
  </conditionalFormatting>
  <conditionalFormatting sqref="AZ23:AZ61">
    <cfRule type="top10" dxfId="0" priority="1" rank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Data</vt:lpstr>
      <vt:lpstr>Cal</vt:lpstr>
      <vt:lpstr>Sheet1</vt:lpstr>
      <vt:lpstr>Cal!Print_Area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 Nguyen</dc:creator>
  <cp:lastModifiedBy>toan huynh vu minh</cp:lastModifiedBy>
  <cp:lastPrinted>2024-02-17T11:01:09Z</cp:lastPrinted>
  <dcterms:created xsi:type="dcterms:W3CDTF">2023-12-24T09:13:35Z</dcterms:created>
  <dcterms:modified xsi:type="dcterms:W3CDTF">2026-05-04T03:40:28Z</dcterms:modified>
</cp:coreProperties>
</file>