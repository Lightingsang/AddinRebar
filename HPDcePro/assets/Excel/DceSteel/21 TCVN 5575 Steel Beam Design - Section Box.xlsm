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C:\Users\DELL\Desktop\DceSteel\DceSteel\"/>
    </mc:Choice>
  </mc:AlternateContent>
  <bookViews>
    <workbookView xWindow="-120" yWindow="-120" windowWidth="29040" windowHeight="15720" activeTab="1"/>
  </bookViews>
  <sheets>
    <sheet name="Data" sheetId="1" r:id="rId1"/>
    <sheet name="Cal" sheetId="6" r:id="rId2"/>
  </sheets>
  <functionGroups builtInGroupCount="18"/>
  <definedNames>
    <definedName name="_xlnm._FilterDatabase" localSheetId="1" hidden="1">Cal!$AA$11:$BM$14166</definedName>
    <definedName name="_xlnm.Print_Area" localSheetId="1">Cal!$B$11:$N$30</definedName>
    <definedName name="_xlnm.Print_Area" localSheetId="0">Data!$B$1:$N$16</definedName>
    <definedName name="SLSLOADCASE">#REF!</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4" i="6" l="1"/>
  <c r="C24" i="6"/>
  <c r="D46" i="1"/>
  <c r="D45" i="1"/>
  <c r="D44" i="1"/>
  <c r="D43" i="1"/>
  <c r="D42" i="1"/>
  <c r="D41" i="1"/>
  <c r="D40" i="1"/>
  <c r="D39" i="1"/>
  <c r="D38" i="1"/>
  <c r="D37" i="1"/>
  <c r="D36" i="1"/>
  <c r="D35" i="1"/>
  <c r="D34" i="1"/>
  <c r="D33" i="1"/>
  <c r="D32" i="1"/>
  <c r="D31" i="1"/>
  <c r="D30" i="1"/>
  <c r="D29" i="1"/>
  <c r="D28" i="1"/>
  <c r="D27" i="1"/>
  <c r="D26" i="1"/>
  <c r="D25" i="1"/>
  <c r="D24" i="1"/>
  <c r="D23" i="1"/>
  <c r="D22" i="1"/>
  <c r="D21" i="1"/>
  <c r="D20" i="1"/>
  <c r="DB15" i="6" l="1"/>
  <c r="DC17" i="6"/>
  <c r="DC16" i="6"/>
  <c r="Z11" i="6"/>
  <c r="AM23" i="6"/>
  <c r="AJ23" i="6"/>
  <c r="AL23" i="6" s="1"/>
  <c r="AI23" i="6"/>
  <c r="AK23" i="6" s="1"/>
  <c r="AH23" i="6"/>
  <c r="DF15" i="6"/>
  <c r="DF17" i="6" s="1"/>
  <c r="DF14" i="6"/>
  <c r="EB15" i="6" l="1"/>
  <c r="AZ23" i="6"/>
  <c r="DF16" i="6"/>
  <c r="N24" i="6"/>
  <c r="K24" i="6"/>
  <c r="M24" i="6" s="1"/>
  <c r="J24" i="6"/>
  <c r="L24" i="6" s="1"/>
  <c r="I24" i="6"/>
  <c r="L42" i="6" l="1"/>
  <c r="EB14" i="6"/>
  <c r="EB16" i="6"/>
  <c r="CV20" i="6"/>
  <c r="CW20" i="6"/>
  <c r="CX20" i="6" l="1"/>
  <c r="AF15" i="6"/>
  <c r="AF14" i="6"/>
  <c r="AF17" i="6" l="1"/>
  <c r="BB15" i="6" s="1"/>
  <c r="AW23" i="6" l="1"/>
  <c r="AU23" i="6"/>
  <c r="E24" i="6"/>
  <c r="L45" i="6" s="1"/>
  <c r="F24" i="6"/>
  <c r="L41" i="6" s="1"/>
  <c r="AF16" i="6"/>
  <c r="AV23" i="6" l="1"/>
  <c r="AX23" i="6" s="1"/>
  <c r="L34" i="6"/>
  <c r="L36" i="6"/>
  <c r="L37" i="6"/>
  <c r="L35" i="6"/>
  <c r="BA23" i="6"/>
  <c r="BB16" i="6"/>
  <c r="BB14" i="6"/>
  <c r="L38" i="6" l="1"/>
  <c r="AY23" i="6"/>
  <c r="BB23" i="6"/>
  <c r="BC23" i="6" s="1"/>
  <c r="L39" i="6" l="1"/>
  <c r="N39" i="6" s="1"/>
  <c r="L46" i="6"/>
  <c r="L47" i="6" s="1"/>
  <c r="L48" i="6" s="1"/>
  <c r="L43" i="6"/>
  <c r="N43" i="6" s="1"/>
  <c r="BD23" i="6"/>
  <c r="CX22" i="6" a="1"/>
  <c r="N48" i="6" l="1"/>
  <c r="CX22" i="6"/>
  <c r="CY22" i="6" s="1"/>
  <c r="BE23" i="6"/>
</calcChain>
</file>

<file path=xl/comments1.xml><?xml version="1.0" encoding="utf-8"?>
<comments xmlns="http://schemas.openxmlformats.org/spreadsheetml/2006/main">
  <authors>
    <author>DELL</author>
  </authors>
  <commentList>
    <comment ref="Z11" authorId="0" shapeId="0">
      <text>
        <r>
          <rPr>
            <b/>
            <sz val="9"/>
            <color indexed="81"/>
            <rFont val="Tahoma"/>
            <charset val="1"/>
          </rPr>
          <t>HVMT:
Cấm xóa</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<sst xmlns="http://schemas.openxmlformats.org/spreadsheetml/2006/main" count="315" uniqueCount="167">
  <si>
    <t>(Theo TCVN 5575-20xx)</t>
  </si>
  <si>
    <t>YÊU CẦU CHUNG - TÍNH TOÁN CẤU KIỆN CHỊU UỐN</t>
  </si>
  <si>
    <r>
      <t>Tùy thuộc vào công năng sử dụng và điều kiện sử dụng của kết cấu, việc tính toán cấu kiện chịu uốn (dầm) cần được thực hiện không kể đến hoặc có thể kể đến biến dạng dẻo phù hợp với phân chia cấu kiện thành ba cấp theo mục 4.2.7 TCVN 5575-20xx.
 - Dầm cấp 1: Được sử dụng đối với tất cả các loại tải trọng và được tính toán trong giới hạn biến dạng đàn hồi.
 - Dầm cấp 2 và 3: Được sử dụng đối với tải trọng tĩnh và được tính toán có kể đến sự phát triển biến dạng dẻo.
 - Dầm đỡ cầu trục thuộc các nhóm chế độ làm việc từ A1 đến A8 theo TCVN 8590-1:2010 Khi tính toán độ bền cần được xếp vào cấp 1.
 - Dầm hai loại thép cần được xếp vào cấp 2 và được tính toán có kể đến biến dạng dẻo hạn chế trong ban bụng. Giá trị biến dạng dẻo hạn chế cần được xác định tại thời điểm khi ứng suất đạt tới cường độ tính toán f</t>
    </r>
    <r>
      <rPr>
        <vertAlign val="subscript"/>
        <sz val="10"/>
        <color theme="1"/>
        <rFont val="Calibri"/>
        <family val="2"/>
        <scheme val="minor"/>
      </rPr>
      <t>yf</t>
    </r>
    <r>
      <rPr>
        <sz val="10"/>
        <color theme="1"/>
        <rFont val="Calibri"/>
        <family val="2"/>
        <scheme val="minor"/>
      </rPr>
      <t xml:space="preserve"> trong các bản cánh làm bằng thép có cường độ cao hơn cường độ của thép làm bản bụng. </t>
    </r>
  </si>
  <si>
    <t>A. THÔNG TIN THIẾT KẾ</t>
  </si>
  <si>
    <t>Chiều cao tiết diện</t>
  </si>
  <si>
    <t xml:space="preserve">Nhịp tính toán </t>
  </si>
  <si>
    <t>mm</t>
  </si>
  <si>
    <t>Mac Thép</t>
  </si>
  <si>
    <r>
      <t xml:space="preserve">S235 </t>
    </r>
    <r>
      <rPr>
        <sz val="10"/>
        <color theme="1"/>
        <rFont val="Calibri"/>
        <family val="2"/>
      </rPr>
      <t>≤ 40</t>
    </r>
  </si>
  <si>
    <r>
      <t xml:space="preserve">S235 </t>
    </r>
    <r>
      <rPr>
        <sz val="10"/>
        <color theme="1"/>
        <rFont val="Calibri"/>
        <family val="2"/>
      </rPr>
      <t>≤ 16</t>
    </r>
  </si>
  <si>
    <r>
      <t xml:space="preserve">S235 </t>
    </r>
    <r>
      <rPr>
        <sz val="10"/>
        <color theme="1"/>
        <rFont val="Calibri"/>
        <family val="2"/>
      </rPr>
      <t>≤ 63</t>
    </r>
  </si>
  <si>
    <r>
      <t xml:space="preserve">S235 </t>
    </r>
    <r>
      <rPr>
        <sz val="10"/>
        <color theme="1"/>
        <rFont val="Calibri"/>
        <family val="2"/>
      </rPr>
      <t xml:space="preserve">≤ </t>
    </r>
    <r>
      <rPr>
        <sz val="10"/>
        <color theme="1"/>
        <rFont val="Calibri"/>
        <family val="2"/>
        <scheme val="minor"/>
      </rPr>
      <t>80</t>
    </r>
  </si>
  <si>
    <r>
      <t xml:space="preserve">S235 </t>
    </r>
    <r>
      <rPr>
        <sz val="10"/>
        <color theme="1"/>
        <rFont val="Calibri"/>
        <family val="2"/>
      </rPr>
      <t>≤ 100</t>
    </r>
  </si>
  <si>
    <t>S275 ≤ 16</t>
  </si>
  <si>
    <t>S275 ≤ 40</t>
  </si>
  <si>
    <t>S275 ≤ 63</t>
  </si>
  <si>
    <t>S275 ≤ 80</t>
  </si>
  <si>
    <t>S275 ≤ 100</t>
  </si>
  <si>
    <t>S355 ≤ 16</t>
  </si>
  <si>
    <t>S355 ≤ 40</t>
  </si>
  <si>
    <t>S355 ≤ 63</t>
  </si>
  <si>
    <t>S355 ≤ 80</t>
  </si>
  <si>
    <t>S355 ≤ 100</t>
  </si>
  <si>
    <t>E</t>
  </si>
  <si>
    <t>Mpa</t>
  </si>
  <si>
    <r>
      <t>f</t>
    </r>
    <r>
      <rPr>
        <vertAlign val="subscript"/>
        <sz val="10"/>
        <color theme="1"/>
        <rFont val="Calibri"/>
        <family val="2"/>
        <scheme val="minor"/>
      </rPr>
      <t>y</t>
    </r>
  </si>
  <si>
    <t>Mác Thép</t>
  </si>
  <si>
    <r>
      <rPr>
        <sz val="10"/>
        <color theme="1"/>
        <rFont val="Symbol"/>
        <family val="1"/>
        <charset val="2"/>
      </rPr>
      <t xml:space="preserve"> g</t>
    </r>
    <r>
      <rPr>
        <vertAlign val="subscript"/>
        <sz val="10"/>
        <color theme="1"/>
        <rFont val="Calibri"/>
        <family val="2"/>
      </rPr>
      <t>m</t>
    </r>
  </si>
  <si>
    <r>
      <t>f</t>
    </r>
    <r>
      <rPr>
        <vertAlign val="subscript"/>
        <sz val="10"/>
        <color theme="1"/>
        <rFont val="Calibri"/>
        <family val="2"/>
        <scheme val="minor"/>
      </rPr>
      <t>v</t>
    </r>
  </si>
  <si>
    <t>1. Kích Thước</t>
  </si>
  <si>
    <t>A</t>
  </si>
  <si>
    <t>Đặc Trưng Hình Học</t>
  </si>
  <si>
    <r>
      <t>W</t>
    </r>
    <r>
      <rPr>
        <vertAlign val="subscript"/>
        <sz val="10"/>
        <color theme="1"/>
        <rFont val="Calibri"/>
        <family val="2"/>
        <scheme val="minor"/>
      </rPr>
      <t>x</t>
    </r>
  </si>
  <si>
    <r>
      <t>W</t>
    </r>
    <r>
      <rPr>
        <vertAlign val="subscript"/>
        <sz val="10"/>
        <color theme="1"/>
        <rFont val="Calibri"/>
        <family val="2"/>
        <scheme val="minor"/>
      </rPr>
      <t>y</t>
    </r>
  </si>
  <si>
    <r>
      <t>S</t>
    </r>
    <r>
      <rPr>
        <vertAlign val="subscript"/>
        <sz val="10"/>
        <color theme="1"/>
        <rFont val="Calibri"/>
        <family val="2"/>
        <scheme val="minor"/>
      </rPr>
      <t>x</t>
    </r>
  </si>
  <si>
    <r>
      <t>cm</t>
    </r>
    <r>
      <rPr>
        <vertAlign val="superscript"/>
        <sz val="10"/>
        <color theme="1"/>
        <rFont val="Calibri"/>
        <family val="2"/>
        <scheme val="minor"/>
      </rPr>
      <t>4</t>
    </r>
  </si>
  <si>
    <r>
      <t>cm</t>
    </r>
    <r>
      <rPr>
        <vertAlign val="superscript"/>
        <sz val="10"/>
        <color theme="1"/>
        <rFont val="Calibri"/>
        <family val="2"/>
        <scheme val="minor"/>
      </rPr>
      <t>3</t>
    </r>
  </si>
  <si>
    <t>kN</t>
  </si>
  <si>
    <t>B. QUY TRÌNH TÍNH TOÁN</t>
  </si>
  <si>
    <t>Ứng suất pháp giới hạn</t>
  </si>
  <si>
    <t>Hệ số</t>
  </si>
  <si>
    <r>
      <rPr>
        <sz val="10"/>
        <color theme="1"/>
        <rFont val="Symbol"/>
        <family val="1"/>
        <charset val="2"/>
      </rPr>
      <t>g</t>
    </r>
    <r>
      <rPr>
        <vertAlign val="subscript"/>
        <sz val="10"/>
        <color theme="1"/>
        <rFont val="Calibri"/>
        <family val="2"/>
      </rPr>
      <t>c</t>
    </r>
  </si>
  <si>
    <t>®</t>
  </si>
  <si>
    <t>Ứng suất tiếp giới hạn</t>
  </si>
  <si>
    <r>
      <t>Ứng suất tiếp của cấu kiện gây ra bởi V</t>
    </r>
    <r>
      <rPr>
        <vertAlign val="subscript"/>
        <sz val="10"/>
        <color theme="1"/>
        <rFont val="Calibri"/>
        <family val="2"/>
        <scheme val="minor"/>
      </rPr>
      <t>y</t>
    </r>
  </si>
  <si>
    <r>
      <t>Ứng suất pháp của cấu kiện khi có tác dụng của M</t>
    </r>
    <r>
      <rPr>
        <vertAlign val="subscript"/>
        <sz val="10"/>
        <color theme="1"/>
        <rFont val="Calibri"/>
        <family val="2"/>
        <scheme val="minor"/>
      </rPr>
      <t>x</t>
    </r>
  </si>
  <si>
    <r>
      <t>Ứng suất pháp của cấu kiện khi có tác dụng của M</t>
    </r>
    <r>
      <rPr>
        <vertAlign val="subscript"/>
        <sz val="10"/>
        <color theme="1"/>
        <rFont val="Calibri"/>
        <family val="2"/>
        <scheme val="minor"/>
      </rPr>
      <t>y</t>
    </r>
  </si>
  <si>
    <t>Ứng suất giới hạn</t>
  </si>
  <si>
    <t>Ứng suất tương đương</t>
  </si>
  <si>
    <t>Ứng suất tiếp trong bản bụng</t>
  </si>
  <si>
    <t>Mác thép</t>
  </si>
  <si>
    <t>E=</t>
  </si>
  <si>
    <t>A. THÔNG SỐ THIẾT KẾ</t>
  </si>
  <si>
    <t>B. TÍNH TOÁN</t>
  </si>
  <si>
    <t>Name</t>
  </si>
  <si>
    <t>Vị trí</t>
  </si>
  <si>
    <t xml:space="preserve"> s</t>
  </si>
  <si>
    <t>Ứng suất pháp tới hạn</t>
  </si>
  <si>
    <t>Ứng suất tiếp tới hạn</t>
  </si>
  <si>
    <t>t</t>
  </si>
  <si>
    <t>FS</t>
  </si>
  <si>
    <t>Kiểm Tra Điều Kiện Bền</t>
  </si>
  <si>
    <t>Thông Số</t>
  </si>
  <si>
    <t>L</t>
  </si>
  <si>
    <t>Mx</t>
  </si>
  <si>
    <t>(kNm)</t>
  </si>
  <si>
    <t>Vx</t>
  </si>
  <si>
    <t>(kN)</t>
  </si>
  <si>
    <t>Vy</t>
  </si>
  <si>
    <t>N</t>
  </si>
  <si>
    <t>T</t>
  </si>
  <si>
    <t>2. Vật Liệu - Đặc Trưng Hình Học</t>
  </si>
  <si>
    <t>3. Nội Lực</t>
  </si>
  <si>
    <t>MPa</t>
  </si>
  <si>
    <r>
      <t>cm</t>
    </r>
    <r>
      <rPr>
        <vertAlign val="superscript"/>
        <sz val="10"/>
        <color theme="1"/>
        <rFont val="Calibri"/>
        <family val="2"/>
        <scheme val="minor"/>
      </rPr>
      <t>2</t>
    </r>
  </si>
  <si>
    <t>DẦM</t>
  </si>
  <si>
    <r>
      <t>f</t>
    </r>
    <r>
      <rPr>
        <b/>
        <vertAlign val="subscript"/>
        <sz val="10"/>
        <color theme="0"/>
        <rFont val="Calibri"/>
        <family val="2"/>
        <scheme val="minor"/>
      </rPr>
      <t>y</t>
    </r>
  </si>
  <si>
    <r>
      <t>f</t>
    </r>
    <r>
      <rPr>
        <b/>
        <vertAlign val="subscript"/>
        <sz val="10"/>
        <color theme="0"/>
        <rFont val="Calibri"/>
        <family val="2"/>
        <scheme val="minor"/>
      </rPr>
      <t>u</t>
    </r>
  </si>
  <si>
    <t>(mm)</t>
  </si>
  <si>
    <r>
      <t xml:space="preserve">Tỉ số </t>
    </r>
    <r>
      <rPr>
        <sz val="10"/>
        <color theme="1"/>
        <rFont val="Symbol"/>
        <family val="1"/>
        <charset val="2"/>
      </rPr>
      <t>s</t>
    </r>
    <r>
      <rPr>
        <vertAlign val="subscript"/>
        <sz val="10"/>
        <color theme="1"/>
        <rFont val="Calibri"/>
        <family val="2"/>
        <scheme val="minor"/>
      </rPr>
      <t>td</t>
    </r>
    <r>
      <rPr>
        <sz val="10"/>
        <color theme="1"/>
        <rFont val="Calibri"/>
        <family val="2"/>
      </rPr>
      <t>/[</t>
    </r>
    <r>
      <rPr>
        <sz val="10"/>
        <color theme="1"/>
        <rFont val="Symbol"/>
        <family val="1"/>
        <charset val="2"/>
      </rPr>
      <t>s</t>
    </r>
    <r>
      <rPr>
        <sz val="10"/>
        <color theme="1"/>
        <rFont val="Calibri"/>
        <family val="2"/>
      </rPr>
      <t>]</t>
    </r>
  </si>
  <si>
    <r>
      <t xml:space="preserve">Tỉ số </t>
    </r>
    <r>
      <rPr>
        <sz val="10"/>
        <color theme="1"/>
        <rFont val="Symbol"/>
        <family val="1"/>
        <charset val="2"/>
      </rPr>
      <t>s</t>
    </r>
    <r>
      <rPr>
        <sz val="10"/>
        <color theme="1"/>
        <rFont val="Calibri"/>
        <family val="2"/>
      </rPr>
      <t>/[</t>
    </r>
    <r>
      <rPr>
        <sz val="10"/>
        <color theme="1"/>
        <rFont val="Symbol"/>
        <family val="1"/>
        <charset val="2"/>
      </rPr>
      <t>s</t>
    </r>
    <r>
      <rPr>
        <sz val="10"/>
        <color theme="1"/>
        <rFont val="Calibri"/>
        <family val="2"/>
      </rPr>
      <t>]</t>
    </r>
  </si>
  <si>
    <r>
      <rPr>
        <sz val="10"/>
        <color theme="1"/>
        <rFont val="Tahoma"/>
        <family val="2"/>
      </rPr>
      <t>I</t>
    </r>
    <r>
      <rPr>
        <vertAlign val="subscript"/>
        <sz val="10"/>
        <color theme="1"/>
        <rFont val="Calibri"/>
        <family val="2"/>
        <scheme val="minor"/>
      </rPr>
      <t>x</t>
    </r>
  </si>
  <si>
    <r>
      <rPr>
        <sz val="10"/>
        <color theme="1"/>
        <rFont val="Tahoma"/>
        <family val="2"/>
      </rPr>
      <t>I</t>
    </r>
    <r>
      <rPr>
        <vertAlign val="subscript"/>
        <sz val="10"/>
        <color theme="1"/>
        <rFont val="Calibri"/>
        <family val="2"/>
        <scheme val="minor"/>
      </rPr>
      <t>y</t>
    </r>
  </si>
  <si>
    <t>My</t>
  </si>
  <si>
    <t>L =</t>
  </si>
  <si>
    <t>(m)</t>
  </si>
  <si>
    <t>kNm</t>
  </si>
  <si>
    <t>Phần tử</t>
  </si>
  <si>
    <t>Tổ hợp</t>
  </si>
  <si>
    <r>
      <t>f</t>
    </r>
    <r>
      <rPr>
        <vertAlign val="subscript"/>
        <sz val="10"/>
        <rFont val="Calibri"/>
        <family val="2"/>
        <scheme val="minor"/>
      </rPr>
      <t>y</t>
    </r>
    <r>
      <rPr>
        <sz val="10"/>
        <rFont val="Calibri"/>
        <family val="2"/>
        <scheme val="minor"/>
      </rPr>
      <t>=</t>
    </r>
  </si>
  <si>
    <r>
      <t>f</t>
    </r>
    <r>
      <rPr>
        <vertAlign val="subscript"/>
        <sz val="10"/>
        <rFont val="Calibri"/>
        <family val="2"/>
        <scheme val="minor"/>
      </rPr>
      <t>v</t>
    </r>
    <r>
      <rPr>
        <sz val="10"/>
        <rFont val="Calibri"/>
        <family val="2"/>
        <scheme val="minor"/>
      </rPr>
      <t>=</t>
    </r>
  </si>
  <si>
    <r>
      <rPr>
        <sz val="10"/>
        <rFont val="Symbol"/>
        <family val="1"/>
        <charset val="2"/>
      </rPr>
      <t>g</t>
    </r>
    <r>
      <rPr>
        <vertAlign val="subscript"/>
        <sz val="10"/>
        <rFont val="Calibri"/>
        <family val="2"/>
        <scheme val="minor"/>
      </rPr>
      <t>c</t>
    </r>
    <r>
      <rPr>
        <sz val="10"/>
        <rFont val="Calibri"/>
        <family val="2"/>
        <scheme val="minor"/>
      </rPr>
      <t>=</t>
    </r>
  </si>
  <si>
    <r>
      <rPr>
        <sz val="10"/>
        <rFont val="Symbol"/>
        <family val="1"/>
        <charset val="2"/>
      </rPr>
      <t>g</t>
    </r>
    <r>
      <rPr>
        <vertAlign val="subscript"/>
        <sz val="10"/>
        <rFont val="Calibri"/>
        <family val="2"/>
        <scheme val="minor"/>
      </rPr>
      <t>m</t>
    </r>
    <r>
      <rPr>
        <sz val="10"/>
        <rFont val="Calibri"/>
        <family val="2"/>
        <scheme val="minor"/>
      </rPr>
      <t>=</t>
    </r>
  </si>
  <si>
    <r>
      <t>[</t>
    </r>
    <r>
      <rPr>
        <sz val="10"/>
        <rFont val="Symbol"/>
        <family val="1"/>
        <charset val="2"/>
      </rPr>
      <t>t</t>
    </r>
    <r>
      <rPr>
        <sz val="10"/>
        <rFont val="Calibri"/>
        <family val="2"/>
      </rPr>
      <t>]=</t>
    </r>
    <r>
      <rPr>
        <sz val="10"/>
        <rFont val="Calibri"/>
        <family val="2"/>
        <scheme val="minor"/>
      </rPr>
      <t>f</t>
    </r>
    <r>
      <rPr>
        <vertAlign val="subscript"/>
        <sz val="10"/>
        <rFont val="Calibri"/>
        <family val="2"/>
        <scheme val="minor"/>
      </rPr>
      <t>v</t>
    </r>
    <r>
      <rPr>
        <sz val="10"/>
        <rFont val="Symbol"/>
        <family val="1"/>
        <charset val="2"/>
      </rPr>
      <t>g</t>
    </r>
    <r>
      <rPr>
        <vertAlign val="subscript"/>
        <sz val="10"/>
        <rFont val="Calibri"/>
        <family val="2"/>
      </rPr>
      <t>c</t>
    </r>
    <r>
      <rPr>
        <sz val="10"/>
        <rFont val="Calibri"/>
        <family val="2"/>
      </rPr>
      <t>=</t>
    </r>
  </si>
  <si>
    <t>f</t>
  </si>
  <si>
    <t>f=</t>
  </si>
  <si>
    <r>
      <t xml:space="preserve">Tỉ số </t>
    </r>
    <r>
      <rPr>
        <sz val="10"/>
        <color theme="1"/>
        <rFont val="Symbol"/>
        <family val="1"/>
        <charset val="2"/>
      </rPr>
      <t>t</t>
    </r>
    <r>
      <rPr>
        <sz val="10"/>
        <color theme="1"/>
        <rFont val="Calibri"/>
        <family val="2"/>
      </rPr>
      <t>/[</t>
    </r>
    <r>
      <rPr>
        <sz val="10"/>
        <color theme="1"/>
        <rFont val="Symbol"/>
        <family val="1"/>
        <charset val="2"/>
      </rPr>
      <t>t</t>
    </r>
    <r>
      <rPr>
        <sz val="10"/>
        <color theme="1"/>
        <rFont val="Calibri"/>
        <family val="2"/>
      </rPr>
      <t>]</t>
    </r>
  </si>
  <si>
    <r>
      <t>[</t>
    </r>
    <r>
      <rPr>
        <sz val="10"/>
        <rFont val="Symbol"/>
        <family val="1"/>
        <charset val="2"/>
      </rPr>
      <t>s</t>
    </r>
    <r>
      <rPr>
        <vertAlign val="subscript"/>
        <sz val="10"/>
        <rFont val="Calibri"/>
        <family val="2"/>
        <scheme val="minor"/>
      </rPr>
      <t>td</t>
    </r>
    <r>
      <rPr>
        <sz val="10"/>
        <rFont val="Calibri"/>
        <family val="2"/>
      </rPr>
      <t>]=1.15f</t>
    </r>
    <r>
      <rPr>
        <vertAlign val="subscript"/>
        <sz val="10"/>
        <rFont val="Calibri"/>
        <family val="2"/>
      </rPr>
      <t>yd</t>
    </r>
    <r>
      <rPr>
        <sz val="10"/>
        <rFont val="Symbol"/>
        <family val="1"/>
        <charset val="2"/>
      </rPr>
      <t>g</t>
    </r>
    <r>
      <rPr>
        <vertAlign val="subscript"/>
        <sz val="10"/>
        <rFont val="Calibri"/>
        <family val="2"/>
      </rPr>
      <t>c</t>
    </r>
    <r>
      <rPr>
        <sz val="10"/>
        <rFont val="Calibri"/>
        <family val="2"/>
      </rPr>
      <t>=</t>
    </r>
  </si>
  <si>
    <t>Max FS</t>
  </si>
  <si>
    <t>Kết luận</t>
  </si>
  <si>
    <t>Q235</t>
  </si>
  <si>
    <t>Q345</t>
  </si>
  <si>
    <t>A572 gr.50</t>
  </si>
  <si>
    <t>A36</t>
  </si>
  <si>
    <t>(Theo TCVN 5575-2012)</t>
  </si>
  <si>
    <t>Ứng suất pháp của cấu kiện khi có tác dụng của N</t>
  </si>
  <si>
    <r>
      <rPr>
        <sz val="10"/>
        <color theme="1"/>
        <rFont val="Symbol"/>
        <family val="1"/>
        <charset val="2"/>
      </rPr>
      <t>s</t>
    </r>
    <r>
      <rPr>
        <vertAlign val="subscript"/>
        <sz val="10"/>
        <color theme="1"/>
        <rFont val="Calibri"/>
        <family val="2"/>
      </rPr>
      <t xml:space="preserve">y </t>
    </r>
    <r>
      <rPr>
        <sz val="10"/>
        <color theme="1"/>
        <rFont val="Calibri"/>
        <family val="2"/>
      </rPr>
      <t>= M</t>
    </r>
    <r>
      <rPr>
        <vertAlign val="subscript"/>
        <sz val="10"/>
        <color theme="1"/>
        <rFont val="Calibri"/>
        <family val="2"/>
      </rPr>
      <t>y</t>
    </r>
    <r>
      <rPr>
        <sz val="10"/>
        <color theme="1"/>
        <rFont val="Calibri"/>
        <family val="2"/>
      </rPr>
      <t>/W</t>
    </r>
    <r>
      <rPr>
        <vertAlign val="subscript"/>
        <sz val="10"/>
        <color theme="1"/>
        <rFont val="Calibri"/>
        <family val="2"/>
      </rPr>
      <t xml:space="preserve">y </t>
    </r>
    <r>
      <rPr>
        <sz val="10"/>
        <color theme="1"/>
        <rFont val="Calibri"/>
        <family val="1"/>
        <charset val="2"/>
      </rPr>
      <t>=</t>
    </r>
  </si>
  <si>
    <r>
      <rPr>
        <sz val="10"/>
        <color theme="1"/>
        <rFont val="Symbol"/>
        <family val="1"/>
        <charset val="2"/>
      </rPr>
      <t>s</t>
    </r>
    <r>
      <rPr>
        <vertAlign val="subscript"/>
        <sz val="10"/>
        <color theme="1"/>
        <rFont val="Calibri"/>
        <family val="2"/>
      </rPr>
      <t xml:space="preserve">x </t>
    </r>
    <r>
      <rPr>
        <sz val="10"/>
        <color theme="1"/>
        <rFont val="Calibri"/>
        <family val="2"/>
      </rPr>
      <t>= M</t>
    </r>
    <r>
      <rPr>
        <vertAlign val="subscript"/>
        <sz val="10"/>
        <color theme="1"/>
        <rFont val="Calibri"/>
        <family val="2"/>
      </rPr>
      <t>x</t>
    </r>
    <r>
      <rPr>
        <sz val="10"/>
        <color theme="1"/>
        <rFont val="Calibri"/>
        <family val="2"/>
      </rPr>
      <t>/W</t>
    </r>
    <r>
      <rPr>
        <vertAlign val="subscript"/>
        <sz val="10"/>
        <color theme="1"/>
        <rFont val="Calibri"/>
        <family val="2"/>
      </rPr>
      <t xml:space="preserve">x </t>
    </r>
    <r>
      <rPr>
        <sz val="10"/>
        <color theme="1"/>
        <rFont val="Calibri"/>
        <family val="1"/>
        <charset val="2"/>
      </rPr>
      <t>=</t>
    </r>
  </si>
  <si>
    <r>
      <rPr>
        <sz val="10"/>
        <color theme="1"/>
        <rFont val="Symbol"/>
        <family val="1"/>
        <charset val="2"/>
      </rPr>
      <t xml:space="preserve">s </t>
    </r>
    <r>
      <rPr>
        <sz val="10"/>
        <color theme="1"/>
        <rFont val="Calibri"/>
        <family val="2"/>
      </rPr>
      <t xml:space="preserve">= N/A </t>
    </r>
    <r>
      <rPr>
        <sz val="10"/>
        <color theme="1"/>
        <rFont val="Calibri"/>
        <family val="1"/>
        <charset val="2"/>
      </rPr>
      <t>=</t>
    </r>
  </si>
  <si>
    <r>
      <t>[</t>
    </r>
    <r>
      <rPr>
        <sz val="10"/>
        <color theme="1"/>
        <rFont val="Symbol"/>
        <family val="1"/>
        <charset val="2"/>
      </rPr>
      <t>s</t>
    </r>
    <r>
      <rPr>
        <sz val="10"/>
        <color theme="1"/>
        <rFont val="Calibri"/>
        <family val="2"/>
      </rPr>
      <t>] = f</t>
    </r>
    <r>
      <rPr>
        <sz val="10"/>
        <color theme="1"/>
        <rFont val="Symbol"/>
        <family val="1"/>
        <charset val="2"/>
      </rPr>
      <t>g</t>
    </r>
    <r>
      <rPr>
        <vertAlign val="subscript"/>
        <sz val="10"/>
        <color theme="1"/>
        <rFont val="Calibri"/>
        <family val="2"/>
      </rPr>
      <t xml:space="preserve">c </t>
    </r>
    <r>
      <rPr>
        <sz val="10"/>
        <color theme="1"/>
        <rFont val="Calibri"/>
        <family val="2"/>
      </rPr>
      <t>=</t>
    </r>
  </si>
  <si>
    <t>Max
FS</t>
  </si>
  <si>
    <t>Location</t>
  </si>
  <si>
    <t>a. Kiểm Tra Điều Kiện Bền Ứng Suất Pháp</t>
  </si>
  <si>
    <t>b. Kiểm Tra Điều Kiện Bền Ứng Suất Tiếp</t>
  </si>
  <si>
    <t>c. Kiểm Tra Điều Kiện Bền Khi Đồng Thời Có Cả Ứng Suất Pháp Và Ứng Suất Tiếp</t>
  </si>
  <si>
    <r>
      <t xml:space="preserve"> </t>
    </r>
    <r>
      <rPr>
        <sz val="10"/>
        <color theme="1"/>
        <rFont val="Symbol"/>
        <family val="1"/>
        <charset val="2"/>
      </rPr>
      <t>s</t>
    </r>
    <r>
      <rPr>
        <sz val="10"/>
        <color theme="1"/>
        <rFont val="Calibri"/>
        <family val="2"/>
      </rPr>
      <t>/[</t>
    </r>
    <r>
      <rPr>
        <sz val="10"/>
        <color theme="1"/>
        <rFont val="Symbol"/>
        <family val="1"/>
        <charset val="2"/>
      </rPr>
      <t>s</t>
    </r>
    <r>
      <rPr>
        <sz val="10"/>
        <color theme="1"/>
        <rFont val="Calibri"/>
        <family val="2"/>
      </rPr>
      <t>] =</t>
    </r>
  </si>
  <si>
    <r>
      <t>[</t>
    </r>
    <r>
      <rPr>
        <sz val="10"/>
        <color theme="1"/>
        <rFont val="Symbol"/>
        <family val="1"/>
        <charset val="2"/>
      </rPr>
      <t>t</t>
    </r>
    <r>
      <rPr>
        <sz val="10"/>
        <color theme="1"/>
        <rFont val="Calibri"/>
        <family val="2"/>
      </rPr>
      <t xml:space="preserve">] = </t>
    </r>
    <r>
      <rPr>
        <sz val="10"/>
        <color theme="1"/>
        <rFont val="Calibri"/>
        <family val="2"/>
        <scheme val="minor"/>
      </rPr>
      <t>f</t>
    </r>
    <r>
      <rPr>
        <vertAlign val="subscript"/>
        <sz val="10"/>
        <color theme="1"/>
        <rFont val="Calibri"/>
        <family val="2"/>
        <scheme val="minor"/>
      </rPr>
      <t>v</t>
    </r>
    <r>
      <rPr>
        <sz val="10"/>
        <color theme="1"/>
        <rFont val="Symbol"/>
        <family val="1"/>
        <charset val="2"/>
      </rPr>
      <t>g</t>
    </r>
    <r>
      <rPr>
        <vertAlign val="subscript"/>
        <sz val="10"/>
        <color theme="1"/>
        <rFont val="Calibri"/>
        <family val="2"/>
      </rPr>
      <t xml:space="preserve">c </t>
    </r>
    <r>
      <rPr>
        <sz val="10"/>
        <color theme="1"/>
        <rFont val="Calibri"/>
        <family val="2"/>
      </rPr>
      <t>=</t>
    </r>
  </si>
  <si>
    <r>
      <t xml:space="preserve">t </t>
    </r>
    <r>
      <rPr>
        <sz val="10"/>
        <color theme="1"/>
        <rFont val="Calibri"/>
        <family val="2"/>
        <scheme val="minor"/>
      </rPr>
      <t>= V</t>
    </r>
    <r>
      <rPr>
        <vertAlign val="subscript"/>
        <sz val="10"/>
        <color theme="1"/>
        <rFont val="Calibri"/>
        <family val="2"/>
        <scheme val="minor"/>
      </rPr>
      <t>y</t>
    </r>
    <r>
      <rPr>
        <sz val="10"/>
        <color theme="1"/>
        <rFont val="Calibri"/>
        <family val="2"/>
        <scheme val="minor"/>
      </rPr>
      <t>S</t>
    </r>
    <r>
      <rPr>
        <vertAlign val="subscript"/>
        <sz val="10"/>
        <color theme="1"/>
        <rFont val="Calibri"/>
        <family val="2"/>
        <scheme val="minor"/>
      </rPr>
      <t>x</t>
    </r>
    <r>
      <rPr>
        <sz val="10"/>
        <color theme="1"/>
        <rFont val="Calibri"/>
        <family val="2"/>
        <scheme val="minor"/>
      </rPr>
      <t>/I</t>
    </r>
    <r>
      <rPr>
        <vertAlign val="subscript"/>
        <sz val="10"/>
        <color theme="1"/>
        <rFont val="Calibri"/>
        <family val="2"/>
        <scheme val="minor"/>
      </rPr>
      <t>x</t>
    </r>
    <r>
      <rPr>
        <sz val="10"/>
        <color theme="1"/>
        <rFont val="Calibri"/>
        <family val="2"/>
        <scheme val="minor"/>
      </rPr>
      <t>t</t>
    </r>
    <r>
      <rPr>
        <vertAlign val="subscript"/>
        <sz val="10"/>
        <color theme="1"/>
        <rFont val="Calibri"/>
        <family val="2"/>
        <scheme val="minor"/>
      </rPr>
      <t xml:space="preserve">w </t>
    </r>
    <r>
      <rPr>
        <sz val="10"/>
        <color theme="1"/>
        <rFont val="Symbol"/>
        <family val="1"/>
        <charset val="2"/>
      </rPr>
      <t>=</t>
    </r>
  </si>
  <si>
    <r>
      <rPr>
        <sz val="10"/>
        <color theme="1"/>
        <rFont val="Symbol"/>
        <family val="1"/>
        <charset val="2"/>
      </rPr>
      <t xml:space="preserve"> s </t>
    </r>
    <r>
      <rPr>
        <sz val="10"/>
        <color theme="1"/>
        <rFont val="Calibri"/>
        <family val="2"/>
      </rPr>
      <t>= N/A + M</t>
    </r>
    <r>
      <rPr>
        <vertAlign val="subscript"/>
        <sz val="10"/>
        <color theme="1"/>
        <rFont val="Calibri"/>
        <family val="2"/>
      </rPr>
      <t>x</t>
    </r>
    <r>
      <rPr>
        <sz val="10"/>
        <color theme="1"/>
        <rFont val="Calibri"/>
        <family val="2"/>
      </rPr>
      <t>/W</t>
    </r>
    <r>
      <rPr>
        <vertAlign val="subscript"/>
        <sz val="10"/>
        <color theme="1"/>
        <rFont val="Calibri"/>
        <family val="2"/>
      </rPr>
      <t xml:space="preserve">x </t>
    </r>
    <r>
      <rPr>
        <sz val="10"/>
        <color theme="1"/>
        <rFont val="Calibri"/>
        <family val="2"/>
      </rPr>
      <t>+ M</t>
    </r>
    <r>
      <rPr>
        <vertAlign val="subscript"/>
        <sz val="10"/>
        <color theme="1"/>
        <rFont val="Calibri"/>
        <family val="2"/>
      </rPr>
      <t>y</t>
    </r>
    <r>
      <rPr>
        <sz val="10"/>
        <color theme="1"/>
        <rFont val="Calibri"/>
        <family val="2"/>
      </rPr>
      <t>/W</t>
    </r>
    <r>
      <rPr>
        <vertAlign val="subscript"/>
        <sz val="10"/>
        <color theme="1"/>
        <rFont val="Calibri"/>
        <family val="2"/>
      </rPr>
      <t xml:space="preserve">y </t>
    </r>
    <r>
      <rPr>
        <sz val="10"/>
        <color theme="1"/>
        <rFont val="Calibri"/>
        <family val="2"/>
      </rPr>
      <t>=</t>
    </r>
  </si>
  <si>
    <r>
      <rPr>
        <sz val="10"/>
        <color theme="1"/>
        <rFont val="Symbol"/>
        <family val="1"/>
        <charset val="2"/>
      </rPr>
      <t>t</t>
    </r>
    <r>
      <rPr>
        <sz val="10"/>
        <color theme="1"/>
        <rFont val="Calibri"/>
        <family val="2"/>
      </rPr>
      <t>/[</t>
    </r>
    <r>
      <rPr>
        <sz val="10"/>
        <color theme="1"/>
        <rFont val="Symbol"/>
        <family val="1"/>
        <charset val="2"/>
      </rPr>
      <t>t</t>
    </r>
    <r>
      <rPr>
        <sz val="10"/>
        <color theme="1"/>
        <rFont val="Calibri"/>
        <family val="2"/>
      </rPr>
      <t xml:space="preserve">] </t>
    </r>
    <r>
      <rPr>
        <sz val="10"/>
        <color theme="1"/>
        <rFont val="Calibri"/>
        <family val="2"/>
        <scheme val="minor"/>
      </rPr>
      <t xml:space="preserve">= </t>
    </r>
    <r>
      <rPr>
        <sz val="10"/>
        <color theme="1"/>
        <rFont val="Calibri"/>
        <family val="1"/>
        <charset val="2"/>
        <scheme val="minor"/>
      </rPr>
      <t>V</t>
    </r>
    <r>
      <rPr>
        <vertAlign val="subscript"/>
        <sz val="10"/>
        <color theme="1"/>
        <rFont val="Calibri"/>
        <family val="2"/>
        <scheme val="minor"/>
      </rPr>
      <t>y</t>
    </r>
    <r>
      <rPr>
        <sz val="10"/>
        <color theme="1"/>
        <rFont val="Calibri"/>
        <family val="1"/>
        <charset val="2"/>
        <scheme val="minor"/>
      </rPr>
      <t>S</t>
    </r>
    <r>
      <rPr>
        <vertAlign val="subscript"/>
        <sz val="10"/>
        <color theme="1"/>
        <rFont val="Calibri"/>
        <family val="2"/>
        <scheme val="minor"/>
      </rPr>
      <t>x</t>
    </r>
    <r>
      <rPr>
        <sz val="10"/>
        <color theme="1"/>
        <rFont val="Calibri"/>
        <family val="1"/>
        <charset val="2"/>
        <scheme val="minor"/>
      </rPr>
      <t>/(I</t>
    </r>
    <r>
      <rPr>
        <vertAlign val="subscript"/>
        <sz val="10"/>
        <color theme="1"/>
        <rFont val="Calibri"/>
        <family val="2"/>
        <scheme val="minor"/>
      </rPr>
      <t>x</t>
    </r>
    <r>
      <rPr>
        <sz val="10"/>
        <color theme="1"/>
        <rFont val="Calibri"/>
        <family val="1"/>
        <charset val="2"/>
        <scheme val="minor"/>
      </rPr>
      <t>t</t>
    </r>
    <r>
      <rPr>
        <vertAlign val="subscript"/>
        <sz val="10"/>
        <color theme="1"/>
        <rFont val="Calibri"/>
        <family val="2"/>
        <scheme val="minor"/>
      </rPr>
      <t>w</t>
    </r>
    <r>
      <rPr>
        <sz val="10"/>
        <color theme="1"/>
        <rFont val="Calibri"/>
        <family val="1"/>
        <charset val="2"/>
        <scheme val="minor"/>
      </rPr>
      <t>f</t>
    </r>
    <r>
      <rPr>
        <vertAlign val="subscript"/>
        <sz val="10"/>
        <color theme="1"/>
        <rFont val="Calibri"/>
        <family val="2"/>
        <scheme val="minor"/>
      </rPr>
      <t>v</t>
    </r>
    <r>
      <rPr>
        <sz val="10"/>
        <color theme="1"/>
        <rFont val="Symbol"/>
        <family val="1"/>
        <charset val="2"/>
      </rPr>
      <t>g</t>
    </r>
    <r>
      <rPr>
        <vertAlign val="subscript"/>
        <sz val="10"/>
        <color theme="1"/>
        <rFont val="Calibri"/>
        <family val="2"/>
      </rPr>
      <t>c</t>
    </r>
    <r>
      <rPr>
        <sz val="10"/>
        <color theme="1"/>
        <rFont val="Calibri"/>
        <family val="1"/>
        <charset val="2"/>
      </rPr>
      <t>) =</t>
    </r>
  </si>
  <si>
    <r>
      <t>[</t>
    </r>
    <r>
      <rPr>
        <sz val="10"/>
        <color theme="1"/>
        <rFont val="Symbol"/>
        <family val="1"/>
        <charset val="2"/>
      </rPr>
      <t>s</t>
    </r>
    <r>
      <rPr>
        <sz val="10"/>
        <color theme="1"/>
        <rFont val="Calibri"/>
        <family val="2"/>
      </rPr>
      <t>] = 1.15f</t>
    </r>
    <r>
      <rPr>
        <vertAlign val="subscript"/>
        <sz val="10"/>
        <color theme="1"/>
        <rFont val="Calibri"/>
        <family val="2"/>
      </rPr>
      <t>yd</t>
    </r>
    <r>
      <rPr>
        <sz val="10"/>
        <color theme="1"/>
        <rFont val="Symbol"/>
        <family val="1"/>
        <charset val="2"/>
      </rPr>
      <t>g</t>
    </r>
    <r>
      <rPr>
        <vertAlign val="subscript"/>
        <sz val="10"/>
        <color theme="1"/>
        <rFont val="Calibri"/>
        <family val="2"/>
      </rPr>
      <t xml:space="preserve">c </t>
    </r>
    <r>
      <rPr>
        <sz val="10"/>
        <color theme="1"/>
        <rFont val="Calibri"/>
        <family val="2"/>
      </rPr>
      <t>=</t>
    </r>
  </si>
  <si>
    <r>
      <rPr>
        <sz val="10"/>
        <color theme="1"/>
        <rFont val="Symbol"/>
        <family val="1"/>
        <charset val="2"/>
      </rPr>
      <t>t</t>
    </r>
    <r>
      <rPr>
        <vertAlign val="subscript"/>
        <sz val="10"/>
        <color theme="1"/>
        <rFont val="Calibri"/>
        <family val="2"/>
      </rPr>
      <t xml:space="preserve">xy </t>
    </r>
    <r>
      <rPr>
        <sz val="10"/>
        <color theme="1"/>
        <rFont val="Calibri"/>
        <family val="1"/>
        <charset val="2"/>
      </rPr>
      <t xml:space="preserve">= </t>
    </r>
    <r>
      <rPr>
        <sz val="10"/>
        <color theme="1"/>
        <rFont val="Symbol"/>
        <family val="1"/>
        <charset val="2"/>
      </rPr>
      <t xml:space="preserve">t </t>
    </r>
    <r>
      <rPr>
        <sz val="10"/>
        <color theme="1"/>
        <rFont val="Calibri"/>
        <family val="1"/>
        <charset val="2"/>
      </rPr>
      <t>=</t>
    </r>
  </si>
  <si>
    <r>
      <rPr>
        <sz val="10"/>
        <color theme="1"/>
        <rFont val="Symbol"/>
        <family val="1"/>
        <charset val="2"/>
      </rPr>
      <t>s</t>
    </r>
    <r>
      <rPr>
        <vertAlign val="subscript"/>
        <sz val="10"/>
        <color theme="1"/>
        <rFont val="Calibri"/>
        <family val="2"/>
        <scheme val="minor"/>
      </rPr>
      <t xml:space="preserve">td </t>
    </r>
    <r>
      <rPr>
        <sz val="10"/>
        <color theme="1"/>
        <rFont val="Calibri"/>
        <family val="2"/>
      </rPr>
      <t>= sqrt(</t>
    </r>
    <r>
      <rPr>
        <sz val="10"/>
        <color theme="1"/>
        <rFont val="Symbol"/>
        <family val="1"/>
        <charset val="2"/>
      </rPr>
      <t>s</t>
    </r>
    <r>
      <rPr>
        <vertAlign val="superscript"/>
        <sz val="10"/>
        <color theme="1"/>
        <rFont val="Calibri"/>
        <family val="2"/>
      </rPr>
      <t>2</t>
    </r>
    <r>
      <rPr>
        <sz val="10"/>
        <color theme="1"/>
        <rFont val="Calibri"/>
        <family val="1"/>
        <charset val="2"/>
        <scheme val="minor"/>
      </rPr>
      <t>+3</t>
    </r>
    <r>
      <rPr>
        <sz val="10"/>
        <color theme="1"/>
        <rFont val="Symbol"/>
        <family val="1"/>
        <charset val="2"/>
      </rPr>
      <t>t</t>
    </r>
    <r>
      <rPr>
        <vertAlign val="subscript"/>
        <sz val="10"/>
        <color theme="1"/>
        <rFont val="Calibri"/>
        <family val="2"/>
      </rPr>
      <t>xy</t>
    </r>
    <r>
      <rPr>
        <vertAlign val="superscript"/>
        <sz val="10"/>
        <color theme="1"/>
        <rFont val="Calibri"/>
        <family val="2"/>
      </rPr>
      <t>2</t>
    </r>
    <r>
      <rPr>
        <sz val="10"/>
        <color theme="1"/>
        <rFont val="Calibri"/>
        <family val="1"/>
        <charset val="2"/>
      </rPr>
      <t>) =</t>
    </r>
  </si>
  <si>
    <r>
      <rPr>
        <sz val="10"/>
        <color theme="1"/>
        <rFont val="Symbol"/>
        <family val="1"/>
        <charset val="2"/>
      </rPr>
      <t>s</t>
    </r>
    <r>
      <rPr>
        <vertAlign val="subscript"/>
        <sz val="10"/>
        <color theme="1"/>
        <rFont val="Calibri"/>
        <family val="2"/>
        <scheme val="minor"/>
      </rPr>
      <t>td</t>
    </r>
    <r>
      <rPr>
        <sz val="10"/>
        <color theme="1"/>
        <rFont val="Calibri"/>
        <family val="2"/>
      </rPr>
      <t>/[</t>
    </r>
    <r>
      <rPr>
        <sz val="10"/>
        <color theme="1"/>
        <rFont val="Symbol"/>
        <family val="1"/>
        <charset val="2"/>
      </rPr>
      <t>s</t>
    </r>
    <r>
      <rPr>
        <sz val="10"/>
        <color theme="1"/>
        <rFont val="Calibri"/>
        <family val="2"/>
      </rPr>
      <t xml:space="preserve">] </t>
    </r>
    <r>
      <rPr>
        <sz val="10"/>
        <color theme="1"/>
        <rFont val="Calibri"/>
        <family val="1"/>
        <charset val="2"/>
        <scheme val="minor"/>
      </rPr>
      <t>=</t>
    </r>
  </si>
  <si>
    <r>
      <t>[</t>
    </r>
    <r>
      <rPr>
        <sz val="10"/>
        <rFont val="Symbol"/>
        <family val="1"/>
        <charset val="2"/>
      </rPr>
      <t>s</t>
    </r>
    <r>
      <rPr>
        <sz val="10"/>
        <rFont val="Calibri"/>
        <family val="2"/>
      </rPr>
      <t>]=f</t>
    </r>
    <r>
      <rPr>
        <sz val="10"/>
        <rFont val="Symbol"/>
        <family val="1"/>
        <charset val="2"/>
      </rPr>
      <t>g</t>
    </r>
    <r>
      <rPr>
        <vertAlign val="subscript"/>
        <sz val="10"/>
        <rFont val="Calibri"/>
        <family val="2"/>
      </rPr>
      <t>c</t>
    </r>
    <r>
      <rPr>
        <sz val="10"/>
        <rFont val="Calibri"/>
        <family val="2"/>
      </rPr>
      <t>=</t>
    </r>
  </si>
  <si>
    <r>
      <t>I</t>
    </r>
    <r>
      <rPr>
        <b/>
        <vertAlign val="subscript"/>
        <sz val="10"/>
        <color rgb="FF0070C0"/>
        <rFont val="Calibri"/>
        <family val="2"/>
        <scheme val="minor"/>
      </rPr>
      <t>x</t>
    </r>
  </si>
  <si>
    <r>
      <t>I</t>
    </r>
    <r>
      <rPr>
        <b/>
        <vertAlign val="subscript"/>
        <sz val="10"/>
        <color rgb="FF0070C0"/>
        <rFont val="Calibri"/>
        <family val="2"/>
        <scheme val="minor"/>
      </rPr>
      <t>y</t>
    </r>
  </si>
  <si>
    <r>
      <t>W</t>
    </r>
    <r>
      <rPr>
        <b/>
        <vertAlign val="subscript"/>
        <sz val="10"/>
        <color rgb="FF0070C0"/>
        <rFont val="Calibri"/>
        <family val="2"/>
        <scheme val="minor"/>
      </rPr>
      <t>x</t>
    </r>
  </si>
  <si>
    <r>
      <t>W</t>
    </r>
    <r>
      <rPr>
        <b/>
        <vertAlign val="subscript"/>
        <sz val="10"/>
        <color rgb="FF0070C0"/>
        <rFont val="Calibri"/>
        <family val="2"/>
        <scheme val="minor"/>
      </rPr>
      <t>y</t>
    </r>
  </si>
  <si>
    <r>
      <t>S</t>
    </r>
    <r>
      <rPr>
        <b/>
        <vertAlign val="subscript"/>
        <sz val="10"/>
        <color rgb="FF0070C0"/>
        <rFont val="Calibri"/>
        <family val="2"/>
        <scheme val="minor"/>
      </rPr>
      <t>x</t>
    </r>
  </si>
  <si>
    <r>
      <t>V</t>
    </r>
    <r>
      <rPr>
        <b/>
        <vertAlign val="subscript"/>
        <sz val="10"/>
        <color rgb="FF0070C0"/>
        <rFont val="Calibri"/>
        <family val="2"/>
        <scheme val="minor"/>
      </rPr>
      <t>y</t>
    </r>
  </si>
  <si>
    <r>
      <t>V</t>
    </r>
    <r>
      <rPr>
        <b/>
        <vertAlign val="subscript"/>
        <sz val="10"/>
        <color rgb="FF0070C0"/>
        <rFont val="Calibri"/>
        <family val="2"/>
        <scheme val="minor"/>
      </rPr>
      <t>x</t>
    </r>
  </si>
  <si>
    <r>
      <t>M</t>
    </r>
    <r>
      <rPr>
        <b/>
        <vertAlign val="subscript"/>
        <sz val="10"/>
        <color rgb="FF0070C0"/>
        <rFont val="Calibri"/>
        <family val="2"/>
        <scheme val="minor"/>
      </rPr>
      <t>y</t>
    </r>
  </si>
  <si>
    <r>
      <t>M</t>
    </r>
    <r>
      <rPr>
        <b/>
        <vertAlign val="subscript"/>
        <sz val="10"/>
        <color rgb="FF0070C0"/>
        <rFont val="Calibri"/>
        <family val="2"/>
        <scheme val="minor"/>
      </rPr>
      <t>x</t>
    </r>
  </si>
  <si>
    <r>
      <t xml:space="preserve"> s</t>
    </r>
    <r>
      <rPr>
        <b/>
        <vertAlign val="subscript"/>
        <sz val="10"/>
        <color rgb="FF0070C0"/>
        <rFont val="Calibri"/>
        <family val="2"/>
        <scheme val="minor"/>
      </rPr>
      <t>N</t>
    </r>
  </si>
  <si>
    <r>
      <t xml:space="preserve"> s</t>
    </r>
    <r>
      <rPr>
        <b/>
        <vertAlign val="subscript"/>
        <sz val="10"/>
        <color rgb="FF0070C0"/>
        <rFont val="Calibri"/>
        <family val="2"/>
        <scheme val="minor"/>
      </rPr>
      <t>x</t>
    </r>
  </si>
  <si>
    <r>
      <t xml:space="preserve"> s</t>
    </r>
    <r>
      <rPr>
        <b/>
        <vertAlign val="subscript"/>
        <sz val="10"/>
        <color rgb="FF0070C0"/>
        <rFont val="Calibri"/>
        <family val="2"/>
        <scheme val="minor"/>
      </rPr>
      <t>y</t>
    </r>
  </si>
  <si>
    <r>
      <t>s</t>
    </r>
    <r>
      <rPr>
        <b/>
        <vertAlign val="subscript"/>
        <sz val="10"/>
        <color rgb="FF0070C0"/>
        <rFont val="Calibri"/>
        <family val="2"/>
        <scheme val="minor"/>
      </rPr>
      <t>td</t>
    </r>
  </si>
  <si>
    <r>
      <t>cm</t>
    </r>
    <r>
      <rPr>
        <b/>
        <vertAlign val="superscript"/>
        <sz val="10"/>
        <color rgb="FF0070C0"/>
        <rFont val="Calibri"/>
        <family val="2"/>
        <scheme val="minor"/>
      </rPr>
      <t>2</t>
    </r>
  </si>
  <si>
    <r>
      <t>cm</t>
    </r>
    <r>
      <rPr>
        <b/>
        <vertAlign val="superscript"/>
        <sz val="10"/>
        <color rgb="FF0070C0"/>
        <rFont val="Calibri"/>
        <family val="2"/>
        <scheme val="minor"/>
      </rPr>
      <t>4</t>
    </r>
  </si>
  <si>
    <r>
      <t>cm</t>
    </r>
    <r>
      <rPr>
        <b/>
        <vertAlign val="superscript"/>
        <sz val="10"/>
        <color rgb="FF0070C0"/>
        <rFont val="Calibri"/>
        <family val="2"/>
        <scheme val="minor"/>
      </rPr>
      <t>3</t>
    </r>
  </si>
  <si>
    <t>Tên</t>
  </si>
  <si>
    <t>m</t>
  </si>
  <si>
    <t>B</t>
  </si>
  <si>
    <t>H</t>
  </si>
  <si>
    <t>BẢNG TỔNG HỢP CHI TIẾT  - THUYẾT MINH CẤU KIỆN CHỊU UỐN DẦM HỘP</t>
  </si>
  <si>
    <t>THUYẾT MINH CẤU KIỆN CHỊU UỐN DẦM HỘP</t>
  </si>
  <si>
    <t>THIẾT KẾ DẦM HỘP THEO TCVN 5575 - 2012</t>
  </si>
  <si>
    <t>Bề rộng tiết diện</t>
  </si>
  <si>
    <t>Chiều dày tiết diện</t>
  </si>
  <si>
    <t>B =</t>
  </si>
  <si>
    <r>
      <t>H</t>
    </r>
    <r>
      <rPr>
        <vertAlign val="subscript"/>
        <sz val="10"/>
        <color theme="1"/>
        <rFont val="Calibri"/>
        <family val="2"/>
        <scheme val="minor"/>
      </rPr>
      <t xml:space="preserve"> </t>
    </r>
    <r>
      <rPr>
        <sz val="10"/>
        <color theme="1"/>
        <rFont val="Calibri"/>
        <family val="2"/>
        <scheme val="minor"/>
      </rPr>
      <t>=</t>
    </r>
  </si>
  <si>
    <t>t =</t>
  </si>
  <si>
    <t>Tính toán về bền (Mục 7.2.1)</t>
  </si>
  <si>
    <t>173</t>
  </si>
  <si>
    <t>ULS1</t>
  </si>
  <si>
    <t>RHS 80x160x8</t>
  </si>
  <si>
    <t>Check</t>
  </si>
  <si>
    <r>
      <t>Ứng suất pháp của cấu kiện khi có tác dụng đồng thời M</t>
    </r>
    <r>
      <rPr>
        <vertAlign val="subscript"/>
        <sz val="10"/>
        <color theme="1"/>
        <rFont val="Calibri"/>
        <family val="2"/>
        <scheme val="minor"/>
      </rPr>
      <t>x</t>
    </r>
    <r>
      <rPr>
        <sz val="10"/>
        <color theme="1"/>
        <rFont val="Calibri"/>
        <family val="2"/>
        <scheme val="minor"/>
      </rPr>
      <t>, M</t>
    </r>
    <r>
      <rPr>
        <vertAlign val="subscript"/>
        <sz val="10"/>
        <color theme="1"/>
        <rFont val="Calibri"/>
        <family val="2"/>
        <scheme val="minor"/>
      </rPr>
      <t>y</t>
    </r>
  </si>
  <si>
    <t>SS330 ≤ 16</t>
  </si>
  <si>
    <t>SS330 ≤ 40</t>
  </si>
  <si>
    <t>SS400 ≤ 16</t>
  </si>
  <si>
    <t>SS400 ≤ 40</t>
  </si>
  <si>
    <t>SS490 ≤ 16</t>
  </si>
  <si>
    <t>SS490 ≤ 40</t>
  </si>
  <si>
    <t>SS540 ≤ 16</t>
  </si>
  <si>
    <t>SS540 ≤ 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</si>
</sst>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39">
    <font>
      <sz val="11"/>
      <color theme="1"/>
      <name val="Calibri"/>
      <family val="2"/>
      <scheme val="minor"/>
    </font>
    <font>
      <sz val="10"/>
      <color theme="1"/>
      <name val="Calibri"/>
      <family val="2"/>
      <scheme val="minor"/>
    </font>
    <font>
      <b/>
      <sz val="10"/>
      <color theme="1"/>
      <name val="Calibri"/>
      <family val="2"/>
      <scheme val="minor"/>
    </font>
    <font>
      <vertAlign val="subscript"/>
      <sz val="10"/>
      <color theme="1"/>
      <name val="Calibri"/>
      <family val="2"/>
      <scheme val="minor"/>
    </font>
    <font>
      <b/>
      <i/>
      <sz val="10"/>
      <color theme="1"/>
      <name val="Calibri"/>
      <family val="2"/>
      <scheme val="minor"/>
    </font>
    <font>
      <sz val="10"/>
      <color rgb="FF0070C0"/>
      <name val="Calibri"/>
      <family val="2"/>
      <scheme val="minor"/>
    </font>
    <font>
      <sz val="10"/>
      <color theme="1"/>
      <name val="Symbol"/>
      <family val="1"/>
      <charset val="2"/>
    </font>
    <font>
      <sz val="10"/>
      <color theme="1"/>
      <name val="Calibri"/>
      <family val="2"/>
    </font>
    <font>
      <sz val="10"/>
      <color theme="1"/>
      <name val="Calibri"/>
      <family val="1"/>
      <charset val="2"/>
    </font>
    <font>
      <vertAlign val="subscript"/>
      <sz val="10"/>
      <color theme="1"/>
      <name val="Calibri"/>
      <family val="2"/>
    </font>
    <font>
      <sz val="10"/>
      <name val="Calibri"/>
      <family val="2"/>
      <scheme val="minor"/>
    </font>
    <font>
      <vertAlign val="superscript"/>
      <sz val="10"/>
      <color theme="1"/>
      <name val="Calibri"/>
      <family val="2"/>
      <scheme val="minor"/>
    </font>
    <font>
      <b/>
      <u/>
      <sz val="10"/>
      <color rgb="FFFF0000"/>
      <name val="Calibri"/>
      <family val="2"/>
      <scheme val="minor"/>
    </font>
    <font>
      <sz val="10"/>
      <color theme="1"/>
      <name val="Calibri"/>
      <family val="1"/>
      <charset val="2"/>
      <scheme val="minor"/>
    </font>
    <font>
      <i/>
      <sz val="10"/>
      <color rgb="FF7030A0"/>
      <name val="Calibri"/>
      <family val="2"/>
      <scheme val="minor"/>
    </font>
    <font>
      <vertAlign val="superscript"/>
      <sz val="10"/>
      <color theme="1"/>
      <name val="Calibri"/>
      <family val="2"/>
    </font>
    <font>
      <sz val="10"/>
      <color rgb="FF0000CC"/>
      <name val="Calibri"/>
      <family val="2"/>
      <scheme val="minor"/>
    </font>
    <font>
      <b/>
      <sz val="14"/>
      <color theme="0"/>
      <name val="Calibri"/>
      <family val="2"/>
      <scheme val="minor"/>
    </font>
    <font>
      <b/>
      <sz val="14"/>
      <color rgb="FF0070C0"/>
      <name val="Calibri"/>
      <family val="2"/>
      <scheme val="minor"/>
    </font>
    <font>
      <b/>
      <sz val="10"/>
      <color theme="0"/>
      <name val="Calibri"/>
      <family val="2"/>
      <scheme val="minor"/>
    </font>
    <font>
      <b/>
      <vertAlign val="subscript"/>
      <sz val="10"/>
      <color theme="0"/>
      <name val="Calibri"/>
      <family val="2"/>
      <scheme val="minor"/>
    </font>
    <font>
      <b/>
      <sz val="13"/>
      <color theme="0"/>
      <name val="Calibri"/>
      <family val="2"/>
      <scheme val="minor"/>
    </font>
    <font>
      <sz val="11"/>
      <color theme="1"/>
      <name val="Calibri"/>
      <family val="2"/>
      <scheme val="minor"/>
    </font>
    <font>
      <sz val="10"/>
      <color theme="1"/>
      <name val="Tahoma"/>
      <family val="2"/>
    </font>
    <font>
      <b/>
      <sz val="10"/>
      <color rgb="FF0000CC"/>
      <name val="Calibri"/>
      <family val="2"/>
      <scheme val="minor"/>
    </font>
    <font>
      <vertAlign val="subscript"/>
      <sz val="10"/>
      <name val="Calibri"/>
      <family val="2"/>
      <scheme val="minor"/>
    </font>
    <font>
      <sz val="10"/>
      <name val="Calibri"/>
      <family val="1"/>
      <charset val="2"/>
      <scheme val="minor"/>
    </font>
    <font>
      <sz val="10"/>
      <name val="Symbol"/>
      <family val="1"/>
      <charset val="2"/>
    </font>
    <font>
      <sz val="10"/>
      <name val="Calibri"/>
      <family val="2"/>
    </font>
    <font>
      <vertAlign val="subscript"/>
      <sz val="10"/>
      <name val="Calibri"/>
      <family val="2"/>
    </font>
    <font>
      <b/>
      <sz val="10"/>
      <color theme="9" tint="-0.249977111117893"/>
      <name val="Calibri"/>
      <family val="2"/>
      <scheme val="minor"/>
    </font>
    <font>
      <b/>
      <sz val="10"/>
      <color rgb="FF006100"/>
      <name val="Calibri"/>
      <family val="2"/>
      <scheme val="minor"/>
    </font>
    <font>
      <b/>
      <sz val="9"/>
      <color indexed="81"/>
      <name val="Tahoma"/>
      <charset val="1"/>
    </font>
    <font>
      <b/>
      <sz val="10"/>
      <color rgb="FF0070C0"/>
      <name val="Calibri"/>
      <family val="2"/>
      <scheme val="minor"/>
    </font>
    <font>
      <b/>
      <vertAlign val="subscript"/>
      <sz val="10"/>
      <color rgb="FF0070C0"/>
      <name val="Calibri"/>
      <family val="2"/>
      <scheme val="minor"/>
    </font>
    <font>
      <b/>
      <sz val="10"/>
      <color rgb="FF0070C0"/>
      <name val="Symbol"/>
      <family val="1"/>
      <charset val="2"/>
    </font>
    <font>
      <b/>
      <vertAlign val="superscript"/>
      <sz val="10"/>
      <color rgb="FF0070C0"/>
      <name val="Calibri"/>
      <family val="2"/>
      <scheme val="minor"/>
    </font>
    <font>
      <sz val="10"/>
      <color theme="0"/>
      <name val="Calibri"/>
      <family val="2"/>
      <scheme val="minor"/>
    </font>
    <font>
      <sz val="10"/>
      <color theme="5"/>
      <name val="Calibri"/>
      <family val="2"/>
      <scheme val="minor"/>
    </font>
  </fonts>
  <fills count="7">
    <fill>
      <patternFill patternType="none"/>
    </fill>
    <fill>
      <patternFill patternType="gray125"/>
    </fill>
    <fill>
      <patternFill patternType="solid">
        <fgColor theme="0"/>
        <bgColor indexed="64"/>
      </patternFill>
    </fill>
    <fill>
      <patternFill patternType="solid">
        <fgColor rgb="FF0070C0"/>
        <bgColor indexed="64"/>
      </patternFill>
    </fill>
    <fill>
      <patternFill patternType="solid">
        <fgColor theme="4" tint="0.79998168889431442"/>
        <bgColor indexed="64"/>
      </patternFill>
    </fill>
    <fill>
      <patternFill patternType="solid">
        <fgColor theme="4"/>
        <bgColor indexed="64"/>
      </patternFill>
    </fill>
    <fill>
      <patternFill patternType="solid">
        <fgColor theme="5"/>
        <bgColor indexed="64"/>
      </patternFill>
    </fill>
  </fills>
  <borders count="27">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style="thin">
        <color theme="0" tint="-0.499984740745262"/>
      </right>
      <top style="thin">
        <color theme="0" tint="-0.499984740745262"/>
      </top>
      <bottom/>
      <diagonal/>
    </border>
    <border>
      <left style="thin">
        <color indexed="64"/>
      </left>
      <right style="thin">
        <color indexed="64"/>
      </right>
      <top style="thin">
        <color indexed="64"/>
      </top>
      <bottom style="thin">
        <color indexed="64"/>
      </bottom>
      <diagonal/>
    </border>
    <border>
      <left style="thin">
        <color indexed="64"/>
      </left>
      <right/>
      <top/>
      <bottom style="thin">
        <color theme="0" tint="-0.499984740745262"/>
      </bottom>
      <diagonal/>
    </border>
    <border>
      <left/>
      <right style="thin">
        <color indexed="64"/>
      </right>
      <top/>
      <bottom style="thin">
        <color theme="0" tint="-0.499984740745262"/>
      </bottom>
      <diagonal/>
    </border>
    <border>
      <left/>
      <right style="thin">
        <color indexed="64"/>
      </right>
      <top/>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theme="0" tint="-0.499984740745262"/>
      </top>
      <bottom style="thin">
        <color indexed="64"/>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theme="0" tint="-0.499984740745262"/>
      </left>
      <right/>
      <top/>
      <bottom style="thin">
        <color auto="1"/>
      </bottom>
      <diagonal/>
    </border>
  </borders>
  <cellStyleXfs count="3">
    <xf numFmtId="0" fontId="0" fillId="0" borderId="0"/>
    <xf numFmtId="0" fontId="22" fillId="0" borderId="0"/>
    <xf numFmtId="9" fontId="22" fillId="0" borderId="0" applyFont="0" applyFill="0" applyBorder="0" applyAlignment="0" applyProtection="0"/>
  </cellStyleXfs>
  <cellXfs count="174">
    <xf numFmtId="0" fontId="0" fillId="0" borderId="0" xfId="0"/>
    <xf numFmtId="0" fontId="1" fillId="0" borderId="0" xfId="0" applyFont="1"/>
    <xf numFmtId="0" fontId="4" fillId="0" borderId="0" xfId="0" applyFont="1"/>
    <xf numFmtId="0" fontId="14" fillId="0" borderId="0" xfId="0" applyFont="1"/>
    <xf numFmtId="0" fontId="1" fillId="2" borderId="0" xfId="0" applyFont="1" applyFill="1"/>
    <xf numFmtId="0" fontId="1" fillId="2" borderId="12" xfId="0" applyFont="1" applyFill="1" applyBorder="1" applyAlignment="1">
      <alignment horizontal="center"/>
    </xf>
    <xf numFmtId="0" fontId="10" fillId="2" borderId="0" xfId="0" applyFont="1" applyFill="1"/>
    <xf numFmtId="0" fontId="1" fillId="2" borderId="14" xfId="0" applyFont="1" applyFill="1" applyBorder="1" applyAlignment="1">
      <alignment horizontal="center" vertical="center"/>
    </xf>
    <xf numFmtId="0" fontId="16" fillId="2" borderId="14" xfId="0" applyFont="1" applyFill="1" applyBorder="1" applyAlignment="1">
      <alignment horizontal="center" vertical="center"/>
    </xf>
    <xf numFmtId="0" fontId="1" fillId="2" borderId="17" xfId="0" applyFont="1" applyFill="1" applyBorder="1" applyAlignment="1">
      <alignment vertical="top"/>
    </xf>
    <xf numFmtId="0" fontId="2" fillId="2" borderId="18" xfId="0" applyFont="1" applyFill="1" applyBorder="1" applyAlignment="1">
      <alignment horizontal="left" indent="1"/>
    </xf>
    <xf numFmtId="0" fontId="1" fillId="2" borderId="18" xfId="0" applyFont="1" applyFill="1" applyBorder="1" applyAlignment="1">
      <alignment horizontal="left" vertical="top" indent="2"/>
    </xf>
    <xf numFmtId="0" fontId="1" fillId="2" borderId="17" xfId="0" applyFont="1" applyFill="1" applyBorder="1"/>
    <xf numFmtId="0" fontId="1" fillId="2" borderId="18" xfId="0" applyFont="1" applyFill="1" applyBorder="1"/>
    <xf numFmtId="0" fontId="1" fillId="2" borderId="5" xfId="0" applyFont="1" applyFill="1" applyBorder="1"/>
    <xf numFmtId="0" fontId="1" fillId="2" borderId="4" xfId="0" applyFont="1" applyFill="1" applyBorder="1"/>
    <xf numFmtId="0" fontId="1" fillId="2" borderId="14" xfId="0" applyFont="1" applyFill="1" applyBorder="1" applyAlignment="1">
      <alignment horizontal="center"/>
    </xf>
    <xf numFmtId="0" fontId="1" fillId="2" borderId="14" xfId="0" applyFont="1" applyFill="1" applyBorder="1" applyAlignment="1">
      <alignment horizontal="center" vertical="top"/>
    </xf>
    <xf numFmtId="1" fontId="1" fillId="2" borderId="14" xfId="0" applyNumberFormat="1" applyFont="1" applyFill="1" applyBorder="1" applyAlignment="1">
      <alignment horizontal="center" vertical="center"/>
    </xf>
    <xf numFmtId="164" fontId="1" fillId="2" borderId="14" xfId="0" applyNumberFormat="1" applyFont="1" applyFill="1" applyBorder="1" applyAlignment="1">
      <alignment horizontal="center" vertical="top"/>
    </xf>
    <xf numFmtId="0" fontId="19" fillId="5" borderId="12" xfId="0" applyFont="1" applyFill="1" applyBorder="1" applyAlignment="1">
      <alignment horizontal="center"/>
    </xf>
    <xf numFmtId="0" fontId="1" fillId="2" borderId="14" xfId="0" applyFont="1" applyFill="1" applyBorder="1"/>
    <xf numFmtId="164" fontId="1" fillId="2" borderId="14" xfId="0" applyNumberFormat="1" applyFont="1" applyFill="1" applyBorder="1" applyAlignment="1">
      <alignment horizontal="center"/>
    </xf>
    <xf numFmtId="0" fontId="12" fillId="2" borderId="17" xfId="0" applyFont="1" applyFill="1" applyBorder="1" applyAlignment="1">
      <alignment horizontal="center" vertical="center"/>
    </xf>
    <xf numFmtId="0" fontId="1" fillId="2" borderId="21" xfId="0" applyFont="1" applyFill="1" applyBorder="1"/>
    <xf numFmtId="0" fontId="16" fillId="2" borderId="14" xfId="0" applyFont="1" applyFill="1" applyBorder="1"/>
    <xf numFmtId="164" fontId="16" fillId="2" borderId="14" xfId="0" applyNumberFormat="1" applyFont="1" applyFill="1" applyBorder="1"/>
    <xf numFmtId="164" fontId="10" fillId="2" borderId="14" xfId="0" applyNumberFormat="1" applyFont="1" applyFill="1" applyBorder="1" applyAlignment="1">
      <alignment horizontal="center" vertical="center"/>
    </xf>
    <xf numFmtId="0" fontId="10" fillId="2" borderId="14" xfId="0" applyFont="1" applyFill="1" applyBorder="1" applyAlignment="1">
      <alignment horizontal="center" vertical="center"/>
    </xf>
    <xf numFmtId="2" fontId="10" fillId="2" borderId="14" xfId="0" applyNumberFormat="1" applyFont="1" applyFill="1" applyBorder="1" applyAlignment="1">
      <alignment horizontal="center" vertical="center"/>
    </xf>
    <xf numFmtId="164" fontId="1" fillId="2" borderId="14" xfId="0" applyNumberFormat="1" applyFont="1" applyFill="1" applyBorder="1" applyAlignment="1">
      <alignment horizontal="center" vertical="center"/>
    </xf>
    <xf numFmtId="2" fontId="30" fillId="2" borderId="14" xfId="0" applyNumberFormat="1" applyFont="1" applyFill="1" applyBorder="1" applyAlignment="1">
      <alignment horizontal="center" vertical="center"/>
    </xf>
    <xf numFmtId="0" fontId="1" fillId="2" borderId="12" xfId="0" applyFont="1" applyFill="1" applyBorder="1" applyAlignment="1">
      <alignment horizontal="right" vertical="center"/>
    </xf>
    <xf numFmtId="0" fontId="16" fillId="2" borderId="0" xfId="0" applyFont="1" applyFill="1" applyAlignment="1">
      <alignment horizontal="center" vertical="center"/>
    </xf>
    <xf numFmtId="0" fontId="10" fillId="2" borderId="14" xfId="0" applyFont="1" applyFill="1" applyBorder="1"/>
    <xf numFmtId="2" fontId="10" fillId="2" borderId="14" xfId="0" applyNumberFormat="1" applyFont="1" applyFill="1" applyBorder="1"/>
    <xf numFmtId="0" fontId="30" fillId="2" borderId="14" xfId="0" applyFont="1" applyFill="1" applyBorder="1" applyAlignment="1">
      <alignment horizontal="center" vertical="center"/>
    </xf>
    <xf numFmtId="0" fontId="2" fillId="2" borderId="1" xfId="0" applyFont="1" applyFill="1" applyBorder="1" applyAlignment="1">
      <alignment horizontal="left" indent="1"/>
    </xf>
    <xf numFmtId="0" fontId="24" fillId="2" borderId="2" xfId="0" applyFont="1" applyFill="1" applyBorder="1" applyAlignment="1">
      <alignment horizontal="left" indent="1"/>
    </xf>
    <xf numFmtId="0" fontId="16" fillId="2" borderId="2" xfId="0" applyFont="1" applyFill="1" applyBorder="1"/>
    <xf numFmtId="0" fontId="1" fillId="2" borderId="2" xfId="0" applyFont="1" applyFill="1" applyBorder="1" applyAlignment="1">
      <alignment horizontal="center" vertical="center"/>
    </xf>
    <xf numFmtId="0" fontId="1" fillId="2" borderId="2" xfId="0" applyFont="1" applyFill="1" applyBorder="1"/>
    <xf numFmtId="164" fontId="16" fillId="2" borderId="2" xfId="0" applyNumberFormat="1" applyFont="1" applyFill="1" applyBorder="1"/>
    <xf numFmtId="164" fontId="10" fillId="2" borderId="2" xfId="0" applyNumberFormat="1" applyFont="1" applyFill="1" applyBorder="1" applyAlignment="1">
      <alignment horizontal="center" vertical="center"/>
    </xf>
    <xf numFmtId="0" fontId="10" fillId="2" borderId="2" xfId="0" applyFont="1" applyFill="1" applyBorder="1" applyAlignment="1">
      <alignment horizontal="center" vertical="center"/>
    </xf>
    <xf numFmtId="2" fontId="10" fillId="2" borderId="2" xfId="0" applyNumberFormat="1" applyFont="1" applyFill="1" applyBorder="1" applyAlignment="1">
      <alignment horizontal="center" vertical="center"/>
    </xf>
    <xf numFmtId="0" fontId="10" fillId="2" borderId="2" xfId="0" applyFont="1" applyFill="1" applyBorder="1"/>
    <xf numFmtId="2" fontId="10" fillId="2" borderId="2" xfId="0" applyNumberFormat="1" applyFont="1" applyFill="1" applyBorder="1"/>
    <xf numFmtId="0" fontId="30" fillId="2" borderId="2" xfId="0" applyFont="1" applyFill="1" applyBorder="1" applyAlignment="1">
      <alignment horizontal="center" vertical="center"/>
    </xf>
    <xf numFmtId="0" fontId="16" fillId="2" borderId="0" xfId="0" applyFont="1" applyFill="1"/>
    <xf numFmtId="0" fontId="10" fillId="2" borderId="0" xfId="0" applyFont="1" applyFill="1" applyAlignment="1">
      <alignment horizontal="right" vertical="center"/>
    </xf>
    <xf numFmtId="0" fontId="10" fillId="2" borderId="0" xfId="0" applyFont="1" applyFill="1" applyAlignment="1">
      <alignment horizontal="center" vertical="center"/>
    </xf>
    <xf numFmtId="0" fontId="1" fillId="2" borderId="0" xfId="0" applyFont="1" applyFill="1" applyAlignment="1">
      <alignment horizontal="center" vertical="center"/>
    </xf>
    <xf numFmtId="164" fontId="16" fillId="2" borderId="0" xfId="0" applyNumberFormat="1" applyFont="1" applyFill="1"/>
    <xf numFmtId="164" fontId="10" fillId="2" borderId="0" xfId="0" applyNumberFormat="1" applyFont="1" applyFill="1" applyAlignment="1">
      <alignment horizontal="center" vertical="center"/>
    </xf>
    <xf numFmtId="164" fontId="10" fillId="2" borderId="0" xfId="0" applyNumberFormat="1" applyFont="1" applyFill="1" applyAlignment="1">
      <alignment horizontal="right"/>
    </xf>
    <xf numFmtId="0" fontId="10" fillId="2" borderId="0" xfId="0" applyFont="1" applyFill="1" applyAlignment="1">
      <alignment horizontal="right" vertical="top"/>
    </xf>
    <xf numFmtId="1" fontId="10" fillId="2" borderId="0" xfId="0" applyNumberFormat="1" applyFont="1" applyFill="1"/>
    <xf numFmtId="0" fontId="30" fillId="2" borderId="0" xfId="0" applyFont="1" applyFill="1" applyAlignment="1">
      <alignment horizontal="center" vertical="center"/>
    </xf>
    <xf numFmtId="0" fontId="26" fillId="2" borderId="0" xfId="0" applyFont="1" applyFill="1" applyAlignment="1">
      <alignment horizontal="right"/>
    </xf>
    <xf numFmtId="2" fontId="10" fillId="2" borderId="0" xfId="0" applyNumberFormat="1" applyFont="1" applyFill="1" applyAlignment="1">
      <alignment horizontal="center" vertical="center"/>
    </xf>
    <xf numFmtId="2" fontId="10" fillId="2" borderId="0" xfId="0" applyNumberFormat="1" applyFont="1" applyFill="1"/>
    <xf numFmtId="0" fontId="2" fillId="2" borderId="4" xfId="0" applyFont="1" applyFill="1" applyBorder="1" applyAlignment="1">
      <alignment horizontal="left" indent="1"/>
    </xf>
    <xf numFmtId="0" fontId="24" fillId="2" borderId="5" xfId="0" applyFont="1" applyFill="1" applyBorder="1" applyAlignment="1">
      <alignment horizontal="left" indent="1"/>
    </xf>
    <xf numFmtId="0" fontId="16" fillId="2" borderId="5" xfId="0" applyFont="1" applyFill="1" applyBorder="1"/>
    <xf numFmtId="0" fontId="10" fillId="2" borderId="5" xfId="0" applyFont="1" applyFill="1" applyBorder="1" applyAlignment="1">
      <alignment horizontal="center" vertical="center"/>
    </xf>
    <xf numFmtId="0" fontId="1" fillId="2" borderId="5" xfId="0" applyFont="1" applyFill="1" applyBorder="1" applyAlignment="1">
      <alignment horizontal="center" vertical="center"/>
    </xf>
    <xf numFmtId="164" fontId="16" fillId="2" borderId="5" xfId="0" applyNumberFormat="1" applyFont="1" applyFill="1" applyBorder="1"/>
    <xf numFmtId="0" fontId="10" fillId="2" borderId="5" xfId="0" applyFont="1" applyFill="1" applyBorder="1"/>
    <xf numFmtId="164" fontId="10" fillId="2" borderId="5" xfId="0" applyNumberFormat="1" applyFont="1" applyFill="1" applyBorder="1" applyAlignment="1">
      <alignment horizontal="center" vertical="center"/>
    </xf>
    <xf numFmtId="2" fontId="10" fillId="2" borderId="5" xfId="0" applyNumberFormat="1" applyFont="1" applyFill="1" applyBorder="1" applyAlignment="1">
      <alignment horizontal="center" vertical="center"/>
    </xf>
    <xf numFmtId="2" fontId="10" fillId="2" borderId="5" xfId="0" applyNumberFormat="1" applyFont="1" applyFill="1" applyBorder="1"/>
    <xf numFmtId="0" fontId="30" fillId="2" borderId="5" xfId="0" applyFont="1" applyFill="1" applyBorder="1" applyAlignment="1">
      <alignment horizontal="center" vertical="center"/>
    </xf>
    <xf numFmtId="0" fontId="1" fillId="0" borderId="0" xfId="0" applyFont="1" applyAlignment="1">
      <alignment horizontal="center" vertical="center"/>
    </xf>
    <xf numFmtId="0" fontId="10" fillId="2" borderId="14" xfId="0" applyFont="1" applyFill="1" applyBorder="1" applyAlignment="1">
      <alignment horizontal="center"/>
    </xf>
    <xf numFmtId="164" fontId="1" fillId="2" borderId="0" xfId="0" applyNumberFormat="1" applyFont="1" applyFill="1"/>
    <xf numFmtId="2" fontId="1" fillId="2" borderId="0" xfId="0" applyNumberFormat="1" applyFont="1" applyFill="1"/>
    <xf numFmtId="2" fontId="31" fillId="2" borderId="0" xfId="2" applyNumberFormat="1" applyFont="1" applyFill="1" applyBorder="1"/>
    <xf numFmtId="2" fontId="1" fillId="0" borderId="0" xfId="0" applyNumberFormat="1" applyFont="1"/>
    <xf numFmtId="0" fontId="1" fillId="6" borderId="0" xfId="0" applyFont="1" applyFill="1"/>
    <xf numFmtId="0" fontId="33" fillId="4" borderId="14" xfId="0" applyFont="1" applyFill="1" applyBorder="1" applyAlignment="1">
      <alignment horizontal="center" vertical="center"/>
    </xf>
    <xf numFmtId="0" fontId="33" fillId="4" borderId="14" xfId="0" applyFont="1" applyFill="1" applyBorder="1" applyAlignment="1">
      <alignment horizontal="center"/>
    </xf>
    <xf numFmtId="164" fontId="33" fillId="4" borderId="14" xfId="0" applyNumberFormat="1" applyFont="1" applyFill="1" applyBorder="1" applyAlignment="1">
      <alignment horizontal="center"/>
    </xf>
    <xf numFmtId="0" fontId="35" fillId="4" borderId="14" xfId="0" applyFont="1" applyFill="1" applyBorder="1" applyAlignment="1">
      <alignment horizontal="center" vertical="center"/>
    </xf>
    <xf numFmtId="0" fontId="35" fillId="4" borderId="14" xfId="0" applyFont="1" applyFill="1" applyBorder="1" applyAlignment="1">
      <alignment horizontal="center"/>
    </xf>
    <xf numFmtId="2" fontId="33" fillId="4" borderId="14" xfId="0" applyNumberFormat="1" applyFont="1" applyFill="1" applyBorder="1" applyAlignment="1">
      <alignment horizontal="center" vertical="center"/>
    </xf>
    <xf numFmtId="2" fontId="33" fillId="4" borderId="14" xfId="0" applyNumberFormat="1" applyFont="1" applyFill="1" applyBorder="1" applyAlignment="1">
      <alignment horizontal="center"/>
    </xf>
    <xf numFmtId="1" fontId="33" fillId="4" borderId="14" xfId="0" applyNumberFormat="1" applyFont="1" applyFill="1" applyBorder="1" applyAlignment="1">
      <alignment horizontal="center" vertical="center"/>
    </xf>
    <xf numFmtId="1" fontId="1" fillId="2" borderId="0" xfId="0" applyNumberFormat="1" applyFont="1" applyFill="1" applyAlignment="1">
      <alignment horizontal="center" vertical="center"/>
    </xf>
    <xf numFmtId="0" fontId="37" fillId="6" borderId="8" xfId="0" applyFont="1" applyFill="1" applyBorder="1" applyAlignment="1">
      <alignment vertical="center"/>
    </xf>
    <xf numFmtId="2" fontId="16" fillId="2" borderId="2" xfId="0" applyNumberFormat="1" applyFont="1" applyFill="1" applyBorder="1"/>
    <xf numFmtId="2" fontId="16" fillId="2" borderId="5" xfId="0" applyNumberFormat="1" applyFont="1" applyFill="1" applyBorder="1"/>
    <xf numFmtId="2" fontId="16" fillId="2" borderId="14" xfId="0" applyNumberFormat="1" applyFont="1" applyFill="1" applyBorder="1"/>
    <xf numFmtId="2" fontId="16" fillId="2" borderId="14" xfId="0" applyNumberFormat="1" applyFont="1" applyFill="1" applyBorder="1" applyAlignment="1">
      <alignment horizontal="center" vertical="center"/>
    </xf>
    <xf numFmtId="0" fontId="1" fillId="2" borderId="0" xfId="0" applyFont="1" applyFill="1" applyAlignment="1">
      <alignment vertical="top"/>
    </xf>
    <xf numFmtId="0" fontId="1" fillId="2" borderId="0" xfId="0" applyFont="1" applyFill="1" applyAlignment="1">
      <alignment horizontal="right" vertical="top"/>
    </xf>
    <xf numFmtId="0" fontId="5" fillId="2" borderId="0" xfId="0" applyFont="1" applyFill="1" applyAlignment="1">
      <alignment vertical="top"/>
    </xf>
    <xf numFmtId="0" fontId="16" fillId="2" borderId="0" xfId="0" applyFont="1" applyFill="1" applyAlignment="1">
      <alignment horizontal="right" vertical="center"/>
    </xf>
    <xf numFmtId="0" fontId="16" fillId="2" borderId="0" xfId="0" applyFont="1" applyFill="1" applyAlignment="1">
      <alignment vertical="top"/>
    </xf>
    <xf numFmtId="2" fontId="16" fillId="2" borderId="0" xfId="0" applyNumberFormat="1" applyFont="1" applyFill="1" applyAlignment="1">
      <alignment vertical="top"/>
    </xf>
    <xf numFmtId="0" fontId="5" fillId="2" borderId="0" xfId="0" applyFont="1" applyFill="1" applyAlignment="1">
      <alignment horizontal="right"/>
    </xf>
    <xf numFmtId="164" fontId="1" fillId="2" borderId="0" xfId="0" applyNumberFormat="1" applyFont="1" applyFill="1" applyAlignment="1">
      <alignment vertical="top"/>
    </xf>
    <xf numFmtId="0" fontId="8" fillId="2" borderId="0" xfId="0" applyFont="1" applyFill="1" applyAlignment="1">
      <alignment horizontal="right" vertical="top"/>
    </xf>
    <xf numFmtId="0" fontId="8" fillId="2" borderId="0" xfId="0" applyFont="1" applyFill="1" applyAlignment="1">
      <alignment horizontal="right"/>
    </xf>
    <xf numFmtId="0" fontId="6" fillId="2" borderId="0" xfId="0" applyFont="1" applyFill="1" applyAlignment="1">
      <alignment horizontal="center"/>
    </xf>
    <xf numFmtId="0" fontId="6" fillId="2" borderId="0" xfId="0" applyFont="1" applyFill="1" applyAlignment="1">
      <alignment horizontal="right"/>
    </xf>
    <xf numFmtId="0" fontId="13" fillId="2" borderId="0" xfId="0" applyFont="1" applyFill="1" applyAlignment="1">
      <alignment horizontal="right" vertical="top"/>
    </xf>
    <xf numFmtId="0" fontId="1" fillId="2" borderId="0" xfId="0" applyFont="1" applyFill="1" applyAlignment="1">
      <alignment horizontal="right" vertical="center"/>
    </xf>
    <xf numFmtId="0" fontId="13" fillId="2" borderId="0" xfId="0" applyFont="1" applyFill="1" applyAlignment="1">
      <alignment horizontal="right" vertical="center"/>
    </xf>
    <xf numFmtId="0" fontId="1" fillId="2" borderId="5" xfId="0" applyFont="1" applyFill="1" applyBorder="1" applyAlignment="1">
      <alignment vertical="top"/>
    </xf>
    <xf numFmtId="0" fontId="1" fillId="2" borderId="6" xfId="0" applyFont="1" applyFill="1" applyBorder="1" applyAlignment="1">
      <alignment vertical="top"/>
    </xf>
    <xf numFmtId="1" fontId="1" fillId="0" borderId="0" xfId="0" applyNumberFormat="1" applyFont="1" applyAlignment="1">
      <alignment horizontal="center" vertical="center"/>
    </xf>
    <xf numFmtId="1" fontId="1" fillId="2" borderId="2" xfId="0" applyNumberFormat="1" applyFont="1" applyFill="1" applyBorder="1" applyAlignment="1">
      <alignment horizontal="center" vertical="center"/>
    </xf>
    <xf numFmtId="1" fontId="1" fillId="2" borderId="5" xfId="0" applyNumberFormat="1" applyFont="1" applyFill="1" applyBorder="1" applyAlignment="1">
      <alignment horizontal="center" vertical="center"/>
    </xf>
    <xf numFmtId="1" fontId="1" fillId="0" borderId="0" xfId="0" applyNumberFormat="1" applyFont="1"/>
    <xf numFmtId="1" fontId="1" fillId="2" borderId="2" xfId="0" applyNumberFormat="1" applyFont="1" applyFill="1" applyBorder="1"/>
    <xf numFmtId="1" fontId="1" fillId="2" borderId="0" xfId="0" applyNumberFormat="1" applyFont="1" applyFill="1"/>
    <xf numFmtId="1" fontId="1" fillId="2" borderId="5" xfId="0" applyNumberFormat="1" applyFont="1" applyFill="1" applyBorder="1"/>
    <xf numFmtId="1" fontId="33" fillId="4" borderId="14" xfId="0" applyNumberFormat="1" applyFont="1" applyFill="1" applyBorder="1" applyAlignment="1">
      <alignment horizontal="center" vertical="top"/>
    </xf>
    <xf numFmtId="1" fontId="1" fillId="2" borderId="14" xfId="0" applyNumberFormat="1" applyFont="1" applyFill="1" applyBorder="1"/>
    <xf numFmtId="0" fontId="38" fillId="6" borderId="8" xfId="0" applyFont="1" applyFill="1" applyBorder="1" applyAlignment="1">
      <alignment horizontal="center" vertical="center"/>
    </xf>
    <xf numFmtId="2" fontId="31" fillId="2" borderId="0" xfId="0" applyNumberFormat="1" applyFont="1" applyFill="1" applyAlignment="1">
      <alignment vertical="top"/>
    </xf>
    <xf numFmtId="0" fontId="19" fillId="5" borderId="13" xfId="0" applyFont="1" applyFill="1" applyBorder="1" applyAlignment="1">
      <alignment horizontal="center" vertical="center"/>
    </xf>
    <xf numFmtId="0" fontId="19" fillId="5" borderId="11" xfId="0" applyFont="1" applyFill="1" applyBorder="1" applyAlignment="1">
      <alignment horizontal="center" vertical="center"/>
    </xf>
    <xf numFmtId="0" fontId="21" fillId="5" borderId="1" xfId="0" applyFont="1" applyFill="1" applyBorder="1" applyAlignment="1">
      <alignment horizontal="center"/>
    </xf>
    <xf numFmtId="0" fontId="21" fillId="5" borderId="2" xfId="0" applyFont="1" applyFill="1" applyBorder="1" applyAlignment="1">
      <alignment horizontal="center"/>
    </xf>
    <xf numFmtId="0" fontId="21" fillId="5" borderId="3" xfId="0" applyFont="1" applyFill="1" applyBorder="1" applyAlignment="1">
      <alignment horizontal="center"/>
    </xf>
    <xf numFmtId="0" fontId="19" fillId="5" borderId="4" xfId="0" applyFont="1" applyFill="1" applyBorder="1" applyAlignment="1">
      <alignment horizontal="center"/>
    </xf>
    <xf numFmtId="0" fontId="19" fillId="5" borderId="5" xfId="0" applyFont="1" applyFill="1" applyBorder="1" applyAlignment="1">
      <alignment horizontal="center"/>
    </xf>
    <xf numFmtId="0" fontId="19" fillId="5" borderId="6" xfId="0" applyFont="1" applyFill="1" applyBorder="1" applyAlignment="1">
      <alignment horizontal="center"/>
    </xf>
    <xf numFmtId="0" fontId="1" fillId="2" borderId="7" xfId="0" applyFont="1" applyFill="1" applyBorder="1" applyAlignment="1">
      <alignment horizontal="left" vertical="top" wrapText="1"/>
    </xf>
    <xf numFmtId="0" fontId="1" fillId="2" borderId="0" xfId="0" applyFont="1" applyFill="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10" xfId="0" applyFont="1" applyFill="1" applyBorder="1" applyAlignment="1">
      <alignment horizontal="left" vertical="top" wrapText="1"/>
    </xf>
    <xf numFmtId="0" fontId="1" fillId="2" borderId="11" xfId="0" applyFont="1" applyFill="1" applyBorder="1" applyAlignment="1">
      <alignment horizontal="left" vertical="top" wrapText="1"/>
    </xf>
    <xf numFmtId="2" fontId="33" fillId="4" borderId="14" xfId="0" applyNumberFormat="1" applyFont="1" applyFill="1" applyBorder="1" applyAlignment="1">
      <alignment horizontal="center" vertical="center"/>
    </xf>
    <xf numFmtId="0" fontId="33" fillId="4" borderId="14" xfId="0" applyFont="1" applyFill="1" applyBorder="1" applyAlignment="1">
      <alignment horizontal="center" vertical="center" wrapText="1"/>
    </xf>
    <xf numFmtId="0" fontId="33" fillId="4" borderId="22" xfId="0" applyFont="1" applyFill="1" applyBorder="1" applyAlignment="1">
      <alignment horizontal="left" vertical="center"/>
    </xf>
    <xf numFmtId="0" fontId="33" fillId="4" borderId="23" xfId="0" applyFont="1" applyFill="1" applyBorder="1" applyAlignment="1">
      <alignment horizontal="left" vertical="center"/>
    </xf>
    <xf numFmtId="0" fontId="10" fillId="2" borderId="24" xfId="0" applyFont="1" applyFill="1" applyBorder="1" applyAlignment="1">
      <alignment horizontal="center" vertical="top"/>
    </xf>
    <xf numFmtId="0" fontId="10" fillId="2" borderId="25" xfId="0" applyFont="1" applyFill="1" applyBorder="1" applyAlignment="1">
      <alignment horizontal="center" vertical="top"/>
    </xf>
    <xf numFmtId="0" fontId="10" fillId="2" borderId="0" xfId="0" applyFont="1" applyFill="1" applyAlignment="1">
      <alignment horizontal="right"/>
    </xf>
    <xf numFmtId="0" fontId="10" fillId="2" borderId="0" xfId="0" applyFont="1" applyFill="1" applyAlignment="1">
      <alignment horizontal="center" vertical="center"/>
    </xf>
    <xf numFmtId="0" fontId="16" fillId="2" borderId="0" xfId="0" applyFont="1" applyFill="1" applyAlignment="1">
      <alignment horizontal="center" vertical="center"/>
    </xf>
    <xf numFmtId="0" fontId="10" fillId="2" borderId="14" xfId="0" applyFont="1" applyFill="1" applyBorder="1" applyAlignment="1">
      <alignment horizontal="center" vertical="top" wrapText="1"/>
    </xf>
    <xf numFmtId="0" fontId="1" fillId="2" borderId="14" xfId="0" applyFont="1" applyFill="1" applyBorder="1" applyAlignment="1">
      <alignment horizontal="center" vertical="center"/>
    </xf>
    <xf numFmtId="0" fontId="1" fillId="2" borderId="19" xfId="0" applyFont="1" applyFill="1" applyBorder="1" applyAlignment="1">
      <alignment horizontal="center" vertical="center"/>
    </xf>
    <xf numFmtId="0" fontId="16" fillId="2" borderId="20" xfId="0" applyFont="1" applyFill="1" applyBorder="1" applyAlignment="1">
      <alignment horizontal="center" vertical="center"/>
    </xf>
    <xf numFmtId="0" fontId="16" fillId="2" borderId="14" xfId="0" applyFont="1" applyFill="1" applyBorder="1" applyAlignment="1">
      <alignment horizontal="center" vertical="center"/>
    </xf>
    <xf numFmtId="0" fontId="1" fillId="2" borderId="14" xfId="0" applyFont="1" applyFill="1" applyBorder="1" applyAlignment="1">
      <alignment horizontal="center"/>
    </xf>
    <xf numFmtId="0" fontId="8" fillId="2" borderId="14" xfId="0" applyFont="1" applyFill="1" applyBorder="1" applyAlignment="1">
      <alignment horizontal="center" vertical="center"/>
    </xf>
    <xf numFmtId="0" fontId="17"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17" fillId="3" borderId="15" xfId="0" applyFont="1" applyFill="1" applyBorder="1" applyAlignment="1">
      <alignment horizontal="center" vertical="center"/>
    </xf>
    <xf numFmtId="0" fontId="17" fillId="3" borderId="10" xfId="0" applyFont="1" applyFill="1" applyBorder="1" applyAlignment="1">
      <alignment horizontal="center" vertical="center"/>
    </xf>
    <xf numFmtId="0" fontId="18" fillId="4" borderId="2" xfId="0" applyFont="1" applyFill="1" applyBorder="1" applyAlignment="1">
      <alignment horizontal="center" vertical="center"/>
    </xf>
    <xf numFmtId="0" fontId="18" fillId="4" borderId="10" xfId="0" applyFont="1" applyFill="1" applyBorder="1" applyAlignment="1">
      <alignment horizontal="center" vertical="center"/>
    </xf>
    <xf numFmtId="0" fontId="18" fillId="4" borderId="3" xfId="0" applyFont="1" applyFill="1" applyBorder="1" applyAlignment="1">
      <alignment horizontal="center" vertical="center"/>
    </xf>
    <xf numFmtId="0" fontId="18" fillId="4" borderId="16" xfId="0" applyFont="1" applyFill="1" applyBorder="1" applyAlignment="1">
      <alignment horizontal="center" vertical="center"/>
    </xf>
    <xf numFmtId="0" fontId="21" fillId="3" borderId="7" xfId="0" applyFont="1" applyFill="1" applyBorder="1" applyAlignment="1">
      <alignment horizontal="center"/>
    </xf>
    <xf numFmtId="0" fontId="21" fillId="3" borderId="0" xfId="0" applyFont="1" applyFill="1" applyAlignment="1">
      <alignment horizontal="center"/>
    </xf>
    <xf numFmtId="0" fontId="19" fillId="3" borderId="26" xfId="0" applyFont="1" applyFill="1" applyBorder="1" applyAlignment="1">
      <alignment horizontal="center"/>
    </xf>
    <xf numFmtId="0" fontId="19" fillId="3" borderId="5" xfId="0" applyFont="1" applyFill="1" applyBorder="1" applyAlignment="1">
      <alignment horizontal="center"/>
    </xf>
    <xf numFmtId="1" fontId="10" fillId="2" borderId="0" xfId="0" applyNumberFormat="1" applyFont="1" applyFill="1" applyAlignment="1">
      <alignment horizontal="center" vertical="center"/>
    </xf>
    <xf numFmtId="0" fontId="33" fillId="4" borderId="14" xfId="0" applyFont="1" applyFill="1" applyBorder="1" applyAlignment="1">
      <alignment horizontal="center" vertical="center"/>
    </xf>
    <xf numFmtId="0" fontId="33" fillId="4" borderId="14" xfId="0" applyFont="1" applyFill="1" applyBorder="1" applyAlignment="1">
      <alignment horizontal="center" vertical="top"/>
    </xf>
    <xf numFmtId="0" fontId="33" fillId="4" borderId="14" xfId="0" applyFont="1" applyFill="1" applyBorder="1" applyAlignment="1">
      <alignment horizontal="center" vertical="top" wrapText="1"/>
    </xf>
    <xf numFmtId="0" fontId="33" fillId="4" borderId="1" xfId="0" applyFont="1" applyFill="1" applyBorder="1" applyAlignment="1">
      <alignment horizontal="center" vertical="center"/>
    </xf>
    <xf numFmtId="0" fontId="33" fillId="4" borderId="2" xfId="0" applyFont="1" applyFill="1" applyBorder="1" applyAlignment="1">
      <alignment horizontal="center" vertical="center"/>
    </xf>
    <xf numFmtId="0" fontId="33" fillId="4" borderId="3" xfId="0" applyFont="1" applyFill="1" applyBorder="1" applyAlignment="1">
      <alignment horizontal="center" vertical="center"/>
    </xf>
    <xf numFmtId="0" fontId="33" fillId="4" borderId="4" xfId="0" applyFont="1" applyFill="1" applyBorder="1" applyAlignment="1">
      <alignment horizontal="center" vertical="center"/>
    </xf>
    <xf numFmtId="0" fontId="33" fillId="4" borderId="5" xfId="0" applyFont="1" applyFill="1" applyBorder="1" applyAlignment="1">
      <alignment horizontal="center" vertical="center"/>
    </xf>
    <xf numFmtId="0" fontId="33" fillId="4" borderId="6" xfId="0" applyFont="1" applyFill="1" applyBorder="1" applyAlignment="1">
      <alignment horizontal="center" vertical="center"/>
    </xf>
  </cellXfs>
  <cellStyles count="3">
    <cellStyle name="Normal" xfId="0" builtinId="0"/>
    <cellStyle name="Normal 6" xfId="1"/>
    <cellStyle name="Percent" xfId="2" builtinId="5"/>
  </cellStyles>
  <dxfs count="16">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0000CC"/>
      <color rgb="FF006100"/>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7</xdr:col>
      <xdr:colOff>111624</xdr:colOff>
      <xdr:row>12</xdr:row>
      <xdr:rowOff>68988</xdr:rowOff>
    </xdr:from>
    <xdr:to>
      <xdr:col>10</xdr:col>
      <xdr:colOff>52551</xdr:colOff>
      <xdr:row>19</xdr:row>
      <xdr:rowOff>134709</xdr:rowOff>
    </xdr:to>
    <xdr:pic>
      <xdr:nvPicPr>
        <xdr:cNvPr id="5" name="Picture 4">
          <a:extLst>
            <a:ext uri="{FF2B5EF4-FFF2-40B4-BE49-F238E27FC236}">
              <a16:creationId xmlns:a16="http://schemas.microsoft.com/office/drawing/2014/main" id="{917C6B84-A14F-37DD-518E-320CABCB4E9A}"/>
            </a:ext>
          </a:extLst>
        </xdr:cNvPr>
        <xdr:cNvPicPr>
          <a:picLocks noChangeAspect="1"/>
        </xdr:cNvPicPr>
      </xdr:nvPicPr>
      <xdr:blipFill>
        <a:blip xmlns:r="http://schemas.openxmlformats.org/officeDocument/2006/relationships" r:embed="rId1"/>
        <a:stretch>
          <a:fillRect/>
        </a:stretch>
      </xdr:blipFill>
      <xdr:spPr>
        <a:xfrm>
          <a:off x="3330417" y="489402"/>
          <a:ext cx="1478065" cy="1399221"/>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image" Target="../media/image2.png"/></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70C0"/>
  </sheetPr>
  <dimension ref="B1:N46"/>
  <sheetViews>
    <sheetView showGridLines="0" topLeftCell="A3" zoomScale="130" zoomScaleNormal="130" zoomScaleSheetLayoutView="100" workbookViewId="0">
      <selection activeCell="I46" sqref="I46"/>
    </sheetView>
  </sheetViews>
  <sheetFormatPr defaultColWidth="7.28515625" defaultRowHeight="12.75"/>
  <cols>
    <col min="1" max="1" width="7.28515625" style="1"/>
    <col min="2" max="2" width="6" style="1" customWidth="1"/>
    <col min="3" max="3" width="9.85546875" style="1" customWidth="1"/>
    <col min="4" max="16384" width="7.28515625" style="1"/>
  </cols>
  <sheetData>
    <row r="1" spans="2:14" ht="17.25">
      <c r="B1" s="124" t="s">
        <v>1</v>
      </c>
      <c r="C1" s="125"/>
      <c r="D1" s="125"/>
      <c r="E1" s="125"/>
      <c r="F1" s="125"/>
      <c r="G1" s="125"/>
      <c r="H1" s="125"/>
      <c r="I1" s="125"/>
      <c r="J1" s="125"/>
      <c r="K1" s="125"/>
      <c r="L1" s="125"/>
      <c r="M1" s="125"/>
      <c r="N1" s="126"/>
    </row>
    <row r="2" spans="2:14">
      <c r="B2" s="127" t="s">
        <v>0</v>
      </c>
      <c r="C2" s="128"/>
      <c r="D2" s="128"/>
      <c r="E2" s="128"/>
      <c r="F2" s="128"/>
      <c r="G2" s="128"/>
      <c r="H2" s="128"/>
      <c r="I2" s="128"/>
      <c r="J2" s="128"/>
      <c r="K2" s="128"/>
      <c r="L2" s="128"/>
      <c r="M2" s="128"/>
      <c r="N2" s="129"/>
    </row>
    <row r="3" spans="2:14" ht="12.75" customHeight="1">
      <c r="B3" s="130" t="s">
        <v>2</v>
      </c>
      <c r="C3" s="131"/>
      <c r="D3" s="131"/>
      <c r="E3" s="131"/>
      <c r="F3" s="131"/>
      <c r="G3" s="131"/>
      <c r="H3" s="131"/>
      <c r="I3" s="131"/>
      <c r="J3" s="131"/>
      <c r="K3" s="131"/>
      <c r="L3" s="131"/>
      <c r="M3" s="131"/>
      <c r="N3" s="132"/>
    </row>
    <row r="4" spans="2:14">
      <c r="B4" s="130"/>
      <c r="C4" s="131"/>
      <c r="D4" s="131"/>
      <c r="E4" s="131"/>
      <c r="F4" s="131"/>
      <c r="G4" s="131"/>
      <c r="H4" s="131"/>
      <c r="I4" s="131"/>
      <c r="J4" s="131"/>
      <c r="K4" s="131"/>
      <c r="L4" s="131"/>
      <c r="M4" s="131"/>
      <c r="N4" s="132"/>
    </row>
    <row r="5" spans="2:14">
      <c r="B5" s="130"/>
      <c r="C5" s="131"/>
      <c r="D5" s="131"/>
      <c r="E5" s="131"/>
      <c r="F5" s="131"/>
      <c r="G5" s="131"/>
      <c r="H5" s="131"/>
      <c r="I5" s="131"/>
      <c r="J5" s="131"/>
      <c r="K5" s="131"/>
      <c r="L5" s="131"/>
      <c r="M5" s="131"/>
      <c r="N5" s="132"/>
    </row>
    <row r="6" spans="2:14">
      <c r="B6" s="130"/>
      <c r="C6" s="131"/>
      <c r="D6" s="131"/>
      <c r="E6" s="131"/>
      <c r="F6" s="131"/>
      <c r="G6" s="131"/>
      <c r="H6" s="131"/>
      <c r="I6" s="131"/>
      <c r="J6" s="131"/>
      <c r="K6" s="131"/>
      <c r="L6" s="131"/>
      <c r="M6" s="131"/>
      <c r="N6" s="132"/>
    </row>
    <row r="7" spans="2:14">
      <c r="B7" s="130"/>
      <c r="C7" s="131"/>
      <c r="D7" s="131"/>
      <c r="E7" s="131"/>
      <c r="F7" s="131"/>
      <c r="G7" s="131"/>
      <c r="H7" s="131"/>
      <c r="I7" s="131"/>
      <c r="J7" s="131"/>
      <c r="K7" s="131"/>
      <c r="L7" s="131"/>
      <c r="M7" s="131"/>
      <c r="N7" s="132"/>
    </row>
    <row r="8" spans="2:14">
      <c r="B8" s="130"/>
      <c r="C8" s="131"/>
      <c r="D8" s="131"/>
      <c r="E8" s="131"/>
      <c r="F8" s="131"/>
      <c r="G8" s="131"/>
      <c r="H8" s="131"/>
      <c r="I8" s="131"/>
      <c r="J8" s="131"/>
      <c r="K8" s="131"/>
      <c r="L8" s="131"/>
      <c r="M8" s="131"/>
      <c r="N8" s="132"/>
    </row>
    <row r="9" spans="2:14">
      <c r="B9" s="130"/>
      <c r="C9" s="131"/>
      <c r="D9" s="131"/>
      <c r="E9" s="131"/>
      <c r="F9" s="131"/>
      <c r="G9" s="131"/>
      <c r="H9" s="131"/>
      <c r="I9" s="131"/>
      <c r="J9" s="131"/>
      <c r="K9" s="131"/>
      <c r="L9" s="131"/>
      <c r="M9" s="131"/>
      <c r="N9" s="132"/>
    </row>
    <row r="10" spans="2:14">
      <c r="B10" s="130"/>
      <c r="C10" s="131"/>
      <c r="D10" s="131"/>
      <c r="E10" s="131"/>
      <c r="F10" s="131"/>
      <c r="G10" s="131"/>
      <c r="H10" s="131"/>
      <c r="I10" s="131"/>
      <c r="J10" s="131"/>
      <c r="K10" s="131"/>
      <c r="L10" s="131"/>
      <c r="M10" s="131"/>
      <c r="N10" s="132"/>
    </row>
    <row r="11" spans="2:14">
      <c r="B11" s="130"/>
      <c r="C11" s="131"/>
      <c r="D11" s="131"/>
      <c r="E11" s="131"/>
      <c r="F11" s="131"/>
      <c r="G11" s="131"/>
      <c r="H11" s="131"/>
      <c r="I11" s="131"/>
      <c r="J11" s="131"/>
      <c r="K11" s="131"/>
      <c r="L11" s="131"/>
      <c r="M11" s="131"/>
      <c r="N11" s="132"/>
    </row>
    <row r="12" spans="2:14">
      <c r="B12" s="130"/>
      <c r="C12" s="131"/>
      <c r="D12" s="131"/>
      <c r="E12" s="131"/>
      <c r="F12" s="131"/>
      <c r="G12" s="131"/>
      <c r="H12" s="131"/>
      <c r="I12" s="131"/>
      <c r="J12" s="131"/>
      <c r="K12" s="131"/>
      <c r="L12" s="131"/>
      <c r="M12" s="131"/>
      <c r="N12" s="132"/>
    </row>
    <row r="13" spans="2:14">
      <c r="B13" s="130"/>
      <c r="C13" s="131"/>
      <c r="D13" s="131"/>
      <c r="E13" s="131"/>
      <c r="F13" s="131"/>
      <c r="G13" s="131"/>
      <c r="H13" s="131"/>
      <c r="I13" s="131"/>
      <c r="J13" s="131"/>
      <c r="K13" s="131"/>
      <c r="L13" s="131"/>
      <c r="M13" s="131"/>
      <c r="N13" s="132"/>
    </row>
    <row r="14" spans="2:14">
      <c r="B14" s="130"/>
      <c r="C14" s="131"/>
      <c r="D14" s="131"/>
      <c r="E14" s="131"/>
      <c r="F14" s="131"/>
      <c r="G14" s="131"/>
      <c r="H14" s="131"/>
      <c r="I14" s="131"/>
      <c r="J14" s="131"/>
      <c r="K14" s="131"/>
      <c r="L14" s="131"/>
      <c r="M14" s="131"/>
      <c r="N14" s="132"/>
    </row>
    <row r="15" spans="2:14">
      <c r="B15" s="130"/>
      <c r="C15" s="131"/>
      <c r="D15" s="131"/>
      <c r="E15" s="131"/>
      <c r="F15" s="131"/>
      <c r="G15" s="131"/>
      <c r="H15" s="131"/>
      <c r="I15" s="131"/>
      <c r="J15" s="131"/>
      <c r="K15" s="131"/>
      <c r="L15" s="131"/>
      <c r="M15" s="131"/>
      <c r="N15" s="132"/>
    </row>
    <row r="16" spans="2:14">
      <c r="B16" s="133"/>
      <c r="C16" s="134"/>
      <c r="D16" s="134"/>
      <c r="E16" s="134"/>
      <c r="F16" s="134"/>
      <c r="G16" s="134"/>
      <c r="H16" s="134"/>
      <c r="I16" s="134"/>
      <c r="J16" s="134"/>
      <c r="K16" s="134"/>
      <c r="L16" s="134"/>
      <c r="M16" s="134"/>
      <c r="N16" s="135"/>
    </row>
    <row r="18" spans="3:6" ht="14.25">
      <c r="C18" s="122" t="s">
        <v>7</v>
      </c>
      <c r="D18" s="20" t="s">
        <v>23</v>
      </c>
      <c r="E18" s="20" t="s">
        <v>76</v>
      </c>
      <c r="F18" s="20" t="s">
        <v>77</v>
      </c>
    </row>
    <row r="19" spans="3:6">
      <c r="C19" s="123"/>
      <c r="D19" s="20" t="s">
        <v>24</v>
      </c>
      <c r="E19" s="20" t="s">
        <v>24</v>
      </c>
      <c r="F19" s="20" t="s">
        <v>24</v>
      </c>
    </row>
    <row r="20" spans="3:6">
      <c r="C20" s="32" t="s">
        <v>100</v>
      </c>
      <c r="D20" s="5">
        <f>2.06*10^5</f>
        <v>206000</v>
      </c>
      <c r="E20" s="5">
        <v>235</v>
      </c>
      <c r="F20" s="5">
        <v>370</v>
      </c>
    </row>
    <row r="21" spans="3:6">
      <c r="C21" s="32" t="s">
        <v>101</v>
      </c>
      <c r="D21" s="5">
        <f t="shared" ref="D21:D46" si="0">2.06*10^5</f>
        <v>206000</v>
      </c>
      <c r="E21" s="5">
        <v>345</v>
      </c>
      <c r="F21" s="5">
        <v>510</v>
      </c>
    </row>
    <row r="22" spans="3:6">
      <c r="C22" s="32" t="s">
        <v>103</v>
      </c>
      <c r="D22" s="5">
        <f t="shared" si="0"/>
        <v>206000</v>
      </c>
      <c r="E22" s="5">
        <v>250</v>
      </c>
      <c r="F22" s="5">
        <v>400</v>
      </c>
    </row>
    <row r="23" spans="3:6">
      <c r="C23" s="32" t="s">
        <v>102</v>
      </c>
      <c r="D23" s="5">
        <f t="shared" si="0"/>
        <v>206000</v>
      </c>
      <c r="E23" s="5">
        <v>345</v>
      </c>
      <c r="F23" s="5">
        <v>450</v>
      </c>
    </row>
    <row r="24" spans="3:6">
      <c r="C24" s="32" t="s">
        <v>9</v>
      </c>
      <c r="D24" s="5">
        <f t="shared" si="0"/>
        <v>206000</v>
      </c>
      <c r="E24" s="5">
        <v>235</v>
      </c>
      <c r="F24" s="5">
        <v>360</v>
      </c>
    </row>
    <row r="25" spans="3:6">
      <c r="C25" s="32" t="s">
        <v>8</v>
      </c>
      <c r="D25" s="5">
        <f t="shared" si="0"/>
        <v>206000</v>
      </c>
      <c r="E25" s="5">
        <v>225</v>
      </c>
      <c r="F25" s="5">
        <v>360</v>
      </c>
    </row>
    <row r="26" spans="3:6">
      <c r="C26" s="32" t="s">
        <v>10</v>
      </c>
      <c r="D26" s="5">
        <f t="shared" si="0"/>
        <v>206000</v>
      </c>
      <c r="E26" s="5">
        <v>215</v>
      </c>
      <c r="F26" s="5">
        <v>360</v>
      </c>
    </row>
    <row r="27" spans="3:6">
      <c r="C27" s="32" t="s">
        <v>11</v>
      </c>
      <c r="D27" s="5">
        <f t="shared" si="0"/>
        <v>206000</v>
      </c>
      <c r="E27" s="5">
        <v>215</v>
      </c>
      <c r="F27" s="5">
        <v>360</v>
      </c>
    </row>
    <row r="28" spans="3:6">
      <c r="C28" s="32" t="s">
        <v>12</v>
      </c>
      <c r="D28" s="5">
        <f t="shared" si="0"/>
        <v>206000</v>
      </c>
      <c r="E28" s="5">
        <v>215</v>
      </c>
      <c r="F28" s="5">
        <v>360</v>
      </c>
    </row>
    <row r="29" spans="3:6">
      <c r="C29" s="32" t="s">
        <v>13</v>
      </c>
      <c r="D29" s="5">
        <f t="shared" si="0"/>
        <v>206000</v>
      </c>
      <c r="E29" s="5">
        <v>275</v>
      </c>
      <c r="F29" s="5">
        <v>410</v>
      </c>
    </row>
    <row r="30" spans="3:6">
      <c r="C30" s="32" t="s">
        <v>14</v>
      </c>
      <c r="D30" s="5">
        <f t="shared" si="0"/>
        <v>206000</v>
      </c>
      <c r="E30" s="5">
        <v>265</v>
      </c>
      <c r="F30" s="5">
        <v>410</v>
      </c>
    </row>
    <row r="31" spans="3:6">
      <c r="C31" s="32" t="s">
        <v>15</v>
      </c>
      <c r="D31" s="5">
        <f t="shared" si="0"/>
        <v>206000</v>
      </c>
      <c r="E31" s="5">
        <v>255</v>
      </c>
      <c r="F31" s="5">
        <v>410</v>
      </c>
    </row>
    <row r="32" spans="3:6">
      <c r="C32" s="32" t="s">
        <v>16</v>
      </c>
      <c r="D32" s="5">
        <f t="shared" si="0"/>
        <v>206000</v>
      </c>
      <c r="E32" s="5">
        <v>245</v>
      </c>
      <c r="F32" s="5">
        <v>410</v>
      </c>
    </row>
    <row r="33" spans="3:6">
      <c r="C33" s="32" t="s">
        <v>17</v>
      </c>
      <c r="D33" s="5">
        <f t="shared" si="0"/>
        <v>206000</v>
      </c>
      <c r="E33" s="5">
        <v>235</v>
      </c>
      <c r="F33" s="5">
        <v>410</v>
      </c>
    </row>
    <row r="34" spans="3:6">
      <c r="C34" s="32" t="s">
        <v>18</v>
      </c>
      <c r="D34" s="5">
        <f t="shared" si="0"/>
        <v>206000</v>
      </c>
      <c r="E34" s="5">
        <v>355</v>
      </c>
      <c r="F34" s="5">
        <v>470</v>
      </c>
    </row>
    <row r="35" spans="3:6">
      <c r="C35" s="32" t="s">
        <v>19</v>
      </c>
      <c r="D35" s="5">
        <f t="shared" si="0"/>
        <v>206000</v>
      </c>
      <c r="E35" s="5">
        <v>345</v>
      </c>
      <c r="F35" s="5">
        <v>470</v>
      </c>
    </row>
    <row r="36" spans="3:6">
      <c r="C36" s="32" t="s">
        <v>20</v>
      </c>
      <c r="D36" s="5">
        <f t="shared" si="0"/>
        <v>206000</v>
      </c>
      <c r="E36" s="5">
        <v>335</v>
      </c>
      <c r="F36" s="5">
        <v>470</v>
      </c>
    </row>
    <row r="37" spans="3:6">
      <c r="C37" s="32" t="s">
        <v>21</v>
      </c>
      <c r="D37" s="5">
        <f t="shared" si="0"/>
        <v>206000</v>
      </c>
      <c r="E37" s="5">
        <v>325</v>
      </c>
      <c r="F37" s="5">
        <v>470</v>
      </c>
    </row>
    <row r="38" spans="3:6">
      <c r="C38" s="32" t="s">
        <v>22</v>
      </c>
      <c r="D38" s="5">
        <f t="shared" si="0"/>
        <v>206000</v>
      </c>
      <c r="E38" s="5">
        <v>315</v>
      </c>
      <c r="F38" s="5">
        <v>470</v>
      </c>
    </row>
    <row r="39" spans="3:6">
      <c r="C39" s="32" t="s">
        <v>159</v>
      </c>
      <c r="D39" s="5">
        <f t="shared" si="0"/>
        <v>206000</v>
      </c>
      <c r="E39" s="5">
        <v>205</v>
      </c>
      <c r="F39" s="5">
        <v>330</v>
      </c>
    </row>
    <row r="40" spans="3:6">
      <c r="C40" s="32" t="s">
        <v>160</v>
      </c>
      <c r="D40" s="5">
        <f t="shared" si="0"/>
        <v>206000</v>
      </c>
      <c r="E40" s="5">
        <v>195</v>
      </c>
      <c r="F40" s="5">
        <v>330</v>
      </c>
    </row>
    <row r="41" spans="3:6">
      <c r="C41" s="32" t="s">
        <v>161</v>
      </c>
      <c r="D41" s="5">
        <f t="shared" si="0"/>
        <v>206000</v>
      </c>
      <c r="E41" s="5">
        <v>245</v>
      </c>
      <c r="F41" s="5">
        <v>400</v>
      </c>
    </row>
    <row r="42" spans="3:6">
      <c r="C42" s="32" t="s">
        <v>162</v>
      </c>
      <c r="D42" s="5">
        <f t="shared" si="0"/>
        <v>206000</v>
      </c>
      <c r="E42" s="5">
        <v>235</v>
      </c>
      <c r="F42" s="5">
        <v>400</v>
      </c>
    </row>
    <row r="43" spans="3:6">
      <c r="C43" s="32" t="s">
        <v>163</v>
      </c>
      <c r="D43" s="5">
        <f t="shared" si="0"/>
        <v>206000</v>
      </c>
      <c r="E43" s="5">
        <v>285</v>
      </c>
      <c r="F43" s="5">
        <v>490</v>
      </c>
    </row>
    <row r="44" spans="3:6">
      <c r="C44" s="32" t="s">
        <v>164</v>
      </c>
      <c r="D44" s="5">
        <f t="shared" si="0"/>
        <v>206000</v>
      </c>
      <c r="E44" s="5">
        <v>275</v>
      </c>
      <c r="F44" s="5">
        <v>490</v>
      </c>
    </row>
    <row r="45" spans="3:6">
      <c r="C45" s="32" t="s">
        <v>165</v>
      </c>
      <c r="D45" s="5">
        <f t="shared" si="0"/>
        <v>206000</v>
      </c>
      <c r="E45" s="5">
        <v>400</v>
      </c>
      <c r="F45" s="5">
        <v>540</v>
      </c>
    </row>
    <row r="46" spans="3:6">
      <c r="C46" s="32" t="s">
        <v>166</v>
      </c>
      <c r="D46" s="5">
        <f t="shared" si="0"/>
        <v>206000</v>
      </c>
      <c r="E46" s="5">
        <v>390</v>
      </c>
      <c r="F46" s="5">
        <v>540</v>
      </c>
    </row>
  </sheetData>
  <mergeCells count="4">
    <mergeCell ref="C18:C19"/>
    <mergeCell ref="B1:N1"/>
    <mergeCell ref="B2:N2"/>
    <mergeCell ref="B3:N16"/>
  </mergeCells>
  <pageMargins left="0.59055118110236227" right="0.31496062992125984" top="0.59055118110236227" bottom="0.59055118110236227" header="0.31496062992125984" footer="0.31496062992125984"/>
  <pageSetup orientation="portrait" r:id="rId1"/>
  <picture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C00000"/>
  </sheetPr>
  <dimension ref="B1:EE80"/>
  <sheetViews>
    <sheetView showGridLines="0" tabSelected="1" topLeftCell="B14" zoomScale="130" zoomScaleNormal="130" zoomScaleSheetLayoutView="100" workbookViewId="0">
      <selection activeCell="F18" sqref="F18"/>
    </sheetView>
  </sheetViews>
  <sheetFormatPr defaultColWidth="7.28515625" defaultRowHeight="15" outlineLevelCol="1"/>
  <cols>
    <col min="1" max="1" width="4.5703125" style="1" customWidth="1"/>
    <col min="2" max="7" width="7.28515625" style="1"/>
    <col min="8" max="11" width="7.7109375" style="1" customWidth="1"/>
    <col min="12" max="12" width="8.140625" style="1" customWidth="1"/>
    <col min="13" max="14" width="7.7109375" style="1" customWidth="1"/>
    <col min="15" max="25" width="7.28515625" style="1" hidden="1" customWidth="1"/>
    <col min="26" max="26" width="3.85546875" style="79" hidden="1" customWidth="1"/>
    <col min="27" max="27" width="15.7109375" style="21" customWidth="1" outlineLevel="1"/>
    <col min="28" max="28" width="5.42578125" style="25" customWidth="1" outlineLevel="1"/>
    <col min="29" max="30" width="5.42578125" style="92" customWidth="1" outlineLevel="1"/>
    <col min="31" max="33" width="5.42578125" style="25" customWidth="1" outlineLevel="1"/>
    <col min="34" max="34" width="5.42578125" style="21" customWidth="1" outlineLevel="1"/>
    <col min="35" max="36" width="6" style="18" customWidth="1" outlineLevel="1"/>
    <col min="37" max="38" width="5.42578125" style="18" customWidth="1" outlineLevel="1"/>
    <col min="39" max="39" width="6" style="18" customWidth="1" outlineLevel="1"/>
    <col min="40" max="40" width="7.7109375" style="25" customWidth="1" outlineLevel="1"/>
    <col min="41" max="45" width="5.42578125" style="26" customWidth="1" outlineLevel="1"/>
    <col min="46" max="47" width="6" style="26" customWidth="1" outlineLevel="1"/>
    <col min="48" max="49" width="6" style="27" customWidth="1" outlineLevel="1"/>
    <col min="50" max="50" width="5.42578125" style="28" customWidth="1" outlineLevel="1"/>
    <col min="51" max="51" width="5.42578125" style="29" customWidth="1" outlineLevel="1"/>
    <col min="52" max="52" width="5.42578125" style="34" customWidth="1" outlineLevel="1"/>
    <col min="53" max="53" width="5.42578125" style="35" customWidth="1" outlineLevel="1"/>
    <col min="54" max="54" width="5.42578125" style="34" customWidth="1" outlineLevel="1"/>
    <col min="55" max="55" width="5.42578125" style="35" customWidth="1" outlineLevel="1"/>
    <col min="56" max="56" width="5.42578125" style="36" customWidth="1" outlineLevel="1"/>
    <col min="57" max="57" width="5.42578125" style="7" customWidth="1" outlineLevel="1"/>
    <col min="58" max="58" width="5.42578125" style="1" customWidth="1"/>
    <col min="59" max="64" width="5.42578125" style="1" hidden="1" customWidth="1"/>
    <col min="65" max="65" width="7.140625" style="1" hidden="1" customWidth="1"/>
    <col min="66" max="67" width="5.42578125" style="1" hidden="1" customWidth="1"/>
    <col min="68" max="68" width="7.28515625" style="1" hidden="1" customWidth="1"/>
    <col min="69" max="69" width="9.140625" style="1" hidden="1" customWidth="1"/>
    <col min="70" max="98" width="7.28515625" style="1" hidden="1" customWidth="1"/>
    <col min="99" max="99" width="7.28515625" hidden="1" customWidth="1"/>
    <col min="100" max="103" width="7.28515625" style="1" hidden="1" customWidth="1"/>
    <col min="104" max="104" width="3.85546875" style="79" hidden="1" customWidth="1"/>
    <col min="105" max="105" width="14.85546875" style="21" customWidth="1"/>
    <col min="106" max="106" width="5.42578125" style="25" customWidth="1"/>
    <col min="107" max="108" width="5.42578125" style="92" customWidth="1"/>
    <col min="109" max="111" width="5.42578125" style="25" customWidth="1"/>
    <col min="112" max="112" width="5.42578125" style="21" customWidth="1"/>
    <col min="113" max="114" width="6" style="119" bestFit="1" customWidth="1"/>
    <col min="115" max="117" width="5" style="119" bestFit="1" customWidth="1"/>
    <col min="118" max="118" width="7.7109375" style="25" customWidth="1"/>
    <col min="119" max="123" width="5.42578125" style="26" customWidth="1"/>
    <col min="124" max="125" width="6" style="26" customWidth="1"/>
    <col min="126" max="127" width="6" style="27" customWidth="1"/>
    <col min="128" max="128" width="5.42578125" style="28" customWidth="1"/>
    <col min="129" max="129" width="5.42578125" style="29" customWidth="1"/>
    <col min="130" max="130" width="5.42578125" style="34" customWidth="1"/>
    <col min="131" max="131" width="5.42578125" style="35" customWidth="1"/>
    <col min="132" max="132" width="5.42578125" style="34" customWidth="1"/>
    <col min="133" max="133" width="5.42578125" style="35" customWidth="1"/>
    <col min="134" max="134" width="5.42578125" style="36" customWidth="1"/>
    <col min="135" max="135" width="5.42578125" style="7" customWidth="1"/>
    <col min="136" max="141" width="5.42578125" style="1" customWidth="1"/>
    <col min="142" max="142" width="7.28515625" style="1" customWidth="1"/>
    <col min="143" max="144" width="5.5703125" style="1" customWidth="1"/>
    <col min="145" max="145" width="5.42578125" style="1" customWidth="1"/>
    <col min="146" max="146" width="7.28515625" style="1" customWidth="1"/>
    <col min="147" max="147" width="1" style="1" customWidth="1"/>
    <col min="148" max="148" width="6" style="1" customWidth="1"/>
    <col min="149" max="149" width="7.140625" style="1" customWidth="1"/>
    <col min="150" max="150" width="5.42578125" style="1" customWidth="1"/>
    <col min="151" max="151" width="6" style="1" customWidth="1"/>
    <col min="152" max="152" width="7.28515625" style="1" customWidth="1"/>
    <col min="153" max="153" width="9.140625" style="1" customWidth="1"/>
    <col min="154" max="155" width="7.28515625" style="1" customWidth="1"/>
    <col min="156" max="16384" width="7.28515625" style="1"/>
  </cols>
  <sheetData>
    <row r="1" spans="2:135" ht="15" hidden="1" customHeight="1">
      <c r="AA1" s="78"/>
      <c r="AB1" s="78"/>
      <c r="AC1" s="78"/>
      <c r="AD1" s="78"/>
      <c r="AE1" s="78"/>
      <c r="AF1" s="78"/>
      <c r="AG1" s="78"/>
      <c r="AH1" s="78"/>
      <c r="AI1" s="111"/>
      <c r="AJ1" s="111"/>
      <c r="AK1" s="111"/>
      <c r="AL1" s="111"/>
      <c r="AM1" s="111"/>
      <c r="AN1" s="78"/>
      <c r="AO1" s="78"/>
      <c r="AP1" s="78"/>
      <c r="AQ1" s="78"/>
      <c r="AR1" s="78"/>
      <c r="AS1" s="78"/>
      <c r="AT1" s="78"/>
      <c r="AU1" s="78"/>
      <c r="AV1" s="78"/>
      <c r="AW1" s="78"/>
      <c r="AX1" s="78"/>
      <c r="AY1" s="78"/>
      <c r="AZ1" s="78"/>
      <c r="BA1" s="78"/>
      <c r="BB1" s="78"/>
      <c r="BC1" s="78"/>
      <c r="BD1" s="78"/>
      <c r="BE1" s="78"/>
      <c r="DA1" s="78"/>
      <c r="DB1" s="78"/>
      <c r="DC1" s="78"/>
      <c r="DD1" s="78"/>
      <c r="DE1" s="78"/>
      <c r="DF1" s="78"/>
      <c r="DG1" s="78"/>
      <c r="DH1" s="78"/>
      <c r="DI1" s="114"/>
      <c r="DJ1" s="114"/>
      <c r="DK1" s="114"/>
      <c r="DL1" s="114"/>
      <c r="DM1" s="114"/>
      <c r="DN1" s="78"/>
      <c r="DO1" s="78"/>
      <c r="DP1" s="78"/>
      <c r="DQ1" s="78"/>
      <c r="DR1" s="78"/>
      <c r="DS1" s="78"/>
      <c r="DT1" s="78"/>
      <c r="DU1" s="78"/>
      <c r="DV1" s="78"/>
      <c r="DW1" s="78"/>
      <c r="DX1" s="78"/>
      <c r="DY1" s="78"/>
      <c r="DZ1" s="78"/>
      <c r="EA1" s="78"/>
      <c r="EB1" s="78"/>
      <c r="EC1" s="78"/>
      <c r="ED1" s="78"/>
      <c r="EE1" s="78"/>
    </row>
    <row r="2" spans="2:135" ht="15" hidden="1" customHeight="1">
      <c r="AA2" s="78"/>
      <c r="AB2" s="78"/>
      <c r="AC2" s="78"/>
      <c r="AD2" s="78"/>
      <c r="AE2" s="78"/>
      <c r="AF2" s="78"/>
      <c r="AG2" s="78"/>
      <c r="AH2" s="78"/>
      <c r="AI2" s="111"/>
      <c r="AJ2" s="111"/>
      <c r="AK2" s="111"/>
      <c r="AL2" s="111"/>
      <c r="AM2" s="111"/>
      <c r="AN2" s="78"/>
      <c r="AO2" s="78"/>
      <c r="AP2" s="78"/>
      <c r="AQ2" s="78"/>
      <c r="AR2" s="78"/>
      <c r="AS2" s="78"/>
      <c r="AT2" s="78"/>
      <c r="AU2" s="78"/>
      <c r="AV2" s="78"/>
      <c r="AW2" s="78"/>
      <c r="AX2" s="78"/>
      <c r="AY2" s="78"/>
      <c r="AZ2" s="78"/>
      <c r="BA2" s="78"/>
      <c r="BB2" s="78"/>
      <c r="BC2" s="78"/>
      <c r="BD2" s="78"/>
      <c r="BE2" s="78"/>
      <c r="DA2" s="78"/>
      <c r="DB2" s="78"/>
      <c r="DC2" s="78"/>
      <c r="DD2" s="78"/>
      <c r="DE2" s="78"/>
      <c r="DF2" s="78"/>
      <c r="DG2" s="78"/>
      <c r="DH2" s="78"/>
      <c r="DI2" s="114"/>
      <c r="DJ2" s="114"/>
      <c r="DK2" s="114"/>
      <c r="DL2" s="114"/>
      <c r="DM2" s="114"/>
      <c r="DN2" s="78"/>
      <c r="DO2" s="78"/>
      <c r="DP2" s="78"/>
      <c r="DQ2" s="78"/>
      <c r="DR2" s="78"/>
      <c r="DS2" s="78"/>
      <c r="DT2" s="78"/>
      <c r="DU2" s="78"/>
      <c r="DV2" s="78"/>
      <c r="DW2" s="78"/>
      <c r="DX2" s="78"/>
      <c r="DY2" s="78"/>
      <c r="DZ2" s="78"/>
      <c r="EA2" s="78"/>
      <c r="EB2" s="78"/>
      <c r="EC2" s="78"/>
      <c r="ED2" s="78"/>
      <c r="EE2" s="78"/>
    </row>
    <row r="3" spans="2:135" ht="15" hidden="1" customHeight="1">
      <c r="AA3" s="78"/>
      <c r="AB3" s="78"/>
      <c r="AC3" s="78"/>
      <c r="AD3" s="78"/>
      <c r="AE3" s="78"/>
      <c r="AF3" s="78"/>
      <c r="AG3" s="78"/>
      <c r="AH3" s="78"/>
      <c r="AI3" s="111"/>
      <c r="AJ3" s="111"/>
      <c r="AK3" s="111"/>
      <c r="AL3" s="111"/>
      <c r="AM3" s="111"/>
      <c r="AN3" s="78"/>
      <c r="AO3" s="78"/>
      <c r="AP3" s="78"/>
      <c r="AQ3" s="78"/>
      <c r="AR3" s="78"/>
      <c r="AS3" s="78"/>
      <c r="AT3" s="78"/>
      <c r="AU3" s="78"/>
      <c r="AV3" s="78"/>
      <c r="AW3" s="78"/>
      <c r="AX3" s="78"/>
      <c r="AY3" s="78"/>
      <c r="AZ3" s="78"/>
      <c r="BA3" s="78"/>
      <c r="BB3" s="78"/>
      <c r="BC3" s="78"/>
      <c r="BD3" s="78"/>
      <c r="BE3" s="78"/>
      <c r="DA3" s="78"/>
      <c r="DB3" s="78"/>
      <c r="DC3" s="78"/>
      <c r="DD3" s="78"/>
      <c r="DE3" s="78"/>
      <c r="DF3" s="78"/>
      <c r="DG3" s="78"/>
      <c r="DH3" s="78"/>
      <c r="DI3" s="114"/>
      <c r="DJ3" s="114"/>
      <c r="DK3" s="114"/>
      <c r="DL3" s="114"/>
      <c r="DM3" s="114"/>
      <c r="DN3" s="78"/>
      <c r="DO3" s="78"/>
      <c r="DP3" s="78"/>
      <c r="DQ3" s="78"/>
      <c r="DR3" s="78"/>
      <c r="DS3" s="78"/>
      <c r="DT3" s="78"/>
      <c r="DU3" s="78"/>
      <c r="DV3" s="78"/>
      <c r="DW3" s="78"/>
      <c r="DX3" s="78"/>
      <c r="DY3" s="78"/>
      <c r="DZ3" s="78"/>
      <c r="EA3" s="78"/>
      <c r="EB3" s="78"/>
      <c r="EC3" s="78"/>
      <c r="ED3" s="78"/>
      <c r="EE3" s="78"/>
    </row>
    <row r="4" spans="2:135" ht="15" hidden="1" customHeight="1">
      <c r="AA4" s="78"/>
      <c r="AB4" s="78"/>
      <c r="AC4" s="78"/>
      <c r="AD4" s="78"/>
      <c r="AE4" s="78"/>
      <c r="AF4" s="78"/>
      <c r="AG4" s="78"/>
      <c r="AH4" s="78"/>
      <c r="AI4" s="111"/>
      <c r="AJ4" s="111"/>
      <c r="AK4" s="111"/>
      <c r="AL4" s="111"/>
      <c r="AM4" s="111"/>
      <c r="AN4" s="78"/>
      <c r="AO4" s="78"/>
      <c r="AP4" s="78"/>
      <c r="AQ4" s="78"/>
      <c r="AR4" s="78"/>
      <c r="AS4" s="78"/>
      <c r="AT4" s="78"/>
      <c r="AU4" s="78"/>
      <c r="AV4" s="78"/>
      <c r="AW4" s="78"/>
      <c r="AX4" s="78"/>
      <c r="AY4" s="78"/>
      <c r="AZ4" s="78"/>
      <c r="BA4" s="78"/>
      <c r="BB4" s="78"/>
      <c r="BC4" s="78"/>
      <c r="BD4" s="78"/>
      <c r="BE4" s="78"/>
      <c r="DA4" s="78"/>
      <c r="DB4" s="78"/>
      <c r="DC4" s="78"/>
      <c r="DD4" s="78"/>
      <c r="DE4" s="78"/>
      <c r="DF4" s="78"/>
      <c r="DG4" s="78"/>
      <c r="DH4" s="78"/>
      <c r="DI4" s="114"/>
      <c r="DJ4" s="114"/>
      <c r="DK4" s="114"/>
      <c r="DL4" s="114"/>
      <c r="DM4" s="114"/>
      <c r="DN4" s="78"/>
      <c r="DO4" s="78"/>
      <c r="DP4" s="78"/>
      <c r="DQ4" s="78"/>
      <c r="DR4" s="78"/>
      <c r="DS4" s="78"/>
      <c r="DT4" s="78"/>
      <c r="DU4" s="78"/>
      <c r="DV4" s="78"/>
      <c r="DW4" s="78"/>
      <c r="DX4" s="78"/>
      <c r="DY4" s="78"/>
      <c r="DZ4" s="78"/>
      <c r="EA4" s="78"/>
      <c r="EB4" s="78"/>
      <c r="EC4" s="78"/>
      <c r="ED4" s="78"/>
      <c r="EE4" s="78"/>
    </row>
    <row r="5" spans="2:135" ht="15" hidden="1" customHeight="1">
      <c r="AA5" s="78"/>
      <c r="AB5" s="78"/>
      <c r="AC5" s="78"/>
      <c r="AD5" s="78"/>
      <c r="AE5" s="78"/>
      <c r="AF5" s="78"/>
      <c r="AG5" s="78"/>
      <c r="AH5" s="78"/>
      <c r="AI5" s="111"/>
      <c r="AJ5" s="111"/>
      <c r="AK5" s="111"/>
      <c r="AL5" s="111"/>
      <c r="AM5" s="111"/>
      <c r="AN5" s="78"/>
      <c r="AO5" s="78"/>
      <c r="AP5" s="78"/>
      <c r="AQ5" s="78"/>
      <c r="AR5" s="78"/>
      <c r="AS5" s="78"/>
      <c r="AT5" s="78"/>
      <c r="AU5" s="78"/>
      <c r="AV5" s="78"/>
      <c r="AW5" s="78"/>
      <c r="AX5" s="78"/>
      <c r="AY5" s="78"/>
      <c r="AZ5" s="78"/>
      <c r="BA5" s="78"/>
      <c r="BB5" s="78"/>
      <c r="BC5" s="78"/>
      <c r="BD5" s="78"/>
      <c r="BE5" s="78"/>
      <c r="DA5" s="78"/>
      <c r="DB5" s="78"/>
      <c r="DC5" s="78"/>
      <c r="DD5" s="78"/>
      <c r="DE5" s="78"/>
      <c r="DF5" s="78"/>
      <c r="DG5" s="78"/>
      <c r="DH5" s="78"/>
      <c r="DI5" s="114"/>
      <c r="DJ5" s="114"/>
      <c r="DK5" s="114"/>
      <c r="DL5" s="114"/>
      <c r="DM5" s="114"/>
      <c r="DN5" s="78"/>
      <c r="DO5" s="78"/>
      <c r="DP5" s="78"/>
      <c r="DQ5" s="78"/>
      <c r="DR5" s="78"/>
      <c r="DS5" s="78"/>
      <c r="DT5" s="78"/>
      <c r="DU5" s="78"/>
      <c r="DV5" s="78"/>
      <c r="DW5" s="78"/>
      <c r="DX5" s="78"/>
      <c r="DY5" s="78"/>
      <c r="DZ5" s="78"/>
      <c r="EA5" s="78"/>
      <c r="EB5" s="78"/>
      <c r="EC5" s="78"/>
      <c r="ED5" s="78"/>
      <c r="EE5" s="78"/>
    </row>
    <row r="6" spans="2:135" ht="15" hidden="1" customHeight="1">
      <c r="AA6" s="78"/>
      <c r="AB6" s="78"/>
      <c r="AC6" s="78"/>
      <c r="AD6" s="78"/>
      <c r="AE6" s="78"/>
      <c r="AF6" s="78"/>
      <c r="AG6" s="78"/>
      <c r="AH6" s="78"/>
      <c r="AI6" s="111"/>
      <c r="AJ6" s="111"/>
      <c r="AK6" s="111"/>
      <c r="AL6" s="111"/>
      <c r="AM6" s="111"/>
      <c r="AN6" s="78"/>
      <c r="AO6" s="78"/>
      <c r="AP6" s="78"/>
      <c r="AQ6" s="78"/>
      <c r="AR6" s="78"/>
      <c r="AS6" s="78"/>
      <c r="AT6" s="78"/>
      <c r="AU6" s="78"/>
      <c r="AV6" s="78"/>
      <c r="AW6" s="78"/>
      <c r="AX6" s="78"/>
      <c r="AY6" s="78"/>
      <c r="AZ6" s="78"/>
      <c r="BA6" s="78"/>
      <c r="BB6" s="78"/>
      <c r="BC6" s="78"/>
      <c r="BD6" s="78"/>
      <c r="BE6" s="78"/>
      <c r="DA6" s="78"/>
      <c r="DB6" s="78"/>
      <c r="DC6" s="78"/>
      <c r="DD6" s="78"/>
      <c r="DE6" s="78"/>
      <c r="DF6" s="78"/>
      <c r="DG6" s="78"/>
      <c r="DH6" s="78"/>
      <c r="DI6" s="114"/>
      <c r="DJ6" s="114"/>
      <c r="DK6" s="114"/>
      <c r="DL6" s="114"/>
      <c r="DM6" s="114"/>
      <c r="DN6" s="78"/>
      <c r="DO6" s="78"/>
      <c r="DP6" s="78"/>
      <c r="DQ6" s="78"/>
      <c r="DR6" s="78"/>
      <c r="DS6" s="78"/>
      <c r="DT6" s="78"/>
      <c r="DU6" s="78"/>
      <c r="DV6" s="78"/>
      <c r="DW6" s="78"/>
      <c r="DX6" s="78"/>
      <c r="DY6" s="78"/>
      <c r="DZ6" s="78"/>
      <c r="EA6" s="78"/>
      <c r="EB6" s="78"/>
      <c r="EC6" s="78"/>
      <c r="ED6" s="78"/>
      <c r="EE6" s="78"/>
    </row>
    <row r="7" spans="2:135" ht="15" hidden="1" customHeight="1">
      <c r="AA7" s="78"/>
      <c r="AB7" s="78"/>
      <c r="AC7" s="78"/>
      <c r="AD7" s="78"/>
      <c r="AE7" s="78"/>
      <c r="AF7" s="78"/>
      <c r="AG7" s="78"/>
      <c r="AH7" s="78"/>
      <c r="AI7" s="111"/>
      <c r="AJ7" s="111"/>
      <c r="AK7" s="111"/>
      <c r="AL7" s="111"/>
      <c r="AM7" s="111"/>
      <c r="AN7" s="78"/>
      <c r="AO7" s="78"/>
      <c r="AP7" s="78"/>
      <c r="AQ7" s="78"/>
      <c r="AR7" s="78"/>
      <c r="AS7" s="78"/>
      <c r="AT7" s="78"/>
      <c r="AU7" s="78"/>
      <c r="AV7" s="78"/>
      <c r="AW7" s="78"/>
      <c r="AX7" s="78"/>
      <c r="AY7" s="78"/>
      <c r="AZ7" s="78"/>
      <c r="BA7" s="78"/>
      <c r="BB7" s="78"/>
      <c r="BC7" s="78"/>
      <c r="BD7" s="78"/>
      <c r="BE7" s="78"/>
      <c r="DA7" s="78"/>
      <c r="DB7" s="78"/>
      <c r="DC7" s="78"/>
      <c r="DD7" s="78"/>
      <c r="DE7" s="78"/>
      <c r="DF7" s="78"/>
      <c r="DG7" s="78"/>
      <c r="DH7" s="78"/>
      <c r="DI7" s="114"/>
      <c r="DJ7" s="114"/>
      <c r="DK7" s="114"/>
      <c r="DL7" s="114"/>
      <c r="DM7" s="114"/>
      <c r="DN7" s="78"/>
      <c r="DO7" s="78"/>
      <c r="DP7" s="78"/>
      <c r="DQ7" s="78"/>
      <c r="DR7" s="78"/>
      <c r="DS7" s="78"/>
      <c r="DT7" s="78"/>
      <c r="DU7" s="78"/>
      <c r="DV7" s="78"/>
      <c r="DW7" s="78"/>
      <c r="DX7" s="78"/>
      <c r="DY7" s="78"/>
      <c r="DZ7" s="78"/>
      <c r="EA7" s="78"/>
      <c r="EB7" s="78"/>
      <c r="EC7" s="78"/>
      <c r="ED7" s="78"/>
      <c r="EE7" s="78"/>
    </row>
    <row r="8" spans="2:135" ht="15" hidden="1" customHeight="1">
      <c r="AA8" s="78"/>
      <c r="AB8" s="78"/>
      <c r="AC8" s="78"/>
      <c r="AD8" s="78"/>
      <c r="AE8" s="78"/>
      <c r="AF8" s="78"/>
      <c r="AG8" s="78"/>
      <c r="AH8" s="78"/>
      <c r="AI8" s="111"/>
      <c r="AJ8" s="111"/>
      <c r="AK8" s="111"/>
      <c r="AL8" s="111"/>
      <c r="AM8" s="111"/>
      <c r="AN8" s="78"/>
      <c r="AO8" s="78"/>
      <c r="AP8" s="78"/>
      <c r="AQ8" s="78"/>
      <c r="AR8" s="78"/>
      <c r="AS8" s="78"/>
      <c r="AT8" s="78"/>
      <c r="AU8" s="78"/>
      <c r="AV8" s="78"/>
      <c r="AW8" s="78"/>
      <c r="AX8" s="78"/>
      <c r="AY8" s="78"/>
      <c r="AZ8" s="78"/>
      <c r="BA8" s="78"/>
      <c r="BB8" s="78"/>
      <c r="BC8" s="78"/>
      <c r="BD8" s="78"/>
      <c r="BE8" s="78"/>
      <c r="DA8" s="78"/>
      <c r="DB8" s="78"/>
      <c r="DC8" s="78"/>
      <c r="DD8" s="78"/>
      <c r="DE8" s="78"/>
      <c r="DF8" s="78"/>
      <c r="DG8" s="78"/>
      <c r="DH8" s="78"/>
      <c r="DI8" s="114"/>
      <c r="DJ8" s="114"/>
      <c r="DK8" s="114"/>
      <c r="DL8" s="114"/>
      <c r="DM8" s="114"/>
      <c r="DN8" s="78"/>
      <c r="DO8" s="78"/>
      <c r="DP8" s="78"/>
      <c r="DQ8" s="78"/>
      <c r="DR8" s="78"/>
      <c r="DS8" s="78"/>
      <c r="DT8" s="78"/>
      <c r="DU8" s="78"/>
      <c r="DV8" s="78"/>
      <c r="DW8" s="78"/>
      <c r="DX8" s="78"/>
      <c r="DY8" s="78"/>
      <c r="DZ8" s="78"/>
      <c r="EA8" s="78"/>
      <c r="EB8" s="78"/>
      <c r="EC8" s="78"/>
      <c r="ED8" s="78"/>
      <c r="EE8" s="78"/>
    </row>
    <row r="9" spans="2:135" ht="15" hidden="1" customHeight="1">
      <c r="AA9" s="78"/>
      <c r="AB9" s="78"/>
      <c r="AC9" s="78"/>
      <c r="AD9" s="78"/>
      <c r="AE9" s="78"/>
      <c r="AF9" s="78"/>
      <c r="AG9" s="78"/>
      <c r="AH9" s="78"/>
      <c r="AI9" s="111"/>
      <c r="AJ9" s="111"/>
      <c r="AK9" s="111"/>
      <c r="AL9" s="111"/>
      <c r="AM9" s="111"/>
      <c r="AN9" s="78"/>
      <c r="AO9" s="78"/>
      <c r="AP9" s="78"/>
      <c r="AQ9" s="78"/>
      <c r="AR9" s="78"/>
      <c r="AS9" s="78"/>
      <c r="AT9" s="78"/>
      <c r="AU9" s="78"/>
      <c r="AV9" s="78"/>
      <c r="AW9" s="78"/>
      <c r="AX9" s="78"/>
      <c r="AY9" s="78"/>
      <c r="AZ9" s="78"/>
      <c r="BA9" s="78"/>
      <c r="BB9" s="78"/>
      <c r="BC9" s="78"/>
      <c r="BD9" s="78"/>
      <c r="BE9" s="78"/>
      <c r="DA9" s="78"/>
      <c r="DB9" s="78"/>
      <c r="DC9" s="78"/>
      <c r="DD9" s="78"/>
      <c r="DE9" s="78"/>
      <c r="DF9" s="78"/>
      <c r="DG9" s="78"/>
      <c r="DH9" s="78"/>
      <c r="DI9" s="114"/>
      <c r="DJ9" s="114"/>
      <c r="DK9" s="114"/>
      <c r="DL9" s="114"/>
      <c r="DM9" s="114"/>
      <c r="DN9" s="78"/>
      <c r="DO9" s="78"/>
      <c r="DP9" s="78"/>
      <c r="DQ9" s="78"/>
      <c r="DR9" s="78"/>
      <c r="DS9" s="78"/>
      <c r="DT9" s="78"/>
      <c r="DU9" s="78"/>
      <c r="DV9" s="78"/>
      <c r="DW9" s="78"/>
      <c r="DX9" s="78"/>
      <c r="DY9" s="78"/>
      <c r="DZ9" s="78"/>
      <c r="EA9" s="78"/>
      <c r="EB9" s="78"/>
      <c r="EC9" s="78"/>
      <c r="ED9" s="78"/>
      <c r="EE9" s="78"/>
    </row>
    <row r="10" spans="2:135" ht="15" hidden="1" customHeight="1">
      <c r="AA10" s="78"/>
      <c r="AB10" s="78"/>
      <c r="AC10" s="78"/>
      <c r="AD10" s="78"/>
      <c r="AE10" s="78"/>
      <c r="AF10" s="78"/>
      <c r="AG10" s="78"/>
      <c r="AH10" s="78"/>
      <c r="AI10" s="111"/>
      <c r="AJ10" s="111"/>
      <c r="AK10" s="111"/>
      <c r="AL10" s="111"/>
      <c r="AM10" s="111"/>
      <c r="AN10" s="78"/>
      <c r="AO10" s="78"/>
      <c r="AP10" s="78"/>
      <c r="AQ10" s="78"/>
      <c r="AR10" s="78"/>
      <c r="AS10" s="78"/>
      <c r="AT10" s="78"/>
      <c r="AU10" s="78"/>
      <c r="AV10" s="78"/>
      <c r="AW10" s="78"/>
      <c r="AX10" s="78"/>
      <c r="AY10" s="78"/>
      <c r="AZ10" s="78"/>
      <c r="BA10" s="78"/>
      <c r="BB10" s="78"/>
      <c r="BC10" s="78"/>
      <c r="BD10" s="78"/>
      <c r="BE10" s="78"/>
      <c r="DA10" s="78"/>
      <c r="DB10" s="78"/>
      <c r="DC10" s="78"/>
      <c r="DD10" s="78"/>
      <c r="DE10" s="78"/>
      <c r="DF10" s="78"/>
      <c r="DG10" s="78"/>
      <c r="DH10" s="78"/>
      <c r="DI10" s="114"/>
      <c r="DJ10" s="114"/>
      <c r="DK10" s="114"/>
      <c r="DL10" s="114"/>
      <c r="DM10" s="114"/>
      <c r="DN10" s="78"/>
      <c r="DO10" s="78"/>
      <c r="DP10" s="78"/>
      <c r="DQ10" s="78"/>
      <c r="DR10" s="78"/>
      <c r="DS10" s="78"/>
      <c r="DT10" s="78"/>
      <c r="DU10" s="78"/>
      <c r="DV10" s="78"/>
      <c r="DW10" s="78"/>
      <c r="DX10" s="78"/>
      <c r="DY10" s="78"/>
      <c r="DZ10" s="78"/>
      <c r="EA10" s="78"/>
      <c r="EB10" s="78"/>
      <c r="EC10" s="78"/>
      <c r="ED10" s="78"/>
      <c r="EE10" s="78"/>
    </row>
    <row r="11" spans="2:135" ht="20.25" customHeight="1">
      <c r="B11" s="152" t="s">
        <v>147</v>
      </c>
      <c r="C11" s="153"/>
      <c r="D11" s="153"/>
      <c r="E11" s="153"/>
      <c r="F11" s="153"/>
      <c r="G11" s="153"/>
      <c r="H11" s="153"/>
      <c r="I11" s="153"/>
      <c r="J11" s="153"/>
      <c r="K11" s="156" t="s">
        <v>75</v>
      </c>
      <c r="L11" s="156" t="s">
        <v>156</v>
      </c>
      <c r="M11" s="156"/>
      <c r="N11" s="158"/>
      <c r="O11" s="2"/>
      <c r="Z11" s="120">
        <f>MAX(COUNTA(AB:AB)+21,23)</f>
        <v>27</v>
      </c>
      <c r="AA11" s="160" t="s">
        <v>145</v>
      </c>
      <c r="AB11" s="161"/>
      <c r="AC11" s="161"/>
      <c r="AD11" s="161"/>
      <c r="AE11" s="161"/>
      <c r="AF11" s="161"/>
      <c r="AG11" s="161"/>
      <c r="AH11" s="161"/>
      <c r="AI11" s="161"/>
      <c r="AJ11" s="161"/>
      <c r="AK11" s="161"/>
      <c r="AL11" s="161"/>
      <c r="AM11" s="161"/>
      <c r="AN11" s="161"/>
      <c r="AO11" s="161"/>
      <c r="AP11" s="161"/>
      <c r="AQ11" s="161"/>
      <c r="AR11" s="161"/>
      <c r="AS11" s="161"/>
      <c r="AT11" s="161"/>
      <c r="AU11" s="161"/>
      <c r="AV11" s="161"/>
      <c r="AW11" s="161"/>
      <c r="AX11" s="161"/>
      <c r="AY11" s="161"/>
      <c r="AZ11" s="161"/>
      <c r="BA11" s="161"/>
      <c r="BB11" s="161"/>
      <c r="BC11" s="161"/>
      <c r="BD11" s="161"/>
      <c r="BE11" s="161"/>
      <c r="DA11" s="161" t="s">
        <v>146</v>
      </c>
      <c r="DB11" s="161"/>
      <c r="DC11" s="161"/>
      <c r="DD11" s="161"/>
      <c r="DE11" s="161"/>
      <c r="DF11" s="161"/>
      <c r="DG11" s="161"/>
      <c r="DH11" s="161"/>
      <c r="DI11" s="161"/>
      <c r="DJ11" s="161"/>
      <c r="DK11" s="161"/>
      <c r="DL11" s="161"/>
      <c r="DM11" s="161"/>
      <c r="DN11" s="161"/>
      <c r="DO11" s="161"/>
      <c r="DP11" s="161"/>
      <c r="DQ11" s="161"/>
      <c r="DR11" s="161"/>
      <c r="DS11" s="161"/>
      <c r="DT11" s="161"/>
      <c r="DU11" s="161"/>
      <c r="DV11" s="161"/>
      <c r="DW11" s="161"/>
      <c r="DX11" s="161"/>
      <c r="DY11" s="161"/>
      <c r="DZ11" s="161"/>
      <c r="EA11" s="161"/>
      <c r="EB11" s="161"/>
      <c r="EC11" s="161"/>
      <c r="ED11" s="161"/>
      <c r="EE11" s="161"/>
    </row>
    <row r="12" spans="2:135" ht="12.75" customHeight="1">
      <c r="B12" s="154"/>
      <c r="C12" s="155"/>
      <c r="D12" s="155"/>
      <c r="E12" s="155"/>
      <c r="F12" s="155"/>
      <c r="G12" s="155"/>
      <c r="H12" s="155"/>
      <c r="I12" s="155"/>
      <c r="J12" s="155"/>
      <c r="K12" s="157"/>
      <c r="L12" s="157"/>
      <c r="M12" s="157"/>
      <c r="N12" s="159"/>
      <c r="Z12" s="89"/>
      <c r="AA12" s="162" t="s">
        <v>104</v>
      </c>
      <c r="AB12" s="163"/>
      <c r="AC12" s="163"/>
      <c r="AD12" s="163"/>
      <c r="AE12" s="163"/>
      <c r="AF12" s="163"/>
      <c r="AG12" s="163"/>
      <c r="AH12" s="163"/>
      <c r="AI12" s="163"/>
      <c r="AJ12" s="163"/>
      <c r="AK12" s="163"/>
      <c r="AL12" s="163"/>
      <c r="AM12" s="163"/>
      <c r="AN12" s="163"/>
      <c r="AO12" s="163"/>
      <c r="AP12" s="163"/>
      <c r="AQ12" s="163"/>
      <c r="AR12" s="163"/>
      <c r="AS12" s="163"/>
      <c r="AT12" s="163"/>
      <c r="AU12" s="163"/>
      <c r="AV12" s="163"/>
      <c r="AW12" s="163"/>
      <c r="AX12" s="163"/>
      <c r="AY12" s="163"/>
      <c r="AZ12" s="163"/>
      <c r="BA12" s="163"/>
      <c r="BB12" s="163"/>
      <c r="BC12" s="163"/>
      <c r="BD12" s="163"/>
      <c r="BE12" s="163"/>
      <c r="DA12" s="163" t="s">
        <v>104</v>
      </c>
      <c r="DB12" s="163"/>
      <c r="DC12" s="163"/>
      <c r="DD12" s="163"/>
      <c r="DE12" s="163"/>
      <c r="DF12" s="163"/>
      <c r="DG12" s="163"/>
      <c r="DH12" s="163"/>
      <c r="DI12" s="163"/>
      <c r="DJ12" s="163"/>
      <c r="DK12" s="163"/>
      <c r="DL12" s="163"/>
      <c r="DM12" s="163"/>
      <c r="DN12" s="163"/>
      <c r="DO12" s="163"/>
      <c r="DP12" s="163"/>
      <c r="DQ12" s="163"/>
      <c r="DR12" s="163"/>
      <c r="DS12" s="163"/>
      <c r="DT12" s="163"/>
      <c r="DU12" s="163"/>
      <c r="DV12" s="163"/>
      <c r="DW12" s="163"/>
      <c r="DX12" s="163"/>
      <c r="DY12" s="163"/>
      <c r="DZ12" s="163"/>
      <c r="EA12" s="163"/>
      <c r="EB12" s="163"/>
      <c r="EC12" s="163"/>
      <c r="ED12" s="163"/>
      <c r="EE12" s="163"/>
    </row>
    <row r="13" spans="2:135" ht="15" customHeight="1">
      <c r="B13" s="138" t="s">
        <v>3</v>
      </c>
      <c r="C13" s="139"/>
      <c r="D13" s="139"/>
      <c r="E13" s="94"/>
      <c r="F13" s="94"/>
      <c r="G13" s="94"/>
      <c r="H13" s="94"/>
      <c r="I13" s="94"/>
      <c r="J13" s="94"/>
      <c r="K13" s="94"/>
      <c r="L13" s="94"/>
      <c r="M13" s="94"/>
      <c r="N13" s="9"/>
      <c r="AA13" s="37" t="s">
        <v>52</v>
      </c>
      <c r="AB13" s="38"/>
      <c r="AC13" s="90"/>
      <c r="AD13" s="90"/>
      <c r="AE13" s="39"/>
      <c r="AF13" s="39"/>
      <c r="AG13" s="39"/>
      <c r="AH13" s="41"/>
      <c r="AI13" s="112"/>
      <c r="AJ13" s="112"/>
      <c r="AK13" s="112"/>
      <c r="AL13" s="112"/>
      <c r="AM13" s="112"/>
      <c r="AN13" s="39"/>
      <c r="AO13" s="42"/>
      <c r="AP13" s="42"/>
      <c r="AQ13" s="42"/>
      <c r="AR13" s="42"/>
      <c r="AS13" s="42"/>
      <c r="AT13" s="42"/>
      <c r="AU13" s="42"/>
      <c r="AV13" s="43"/>
      <c r="AW13" s="43"/>
      <c r="AX13" s="44"/>
      <c r="AY13" s="45"/>
      <c r="AZ13" s="46"/>
      <c r="BA13" s="47"/>
      <c r="BB13" s="46"/>
      <c r="BC13" s="47"/>
      <c r="BD13" s="48"/>
      <c r="BE13" s="40"/>
      <c r="DA13" s="37" t="s">
        <v>52</v>
      </c>
      <c r="DB13" s="38"/>
      <c r="DC13" s="90"/>
      <c r="DD13" s="90"/>
      <c r="DE13" s="39"/>
      <c r="DF13" s="39"/>
      <c r="DG13" s="39"/>
      <c r="DH13" s="41"/>
      <c r="DI13" s="115"/>
      <c r="DJ13" s="115"/>
      <c r="DK13" s="115"/>
      <c r="DL13" s="115"/>
      <c r="DM13" s="115"/>
      <c r="DN13" s="39"/>
      <c r="DO13" s="42"/>
      <c r="DP13" s="42"/>
      <c r="DQ13" s="42"/>
      <c r="DR13" s="42"/>
      <c r="DS13" s="42"/>
      <c r="DT13" s="42"/>
      <c r="DU13" s="42"/>
      <c r="DV13" s="43"/>
      <c r="DW13" s="43"/>
      <c r="DX13" s="44"/>
      <c r="DY13" s="45"/>
      <c r="DZ13" s="46"/>
      <c r="EA13" s="47"/>
      <c r="EB13" s="46"/>
      <c r="EC13" s="47"/>
      <c r="ED13" s="48"/>
      <c r="EE13" s="40"/>
    </row>
    <row r="14" spans="2:135">
      <c r="B14" s="10" t="s">
        <v>29</v>
      </c>
      <c r="C14" s="94"/>
      <c r="D14" s="94"/>
      <c r="E14" s="94"/>
      <c r="F14" s="94"/>
      <c r="G14" s="94"/>
      <c r="H14" s="95"/>
      <c r="I14" s="96"/>
      <c r="J14" s="94"/>
      <c r="K14" s="4"/>
      <c r="L14" s="4"/>
      <c r="M14" s="4"/>
      <c r="N14" s="9"/>
      <c r="AA14" s="13"/>
      <c r="AB14" s="142" t="s">
        <v>50</v>
      </c>
      <c r="AC14" s="142"/>
      <c r="AD14" s="33"/>
      <c r="AE14" s="50" t="s">
        <v>51</v>
      </c>
      <c r="AF14" s="143">
        <f>VLOOKUP(AB15,Data!$C$20:$F$38,2,FALSE)</f>
        <v>206000</v>
      </c>
      <c r="AG14" s="143"/>
      <c r="AH14" s="51" t="s">
        <v>73</v>
      </c>
      <c r="AI14" s="88"/>
      <c r="AJ14" s="88"/>
      <c r="AK14" s="88"/>
      <c r="AL14" s="88"/>
      <c r="AM14" s="88"/>
      <c r="AN14" s="49"/>
      <c r="AO14" s="53"/>
      <c r="AP14" s="53"/>
      <c r="AQ14" s="53"/>
      <c r="AR14" s="53"/>
      <c r="AS14" s="53"/>
      <c r="AT14" s="49"/>
      <c r="AU14" s="49"/>
      <c r="AV14" s="54"/>
      <c r="AW14" s="54"/>
      <c r="AX14" s="55" t="s">
        <v>57</v>
      </c>
      <c r="AY14" s="53"/>
      <c r="AZ14" s="6"/>
      <c r="BA14" s="56" t="s">
        <v>124</v>
      </c>
      <c r="BB14" s="57">
        <f>AF16*AC16</f>
        <v>202.95454545454544</v>
      </c>
      <c r="BC14" s="6" t="s">
        <v>73</v>
      </c>
      <c r="BD14" s="58"/>
      <c r="BE14" s="52"/>
      <c r="DA14" s="13"/>
      <c r="DB14" s="142" t="s">
        <v>50</v>
      </c>
      <c r="DC14" s="142"/>
      <c r="DD14" s="33"/>
      <c r="DE14" s="50" t="s">
        <v>51</v>
      </c>
      <c r="DF14" s="143">
        <f>VLOOKUP(DB15,Data!$C$20:$F$38,2,FALSE)</f>
        <v>206000</v>
      </c>
      <c r="DG14" s="143"/>
      <c r="DH14" s="51" t="s">
        <v>73</v>
      </c>
      <c r="DI14" s="116"/>
      <c r="DJ14" s="116"/>
      <c r="DK14" s="116"/>
      <c r="DL14" s="116"/>
      <c r="DM14" s="116"/>
      <c r="DN14" s="49"/>
      <c r="DO14" s="53"/>
      <c r="DP14" s="53"/>
      <c r="DQ14" s="53"/>
      <c r="DR14" s="53"/>
      <c r="DS14" s="53"/>
      <c r="DT14" s="49"/>
      <c r="DU14" s="49"/>
      <c r="DV14" s="54"/>
      <c r="DW14" s="54"/>
      <c r="DX14" s="55" t="s">
        <v>57</v>
      </c>
      <c r="DY14" s="53"/>
      <c r="DZ14" s="6"/>
      <c r="EA14" s="56" t="s">
        <v>124</v>
      </c>
      <c r="EB14" s="57">
        <f>DF16*DC16</f>
        <v>202.95454545454544</v>
      </c>
      <c r="EC14" s="6" t="s">
        <v>73</v>
      </c>
      <c r="ED14" s="58"/>
      <c r="EE14" s="52"/>
    </row>
    <row r="15" spans="2:135">
      <c r="B15" s="11" t="s">
        <v>148</v>
      </c>
      <c r="C15" s="94"/>
      <c r="D15" s="94"/>
      <c r="E15" s="95" t="s">
        <v>150</v>
      </c>
      <c r="F15" s="97">
        <v>80</v>
      </c>
      <c r="G15" s="94" t="s">
        <v>6</v>
      </c>
      <c r="H15" s="4"/>
      <c r="I15" s="4"/>
      <c r="J15" s="4"/>
      <c r="K15" s="4"/>
      <c r="L15" s="4"/>
      <c r="M15" s="4"/>
      <c r="N15" s="12"/>
      <c r="AA15" s="13"/>
      <c r="AB15" s="144" t="s">
        <v>100</v>
      </c>
      <c r="AC15" s="144"/>
      <c r="AD15" s="33"/>
      <c r="AE15" s="50" t="s">
        <v>89</v>
      </c>
      <c r="AF15" s="143">
        <f>VLOOKUP(AB15,Data!$C$20:$F$38,3,FALSE)</f>
        <v>235</v>
      </c>
      <c r="AG15" s="143"/>
      <c r="AH15" s="51" t="s">
        <v>73</v>
      </c>
      <c r="AI15" s="88"/>
      <c r="AJ15" s="88"/>
      <c r="AK15" s="88"/>
      <c r="AL15" s="88"/>
      <c r="AM15" s="88"/>
      <c r="AN15" s="49"/>
      <c r="AO15" s="53"/>
      <c r="AP15" s="53"/>
      <c r="AQ15" s="53"/>
      <c r="AR15" s="53"/>
      <c r="AS15" s="53"/>
      <c r="AT15" s="49"/>
      <c r="AU15" s="49"/>
      <c r="AV15" s="54"/>
      <c r="AW15" s="54"/>
      <c r="AX15" s="55" t="s">
        <v>58</v>
      </c>
      <c r="AY15" s="53"/>
      <c r="AZ15" s="6"/>
      <c r="BA15" s="56" t="s">
        <v>93</v>
      </c>
      <c r="BB15" s="57">
        <f>AF17*AC16</f>
        <v>117.71363636363633</v>
      </c>
      <c r="BC15" s="6" t="s">
        <v>73</v>
      </c>
      <c r="BD15" s="58"/>
      <c r="BE15" s="52"/>
      <c r="DA15" s="13"/>
      <c r="DB15" s="144" t="str">
        <f>AB15</f>
        <v>Q235</v>
      </c>
      <c r="DC15" s="144"/>
      <c r="DD15" s="33"/>
      <c r="DE15" s="50" t="s">
        <v>89</v>
      </c>
      <c r="DF15" s="143">
        <f>VLOOKUP(DB15,Data!$C$20:$F$38,3,FALSE)</f>
        <v>235</v>
      </c>
      <c r="DG15" s="143"/>
      <c r="DH15" s="51" t="s">
        <v>73</v>
      </c>
      <c r="DI15" s="116"/>
      <c r="DJ15" s="116"/>
      <c r="DK15" s="116"/>
      <c r="DL15" s="116"/>
      <c r="DM15" s="116"/>
      <c r="DN15" s="49"/>
      <c r="DO15" s="53"/>
      <c r="DP15" s="53"/>
      <c r="DQ15" s="53"/>
      <c r="DR15" s="53"/>
      <c r="DS15" s="53"/>
      <c r="DT15" s="49"/>
      <c r="DU15" s="49"/>
      <c r="DV15" s="54"/>
      <c r="DW15" s="54"/>
      <c r="DX15" s="55" t="s">
        <v>58</v>
      </c>
      <c r="DY15" s="53"/>
      <c r="DZ15" s="6"/>
      <c r="EA15" s="56" t="s">
        <v>93</v>
      </c>
      <c r="EB15" s="57">
        <f>DF17*DC16</f>
        <v>117.71363636363633</v>
      </c>
      <c r="EC15" s="6" t="s">
        <v>73</v>
      </c>
      <c r="ED15" s="58"/>
      <c r="EE15" s="52"/>
    </row>
    <row r="16" spans="2:135" ht="15" customHeight="1">
      <c r="B16" s="11" t="s">
        <v>4</v>
      </c>
      <c r="C16" s="94"/>
      <c r="D16" s="94"/>
      <c r="E16" s="95" t="s">
        <v>151</v>
      </c>
      <c r="F16" s="98">
        <v>200</v>
      </c>
      <c r="G16" s="94" t="s">
        <v>6</v>
      </c>
      <c r="H16" s="4"/>
      <c r="I16" s="4"/>
      <c r="J16" s="4"/>
      <c r="K16" s="4"/>
      <c r="L16" s="4"/>
      <c r="M16" s="4"/>
      <c r="N16" s="12"/>
      <c r="AA16" s="13"/>
      <c r="AB16" s="59" t="s">
        <v>91</v>
      </c>
      <c r="AC16" s="49">
        <v>0.95</v>
      </c>
      <c r="AD16" s="33"/>
      <c r="AE16" s="50" t="s">
        <v>95</v>
      </c>
      <c r="AF16" s="164">
        <f>AF15/AC17</f>
        <v>213.63636363636363</v>
      </c>
      <c r="AG16" s="164"/>
      <c r="AH16" s="51" t="s">
        <v>73</v>
      </c>
      <c r="AI16" s="88"/>
      <c r="AJ16" s="88"/>
      <c r="AK16" s="88"/>
      <c r="AL16" s="88"/>
      <c r="AM16" s="88"/>
      <c r="AN16" s="49"/>
      <c r="AO16" s="53"/>
      <c r="AP16" s="53"/>
      <c r="AQ16" s="53"/>
      <c r="AR16" s="53"/>
      <c r="AS16" s="53"/>
      <c r="AT16" s="53"/>
      <c r="AU16" s="53"/>
      <c r="AV16" s="54"/>
      <c r="AW16" s="54"/>
      <c r="AX16" s="55" t="s">
        <v>48</v>
      </c>
      <c r="AY16" s="53"/>
      <c r="AZ16" s="6"/>
      <c r="BA16" s="56" t="s">
        <v>97</v>
      </c>
      <c r="BB16" s="57">
        <f>1.15*AF16*AC16</f>
        <v>233.39772727272725</v>
      </c>
      <c r="BC16" s="6" t="s">
        <v>73</v>
      </c>
      <c r="BD16" s="58"/>
      <c r="BE16" s="52"/>
      <c r="DA16" s="13"/>
      <c r="DB16" s="59" t="s">
        <v>91</v>
      </c>
      <c r="DC16" s="49">
        <f>AC16</f>
        <v>0.95</v>
      </c>
      <c r="DD16" s="33"/>
      <c r="DE16" s="50" t="s">
        <v>95</v>
      </c>
      <c r="DF16" s="164">
        <f>DF15/DC17</f>
        <v>213.63636363636363</v>
      </c>
      <c r="DG16" s="164"/>
      <c r="DH16" s="51" t="s">
        <v>73</v>
      </c>
      <c r="DI16" s="116"/>
      <c r="DJ16" s="116"/>
      <c r="DK16" s="116"/>
      <c r="DL16" s="116"/>
      <c r="DM16" s="116"/>
      <c r="DN16" s="49"/>
      <c r="DO16" s="53"/>
      <c r="DP16" s="53"/>
      <c r="DQ16" s="53"/>
      <c r="DR16" s="53"/>
      <c r="DS16" s="53"/>
      <c r="DT16" s="53"/>
      <c r="DU16" s="53"/>
      <c r="DV16" s="54"/>
      <c r="DW16" s="54"/>
      <c r="DX16" s="55" t="s">
        <v>48</v>
      </c>
      <c r="DY16" s="53"/>
      <c r="DZ16" s="6"/>
      <c r="EA16" s="56" t="s">
        <v>97</v>
      </c>
      <c r="EB16" s="57">
        <f>1.15*DF16*DC16</f>
        <v>233.39772727272725</v>
      </c>
      <c r="EC16" s="6" t="s">
        <v>73</v>
      </c>
      <c r="ED16" s="58"/>
      <c r="EE16" s="52"/>
    </row>
    <row r="17" spans="2:135">
      <c r="B17" s="11" t="s">
        <v>149</v>
      </c>
      <c r="C17" s="94"/>
      <c r="D17" s="94"/>
      <c r="E17" s="95" t="s">
        <v>152</v>
      </c>
      <c r="F17" s="98">
        <v>12</v>
      </c>
      <c r="G17" s="94" t="s">
        <v>6</v>
      </c>
      <c r="H17" s="4"/>
      <c r="I17" s="4"/>
      <c r="J17" s="4"/>
      <c r="K17" s="4"/>
      <c r="L17" s="4"/>
      <c r="M17" s="4"/>
      <c r="N17" s="12"/>
      <c r="AA17" s="13"/>
      <c r="AB17" s="59" t="s">
        <v>92</v>
      </c>
      <c r="AC17" s="49">
        <v>1.1000000000000001</v>
      </c>
      <c r="AD17" s="33"/>
      <c r="AE17" s="50" t="s">
        <v>90</v>
      </c>
      <c r="AF17" s="164">
        <f>0.58*AF15/AC17</f>
        <v>123.90909090909088</v>
      </c>
      <c r="AG17" s="164"/>
      <c r="AH17" s="51" t="s">
        <v>73</v>
      </c>
      <c r="AI17" s="88"/>
      <c r="AJ17" s="88"/>
      <c r="AK17" s="88"/>
      <c r="AL17" s="88"/>
      <c r="AM17" s="88"/>
      <c r="AN17" s="49"/>
      <c r="AO17" s="53"/>
      <c r="AP17" s="53"/>
      <c r="AQ17" s="53"/>
      <c r="AR17" s="53"/>
      <c r="AS17" s="53"/>
      <c r="AT17" s="53"/>
      <c r="AU17" s="53"/>
      <c r="AV17" s="6"/>
      <c r="AW17" s="54"/>
      <c r="AX17" s="51"/>
      <c r="AY17" s="60"/>
      <c r="AZ17" s="6"/>
      <c r="BA17" s="61"/>
      <c r="BB17" s="6"/>
      <c r="BC17" s="61"/>
      <c r="BD17" s="58"/>
      <c r="BE17" s="52"/>
      <c r="DA17" s="13"/>
      <c r="DB17" s="59" t="s">
        <v>92</v>
      </c>
      <c r="DC17" s="49">
        <f>AC17</f>
        <v>1.1000000000000001</v>
      </c>
      <c r="DD17" s="33"/>
      <c r="DE17" s="50" t="s">
        <v>90</v>
      </c>
      <c r="DF17" s="164">
        <f>0.58*DF15/DC17</f>
        <v>123.90909090909088</v>
      </c>
      <c r="DG17" s="164"/>
      <c r="DH17" s="51" t="s">
        <v>73</v>
      </c>
      <c r="DI17" s="116"/>
      <c r="DJ17" s="116"/>
      <c r="DK17" s="116"/>
      <c r="DL17" s="116"/>
      <c r="DM17" s="116"/>
      <c r="DN17" s="49"/>
      <c r="DO17" s="53"/>
      <c r="DP17" s="53"/>
      <c r="DQ17" s="53"/>
      <c r="DR17" s="53"/>
      <c r="DS17" s="53"/>
      <c r="DT17" s="53"/>
      <c r="DU17" s="53"/>
      <c r="DV17" s="6"/>
      <c r="DW17" s="54"/>
      <c r="DX17" s="51"/>
      <c r="DY17" s="60"/>
      <c r="DZ17" s="6"/>
      <c r="EA17" s="61"/>
      <c r="EB17" s="6"/>
      <c r="EC17" s="61"/>
      <c r="ED17" s="58"/>
      <c r="EE17" s="52"/>
    </row>
    <row r="18" spans="2:135">
      <c r="B18" s="11" t="s">
        <v>5</v>
      </c>
      <c r="C18" s="94"/>
      <c r="D18" s="94"/>
      <c r="E18" s="95" t="s">
        <v>84</v>
      </c>
      <c r="F18" s="99">
        <v>5</v>
      </c>
      <c r="G18" s="94" t="s">
        <v>142</v>
      </c>
      <c r="H18" s="4"/>
      <c r="I18" s="4"/>
      <c r="J18" s="4"/>
      <c r="K18" s="4"/>
      <c r="L18" s="4"/>
      <c r="M18" s="4"/>
      <c r="N18" s="12"/>
      <c r="O18" s="3"/>
      <c r="AA18" s="62" t="s">
        <v>53</v>
      </c>
      <c r="AB18" s="63"/>
      <c r="AC18" s="91"/>
      <c r="AD18" s="91"/>
      <c r="AE18" s="64"/>
      <c r="AF18" s="64"/>
      <c r="AG18" s="64"/>
      <c r="AH18" s="14"/>
      <c r="AI18" s="113"/>
      <c r="AJ18" s="113"/>
      <c r="AK18" s="113"/>
      <c r="AL18" s="113"/>
      <c r="AM18" s="113"/>
      <c r="AN18" s="64"/>
      <c r="AO18" s="67"/>
      <c r="AP18" s="67"/>
      <c r="AQ18" s="67"/>
      <c r="AR18" s="67"/>
      <c r="AS18" s="67"/>
      <c r="AT18" s="67"/>
      <c r="AU18" s="67"/>
      <c r="AV18" s="68"/>
      <c r="AW18" s="69"/>
      <c r="AX18" s="65"/>
      <c r="AY18" s="70"/>
      <c r="AZ18" s="68"/>
      <c r="BA18" s="71"/>
      <c r="BB18" s="68"/>
      <c r="BC18" s="71"/>
      <c r="BD18" s="72"/>
      <c r="BE18" s="66"/>
      <c r="DA18" s="62" t="s">
        <v>53</v>
      </c>
      <c r="DB18" s="63"/>
      <c r="DC18" s="91"/>
      <c r="DD18" s="91"/>
      <c r="DE18" s="64"/>
      <c r="DF18" s="64"/>
      <c r="DG18" s="64"/>
      <c r="DH18" s="14"/>
      <c r="DI18" s="117"/>
      <c r="DJ18" s="117"/>
      <c r="DK18" s="117"/>
      <c r="DL18" s="117"/>
      <c r="DM18" s="117"/>
      <c r="DN18" s="64"/>
      <c r="DO18" s="67"/>
      <c r="DP18" s="67"/>
      <c r="DQ18" s="67"/>
      <c r="DR18" s="67"/>
      <c r="DS18" s="67"/>
      <c r="DT18" s="67"/>
      <c r="DU18" s="67"/>
      <c r="DV18" s="68"/>
      <c r="DW18" s="69"/>
      <c r="DX18" s="65"/>
      <c r="DY18" s="70"/>
      <c r="DZ18" s="68"/>
      <c r="EA18" s="71"/>
      <c r="EB18" s="68"/>
      <c r="EC18" s="71"/>
      <c r="ED18" s="72"/>
      <c r="EE18" s="66"/>
    </row>
    <row r="19" spans="2:135" ht="15" customHeight="1">
      <c r="B19" s="11"/>
      <c r="C19" s="94"/>
      <c r="D19" s="94"/>
      <c r="E19" s="95"/>
      <c r="F19" s="98"/>
      <c r="G19" s="94"/>
      <c r="H19" s="4"/>
      <c r="I19" s="4"/>
      <c r="J19" s="4"/>
      <c r="K19" s="4"/>
      <c r="L19" s="4"/>
      <c r="M19" s="4"/>
      <c r="N19" s="9"/>
      <c r="O19" s="3"/>
      <c r="AA19" s="165" t="s">
        <v>62</v>
      </c>
      <c r="AB19" s="165"/>
      <c r="AC19" s="165"/>
      <c r="AD19" s="165"/>
      <c r="AE19" s="165"/>
      <c r="AF19" s="165"/>
      <c r="AG19" s="165"/>
      <c r="AH19" s="165"/>
      <c r="AI19" s="165"/>
      <c r="AJ19" s="165"/>
      <c r="AK19" s="165"/>
      <c r="AL19" s="165"/>
      <c r="AM19" s="165"/>
      <c r="AN19" s="165"/>
      <c r="AO19" s="165"/>
      <c r="AP19" s="165"/>
      <c r="AQ19" s="165"/>
      <c r="AR19" s="165"/>
      <c r="AS19" s="165"/>
      <c r="AT19" s="165"/>
      <c r="AU19" s="165" t="s">
        <v>61</v>
      </c>
      <c r="AV19" s="165"/>
      <c r="AW19" s="165"/>
      <c r="AX19" s="165"/>
      <c r="AY19" s="165"/>
      <c r="AZ19" s="165"/>
      <c r="BA19" s="165"/>
      <c r="BB19" s="165"/>
      <c r="BC19" s="165"/>
      <c r="BD19" s="165"/>
      <c r="BE19" s="165"/>
      <c r="DA19" s="165" t="s">
        <v>62</v>
      </c>
      <c r="DB19" s="165"/>
      <c r="DC19" s="165"/>
      <c r="DD19" s="165"/>
      <c r="DE19" s="165"/>
      <c r="DF19" s="165"/>
      <c r="DG19" s="165"/>
      <c r="DH19" s="165"/>
      <c r="DI19" s="165"/>
      <c r="DJ19" s="165"/>
      <c r="DK19" s="165"/>
      <c r="DL19" s="165"/>
      <c r="DM19" s="165"/>
      <c r="DN19" s="165"/>
      <c r="DO19" s="165"/>
      <c r="DP19" s="165"/>
      <c r="DQ19" s="165"/>
      <c r="DR19" s="165"/>
      <c r="DS19" s="165"/>
      <c r="DT19" s="165"/>
      <c r="DU19" s="168" t="s">
        <v>61</v>
      </c>
      <c r="DV19" s="169"/>
      <c r="DW19" s="169"/>
      <c r="DX19" s="169"/>
      <c r="DY19" s="169"/>
      <c r="DZ19" s="169"/>
      <c r="EA19" s="169"/>
      <c r="EB19" s="169"/>
      <c r="EC19" s="169"/>
      <c r="ED19" s="169"/>
      <c r="EE19" s="170"/>
    </row>
    <row r="20" spans="2:135">
      <c r="B20" s="10" t="s">
        <v>71</v>
      </c>
      <c r="C20" s="94"/>
      <c r="D20" s="94"/>
      <c r="E20" s="94"/>
      <c r="F20" s="94"/>
      <c r="G20" s="94"/>
      <c r="H20" s="94"/>
      <c r="I20" s="94"/>
      <c r="J20" s="94"/>
      <c r="K20" s="94"/>
      <c r="L20" s="94"/>
      <c r="M20" s="94"/>
      <c r="N20" s="9"/>
      <c r="AA20" s="165"/>
      <c r="AB20" s="165"/>
      <c r="AC20" s="165"/>
      <c r="AD20" s="165"/>
      <c r="AE20" s="165"/>
      <c r="AF20" s="165"/>
      <c r="AG20" s="165"/>
      <c r="AH20" s="165"/>
      <c r="AI20" s="165"/>
      <c r="AJ20" s="165"/>
      <c r="AK20" s="165"/>
      <c r="AL20" s="165"/>
      <c r="AM20" s="165"/>
      <c r="AN20" s="165"/>
      <c r="AO20" s="165"/>
      <c r="AP20" s="165"/>
      <c r="AQ20" s="165"/>
      <c r="AR20" s="165"/>
      <c r="AS20" s="165"/>
      <c r="AT20" s="165"/>
      <c r="AU20" s="165"/>
      <c r="AV20" s="165"/>
      <c r="AW20" s="165"/>
      <c r="AX20" s="165"/>
      <c r="AY20" s="165"/>
      <c r="AZ20" s="165"/>
      <c r="BA20" s="165"/>
      <c r="BB20" s="165"/>
      <c r="BC20" s="165"/>
      <c r="BD20" s="165"/>
      <c r="BE20" s="165"/>
      <c r="CV20" s="1">
        <f>COUNTA($CV$23:$CV$99)</f>
        <v>0</v>
      </c>
      <c r="CW20" s="73">
        <f>COUNTA($CW$23:$CW$99)</f>
        <v>0</v>
      </c>
      <c r="CX20" s="73">
        <f>COUNTA($CX$23:$CX$99)</f>
        <v>0</v>
      </c>
      <c r="DA20" s="165"/>
      <c r="DB20" s="165"/>
      <c r="DC20" s="165"/>
      <c r="DD20" s="165"/>
      <c r="DE20" s="165"/>
      <c r="DF20" s="165"/>
      <c r="DG20" s="165"/>
      <c r="DH20" s="165"/>
      <c r="DI20" s="165"/>
      <c r="DJ20" s="165"/>
      <c r="DK20" s="165"/>
      <c r="DL20" s="165"/>
      <c r="DM20" s="165"/>
      <c r="DN20" s="165"/>
      <c r="DO20" s="165"/>
      <c r="DP20" s="165"/>
      <c r="DQ20" s="165"/>
      <c r="DR20" s="165"/>
      <c r="DS20" s="165"/>
      <c r="DT20" s="165"/>
      <c r="DU20" s="171"/>
      <c r="DV20" s="172"/>
      <c r="DW20" s="172"/>
      <c r="DX20" s="172"/>
      <c r="DY20" s="172"/>
      <c r="DZ20" s="172"/>
      <c r="EA20" s="172"/>
      <c r="EB20" s="172"/>
      <c r="EC20" s="172"/>
      <c r="ED20" s="172"/>
      <c r="EE20" s="173"/>
    </row>
    <row r="21" spans="2:135" ht="15" customHeight="1">
      <c r="B21" s="24"/>
      <c r="C21" s="146" t="s">
        <v>26</v>
      </c>
      <c r="D21" s="147"/>
      <c r="E21" s="148" t="s">
        <v>161</v>
      </c>
      <c r="F21" s="149"/>
      <c r="G21" s="150" t="s">
        <v>40</v>
      </c>
      <c r="H21" s="150"/>
      <c r="I21" s="146" t="s">
        <v>31</v>
      </c>
      <c r="J21" s="146"/>
      <c r="K21" s="146"/>
      <c r="L21" s="146"/>
      <c r="M21" s="146"/>
      <c r="N21" s="146"/>
      <c r="AA21" s="166" t="s">
        <v>141</v>
      </c>
      <c r="AB21" s="167" t="s">
        <v>87</v>
      </c>
      <c r="AC21" s="86" t="s">
        <v>55</v>
      </c>
      <c r="AD21" s="86" t="s">
        <v>63</v>
      </c>
      <c r="AE21" s="81" t="s">
        <v>143</v>
      </c>
      <c r="AF21" s="81" t="s">
        <v>144</v>
      </c>
      <c r="AG21" s="81" t="s">
        <v>59</v>
      </c>
      <c r="AH21" s="80" t="s">
        <v>30</v>
      </c>
      <c r="AI21" s="87" t="s">
        <v>125</v>
      </c>
      <c r="AJ21" s="87" t="s">
        <v>126</v>
      </c>
      <c r="AK21" s="87" t="s">
        <v>127</v>
      </c>
      <c r="AL21" s="87" t="s">
        <v>128</v>
      </c>
      <c r="AM21" s="87" t="s">
        <v>129</v>
      </c>
      <c r="AN21" s="167" t="s">
        <v>88</v>
      </c>
      <c r="AO21" s="82" t="s">
        <v>69</v>
      </c>
      <c r="AP21" s="82" t="s">
        <v>130</v>
      </c>
      <c r="AQ21" s="82" t="s">
        <v>131</v>
      </c>
      <c r="AR21" s="82" t="s">
        <v>70</v>
      </c>
      <c r="AS21" s="82" t="s">
        <v>132</v>
      </c>
      <c r="AT21" s="82" t="s">
        <v>133</v>
      </c>
      <c r="AU21" s="83" t="s">
        <v>134</v>
      </c>
      <c r="AV21" s="83" t="s">
        <v>135</v>
      </c>
      <c r="AW21" s="83" t="s">
        <v>136</v>
      </c>
      <c r="AX21" s="83" t="s">
        <v>56</v>
      </c>
      <c r="AY21" s="136" t="s">
        <v>60</v>
      </c>
      <c r="AZ21" s="84" t="s">
        <v>59</v>
      </c>
      <c r="BA21" s="136" t="s">
        <v>60</v>
      </c>
      <c r="BB21" s="84" t="s">
        <v>137</v>
      </c>
      <c r="BC21" s="136" t="s">
        <v>60</v>
      </c>
      <c r="BD21" s="137" t="s">
        <v>98</v>
      </c>
      <c r="BE21" s="137" t="s">
        <v>99</v>
      </c>
      <c r="CV21" s="1" t="s">
        <v>54</v>
      </c>
      <c r="CW21" s="1" t="s">
        <v>87</v>
      </c>
      <c r="CX21" s="1" t="s">
        <v>110</v>
      </c>
      <c r="CY21" s="1" t="s">
        <v>111</v>
      </c>
      <c r="DA21" s="166" t="s">
        <v>141</v>
      </c>
      <c r="DB21" s="167" t="s">
        <v>87</v>
      </c>
      <c r="DC21" s="86" t="s">
        <v>55</v>
      </c>
      <c r="DD21" s="86" t="s">
        <v>63</v>
      </c>
      <c r="DE21" s="81" t="s">
        <v>143</v>
      </c>
      <c r="DF21" s="81" t="s">
        <v>144</v>
      </c>
      <c r="DG21" s="81" t="s">
        <v>59</v>
      </c>
      <c r="DH21" s="80" t="s">
        <v>30</v>
      </c>
      <c r="DI21" s="87" t="s">
        <v>125</v>
      </c>
      <c r="DJ21" s="87" t="s">
        <v>126</v>
      </c>
      <c r="DK21" s="87" t="s">
        <v>127</v>
      </c>
      <c r="DL21" s="87" t="s">
        <v>128</v>
      </c>
      <c r="DM21" s="87" t="s">
        <v>129</v>
      </c>
      <c r="DN21" s="167" t="s">
        <v>88</v>
      </c>
      <c r="DO21" s="82" t="s">
        <v>69</v>
      </c>
      <c r="DP21" s="82" t="s">
        <v>130</v>
      </c>
      <c r="DQ21" s="82" t="s">
        <v>131</v>
      </c>
      <c r="DR21" s="82" t="s">
        <v>70</v>
      </c>
      <c r="DS21" s="82" t="s">
        <v>132</v>
      </c>
      <c r="DT21" s="82" t="s">
        <v>133</v>
      </c>
      <c r="DU21" s="83" t="s">
        <v>134</v>
      </c>
      <c r="DV21" s="83" t="s">
        <v>135</v>
      </c>
      <c r="DW21" s="83" t="s">
        <v>136</v>
      </c>
      <c r="DX21" s="83" t="s">
        <v>56</v>
      </c>
      <c r="DY21" s="136" t="s">
        <v>60</v>
      </c>
      <c r="DZ21" s="84" t="s">
        <v>59</v>
      </c>
      <c r="EA21" s="136" t="s">
        <v>60</v>
      </c>
      <c r="EB21" s="84" t="s">
        <v>137</v>
      </c>
      <c r="EC21" s="136" t="s">
        <v>60</v>
      </c>
      <c r="ED21" s="137" t="s">
        <v>98</v>
      </c>
      <c r="EE21" s="137" t="s">
        <v>99</v>
      </c>
    </row>
    <row r="22" spans="2:135" ht="15.75">
      <c r="B22" s="24"/>
      <c r="C22" s="7" t="s">
        <v>23</v>
      </c>
      <c r="D22" s="7" t="s">
        <v>25</v>
      </c>
      <c r="E22" s="7" t="s">
        <v>94</v>
      </c>
      <c r="F22" s="7" t="s">
        <v>28</v>
      </c>
      <c r="G22" s="151" t="s">
        <v>27</v>
      </c>
      <c r="H22" s="151" t="s">
        <v>41</v>
      </c>
      <c r="I22" s="7" t="s">
        <v>30</v>
      </c>
      <c r="J22" s="7" t="s">
        <v>81</v>
      </c>
      <c r="K22" s="7" t="s">
        <v>82</v>
      </c>
      <c r="L22" s="7" t="s">
        <v>32</v>
      </c>
      <c r="M22" s="7" t="s">
        <v>33</v>
      </c>
      <c r="N22" s="7" t="s">
        <v>34</v>
      </c>
      <c r="AA22" s="166"/>
      <c r="AB22" s="167"/>
      <c r="AC22" s="85" t="s">
        <v>85</v>
      </c>
      <c r="AD22" s="85" t="s">
        <v>85</v>
      </c>
      <c r="AE22" s="80" t="s">
        <v>78</v>
      </c>
      <c r="AF22" s="80" t="s">
        <v>78</v>
      </c>
      <c r="AG22" s="81" t="s">
        <v>6</v>
      </c>
      <c r="AH22" s="81" t="s">
        <v>138</v>
      </c>
      <c r="AI22" s="87" t="s">
        <v>139</v>
      </c>
      <c r="AJ22" s="87" t="s">
        <v>139</v>
      </c>
      <c r="AK22" s="87" t="s">
        <v>140</v>
      </c>
      <c r="AL22" s="87" t="s">
        <v>140</v>
      </c>
      <c r="AM22" s="87" t="s">
        <v>140</v>
      </c>
      <c r="AN22" s="167"/>
      <c r="AO22" s="82" t="s">
        <v>37</v>
      </c>
      <c r="AP22" s="82" t="s">
        <v>37</v>
      </c>
      <c r="AQ22" s="82" t="s">
        <v>37</v>
      </c>
      <c r="AR22" s="82" t="s">
        <v>86</v>
      </c>
      <c r="AS22" s="82" t="s">
        <v>86</v>
      </c>
      <c r="AT22" s="82" t="s">
        <v>86</v>
      </c>
      <c r="AU22" s="80" t="s">
        <v>73</v>
      </c>
      <c r="AV22" s="80" t="s">
        <v>73</v>
      </c>
      <c r="AW22" s="80" t="s">
        <v>73</v>
      </c>
      <c r="AX22" s="80" t="s">
        <v>73</v>
      </c>
      <c r="AY22" s="136"/>
      <c r="AZ22" s="81" t="s">
        <v>73</v>
      </c>
      <c r="BA22" s="136"/>
      <c r="BB22" s="81" t="s">
        <v>73</v>
      </c>
      <c r="BC22" s="136"/>
      <c r="BD22" s="137"/>
      <c r="BE22" s="137"/>
      <c r="CX22" s="1" cm="1">
        <f t="array" ref="CX22">IF(CW22="",FINDCV($AA$23:$AA$99999,$BD$23:$BD$99999,CV22),FINDCV($AB$23:$AB$99999,$BD$23:$BD$99999,CW22))</f>
        <v>0</v>
      </c>
      <c r="CY22" s="1" t="str">
        <f>IFERROR(MATCH(CX22,$BD$23:$BD$99999,0),"")</f>
        <v/>
      </c>
      <c r="DA22" s="166"/>
      <c r="DB22" s="167"/>
      <c r="DC22" s="85" t="s">
        <v>85</v>
      </c>
      <c r="DD22" s="85" t="s">
        <v>85</v>
      </c>
      <c r="DE22" s="80" t="s">
        <v>78</v>
      </c>
      <c r="DF22" s="80" t="s">
        <v>78</v>
      </c>
      <c r="DG22" s="81" t="s">
        <v>6</v>
      </c>
      <c r="DH22" s="81" t="s">
        <v>138</v>
      </c>
      <c r="DI22" s="118" t="s">
        <v>139</v>
      </c>
      <c r="DJ22" s="118" t="s">
        <v>139</v>
      </c>
      <c r="DK22" s="118" t="s">
        <v>140</v>
      </c>
      <c r="DL22" s="118" t="s">
        <v>140</v>
      </c>
      <c r="DM22" s="118" t="s">
        <v>140</v>
      </c>
      <c r="DN22" s="167"/>
      <c r="DO22" s="82" t="s">
        <v>37</v>
      </c>
      <c r="DP22" s="82" t="s">
        <v>37</v>
      </c>
      <c r="DQ22" s="82" t="s">
        <v>37</v>
      </c>
      <c r="DR22" s="82" t="s">
        <v>86</v>
      </c>
      <c r="DS22" s="82" t="s">
        <v>86</v>
      </c>
      <c r="DT22" s="82" t="s">
        <v>86</v>
      </c>
      <c r="DU22" s="80" t="s">
        <v>73</v>
      </c>
      <c r="DV22" s="80" t="s">
        <v>73</v>
      </c>
      <c r="DW22" s="80" t="s">
        <v>73</v>
      </c>
      <c r="DX22" s="80" t="s">
        <v>73</v>
      </c>
      <c r="DY22" s="136"/>
      <c r="DZ22" s="81" t="s">
        <v>73</v>
      </c>
      <c r="EA22" s="136"/>
      <c r="EB22" s="81" t="s">
        <v>73</v>
      </c>
      <c r="EC22" s="136"/>
      <c r="ED22" s="137"/>
      <c r="EE22" s="137"/>
    </row>
    <row r="23" spans="2:135" ht="15.75">
      <c r="B23" s="24"/>
      <c r="C23" s="7" t="s">
        <v>73</v>
      </c>
      <c r="D23" s="7" t="s">
        <v>73</v>
      </c>
      <c r="E23" s="7" t="s">
        <v>73</v>
      </c>
      <c r="F23" s="7" t="s">
        <v>73</v>
      </c>
      <c r="G23" s="146"/>
      <c r="H23" s="146"/>
      <c r="I23" s="16" t="s">
        <v>74</v>
      </c>
      <c r="J23" s="17" t="s">
        <v>35</v>
      </c>
      <c r="K23" s="17" t="s">
        <v>35</v>
      </c>
      <c r="L23" s="17" t="s">
        <v>36</v>
      </c>
      <c r="M23" s="17" t="s">
        <v>36</v>
      </c>
      <c r="N23" s="17" t="s">
        <v>36</v>
      </c>
      <c r="AA23" s="21" t="s">
        <v>156</v>
      </c>
      <c r="AB23" s="25" t="s">
        <v>154</v>
      </c>
      <c r="AC23" s="92">
        <v>0</v>
      </c>
      <c r="AD23" s="92">
        <v>5</v>
      </c>
      <c r="AE23" s="25">
        <v>80</v>
      </c>
      <c r="AF23" s="25">
        <v>160</v>
      </c>
      <c r="AG23" s="25">
        <v>8</v>
      </c>
      <c r="AH23" s="30">
        <f>(AE23*AF23-(AE23-2*AG23)*(AF23-2*AG23))/100</f>
        <v>35.840000000000003</v>
      </c>
      <c r="AI23" s="18">
        <f>(AE23*AF23^3/12-(AE23-2*AG23)*(AF23-2*AG23)^3/12)/10000</f>
        <v>1138.1418666666668</v>
      </c>
      <c r="AJ23" s="18">
        <f>(AF23*AE23^3/12-(AF23-2*AG23)*(AE23-2*AG23)^3/12)/10000</f>
        <v>368.09386666666671</v>
      </c>
      <c r="AK23" s="18">
        <f>AI23/(AF23/20)</f>
        <v>142.26773333333335</v>
      </c>
      <c r="AL23" s="18">
        <f>AJ23/(AE23/20)</f>
        <v>92.023466666666678</v>
      </c>
      <c r="AM23" s="18">
        <f>((AE23-2*AG23)*AG23*(AF23/2-AG23/2)+2*(AG23*AF23/2*AF23/4))/1000</f>
        <v>90.111999999999995</v>
      </c>
      <c r="AN23" s="25" t="s">
        <v>155</v>
      </c>
      <c r="AO23" s="26">
        <v>5.1803927397689256E-2</v>
      </c>
      <c r="AP23" s="26">
        <v>-23.131531005920458</v>
      </c>
      <c r="AQ23" s="26">
        <v>1.2782615068826301E-30</v>
      </c>
      <c r="AR23" s="26">
        <v>-6.1971291791036425E-3</v>
      </c>
      <c r="AS23" s="26">
        <v>0</v>
      </c>
      <c r="AT23" s="26">
        <v>0</v>
      </c>
      <c r="AU23" s="27">
        <f>ABS(AO23)/AH23*10</f>
        <v>1.4454220814087402E-2</v>
      </c>
      <c r="AV23" s="27">
        <f>ABS(AT23)/AK23*1000</f>
        <v>0</v>
      </c>
      <c r="AW23" s="27">
        <f>ABS(AS23)/AL23*1000</f>
        <v>0</v>
      </c>
      <c r="AX23" s="27">
        <f>AU23+AV23+AW23</f>
        <v>1.4454220814087402E-2</v>
      </c>
      <c r="AY23" s="29">
        <f>AX23/$BB$14</f>
        <v>7.1219005131001767E-5</v>
      </c>
      <c r="AZ23" s="28">
        <f>ABS(AP23)*AM23/(AI23*AF23)*100</f>
        <v>1.1446444985535253</v>
      </c>
      <c r="BA23" s="29">
        <f t="shared" ref="BA23" si="0">AZ23/$BB$15</f>
        <v>9.7239753516536916E-3</v>
      </c>
      <c r="BB23" s="28">
        <f>SQRT(AX23^2+3*AZ23^2)</f>
        <v>1.9826351173894547</v>
      </c>
      <c r="BC23" s="29">
        <f t="shared" ref="BC23" si="1">BB23/$BB$16</f>
        <v>8.4946633395137066E-3</v>
      </c>
      <c r="BD23" s="31">
        <f>MAX(AY23,BA23,BC23)</f>
        <v>9.7239753516536916E-3</v>
      </c>
      <c r="BE23" s="7" t="str">
        <f>IF(BD23&lt;=1,"OK","Check")</f>
        <v>OK</v>
      </c>
      <c r="CX23" s="78"/>
      <c r="DA23" s="21" t="s">
        <v>156</v>
      </c>
      <c r="DB23" s="25" t="s">
        <v>154</v>
      </c>
      <c r="DC23" s="92">
        <v>2.5</v>
      </c>
      <c r="DD23" s="92">
        <v>5</v>
      </c>
      <c r="DE23" s="25">
        <v>80</v>
      </c>
      <c r="DF23" s="25">
        <v>160</v>
      </c>
      <c r="DG23" s="25">
        <v>8</v>
      </c>
      <c r="DH23" s="30">
        <v>35.840000000000003</v>
      </c>
      <c r="DI23" s="18">
        <v>1138.1418666666668</v>
      </c>
      <c r="DJ23" s="18">
        <v>368.09386666666671</v>
      </c>
      <c r="DK23" s="18">
        <v>142.26773333333335</v>
      </c>
      <c r="DL23" s="18">
        <v>92.023466666666678</v>
      </c>
      <c r="DM23" s="18">
        <v>90.111999999999995</v>
      </c>
      <c r="DN23" s="25" t="s">
        <v>155</v>
      </c>
      <c r="DO23" s="26">
        <v>5.1803927397689256E-2</v>
      </c>
      <c r="DP23" s="26">
        <v>-1.5841994382981283E-15</v>
      </c>
      <c r="DQ23" s="26">
        <v>1.2782615068826301E-30</v>
      </c>
      <c r="DR23" s="26">
        <v>-6.1971291791036425E-3</v>
      </c>
      <c r="DS23" s="26">
        <v>-3.1956537672065758E-30</v>
      </c>
      <c r="DT23" s="26">
        <v>28.914413757400578</v>
      </c>
      <c r="DU23" s="27">
        <v>1.4454220814087402E-2</v>
      </c>
      <c r="DV23" s="27">
        <v>203.2394351124868</v>
      </c>
      <c r="DW23" s="27">
        <v>3.4726509258579426E-29</v>
      </c>
      <c r="DX23" s="27">
        <v>203.25388933330089</v>
      </c>
      <c r="DY23" s="29">
        <v>1.0014749306456037</v>
      </c>
      <c r="DZ23" s="28">
        <v>7.8392786504076043E-17</v>
      </c>
      <c r="EA23" s="29">
        <v>6.659618114413536E-19</v>
      </c>
      <c r="EB23" s="28">
        <v>203.25388933330089</v>
      </c>
      <c r="EC23" s="29">
        <v>0.87084776577878575</v>
      </c>
      <c r="ED23" s="31">
        <v>1.0014749306456037</v>
      </c>
      <c r="EE23" s="7" t="s">
        <v>157</v>
      </c>
    </row>
    <row r="24" spans="2:135" ht="15" customHeight="1">
      <c r="B24" s="24"/>
      <c r="C24" s="7">
        <f>VLOOKUP(E21,Data!$C$20:$F$99,2,FALSE)</f>
        <v>206000</v>
      </c>
      <c r="D24" s="7">
        <f>VLOOKUP(E21,Data!$C$20:$F$99,3,FALSE)</f>
        <v>245</v>
      </c>
      <c r="E24" s="18">
        <f>D24/G24</f>
        <v>222.72727272727272</v>
      </c>
      <c r="F24" s="18">
        <f>0.58*D24/G24</f>
        <v>129.18181818181816</v>
      </c>
      <c r="G24" s="8">
        <v>1.1000000000000001</v>
      </c>
      <c r="H24" s="8">
        <v>0.95</v>
      </c>
      <c r="I24" s="22">
        <f>(F15*F16-(F15-2*F17)*(F16-2*F17))/100</f>
        <v>61.44</v>
      </c>
      <c r="J24" s="19">
        <f>(F15*F16^3/12-(F15-2*F17)*(F16-2*F17)^3/12)/10000</f>
        <v>2789.1712000000002</v>
      </c>
      <c r="K24" s="19">
        <f>(F16*F15^3/12-(F16-2*F17)*(F15-2*F17)^3/12)/10000</f>
        <v>595.76319999999998</v>
      </c>
      <c r="L24" s="19">
        <f>J24/(F16/20)</f>
        <v>278.91712000000001</v>
      </c>
      <c r="M24" s="19">
        <f>K24/(F15/20)</f>
        <v>148.9408</v>
      </c>
      <c r="N24" s="19">
        <f>((F15-2*F17)*F17*(F16/2-F17/2)+2*(F17*F16/2*F16/4))/1000</f>
        <v>183.16800000000001</v>
      </c>
      <c r="AH24" s="30"/>
      <c r="AU24" s="27"/>
      <c r="AX24" s="27"/>
      <c r="AZ24" s="28"/>
      <c r="BA24" s="29"/>
      <c r="BB24" s="28"/>
      <c r="BC24" s="29"/>
      <c r="BD24" s="31"/>
      <c r="CX24" s="78"/>
      <c r="DH24" s="30"/>
      <c r="DI24" s="18"/>
      <c r="DL24" s="18"/>
      <c r="DM24" s="18"/>
      <c r="DU24" s="27"/>
      <c r="DX24" s="27"/>
      <c r="DZ24" s="28"/>
      <c r="EA24" s="29"/>
      <c r="EB24" s="28"/>
      <c r="EC24" s="29"/>
      <c r="ED24" s="31"/>
    </row>
    <row r="25" spans="2:135">
      <c r="B25" s="13"/>
      <c r="C25" s="4"/>
      <c r="D25" s="4"/>
      <c r="E25" s="4"/>
      <c r="F25" s="4"/>
      <c r="G25" s="4"/>
      <c r="H25" s="4"/>
      <c r="I25" s="4"/>
      <c r="J25" s="4"/>
      <c r="K25" s="4"/>
      <c r="L25" s="4"/>
      <c r="M25" s="4"/>
      <c r="N25" s="12"/>
      <c r="AH25" s="30"/>
      <c r="AU25" s="27"/>
      <c r="AX25" s="27"/>
      <c r="AZ25" s="28"/>
      <c r="BA25" s="29"/>
      <c r="BB25" s="28"/>
      <c r="BC25" s="29"/>
      <c r="BD25" s="31"/>
      <c r="CX25" s="78"/>
      <c r="DH25" s="30"/>
      <c r="DI25" s="18"/>
      <c r="DL25" s="18"/>
      <c r="DM25" s="18"/>
      <c r="DU25" s="27"/>
      <c r="DX25" s="27"/>
      <c r="DZ25" s="28"/>
      <c r="EA25" s="29"/>
      <c r="EB25" s="28"/>
      <c r="EC25" s="29"/>
      <c r="ED25" s="31"/>
    </row>
    <row r="26" spans="2:135" ht="15" customHeight="1">
      <c r="B26" s="10" t="s">
        <v>72</v>
      </c>
      <c r="C26" s="4"/>
      <c r="D26" s="4"/>
      <c r="E26" s="4"/>
      <c r="F26" s="4"/>
      <c r="G26" s="4"/>
      <c r="H26" s="4"/>
      <c r="I26" s="4"/>
      <c r="J26" s="4"/>
      <c r="K26" s="4"/>
      <c r="L26" s="100"/>
      <c r="M26" s="4"/>
      <c r="N26" s="12"/>
      <c r="AH26" s="30"/>
      <c r="AU26" s="27"/>
      <c r="AX26" s="27"/>
      <c r="AZ26" s="28"/>
      <c r="BA26" s="29"/>
      <c r="BB26" s="28"/>
      <c r="BC26" s="29"/>
      <c r="BD26" s="31"/>
      <c r="CX26" s="78"/>
      <c r="DH26" s="30"/>
      <c r="DI26" s="18"/>
      <c r="DL26" s="18"/>
      <c r="DM26" s="18"/>
      <c r="DU26" s="27"/>
      <c r="DX26" s="27"/>
      <c r="DZ26" s="28"/>
      <c r="EA26" s="29"/>
      <c r="EB26" s="28"/>
      <c r="EC26" s="29"/>
      <c r="ED26" s="31"/>
    </row>
    <row r="27" spans="2:135">
      <c r="B27" s="13"/>
      <c r="C27" s="4"/>
      <c r="D27" s="4"/>
      <c r="E27" s="145" t="s">
        <v>87</v>
      </c>
      <c r="F27" s="74" t="s">
        <v>55</v>
      </c>
      <c r="G27" s="140" t="s">
        <v>88</v>
      </c>
      <c r="H27" s="7" t="s">
        <v>69</v>
      </c>
      <c r="I27" s="7" t="s">
        <v>68</v>
      </c>
      <c r="J27" s="7" t="s">
        <v>66</v>
      </c>
      <c r="K27" s="7" t="s">
        <v>83</v>
      </c>
      <c r="L27" s="7" t="s">
        <v>64</v>
      </c>
      <c r="M27" s="7" t="s">
        <v>70</v>
      </c>
      <c r="N27" s="12"/>
      <c r="AH27" s="30"/>
      <c r="AU27" s="27"/>
      <c r="AX27" s="27"/>
      <c r="AZ27" s="28"/>
      <c r="BA27" s="29"/>
      <c r="BB27" s="28"/>
      <c r="BC27" s="29"/>
      <c r="BD27" s="31"/>
      <c r="DH27" s="30"/>
      <c r="DI27" s="18"/>
      <c r="DL27" s="18"/>
      <c r="DM27" s="18"/>
      <c r="DU27" s="27"/>
      <c r="DX27" s="27"/>
      <c r="DZ27" s="28"/>
      <c r="EA27" s="29"/>
      <c r="EB27" s="28"/>
      <c r="EC27" s="29"/>
      <c r="ED27" s="31"/>
    </row>
    <row r="28" spans="2:135">
      <c r="B28" s="13"/>
      <c r="C28" s="4"/>
      <c r="D28" s="4"/>
      <c r="E28" s="145"/>
      <c r="F28" s="28" t="s">
        <v>85</v>
      </c>
      <c r="G28" s="141"/>
      <c r="H28" s="7" t="s">
        <v>67</v>
      </c>
      <c r="I28" s="7" t="s">
        <v>67</v>
      </c>
      <c r="J28" s="7" t="s">
        <v>67</v>
      </c>
      <c r="K28" s="7" t="s">
        <v>65</v>
      </c>
      <c r="L28" s="7" t="s">
        <v>65</v>
      </c>
      <c r="M28" s="7" t="s">
        <v>65</v>
      </c>
      <c r="N28" s="12"/>
      <c r="AH28" s="30"/>
      <c r="AU28" s="27"/>
      <c r="AX28" s="27"/>
      <c r="AZ28" s="28"/>
      <c r="BA28" s="29"/>
      <c r="BB28" s="28"/>
      <c r="BC28" s="29"/>
      <c r="BD28" s="31"/>
      <c r="DH28" s="30"/>
      <c r="DI28" s="18"/>
      <c r="DL28" s="18"/>
      <c r="DM28" s="18"/>
      <c r="DU28" s="27"/>
      <c r="DX28" s="27"/>
      <c r="DZ28" s="28"/>
      <c r="EA28" s="29"/>
      <c r="EB28" s="28"/>
      <c r="EC28" s="29"/>
      <c r="ED28" s="31"/>
    </row>
    <row r="29" spans="2:135">
      <c r="B29" s="13"/>
      <c r="C29" s="4"/>
      <c r="D29" s="4"/>
      <c r="E29" s="8">
        <v>173</v>
      </c>
      <c r="F29" s="93">
        <v>2.5</v>
      </c>
      <c r="G29" s="8" t="s">
        <v>155</v>
      </c>
      <c r="H29" s="93">
        <v>5.1803927397689256E-2</v>
      </c>
      <c r="I29" s="93">
        <v>100</v>
      </c>
      <c r="J29" s="93">
        <v>1.2782615068826301E-30</v>
      </c>
      <c r="K29" s="93">
        <v>-3.1956537672065758E-30</v>
      </c>
      <c r="L29" s="93">
        <v>22</v>
      </c>
      <c r="M29" s="93">
        <v>-6.1971291791036425E-3</v>
      </c>
      <c r="N29" s="12"/>
      <c r="AH29" s="30"/>
      <c r="AU29" s="27"/>
      <c r="AX29" s="27"/>
      <c r="AZ29" s="28"/>
      <c r="BA29" s="29"/>
      <c r="BB29" s="28"/>
      <c r="BC29" s="29"/>
      <c r="BD29" s="31"/>
      <c r="DH29" s="30"/>
      <c r="DI29" s="18"/>
      <c r="DL29" s="18"/>
      <c r="DM29" s="18"/>
      <c r="DU29" s="27"/>
      <c r="DX29" s="27"/>
      <c r="DZ29" s="28"/>
      <c r="EA29" s="29"/>
      <c r="EB29" s="28"/>
      <c r="EC29" s="29"/>
      <c r="ED29" s="31"/>
    </row>
    <row r="30" spans="2:135">
      <c r="B30" s="13"/>
      <c r="C30" s="4"/>
      <c r="D30" s="4"/>
      <c r="E30" s="4"/>
      <c r="F30" s="95"/>
      <c r="G30" s="4"/>
      <c r="H30" s="4"/>
      <c r="I30" s="4"/>
      <c r="J30" s="4"/>
      <c r="K30" s="4"/>
      <c r="L30" s="4"/>
      <c r="M30" s="4"/>
      <c r="N30" s="12"/>
      <c r="AH30" s="30"/>
      <c r="AU30" s="27"/>
      <c r="AX30" s="27"/>
      <c r="AZ30" s="28"/>
      <c r="BA30" s="29"/>
      <c r="BB30" s="28"/>
      <c r="BC30" s="29"/>
      <c r="BD30" s="31"/>
      <c r="DH30" s="30"/>
      <c r="DI30" s="18"/>
      <c r="DL30" s="18"/>
      <c r="DM30" s="18"/>
      <c r="DU30" s="27"/>
      <c r="DX30" s="27"/>
      <c r="DZ30" s="28"/>
      <c r="EA30" s="29"/>
      <c r="EB30" s="28"/>
      <c r="EC30" s="29"/>
      <c r="ED30" s="31"/>
    </row>
    <row r="31" spans="2:135">
      <c r="B31" s="138" t="s">
        <v>38</v>
      </c>
      <c r="C31" s="139"/>
      <c r="D31" s="139"/>
      <c r="E31" s="4"/>
      <c r="F31" s="4"/>
      <c r="G31" s="4"/>
      <c r="H31" s="4"/>
      <c r="I31" s="4"/>
      <c r="J31" s="4"/>
      <c r="K31" s="4"/>
      <c r="L31" s="4"/>
      <c r="M31" s="94"/>
      <c r="N31" s="9"/>
      <c r="AH31" s="30"/>
      <c r="AU31" s="27"/>
      <c r="AX31" s="27"/>
      <c r="AZ31" s="28"/>
      <c r="BA31" s="29"/>
      <c r="BB31" s="28"/>
      <c r="BC31" s="29"/>
      <c r="BD31" s="31"/>
      <c r="DH31" s="30"/>
      <c r="DI31" s="18"/>
      <c r="DL31" s="18"/>
      <c r="DM31" s="18"/>
      <c r="DU31" s="27"/>
      <c r="DX31" s="27"/>
      <c r="DZ31" s="28"/>
      <c r="EA31" s="29"/>
      <c r="EB31" s="28"/>
      <c r="EC31" s="29"/>
      <c r="ED31" s="31"/>
    </row>
    <row r="32" spans="2:135">
      <c r="B32" s="10" t="s">
        <v>153</v>
      </c>
      <c r="C32" s="4"/>
      <c r="D32" s="4"/>
      <c r="E32" s="4"/>
      <c r="F32" s="4"/>
      <c r="G32" s="4"/>
      <c r="H32" s="4"/>
      <c r="I32" s="4"/>
      <c r="J32" s="4"/>
      <c r="K32" s="4"/>
      <c r="L32" s="4"/>
      <c r="M32" s="4"/>
      <c r="N32" s="12"/>
      <c r="AH32" s="30"/>
      <c r="AU32" s="27"/>
      <c r="AX32" s="27"/>
      <c r="AZ32" s="28"/>
      <c r="BA32" s="29"/>
      <c r="BB32" s="28"/>
      <c r="BC32" s="29"/>
      <c r="BD32" s="31"/>
      <c r="DH32" s="30"/>
      <c r="DI32" s="18"/>
      <c r="DL32" s="18"/>
      <c r="DM32" s="18"/>
      <c r="DU32" s="27"/>
      <c r="DX32" s="27"/>
      <c r="DZ32" s="28"/>
      <c r="EA32" s="29"/>
      <c r="EB32" s="28"/>
      <c r="EC32" s="29"/>
      <c r="ED32" s="31"/>
    </row>
    <row r="33" spans="2:134">
      <c r="B33" s="10" t="s">
        <v>112</v>
      </c>
      <c r="C33" s="4"/>
      <c r="D33" s="4"/>
      <c r="E33" s="4"/>
      <c r="F33" s="4"/>
      <c r="G33" s="4"/>
      <c r="H33" s="4"/>
      <c r="I33" s="4"/>
      <c r="J33" s="4"/>
      <c r="K33" s="4"/>
      <c r="L33" s="4"/>
      <c r="M33" s="4"/>
      <c r="N33" s="12"/>
      <c r="AH33" s="30"/>
      <c r="AU33" s="27"/>
      <c r="AX33" s="27"/>
      <c r="AZ33" s="28"/>
      <c r="BA33" s="29"/>
      <c r="BB33" s="28"/>
      <c r="BC33" s="29"/>
      <c r="BD33" s="31"/>
      <c r="DH33" s="30"/>
      <c r="DI33" s="18"/>
      <c r="DL33" s="18"/>
      <c r="DM33" s="18"/>
      <c r="DU33" s="27"/>
      <c r="DX33" s="27"/>
      <c r="DZ33" s="28"/>
      <c r="EA33" s="29"/>
      <c r="EB33" s="28"/>
      <c r="EC33" s="29"/>
      <c r="ED33" s="31"/>
    </row>
    <row r="34" spans="2:134">
      <c r="B34" s="11" t="s">
        <v>39</v>
      </c>
      <c r="C34" s="4"/>
      <c r="D34" s="4"/>
      <c r="E34" s="4"/>
      <c r="F34" s="4"/>
      <c r="G34" s="4"/>
      <c r="H34" s="4"/>
      <c r="I34" s="4"/>
      <c r="J34" s="4"/>
      <c r="K34" s="95" t="s">
        <v>109</v>
      </c>
      <c r="L34" s="101">
        <f>E24*H24</f>
        <v>211.59090909090907</v>
      </c>
      <c r="M34" s="94" t="s">
        <v>73</v>
      </c>
      <c r="N34" s="9"/>
      <c r="AH34" s="30"/>
      <c r="AU34" s="27"/>
      <c r="AX34" s="27"/>
      <c r="AZ34" s="28"/>
      <c r="BA34" s="29"/>
      <c r="BB34" s="28"/>
      <c r="BC34" s="29"/>
      <c r="BD34" s="31"/>
      <c r="DH34" s="30"/>
      <c r="DI34" s="18"/>
      <c r="DL34" s="18"/>
      <c r="DM34" s="18"/>
      <c r="DU34" s="27"/>
      <c r="DX34" s="27"/>
      <c r="DZ34" s="28"/>
      <c r="EA34" s="29"/>
      <c r="EB34" s="28"/>
      <c r="EC34" s="29"/>
      <c r="ED34" s="31"/>
    </row>
    <row r="35" spans="2:134">
      <c r="B35" s="11" t="s">
        <v>105</v>
      </c>
      <c r="C35" s="4"/>
      <c r="D35" s="4"/>
      <c r="E35" s="4"/>
      <c r="F35" s="4"/>
      <c r="G35" s="4"/>
      <c r="H35" s="4"/>
      <c r="I35" s="4"/>
      <c r="J35" s="4"/>
      <c r="K35" s="102" t="s">
        <v>108</v>
      </c>
      <c r="L35" s="101">
        <f>ABS(H29)/I24*10</f>
        <v>8.4316288082176526E-3</v>
      </c>
      <c r="M35" s="94" t="s">
        <v>73</v>
      </c>
      <c r="N35" s="9"/>
      <c r="AH35" s="30"/>
      <c r="AU35" s="27"/>
      <c r="AX35" s="27"/>
      <c r="AZ35" s="28"/>
      <c r="BA35" s="29"/>
      <c r="BB35" s="28"/>
      <c r="BC35" s="29"/>
      <c r="BD35" s="31"/>
      <c r="DH35" s="30"/>
      <c r="DI35" s="18"/>
      <c r="DL35" s="18"/>
      <c r="DM35" s="18"/>
      <c r="DU35" s="27"/>
      <c r="DX35" s="27"/>
      <c r="DZ35" s="28"/>
      <c r="EA35" s="29"/>
      <c r="EB35" s="28"/>
      <c r="EC35" s="29"/>
      <c r="ED35" s="31"/>
    </row>
    <row r="36" spans="2:134">
      <c r="B36" s="11" t="s">
        <v>45</v>
      </c>
      <c r="C36" s="4"/>
      <c r="D36" s="4"/>
      <c r="E36" s="4"/>
      <c r="F36" s="4"/>
      <c r="G36" s="4"/>
      <c r="H36" s="4"/>
      <c r="I36" s="4"/>
      <c r="J36" s="4"/>
      <c r="K36" s="102" t="s">
        <v>107</v>
      </c>
      <c r="L36" s="101">
        <f>ABS(L29)/L24*1000</f>
        <v>78.876477714957034</v>
      </c>
      <c r="M36" s="94" t="s">
        <v>73</v>
      </c>
      <c r="N36" s="9"/>
      <c r="AH36" s="30"/>
      <c r="AU36" s="27"/>
      <c r="AX36" s="27"/>
      <c r="AZ36" s="28"/>
      <c r="BA36" s="29"/>
      <c r="BB36" s="28"/>
      <c r="BC36" s="29"/>
      <c r="BD36" s="31"/>
      <c r="DH36" s="30"/>
      <c r="DI36" s="18"/>
      <c r="DL36" s="18"/>
      <c r="DM36" s="18"/>
      <c r="DU36" s="27"/>
      <c r="DX36" s="27"/>
      <c r="DZ36" s="28"/>
      <c r="EA36" s="29"/>
      <c r="EB36" s="28"/>
      <c r="EC36" s="29"/>
      <c r="ED36" s="31"/>
    </row>
    <row r="37" spans="2:134">
      <c r="B37" s="11" t="s">
        <v>46</v>
      </c>
      <c r="C37" s="4"/>
      <c r="D37" s="4"/>
      <c r="E37" s="4"/>
      <c r="F37" s="4"/>
      <c r="G37" s="4"/>
      <c r="H37" s="4"/>
      <c r="I37" s="4"/>
      <c r="J37" s="4"/>
      <c r="K37" s="102" t="s">
        <v>106</v>
      </c>
      <c r="L37" s="101">
        <f>ABS(K29)/M24*1000</f>
        <v>2.145586546605481E-29</v>
      </c>
      <c r="M37" s="94" t="s">
        <v>73</v>
      </c>
      <c r="N37" s="9"/>
      <c r="AH37" s="30"/>
      <c r="AU37" s="27"/>
      <c r="AX37" s="27"/>
      <c r="AZ37" s="28"/>
      <c r="BA37" s="29"/>
      <c r="BB37" s="28"/>
      <c r="BC37" s="29"/>
      <c r="BD37" s="31"/>
      <c r="DH37" s="30"/>
      <c r="DI37" s="18"/>
      <c r="DL37" s="18"/>
      <c r="DM37" s="18"/>
      <c r="DU37" s="27"/>
      <c r="DX37" s="27"/>
      <c r="DZ37" s="28"/>
      <c r="EA37" s="29"/>
      <c r="EB37" s="28"/>
      <c r="EC37" s="29"/>
      <c r="ED37" s="31"/>
    </row>
    <row r="38" spans="2:134">
      <c r="B38" s="11" t="s">
        <v>158</v>
      </c>
      <c r="C38" s="94"/>
      <c r="D38" s="94"/>
      <c r="E38" s="94"/>
      <c r="F38" s="94"/>
      <c r="G38" s="94"/>
      <c r="H38" s="94"/>
      <c r="I38" s="94"/>
      <c r="J38" s="94"/>
      <c r="K38" s="103" t="s">
        <v>118</v>
      </c>
      <c r="L38" s="101">
        <f>L35+L36+L37</f>
        <v>78.884909343765244</v>
      </c>
      <c r="M38" s="94" t="s">
        <v>73</v>
      </c>
      <c r="N38" s="9"/>
      <c r="AH38" s="30"/>
      <c r="AU38" s="27"/>
      <c r="AX38" s="27"/>
      <c r="AZ38" s="28"/>
      <c r="BA38" s="29"/>
      <c r="BB38" s="28"/>
      <c r="BC38" s="29"/>
      <c r="BD38" s="31"/>
      <c r="DH38" s="30"/>
      <c r="DI38" s="18"/>
      <c r="DL38" s="18"/>
      <c r="DM38" s="18"/>
      <c r="DU38" s="27"/>
      <c r="DX38" s="27"/>
      <c r="DZ38" s="28"/>
      <c r="EA38" s="29"/>
      <c r="EB38" s="28"/>
      <c r="EC38" s="29"/>
      <c r="ED38" s="31"/>
    </row>
    <row r="39" spans="2:134">
      <c r="B39" s="11" t="s">
        <v>80</v>
      </c>
      <c r="C39" s="4"/>
      <c r="D39" s="4"/>
      <c r="E39" s="4"/>
      <c r="F39" s="4"/>
      <c r="G39" s="4"/>
      <c r="H39" s="4"/>
      <c r="I39" s="4"/>
      <c r="J39" s="4"/>
      <c r="K39" s="95" t="s">
        <v>115</v>
      </c>
      <c r="L39" s="77">
        <f>L38/L34</f>
        <v>0.37281804630780568</v>
      </c>
      <c r="M39" s="104" t="s">
        <v>42</v>
      </c>
      <c r="N39" s="23" t="str">
        <f>IF(L39&lt;=1,"OK","Check")</f>
        <v>OK</v>
      </c>
      <c r="AH39" s="30"/>
      <c r="AU39" s="27"/>
      <c r="AX39" s="27"/>
      <c r="AZ39" s="28"/>
      <c r="BA39" s="29"/>
      <c r="BB39" s="28"/>
      <c r="BC39" s="29"/>
      <c r="BD39" s="31"/>
      <c r="DH39" s="30"/>
      <c r="DI39" s="18"/>
      <c r="DL39" s="18"/>
      <c r="DM39" s="18"/>
      <c r="DU39" s="27"/>
      <c r="DX39" s="27"/>
      <c r="DZ39" s="28"/>
      <c r="EA39" s="29"/>
      <c r="EB39" s="28"/>
      <c r="EC39" s="29"/>
      <c r="ED39" s="31"/>
    </row>
    <row r="40" spans="2:134">
      <c r="B40" s="10" t="s">
        <v>113</v>
      </c>
      <c r="C40" s="4"/>
      <c r="D40" s="4"/>
      <c r="E40" s="4"/>
      <c r="F40" s="4"/>
      <c r="G40" s="4"/>
      <c r="H40" s="4"/>
      <c r="I40" s="4"/>
      <c r="J40" s="4"/>
      <c r="K40" s="4"/>
      <c r="L40" s="4"/>
      <c r="M40" s="4"/>
      <c r="N40" s="12"/>
      <c r="AH40" s="30"/>
      <c r="AU40" s="27"/>
      <c r="AX40" s="27"/>
      <c r="AZ40" s="28"/>
      <c r="BA40" s="29"/>
      <c r="BB40" s="28"/>
      <c r="BC40" s="29"/>
      <c r="BD40" s="31"/>
      <c r="DH40" s="30"/>
      <c r="DI40" s="18"/>
      <c r="DL40" s="18"/>
      <c r="DM40" s="18"/>
      <c r="DU40" s="27"/>
      <c r="DX40" s="27"/>
      <c r="DZ40" s="28"/>
      <c r="EA40" s="29"/>
      <c r="EB40" s="28"/>
      <c r="EC40" s="29"/>
      <c r="ED40" s="31"/>
    </row>
    <row r="41" spans="2:134">
      <c r="B41" s="11" t="s">
        <v>43</v>
      </c>
      <c r="C41" s="94"/>
      <c r="D41" s="94"/>
      <c r="E41" s="94"/>
      <c r="F41" s="94"/>
      <c r="G41" s="94"/>
      <c r="H41" s="94"/>
      <c r="I41" s="94"/>
      <c r="J41" s="94"/>
      <c r="K41" s="95" t="s">
        <v>116</v>
      </c>
      <c r="L41" s="101">
        <f>F24*H24</f>
        <v>122.72272727272724</v>
      </c>
      <c r="M41" s="94" t="s">
        <v>73</v>
      </c>
      <c r="N41" s="9"/>
      <c r="AH41" s="30"/>
      <c r="AU41" s="27"/>
      <c r="AX41" s="27"/>
      <c r="AZ41" s="28"/>
      <c r="BA41" s="29"/>
      <c r="BB41" s="28"/>
      <c r="BC41" s="29"/>
      <c r="BD41" s="31"/>
      <c r="DH41" s="30"/>
      <c r="DI41" s="18"/>
      <c r="DL41" s="18"/>
      <c r="DM41" s="18"/>
      <c r="DU41" s="27"/>
      <c r="DX41" s="27"/>
      <c r="DZ41" s="28"/>
      <c r="EA41" s="29"/>
      <c r="EB41" s="28"/>
      <c r="EC41" s="29"/>
      <c r="ED41" s="31"/>
    </row>
    <row r="42" spans="2:134">
      <c r="B42" s="11" t="s">
        <v>44</v>
      </c>
      <c r="C42" s="4"/>
      <c r="D42" s="4"/>
      <c r="E42" s="4"/>
      <c r="F42" s="4"/>
      <c r="G42" s="4"/>
      <c r="H42" s="4"/>
      <c r="I42" s="4"/>
      <c r="J42" s="4"/>
      <c r="K42" s="105" t="s">
        <v>117</v>
      </c>
      <c r="L42" s="76">
        <f>ABS(I29)*N24/(J24*F17)*100</f>
        <v>54.725934356413831</v>
      </c>
      <c r="M42" s="94" t="s">
        <v>73</v>
      </c>
      <c r="N42" s="12"/>
      <c r="AH42" s="30"/>
      <c r="AU42" s="27"/>
      <c r="AX42" s="27"/>
      <c r="AZ42" s="28"/>
      <c r="BA42" s="29"/>
      <c r="BB42" s="28"/>
      <c r="BC42" s="29"/>
      <c r="BD42" s="31"/>
      <c r="DH42" s="30"/>
      <c r="DI42" s="18"/>
      <c r="DL42" s="18"/>
      <c r="DM42" s="18"/>
      <c r="DU42" s="27"/>
      <c r="DX42" s="27"/>
      <c r="DZ42" s="28"/>
      <c r="EA42" s="29"/>
      <c r="EB42" s="28"/>
      <c r="EC42" s="29"/>
      <c r="ED42" s="31"/>
    </row>
    <row r="43" spans="2:134">
      <c r="B43" s="11" t="s">
        <v>96</v>
      </c>
      <c r="C43" s="4"/>
      <c r="D43" s="4"/>
      <c r="E43" s="4"/>
      <c r="F43" s="4"/>
      <c r="G43" s="4"/>
      <c r="H43" s="4"/>
      <c r="I43" s="4"/>
      <c r="J43" s="4"/>
      <c r="K43" s="106" t="s">
        <v>119</v>
      </c>
      <c r="L43" s="77">
        <f>L42/L41</f>
        <v>0.44593153666473001</v>
      </c>
      <c r="M43" s="104" t="s">
        <v>42</v>
      </c>
      <c r="N43" s="23" t="str">
        <f>IF(L43&lt;=1,"OK","Check")</f>
        <v>OK</v>
      </c>
      <c r="AH43" s="30"/>
      <c r="AU43" s="27"/>
      <c r="AX43" s="27"/>
      <c r="AZ43" s="28"/>
      <c r="BA43" s="29"/>
      <c r="BB43" s="28"/>
      <c r="BC43" s="29"/>
      <c r="BD43" s="31"/>
      <c r="DH43" s="30"/>
      <c r="DI43" s="18"/>
      <c r="DL43" s="18"/>
      <c r="DM43" s="18"/>
      <c r="DU43" s="27"/>
      <c r="DX43" s="27"/>
      <c r="DZ43" s="28"/>
      <c r="EA43" s="29"/>
      <c r="EB43" s="28"/>
      <c r="EC43" s="29"/>
      <c r="ED43" s="31"/>
    </row>
    <row r="44" spans="2:134">
      <c r="B44" s="10" t="s">
        <v>114</v>
      </c>
      <c r="C44" s="94"/>
      <c r="D44" s="94"/>
      <c r="E44" s="94"/>
      <c r="F44" s="94"/>
      <c r="G44" s="94"/>
      <c r="H44" s="94"/>
      <c r="I44" s="94"/>
      <c r="J44" s="94"/>
      <c r="K44" s="94"/>
      <c r="L44" s="94"/>
      <c r="M44" s="94"/>
      <c r="N44" s="9"/>
      <c r="AH44" s="30"/>
      <c r="AU44" s="27"/>
      <c r="AX44" s="27"/>
      <c r="AZ44" s="28"/>
      <c r="BA44" s="29"/>
      <c r="BB44" s="28"/>
      <c r="BC44" s="29"/>
      <c r="BD44" s="31"/>
      <c r="DH44" s="30"/>
      <c r="DI44" s="18"/>
      <c r="DL44" s="18"/>
      <c r="DM44" s="18"/>
      <c r="DU44" s="27"/>
      <c r="DX44" s="27"/>
      <c r="DZ44" s="28"/>
      <c r="EA44" s="29"/>
      <c r="EB44" s="28"/>
      <c r="EC44" s="29"/>
      <c r="ED44" s="31"/>
    </row>
    <row r="45" spans="2:134">
      <c r="B45" s="11" t="s">
        <v>47</v>
      </c>
      <c r="C45" s="94"/>
      <c r="D45" s="94"/>
      <c r="E45" s="94"/>
      <c r="F45" s="94"/>
      <c r="G45" s="94"/>
      <c r="H45" s="94"/>
      <c r="I45" s="94"/>
      <c r="J45" s="94"/>
      <c r="K45" s="95" t="s">
        <v>120</v>
      </c>
      <c r="L45" s="101">
        <f>1.15*E24*H24</f>
        <v>243.32954545454544</v>
      </c>
      <c r="M45" s="94" t="s">
        <v>73</v>
      </c>
      <c r="N45" s="9"/>
      <c r="AH45" s="30"/>
      <c r="AU45" s="27"/>
      <c r="AX45" s="27"/>
      <c r="AZ45" s="28"/>
      <c r="BA45" s="29"/>
      <c r="BB45" s="28"/>
      <c r="BC45" s="29"/>
      <c r="BD45" s="31"/>
      <c r="DH45" s="30"/>
      <c r="DI45" s="18"/>
      <c r="DL45" s="18"/>
      <c r="DM45" s="18"/>
      <c r="DU45" s="27"/>
      <c r="DX45" s="27"/>
      <c r="DZ45" s="28"/>
      <c r="EA45" s="29"/>
      <c r="EB45" s="28"/>
      <c r="EC45" s="29"/>
      <c r="ED45" s="31"/>
    </row>
    <row r="46" spans="2:134">
      <c r="B46" s="11" t="s">
        <v>49</v>
      </c>
      <c r="C46" s="4"/>
      <c r="D46" s="4"/>
      <c r="E46" s="4"/>
      <c r="F46" s="4"/>
      <c r="G46" s="4"/>
      <c r="H46" s="4"/>
      <c r="I46" s="4"/>
      <c r="J46" s="4"/>
      <c r="K46" s="103" t="s">
        <v>121</v>
      </c>
      <c r="L46" s="75">
        <f>L42</f>
        <v>54.725934356413831</v>
      </c>
      <c r="M46" s="94" t="s">
        <v>73</v>
      </c>
      <c r="N46" s="12"/>
      <c r="AH46" s="30"/>
      <c r="AU46" s="27"/>
      <c r="AX46" s="27"/>
      <c r="AZ46" s="28"/>
      <c r="BA46" s="29"/>
      <c r="BB46" s="28"/>
      <c r="BC46" s="29"/>
      <c r="BD46" s="31"/>
      <c r="DH46" s="30"/>
      <c r="DI46" s="18"/>
      <c r="DL46" s="18"/>
      <c r="DM46" s="18"/>
      <c r="DU46" s="27"/>
      <c r="DX46" s="27"/>
      <c r="DZ46" s="28"/>
      <c r="EA46" s="29"/>
      <c r="EB46" s="28"/>
      <c r="EC46" s="29"/>
      <c r="ED46" s="31"/>
    </row>
    <row r="47" spans="2:134">
      <c r="B47" s="11" t="s">
        <v>48</v>
      </c>
      <c r="C47" s="4"/>
      <c r="D47" s="4"/>
      <c r="E47" s="4"/>
      <c r="F47" s="4"/>
      <c r="G47" s="4"/>
      <c r="H47" s="107"/>
      <c r="I47" s="107"/>
      <c r="J47" s="107"/>
      <c r="K47" s="108" t="s">
        <v>122</v>
      </c>
      <c r="L47" s="75">
        <f>SQRT(L38^2+3*L46^2)</f>
        <v>123.31914934721861</v>
      </c>
      <c r="M47" s="94" t="s">
        <v>73</v>
      </c>
      <c r="N47" s="9"/>
      <c r="AH47" s="30"/>
      <c r="AU47" s="27"/>
      <c r="AX47" s="27"/>
      <c r="AZ47" s="28"/>
      <c r="BA47" s="29"/>
      <c r="BB47" s="28"/>
      <c r="BC47" s="29"/>
      <c r="BD47" s="31"/>
      <c r="DH47" s="30"/>
      <c r="DI47" s="18"/>
      <c r="DL47" s="18"/>
      <c r="DM47" s="18"/>
      <c r="DU47" s="27"/>
      <c r="DX47" s="27"/>
      <c r="DZ47" s="28"/>
      <c r="EA47" s="29"/>
      <c r="EB47" s="28"/>
      <c r="EC47" s="29"/>
      <c r="ED47" s="31"/>
    </row>
    <row r="48" spans="2:134">
      <c r="B48" s="11" t="s">
        <v>79</v>
      </c>
      <c r="C48" s="94"/>
      <c r="D48" s="94"/>
      <c r="E48" s="94"/>
      <c r="F48" s="94"/>
      <c r="G48" s="94"/>
      <c r="H48" s="94"/>
      <c r="I48" s="94"/>
      <c r="J48" s="94"/>
      <c r="K48" s="106" t="s">
        <v>123</v>
      </c>
      <c r="L48" s="121">
        <f>L47/L45</f>
        <v>0.50679891386331843</v>
      </c>
      <c r="M48" s="104" t="s">
        <v>42</v>
      </c>
      <c r="N48" s="23" t="str">
        <f>IF(L48&lt;=1,"OK","Check")</f>
        <v>OK</v>
      </c>
      <c r="AH48" s="30"/>
      <c r="AU48" s="27"/>
      <c r="AX48" s="27"/>
      <c r="AZ48" s="28"/>
      <c r="BA48" s="29"/>
      <c r="BB48" s="28"/>
      <c r="BC48" s="29"/>
      <c r="BD48" s="31"/>
      <c r="DH48" s="30"/>
      <c r="DI48" s="18"/>
      <c r="DL48" s="18"/>
      <c r="DM48" s="18"/>
      <c r="DU48" s="27"/>
      <c r="DX48" s="27"/>
      <c r="DZ48" s="28"/>
      <c r="EA48" s="29"/>
      <c r="EB48" s="28"/>
      <c r="EC48" s="29"/>
      <c r="ED48" s="31"/>
    </row>
    <row r="49" spans="2:134">
      <c r="B49" s="15"/>
      <c r="C49" s="14"/>
      <c r="D49" s="14"/>
      <c r="E49" s="14"/>
      <c r="F49" s="14"/>
      <c r="G49" s="14"/>
      <c r="H49" s="14"/>
      <c r="I49" s="14"/>
      <c r="J49" s="14"/>
      <c r="K49" s="14"/>
      <c r="L49" s="14"/>
      <c r="M49" s="109"/>
      <c r="N49" s="110"/>
      <c r="AH49" s="30"/>
      <c r="AU49" s="27"/>
      <c r="AX49" s="27"/>
      <c r="AZ49" s="28"/>
      <c r="BA49" s="29"/>
      <c r="BB49" s="28"/>
      <c r="BC49" s="29"/>
      <c r="BD49" s="31"/>
      <c r="DH49" s="30"/>
      <c r="DI49" s="18"/>
      <c r="DL49" s="18"/>
      <c r="DM49" s="18"/>
      <c r="DU49" s="27"/>
      <c r="DX49" s="27"/>
      <c r="DZ49" s="28"/>
      <c r="EA49" s="29"/>
      <c r="EB49" s="28"/>
      <c r="EC49" s="29"/>
      <c r="ED49" s="31"/>
    </row>
    <row r="50" spans="2:134">
      <c r="AH50" s="30"/>
      <c r="AU50" s="27"/>
      <c r="AX50" s="27"/>
      <c r="AZ50" s="28"/>
      <c r="BA50" s="29"/>
      <c r="BB50" s="28"/>
      <c r="BC50" s="29"/>
      <c r="BD50" s="31"/>
      <c r="DH50" s="30"/>
      <c r="DI50" s="18"/>
      <c r="DL50" s="18"/>
      <c r="DM50" s="18"/>
      <c r="DU50" s="27"/>
      <c r="DX50" s="27"/>
      <c r="DZ50" s="28"/>
      <c r="EA50" s="29"/>
      <c r="EB50" s="28"/>
      <c r="EC50" s="29"/>
      <c r="ED50" s="31"/>
    </row>
    <row r="51" spans="2:134">
      <c r="AH51" s="30"/>
      <c r="AU51" s="27"/>
      <c r="AX51" s="27"/>
      <c r="AZ51" s="28"/>
      <c r="BA51" s="29"/>
      <c r="BB51" s="28"/>
      <c r="BC51" s="29"/>
      <c r="BD51" s="31"/>
      <c r="DH51" s="30"/>
      <c r="DI51" s="18"/>
      <c r="DL51" s="18"/>
      <c r="DM51" s="18"/>
      <c r="DU51" s="27"/>
      <c r="DX51" s="27"/>
      <c r="DZ51" s="28"/>
      <c r="EA51" s="29"/>
      <c r="EB51" s="28"/>
      <c r="EC51" s="29"/>
      <c r="ED51" s="31"/>
    </row>
    <row r="52" spans="2:134">
      <c r="AH52" s="30"/>
      <c r="AU52" s="27"/>
      <c r="AX52" s="27"/>
      <c r="AZ52" s="28"/>
      <c r="BA52" s="29"/>
      <c r="BB52" s="28"/>
      <c r="BC52" s="29"/>
      <c r="BD52" s="31"/>
      <c r="DH52" s="30"/>
      <c r="DI52" s="18"/>
      <c r="DL52" s="18"/>
      <c r="DM52" s="18"/>
      <c r="DU52" s="27"/>
      <c r="DX52" s="27"/>
      <c r="DZ52" s="28"/>
      <c r="EA52" s="29"/>
      <c r="EB52" s="28"/>
      <c r="EC52" s="29"/>
      <c r="ED52" s="31"/>
    </row>
    <row r="53" spans="2:134">
      <c r="AH53" s="30"/>
      <c r="AU53" s="27"/>
      <c r="AX53" s="27"/>
      <c r="AZ53" s="28"/>
      <c r="BA53" s="29"/>
      <c r="BB53" s="28"/>
      <c r="BC53" s="29"/>
      <c r="BD53" s="31"/>
      <c r="DH53" s="30"/>
      <c r="DI53" s="18"/>
      <c r="DL53" s="18"/>
      <c r="DM53" s="18"/>
      <c r="DU53" s="27"/>
      <c r="DX53" s="27"/>
      <c r="DZ53" s="28"/>
      <c r="EA53" s="29"/>
      <c r="EB53" s="28"/>
      <c r="EC53" s="29"/>
      <c r="ED53" s="31"/>
    </row>
    <row r="54" spans="2:134">
      <c r="AH54" s="30"/>
      <c r="AU54" s="27"/>
      <c r="AX54" s="27"/>
      <c r="AZ54" s="28"/>
      <c r="BA54" s="29"/>
      <c r="BB54" s="28"/>
      <c r="BC54" s="29"/>
      <c r="BD54" s="31"/>
      <c r="DH54" s="30"/>
      <c r="DI54" s="18"/>
      <c r="DL54" s="18"/>
      <c r="DM54" s="18"/>
      <c r="DU54" s="27"/>
      <c r="DX54" s="27"/>
      <c r="DZ54" s="28"/>
      <c r="EA54" s="29"/>
      <c r="EB54" s="28"/>
      <c r="EC54" s="29"/>
      <c r="ED54" s="31"/>
    </row>
    <row r="55" spans="2:134">
      <c r="AH55" s="30"/>
      <c r="AU55" s="27"/>
      <c r="AX55" s="27"/>
      <c r="AZ55" s="28"/>
      <c r="BA55" s="29"/>
      <c r="BB55" s="28"/>
      <c r="BC55" s="29"/>
      <c r="BD55" s="31"/>
      <c r="DH55" s="30"/>
      <c r="DI55" s="18"/>
      <c r="DL55" s="18"/>
      <c r="DM55" s="18"/>
      <c r="DU55" s="27"/>
      <c r="DX55" s="27"/>
      <c r="DZ55" s="28"/>
      <c r="EA55" s="29"/>
      <c r="EB55" s="28"/>
      <c r="EC55" s="29"/>
      <c r="ED55" s="31"/>
    </row>
    <row r="56" spans="2:134">
      <c r="AH56" s="30"/>
      <c r="AU56" s="27"/>
      <c r="AX56" s="27"/>
      <c r="AZ56" s="28"/>
      <c r="BA56" s="29"/>
      <c r="BB56" s="28"/>
      <c r="BC56" s="29"/>
      <c r="BD56" s="31"/>
      <c r="DH56" s="30"/>
      <c r="DI56" s="18"/>
      <c r="DL56" s="18"/>
      <c r="DM56" s="18"/>
      <c r="DU56" s="27"/>
      <c r="DX56" s="27"/>
      <c r="DZ56" s="28"/>
      <c r="EA56" s="29"/>
      <c r="EB56" s="28"/>
      <c r="EC56" s="29"/>
      <c r="ED56" s="31"/>
    </row>
    <row r="57" spans="2:134">
      <c r="AH57" s="30"/>
      <c r="AU57" s="27"/>
      <c r="AX57" s="27"/>
      <c r="AZ57" s="28"/>
      <c r="BA57" s="29"/>
      <c r="BB57" s="28"/>
      <c r="BC57" s="29"/>
      <c r="BD57" s="31"/>
      <c r="DH57" s="30"/>
      <c r="DI57" s="18"/>
      <c r="DL57" s="18"/>
      <c r="DM57" s="18"/>
      <c r="DU57" s="27"/>
      <c r="DX57" s="27"/>
      <c r="DZ57" s="28"/>
      <c r="EA57" s="29"/>
      <c r="EB57" s="28"/>
      <c r="EC57" s="29"/>
      <c r="ED57" s="31"/>
    </row>
    <row r="58" spans="2:134">
      <c r="AH58" s="30"/>
      <c r="AU58" s="27"/>
      <c r="AX58" s="27"/>
      <c r="AZ58" s="28"/>
      <c r="BA58" s="29"/>
      <c r="BB58" s="28"/>
      <c r="BC58" s="29"/>
      <c r="BD58" s="31"/>
      <c r="DH58" s="30"/>
      <c r="DI58" s="18"/>
      <c r="DL58" s="18"/>
      <c r="DM58" s="18"/>
      <c r="DU58" s="27"/>
      <c r="DX58" s="27"/>
      <c r="DZ58" s="28"/>
      <c r="EA58" s="29"/>
      <c r="EB58" s="28"/>
      <c r="EC58" s="29"/>
      <c r="ED58" s="31"/>
    </row>
    <row r="59" spans="2:134">
      <c r="AH59" s="30"/>
      <c r="AU59" s="27"/>
      <c r="AX59" s="27"/>
      <c r="AZ59" s="28"/>
      <c r="BA59" s="29"/>
      <c r="BB59" s="28"/>
      <c r="BC59" s="29"/>
      <c r="BD59" s="31"/>
      <c r="DH59" s="30"/>
      <c r="DI59" s="18"/>
      <c r="DL59" s="18"/>
      <c r="DM59" s="18"/>
      <c r="DU59" s="27"/>
      <c r="DX59" s="27"/>
      <c r="DZ59" s="28"/>
      <c r="EA59" s="29"/>
      <c r="EB59" s="28"/>
      <c r="EC59" s="29"/>
      <c r="ED59" s="31"/>
    </row>
    <row r="60" spans="2:134">
      <c r="AH60" s="30"/>
      <c r="AU60" s="27"/>
      <c r="AX60" s="27"/>
      <c r="AZ60" s="28"/>
      <c r="BA60" s="29"/>
      <c r="BB60" s="28"/>
      <c r="BC60" s="29"/>
      <c r="BD60" s="31"/>
      <c r="DH60" s="30"/>
      <c r="DI60" s="18"/>
      <c r="DL60" s="18"/>
      <c r="DM60" s="18"/>
      <c r="DU60" s="27"/>
      <c r="DX60" s="27"/>
      <c r="DZ60" s="28"/>
      <c r="EA60" s="29"/>
      <c r="EB60" s="28"/>
      <c r="EC60" s="29"/>
      <c r="ED60" s="31"/>
    </row>
    <row r="61" spans="2:134">
      <c r="AH61" s="30"/>
      <c r="AU61" s="27"/>
      <c r="AX61" s="27"/>
      <c r="AZ61" s="28"/>
      <c r="BA61" s="29"/>
      <c r="BB61" s="28"/>
      <c r="BC61" s="29"/>
      <c r="BD61" s="31"/>
      <c r="DH61" s="30"/>
      <c r="DI61" s="18"/>
      <c r="DL61" s="18"/>
      <c r="DM61" s="18"/>
      <c r="DU61" s="27"/>
      <c r="DX61" s="27"/>
      <c r="DZ61" s="28"/>
      <c r="EA61" s="29"/>
      <c r="EB61" s="28"/>
      <c r="EC61" s="29"/>
      <c r="ED61" s="31"/>
    </row>
    <row r="62" spans="2:134">
      <c r="AH62" s="30"/>
      <c r="AU62" s="27"/>
      <c r="AX62" s="27"/>
      <c r="AZ62" s="28"/>
      <c r="BA62" s="29"/>
      <c r="BB62" s="28"/>
      <c r="BC62" s="29"/>
      <c r="BD62" s="31"/>
      <c r="DH62" s="30"/>
      <c r="DI62" s="18"/>
      <c r="DL62" s="18"/>
      <c r="DM62" s="18"/>
      <c r="DU62" s="27"/>
      <c r="DX62" s="27"/>
      <c r="DZ62" s="28"/>
      <c r="EA62" s="29"/>
      <c r="EB62" s="28"/>
      <c r="EC62" s="29"/>
      <c r="ED62" s="31"/>
    </row>
    <row r="63" spans="2:134">
      <c r="AH63" s="30"/>
      <c r="AU63" s="27"/>
      <c r="AX63" s="27"/>
      <c r="AZ63" s="28"/>
      <c r="BA63" s="29"/>
      <c r="BB63" s="28"/>
      <c r="BC63" s="29"/>
      <c r="BD63" s="31"/>
      <c r="DH63" s="30"/>
      <c r="DI63" s="18"/>
      <c r="DL63" s="18"/>
      <c r="DM63" s="18"/>
      <c r="DU63" s="27"/>
      <c r="DX63" s="27"/>
      <c r="DZ63" s="28"/>
      <c r="EA63" s="29"/>
      <c r="EB63" s="28"/>
      <c r="EC63" s="29"/>
      <c r="ED63" s="31"/>
    </row>
    <row r="64" spans="2:134">
      <c r="AH64" s="30"/>
      <c r="AU64" s="27"/>
      <c r="AX64" s="27"/>
      <c r="AZ64" s="28"/>
      <c r="BA64" s="29"/>
      <c r="BB64" s="28"/>
      <c r="BC64" s="29"/>
      <c r="BD64" s="31"/>
      <c r="DH64" s="30"/>
      <c r="DI64" s="18"/>
      <c r="DL64" s="18"/>
      <c r="DM64" s="18"/>
      <c r="DU64" s="27"/>
      <c r="DX64" s="27"/>
      <c r="DZ64" s="28"/>
      <c r="EA64" s="29"/>
      <c r="EB64" s="28"/>
      <c r="EC64" s="29"/>
      <c r="ED64" s="31"/>
    </row>
    <row r="65" spans="34:134">
      <c r="AH65" s="30"/>
      <c r="AU65" s="27"/>
      <c r="AX65" s="27"/>
      <c r="AZ65" s="28"/>
      <c r="BA65" s="29"/>
      <c r="BB65" s="28"/>
      <c r="BC65" s="29"/>
      <c r="BD65" s="31"/>
      <c r="DH65" s="30"/>
      <c r="DI65" s="18"/>
      <c r="DL65" s="18"/>
      <c r="DM65" s="18"/>
      <c r="DU65" s="27"/>
      <c r="DX65" s="27"/>
      <c r="DZ65" s="28"/>
      <c r="EA65" s="29"/>
      <c r="EB65" s="28"/>
      <c r="EC65" s="29"/>
      <c r="ED65" s="31"/>
    </row>
    <row r="66" spans="34:134">
      <c r="AH66" s="30"/>
      <c r="AU66" s="27"/>
      <c r="AX66" s="27"/>
      <c r="AZ66" s="28"/>
      <c r="BA66" s="29"/>
      <c r="BB66" s="28"/>
      <c r="BC66" s="29"/>
      <c r="BD66" s="31"/>
      <c r="DH66" s="30"/>
      <c r="DI66" s="18"/>
      <c r="DL66" s="18"/>
      <c r="DM66" s="18"/>
      <c r="DU66" s="27"/>
      <c r="DX66" s="27"/>
      <c r="DZ66" s="28"/>
      <c r="EA66" s="29"/>
      <c r="EB66" s="28"/>
      <c r="EC66" s="29"/>
      <c r="ED66" s="31"/>
    </row>
    <row r="67" spans="34:134">
      <c r="AH67" s="30"/>
      <c r="AU67" s="27"/>
      <c r="AX67" s="27"/>
      <c r="AZ67" s="28"/>
      <c r="BA67" s="29"/>
      <c r="BB67" s="28"/>
      <c r="BC67" s="29"/>
      <c r="BD67" s="31"/>
      <c r="DH67" s="30"/>
      <c r="DI67" s="18"/>
      <c r="DL67" s="18"/>
      <c r="DM67" s="18"/>
      <c r="DU67" s="27"/>
      <c r="DX67" s="27"/>
      <c r="DZ67" s="28"/>
      <c r="EA67" s="29"/>
      <c r="EB67" s="28"/>
      <c r="EC67" s="29"/>
      <c r="ED67" s="31"/>
    </row>
    <row r="68" spans="34:134">
      <c r="AH68" s="30"/>
      <c r="AU68" s="27"/>
      <c r="AX68" s="27"/>
      <c r="AZ68" s="28"/>
      <c r="BA68" s="29"/>
      <c r="BB68" s="28"/>
      <c r="BC68" s="29"/>
      <c r="BD68" s="31"/>
      <c r="DH68" s="30"/>
      <c r="DI68" s="18"/>
      <c r="DL68" s="18"/>
      <c r="DM68" s="18"/>
      <c r="DU68" s="27"/>
      <c r="DX68" s="27"/>
      <c r="DZ68" s="28"/>
      <c r="EA68" s="29"/>
      <c r="EB68" s="28"/>
      <c r="EC68" s="29"/>
      <c r="ED68" s="31"/>
    </row>
    <row r="69" spans="34:134">
      <c r="AH69" s="30"/>
      <c r="AU69" s="27"/>
      <c r="AX69" s="27"/>
      <c r="AZ69" s="28"/>
      <c r="BA69" s="29"/>
      <c r="BB69" s="28"/>
      <c r="BC69" s="29"/>
      <c r="BD69" s="31"/>
      <c r="DH69" s="30"/>
      <c r="DI69" s="18"/>
      <c r="DL69" s="18"/>
      <c r="DM69" s="18"/>
      <c r="DU69" s="27"/>
      <c r="DX69" s="27"/>
      <c r="DZ69" s="28"/>
      <c r="EA69" s="29"/>
      <c r="EB69" s="28"/>
      <c r="EC69" s="29"/>
      <c r="ED69" s="31"/>
    </row>
    <row r="70" spans="34:134">
      <c r="AH70" s="30"/>
      <c r="AU70" s="27"/>
      <c r="AX70" s="27"/>
      <c r="AZ70" s="28"/>
      <c r="BA70" s="29"/>
      <c r="BB70" s="28"/>
      <c r="BC70" s="29"/>
      <c r="BD70" s="31"/>
      <c r="DH70" s="30"/>
      <c r="DI70" s="18"/>
      <c r="DL70" s="18"/>
      <c r="DM70" s="18"/>
      <c r="DU70" s="27"/>
      <c r="DX70" s="27"/>
      <c r="DZ70" s="28"/>
      <c r="EA70" s="29"/>
      <c r="EB70" s="28"/>
      <c r="EC70" s="29"/>
      <c r="ED70" s="31"/>
    </row>
    <row r="71" spans="34:134">
      <c r="AH71" s="30"/>
      <c r="AU71" s="27"/>
      <c r="AX71" s="27"/>
      <c r="AZ71" s="28"/>
      <c r="BA71" s="29"/>
      <c r="BB71" s="28"/>
      <c r="BC71" s="29"/>
      <c r="BD71" s="31"/>
      <c r="DH71" s="30"/>
      <c r="DI71" s="18"/>
      <c r="DL71" s="18"/>
      <c r="DM71" s="18"/>
      <c r="DU71" s="27"/>
      <c r="DX71" s="27"/>
      <c r="DZ71" s="28"/>
      <c r="EA71" s="29"/>
      <c r="EB71" s="28"/>
      <c r="EC71" s="29"/>
      <c r="ED71" s="31"/>
    </row>
    <row r="72" spans="34:134">
      <c r="AH72" s="30"/>
      <c r="AU72" s="27"/>
      <c r="AX72" s="27"/>
      <c r="AZ72" s="28"/>
      <c r="BA72" s="29"/>
      <c r="BB72" s="28"/>
      <c r="BC72" s="29"/>
      <c r="BD72" s="31"/>
      <c r="DH72" s="30"/>
      <c r="DI72" s="18"/>
      <c r="DL72" s="18"/>
      <c r="DM72" s="18"/>
      <c r="DU72" s="27"/>
      <c r="DX72" s="27"/>
      <c r="DZ72" s="28"/>
      <c r="EA72" s="29"/>
      <c r="EB72" s="28"/>
      <c r="EC72" s="29"/>
      <c r="ED72" s="31"/>
    </row>
    <row r="73" spans="34:134">
      <c r="AH73" s="30"/>
      <c r="AU73" s="27"/>
      <c r="AX73" s="27"/>
      <c r="AZ73" s="28"/>
      <c r="BA73" s="29"/>
      <c r="BB73" s="28"/>
      <c r="BC73" s="29"/>
      <c r="BD73" s="31"/>
      <c r="DH73" s="30"/>
      <c r="DI73" s="18"/>
      <c r="DL73" s="18"/>
      <c r="DM73" s="18"/>
      <c r="DU73" s="27"/>
      <c r="DX73" s="27"/>
      <c r="DZ73" s="28"/>
      <c r="EA73" s="29"/>
      <c r="EB73" s="28"/>
      <c r="EC73" s="29"/>
      <c r="ED73" s="31"/>
    </row>
    <row r="74" spans="34:134">
      <c r="AH74" s="30"/>
      <c r="AU74" s="27"/>
      <c r="AX74" s="27"/>
      <c r="AZ74" s="28"/>
      <c r="BA74" s="29"/>
      <c r="BB74" s="28"/>
      <c r="BC74" s="29"/>
      <c r="BD74" s="31"/>
      <c r="DH74" s="30"/>
      <c r="DI74" s="18"/>
      <c r="DL74" s="18"/>
      <c r="DM74" s="18"/>
      <c r="DU74" s="27"/>
      <c r="DX74" s="27"/>
      <c r="DZ74" s="28"/>
      <c r="EA74" s="29"/>
      <c r="EB74" s="28"/>
      <c r="EC74" s="29"/>
      <c r="ED74" s="31"/>
    </row>
    <row r="75" spans="34:134">
      <c r="AH75" s="30"/>
      <c r="AU75" s="27"/>
      <c r="AX75" s="27"/>
      <c r="AZ75" s="28"/>
      <c r="BA75" s="29"/>
      <c r="BB75" s="28"/>
      <c r="BC75" s="29"/>
      <c r="BD75" s="31"/>
      <c r="DH75" s="30"/>
      <c r="DI75" s="18"/>
      <c r="DL75" s="18"/>
      <c r="DM75" s="18"/>
      <c r="DU75" s="27"/>
      <c r="DX75" s="27"/>
      <c r="DZ75" s="28"/>
      <c r="EA75" s="29"/>
      <c r="EB75" s="28"/>
      <c r="EC75" s="29"/>
      <c r="ED75" s="31"/>
    </row>
    <row r="76" spans="34:134">
      <c r="AH76" s="30"/>
      <c r="AU76" s="27"/>
      <c r="AX76" s="27"/>
      <c r="AZ76" s="28"/>
      <c r="BA76" s="29"/>
      <c r="BB76" s="28"/>
      <c r="BC76" s="29"/>
      <c r="BD76" s="31"/>
      <c r="DH76" s="30"/>
      <c r="DI76" s="18"/>
      <c r="DL76" s="18"/>
      <c r="DM76" s="18"/>
      <c r="DU76" s="27"/>
      <c r="DX76" s="27"/>
      <c r="DZ76" s="28"/>
      <c r="EA76" s="29"/>
      <c r="EB76" s="28"/>
      <c r="EC76" s="29"/>
      <c r="ED76" s="31"/>
    </row>
    <row r="77" spans="34:134">
      <c r="AH77" s="30"/>
      <c r="AU77" s="27"/>
      <c r="AX77" s="27"/>
      <c r="AZ77" s="28"/>
      <c r="BA77" s="29"/>
      <c r="BB77" s="28"/>
      <c r="BC77" s="29"/>
      <c r="BD77" s="31"/>
      <c r="DH77" s="30"/>
      <c r="DI77" s="18"/>
      <c r="DL77" s="18"/>
      <c r="DM77" s="18"/>
      <c r="DU77" s="27"/>
      <c r="DX77" s="27"/>
      <c r="DZ77" s="28"/>
      <c r="EA77" s="29"/>
      <c r="EB77" s="28"/>
      <c r="EC77" s="29"/>
      <c r="ED77" s="31"/>
    </row>
    <row r="78" spans="34:134">
      <c r="AH78" s="30"/>
      <c r="AU78" s="27"/>
      <c r="AX78" s="27"/>
      <c r="AZ78" s="28"/>
      <c r="BA78" s="29"/>
      <c r="BB78" s="28"/>
      <c r="BC78" s="29"/>
      <c r="BD78" s="31"/>
      <c r="DH78" s="30"/>
      <c r="DI78" s="18"/>
      <c r="DL78" s="18"/>
      <c r="DM78" s="18"/>
      <c r="DU78" s="27"/>
      <c r="DX78" s="27"/>
      <c r="DZ78" s="28"/>
      <c r="EA78" s="29"/>
      <c r="EB78" s="28"/>
      <c r="EC78" s="29"/>
      <c r="ED78" s="31"/>
    </row>
    <row r="79" spans="34:134">
      <c r="AH79" s="30"/>
      <c r="AU79" s="27"/>
      <c r="AX79" s="27"/>
      <c r="AZ79" s="28"/>
      <c r="BA79" s="29"/>
      <c r="BB79" s="28"/>
      <c r="BC79" s="29"/>
      <c r="BD79" s="31"/>
      <c r="DH79" s="30"/>
      <c r="DI79" s="18"/>
      <c r="DL79" s="18"/>
      <c r="DM79" s="18"/>
      <c r="DU79" s="27"/>
      <c r="DX79" s="27"/>
      <c r="DZ79" s="28"/>
      <c r="EA79" s="29"/>
      <c r="EB79" s="28"/>
      <c r="EC79" s="29"/>
      <c r="ED79" s="31"/>
    </row>
    <row r="80" spans="34:134">
      <c r="AH80" s="30"/>
      <c r="AU80" s="27"/>
      <c r="AX80" s="27"/>
      <c r="AZ80" s="28"/>
      <c r="BA80" s="29"/>
      <c r="BB80" s="28"/>
      <c r="BC80" s="29"/>
      <c r="BD80" s="31"/>
      <c r="DH80" s="30"/>
      <c r="DI80" s="18"/>
      <c r="DL80" s="18"/>
      <c r="DM80" s="18"/>
      <c r="DU80" s="27"/>
      <c r="DX80" s="27"/>
      <c r="DZ80" s="28"/>
      <c r="EA80" s="29"/>
      <c r="EB80" s="28"/>
      <c r="EC80" s="29"/>
      <c r="ED80" s="31"/>
    </row>
  </sheetData>
  <mergeCells count="49">
    <mergeCell ref="DA11:EE11"/>
    <mergeCell ref="DA12:EE12"/>
    <mergeCell ref="DA21:DA22"/>
    <mergeCell ref="DB21:DB22"/>
    <mergeCell ref="EE21:EE22"/>
    <mergeCell ref="DF14:DG14"/>
    <mergeCell ref="DF15:DG15"/>
    <mergeCell ref="DB14:DC14"/>
    <mergeCell ref="DB15:DC15"/>
    <mergeCell ref="DF16:DG16"/>
    <mergeCell ref="DF17:DG17"/>
    <mergeCell ref="DA19:DT20"/>
    <mergeCell ref="DU19:EE20"/>
    <mergeCell ref="DN21:DN22"/>
    <mergeCell ref="DY21:DY22"/>
    <mergeCell ref="EA21:EA22"/>
    <mergeCell ref="BD21:BD22"/>
    <mergeCell ref="BE21:BE22"/>
    <mergeCell ref="AF17:AG17"/>
    <mergeCell ref="AF16:AG16"/>
    <mergeCell ref="BA21:BA22"/>
    <mergeCell ref="BC21:BC22"/>
    <mergeCell ref="AA19:AT20"/>
    <mergeCell ref="AA21:AA22"/>
    <mergeCell ref="AB21:AB22"/>
    <mergeCell ref="AN21:AN22"/>
    <mergeCell ref="AY21:AY22"/>
    <mergeCell ref="AU19:BE20"/>
    <mergeCell ref="B11:J12"/>
    <mergeCell ref="K11:K12"/>
    <mergeCell ref="L11:N12"/>
    <mergeCell ref="AA11:BE11"/>
    <mergeCell ref="AA12:BE12"/>
    <mergeCell ref="EC21:EC22"/>
    <mergeCell ref="ED21:ED22"/>
    <mergeCell ref="B31:D31"/>
    <mergeCell ref="G27:G28"/>
    <mergeCell ref="B13:D13"/>
    <mergeCell ref="AB14:AC14"/>
    <mergeCell ref="AF14:AG14"/>
    <mergeCell ref="AB15:AC15"/>
    <mergeCell ref="AF15:AG15"/>
    <mergeCell ref="E27:E28"/>
    <mergeCell ref="C21:D21"/>
    <mergeCell ref="E21:F21"/>
    <mergeCell ref="G21:H21"/>
    <mergeCell ref="I21:N21"/>
    <mergeCell ref="G22:G23"/>
    <mergeCell ref="H22:H23"/>
  </mergeCells>
  <conditionalFormatting sqref="N39">
    <cfRule type="containsText" dxfId="15" priority="46" operator="containsText" text="Check">
      <formula>NOT(ISERROR(SEARCH("Check",N39)))</formula>
    </cfRule>
    <cfRule type="containsText" dxfId="14" priority="47" operator="containsText" text="OK">
      <formula>NOT(ISERROR(SEARCH("OK",N39)))</formula>
    </cfRule>
  </conditionalFormatting>
  <conditionalFormatting sqref="N43">
    <cfRule type="containsText" dxfId="13" priority="44" operator="containsText" text="Check">
      <formula>NOT(ISERROR(SEARCH("Check",N43)))</formula>
    </cfRule>
    <cfRule type="containsText" dxfId="12" priority="45" operator="containsText" text="OK">
      <formula>NOT(ISERROR(SEARCH("OK",N43)))</formula>
    </cfRule>
  </conditionalFormatting>
  <conditionalFormatting sqref="N48">
    <cfRule type="containsText" dxfId="11" priority="42" operator="containsText" text="Check">
      <formula>NOT(ISERROR(SEARCH("Check",N48)))</formula>
    </cfRule>
    <cfRule type="containsText" dxfId="10" priority="43" operator="containsText" text="OK">
      <formula>NOT(ISERROR(SEARCH("OK",N48)))</formula>
    </cfRule>
  </conditionalFormatting>
  <conditionalFormatting sqref="AY23:AY999999">
    <cfRule type="cellIs" dxfId="9" priority="40" operator="greaterThan">
      <formula>1</formula>
    </cfRule>
  </conditionalFormatting>
  <conditionalFormatting sqref="BA23:BA999999">
    <cfRule type="cellIs" dxfId="8" priority="39" operator="greaterThan">
      <formula>1</formula>
    </cfRule>
  </conditionalFormatting>
  <conditionalFormatting sqref="BC23:BC999999">
    <cfRule type="cellIs" dxfId="7" priority="37" operator="greaterThan">
      <formula>1</formula>
    </cfRule>
  </conditionalFormatting>
  <conditionalFormatting sqref="BE23:BE999999">
    <cfRule type="containsText" dxfId="6" priority="34" operator="containsText" text="Check">
      <formula>NOT(ISERROR(SEARCH("Check",BE23)))</formula>
    </cfRule>
    <cfRule type="cellIs" dxfId="5" priority="35" operator="equal">
      <formula>"OK"</formula>
    </cfRule>
  </conditionalFormatting>
  <conditionalFormatting sqref="DY23:DY999999">
    <cfRule type="cellIs" dxfId="4" priority="5" operator="greaterThan">
      <formula>1</formula>
    </cfRule>
  </conditionalFormatting>
  <conditionalFormatting sqref="EA23:EA999999">
    <cfRule type="cellIs" dxfId="3" priority="4" operator="greaterThan">
      <formula>1</formula>
    </cfRule>
  </conditionalFormatting>
  <conditionalFormatting sqref="EC23:EC999999">
    <cfRule type="cellIs" dxfId="2" priority="3" operator="greaterThan">
      <formula>1</formula>
    </cfRule>
  </conditionalFormatting>
  <conditionalFormatting sqref="EE23:EE999999">
    <cfRule type="containsText" dxfId="1" priority="1" operator="containsText" text="Check">
      <formula>NOT(ISERROR(SEARCH("Check",EE23)))</formula>
    </cfRule>
    <cfRule type="cellIs" dxfId="0" priority="2" operator="equal">
      <formula>"OK"</formula>
    </cfRule>
  </conditionalFormatting>
  <pageMargins left="0.59055118110236227" right="0.31496062992125984" top="0.59055118110236227" bottom="0.59055118110236227" header="0.31496062992125984" footer="0.31496062992125984"/>
  <pageSetup orientation="portrait" r:id="rId1"/>
  <drawing r:id="rId2"/>
  <legacyDrawing r:id="rId3"/>
  <picture r:id="rId4"/>
  <extLst>
    <ext xmlns:x14="http://schemas.microsoft.com/office/spreadsheetml/2009/9/main" uri="{CCE6A557-97BC-4b89-ADB6-D9C93CAAB3DF}">
      <x14:dataValidations xmlns:xm="http://schemas.microsoft.com/office/excel/2006/main" count="2">
        <x14:dataValidation type="list" allowBlank="1" showInputMessage="1" showErrorMessage="1">
          <x14:formula1>
            <xm:f>Data!$C$20:$C$38</xm:f>
          </x14:formula1>
          <xm:sqref>DB15:DC15 AB15:AC15</xm:sqref>
        </x14:dataValidation>
        <x14:dataValidation type="list" allowBlank="1" showInputMessage="1" showErrorMessage="1">
          <x14:formula1>
            <xm:f>Data!$C$20:$C$99</xm:f>
          </x14:formula1>
          <xm:sqref>E21:F21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Data</vt:lpstr>
      <vt:lpstr>Cal</vt:lpstr>
      <vt:lpstr>Cal!Print_Area</vt:lpstr>
      <vt:lpstr>Data!Print_Area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Ven Nguyen</dc:creator>
  <cp:lastModifiedBy>DELL</cp:lastModifiedBy>
  <cp:lastPrinted>2024-02-17T11:01:09Z</cp:lastPrinted>
  <dcterms:created xsi:type="dcterms:W3CDTF">2023-12-24T09:13:35Z</dcterms:created>
  <dcterms:modified xsi:type="dcterms:W3CDTF">2025-05-07T10:37:37Z</dcterms:modified>
</cp:coreProperties>
</file>