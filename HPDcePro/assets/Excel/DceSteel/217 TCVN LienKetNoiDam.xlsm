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Update Excel\"/>
    </mc:Choice>
  </mc:AlternateContent>
  <xr:revisionPtr revIDLastSave="0" documentId="13_ncr:1_{D06B73D2-49B0-4B96-98F1-142EA56E9CF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ta" sheetId="3" r:id="rId1"/>
    <sheet name="Cal" sheetId="2" r:id="rId2"/>
  </sheets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1">Cal!$H$11:$S$84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8" i="2" l="1"/>
  <c r="P28" i="2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R47" i="2"/>
  <c r="N66" i="2" s="1"/>
  <c r="AC12" i="2" a="1"/>
  <c r="AC11" i="2" a="1"/>
  <c r="AC12" i="2" l="1"/>
  <c r="AC11" i="2"/>
  <c r="Q11" i="2" s="1"/>
  <c r="R76" i="2" l="1"/>
  <c r="R34" i="2"/>
  <c r="R33" i="2"/>
  <c r="R22" i="2"/>
  <c r="R21" i="2"/>
  <c r="R27" i="2"/>
  <c r="R19" i="2" s="1"/>
  <c r="R69" i="2" s="1"/>
  <c r="R26" i="2"/>
  <c r="R29" i="2" s="1"/>
  <c r="R18" i="2" l="1"/>
  <c r="R17" i="2"/>
  <c r="CI19" i="3"/>
  <c r="CH19" i="3"/>
  <c r="CF19" i="3"/>
  <c r="CG19" i="3" s="1"/>
  <c r="CI18" i="3"/>
  <c r="CH18" i="3"/>
  <c r="CF18" i="3"/>
  <c r="CG18" i="3" s="1"/>
  <c r="CI17" i="3"/>
  <c r="CH17" i="3"/>
  <c r="CG17" i="3"/>
  <c r="CF17" i="3"/>
  <c r="CI16" i="3"/>
  <c r="CG16" i="3"/>
  <c r="CF16" i="3"/>
  <c r="CH16" i="3" s="1"/>
  <c r="BQ16" i="3"/>
  <c r="CI15" i="3"/>
  <c r="CH15" i="3"/>
  <c r="CF15" i="3"/>
  <c r="CG15" i="3" s="1"/>
  <c r="BQ15" i="3"/>
  <c r="X15" i="3"/>
  <c r="CH14" i="3"/>
  <c r="CG14" i="3"/>
  <c r="CF14" i="3"/>
  <c r="BQ14" i="3"/>
  <c r="X14" i="3"/>
  <c r="CH13" i="3"/>
  <c r="CG13" i="3"/>
  <c r="CF13" i="3"/>
  <c r="BQ13" i="3"/>
  <c r="X13" i="3"/>
  <c r="CG12" i="3"/>
  <c r="CF12" i="3"/>
  <c r="CH12" i="3" s="1"/>
  <c r="BQ12" i="3"/>
  <c r="X12" i="3"/>
  <c r="CH11" i="3"/>
  <c r="CG11" i="3"/>
  <c r="CF11" i="3"/>
  <c r="BQ11" i="3"/>
  <c r="X11" i="3"/>
  <c r="CG10" i="3"/>
  <c r="CF10" i="3"/>
  <c r="CH10" i="3" s="1"/>
  <c r="BQ10" i="3"/>
  <c r="X10" i="3"/>
  <c r="CI9" i="3"/>
  <c r="CF9" i="3"/>
  <c r="CG9" i="3" s="1"/>
  <c r="BQ9" i="3"/>
  <c r="X9" i="3"/>
  <c r="CI8" i="3"/>
  <c r="CH8" i="3"/>
  <c r="CG8" i="3"/>
  <c r="CF8" i="3"/>
  <c r="BO8" i="3"/>
  <c r="BN8" i="3"/>
  <c r="BM8" i="3"/>
  <c r="BL8" i="3"/>
  <c r="BK8" i="3"/>
  <c r="X8" i="3"/>
  <c r="DD7" i="3"/>
  <c r="DD8" i="3" s="1"/>
  <c r="DD9" i="3" s="1"/>
  <c r="DD10" i="3" s="1"/>
  <c r="DD11" i="3" s="1"/>
  <c r="DA7" i="3"/>
  <c r="DA8" i="3" s="1"/>
  <c r="DA9" i="3" s="1"/>
  <c r="DA10" i="3" s="1"/>
  <c r="DA11" i="3" s="1"/>
  <c r="DA12" i="3" s="1"/>
  <c r="DA13" i="3" s="1"/>
  <c r="DA14" i="3" s="1"/>
  <c r="DA15" i="3" s="1"/>
  <c r="DA16" i="3" s="1"/>
  <c r="CI7" i="3"/>
  <c r="CF7" i="3"/>
  <c r="CH7" i="3" s="1"/>
  <c r="BQ7" i="3"/>
  <c r="X7" i="3"/>
  <c r="CI6" i="3"/>
  <c r="CF6" i="3"/>
  <c r="CH6" i="3" s="1"/>
  <c r="BQ6" i="3"/>
  <c r="X6" i="3"/>
  <c r="CI5" i="3"/>
  <c r="CF5" i="3"/>
  <c r="CH5" i="3" s="1"/>
  <c r="CI4" i="3"/>
  <c r="CF4" i="3"/>
  <c r="CH4" i="3" s="1"/>
  <c r="CH9" i="3" l="1"/>
  <c r="CG7" i="3"/>
  <c r="CG5" i="3"/>
  <c r="CG4" i="3"/>
  <c r="CG6" i="3"/>
  <c r="R51" i="2" l="1"/>
  <c r="R73" i="2"/>
  <c r="R80" i="2"/>
  <c r="R83" i="2" s="1"/>
  <c r="R84" i="2" s="1"/>
  <c r="R58" i="2"/>
  <c r="H71" i="2"/>
  <c r="R70" i="2"/>
  <c r="H68" i="2"/>
  <c r="I70" i="2"/>
  <c r="I69" i="2"/>
  <c r="N67" i="2"/>
  <c r="I67" i="2"/>
  <c r="I66" i="2"/>
  <c r="I23" i="2" l="1"/>
  <c r="G11" i="2"/>
  <c r="I62" i="2" l="1"/>
  <c r="I61" i="2"/>
  <c r="I60" i="2"/>
  <c r="I29" i="2"/>
  <c r="H65" i="2" l="1"/>
  <c r="I21" i="2"/>
  <c r="R35" i="2"/>
  <c r="R28" i="2"/>
  <c r="R77" i="2" s="1"/>
  <c r="S78" i="2" l="1"/>
  <c r="R67" i="2"/>
  <c r="R81" i="2" s="1"/>
  <c r="R82" i="2" s="1"/>
  <c r="R66" i="2"/>
  <c r="R74" i="2" s="1"/>
  <c r="R75" i="2" s="1"/>
  <c r="S75" i="2" s="1"/>
  <c r="R37" i="2"/>
  <c r="I25" i="2"/>
  <c r="R71" i="2"/>
  <c r="I19" i="2"/>
  <c r="I18" i="2"/>
  <c r="I17" i="2"/>
  <c r="S82" i="2" l="1"/>
  <c r="S84" i="2"/>
  <c r="J122" i="2" a="1"/>
  <c r="J122" i="2" s="1"/>
  <c r="I37" i="2"/>
  <c r="I36" i="2"/>
  <c r="I35" i="2"/>
  <c r="I34" i="2"/>
  <c r="I33" i="2"/>
  <c r="I32" i="2"/>
  <c r="I30" i="2"/>
  <c r="I28" i="2"/>
  <c r="I27" i="2"/>
  <c r="I26" i="2"/>
  <c r="I22" i="2"/>
  <c r="I20" i="2"/>
  <c r="I16" i="2"/>
  <c r="Z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120894</author>
  </authors>
  <commentList>
    <comment ref="G11" authorId="0" shapeId="0" xr:uid="{B437427E-B849-4E23-ACFD-BE38C16567DC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1DC04EFE-5F1D-4170-B91B-7ACBC8FF1B4A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S16" authorId="0" shapeId="0" xr:uid="{672ECFFB-D0A4-4042-B330-BC3254D42E25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R19" authorId="0" shapeId="0" xr:uid="{4D3F6E16-1DCC-4010-A65D-C7386BE27BE3}">
      <text>
        <r>
          <rPr>
            <b/>
            <sz val="9"/>
            <color indexed="81"/>
            <rFont val="Tahoma"/>
            <family val="2"/>
          </rPr>
          <t>Toàn
TCVN 5575-2024
Bảng 5, CT mục 3</t>
        </r>
      </text>
    </comment>
    <comment ref="R61" authorId="0" shapeId="0" xr:uid="{C20B1962-1D44-449F-BF0B-7B1E5C3C6B49}">
      <text>
        <r>
          <rPr>
            <sz val="9"/>
            <color indexed="81"/>
            <rFont val="Tahoma"/>
            <family val="2"/>
          </rPr>
          <t xml:space="preserve">Toàn:
N &gt; 0: Lực kéo
N &lt; 0: Lực nén
</t>
        </r>
      </text>
    </comment>
    <comment ref="R77" authorId="1" shapeId="0" xr:uid="{F9D22777-2A67-4627-BBED-4B7B57A472ED}">
      <text>
        <r>
          <rPr>
            <sz val="9"/>
            <color indexed="81"/>
            <rFont val="Tahoma"/>
            <family val="2"/>
          </rPr>
          <t xml:space="preserve">Hệ số 1.18 là kể đến sự giảm yếu cấu kiện do khoét lỗ
</t>
        </r>
      </text>
    </comment>
    <comment ref="R83" authorId="1" shapeId="0" xr:uid="{E24533CC-DC7B-46C4-9676-4A48339B12AB}">
      <text>
        <r>
          <rPr>
            <sz val="9"/>
            <color indexed="81"/>
            <rFont val="Tahoma"/>
            <family val="2"/>
          </rPr>
          <t xml:space="preserve">Hệ số 1.18 là kể đến sự giảm yếu cấu kiện do khoét lỗ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<sst xmlns="http://schemas.openxmlformats.org/spreadsheetml/2006/main" count="321" uniqueCount="241">
  <si>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</si>
  <si>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</si>
  <si>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</si>
  <si>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</si>
  <si>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</si>
  <si>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</si>
  <si>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</si>
  <si>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</si>
  <si>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</si>
  <si>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</si>
  <si>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</si>
  <si>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</si>
  <si>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</si>
  <si>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</si>
  <si>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</si>
  <si>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</si>
  <si>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</si>
  <si>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</si>
  <si>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</si>
  <si>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</si>
  <si>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</si>
  <si>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kNm</t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</si>
  <si>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</si>
  <si>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</si>
  <si>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</si>
  <si>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</si>
  <si>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</si>
  <si>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</si>
  <si>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t>A</t>
  </si>
  <si>
    <t>B</t>
  </si>
  <si>
    <t>Bảng C.6 Diện tích tiết diện bu lông</t>
  </si>
  <si>
    <t>D</t>
  </si>
  <si>
    <t>p</t>
  </si>
  <si>
    <t>Ab</t>
  </si>
  <si>
    <t>z</t>
  </si>
  <si>
    <t>2. Thông số liên kết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</si>
  <si>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</si>
  <si>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</si>
  <si>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</si>
  <si>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</si>
  <si>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</si>
  <si>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</si>
  <si>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</si>
  <si>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</si>
  <si>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</si>
  <si>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</si>
  <si>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</si>
  <si>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</si>
  <si>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</si>
  <si>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</si>
  <si>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</si>
  <si>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</si>
  <si>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</si>
  <si>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</si>
  <si>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</si>
  <si>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</si>
  <si>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</si>
  <si>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</si>
  <si>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</si>
  <si>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</si>
  <si>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</si>
  <si>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</si>
  <si>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</si>
  <si>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</si>
  <si>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</si>
  <si>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</si>
  <si>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</si>
  <si>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</si>
  <si>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</si>
  <si>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</si>
  <si>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</si>
  <si>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</si>
  <si>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</si>
  <si>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</si>
  <si>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</si>
  <si>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</si>
  <si>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</si>
  <si>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M =</t>
  </si>
  <si>
    <t>N =</t>
  </si>
  <si>
    <t>bu lông</t>
  </si>
  <si>
    <t>F</t>
  </si>
  <si>
    <t>C</t>
  </si>
  <si>
    <t>P</t>
  </si>
  <si>
    <t>Bảng tra khoảng cách bu lông</t>
  </si>
  <si>
    <t>Bề rộng bản đế</t>
  </si>
  <si>
    <t>W</t>
  </si>
  <si>
    <r>
      <t>B</t>
    </r>
    <r>
      <rPr>
        <vertAlign val="subscript"/>
        <sz val="11"/>
        <color theme="1"/>
        <rFont val="Calibri"/>
        <family val="2"/>
        <scheme val="minor"/>
      </rPr>
      <t>bđ</t>
    </r>
  </si>
  <si>
    <r>
      <t>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</si>
  <si>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2.2 Mặt bích, bu lông, đường hàn:</t>
  </si>
  <si>
    <t>Chiều cao tiết diện, h =</t>
  </si>
  <si>
    <t>Bề rộng bản cánh, b =</t>
  </si>
  <si>
    <r>
      <t>Chiều dày bản bụng,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</si>
  <si>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cánh, 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</si>
  <si>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</si>
  <si>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 xml:space="preserve"> =</t>
    </r>
  </si>
  <si>
    <t>a. Liên kết bản cánh</t>
  </si>
  <si>
    <t>Số lượng mặt ốp, n =</t>
  </si>
  <si>
    <t>b. Liên kết bản bụng</t>
  </si>
  <si>
    <t>Chiều dày bản ốp, t =</t>
  </si>
  <si>
    <t>Bề rộng bản ốp, b =</t>
  </si>
  <si>
    <t>Chiều cao bản ốp, h =</t>
  </si>
  <si>
    <t>Tổng số bu lông liên kêt 1 bên, n =</t>
  </si>
  <si>
    <r>
      <t xml:space="preserve">Tổng số bu lông liên kêt, </t>
    </r>
    <r>
      <rPr>
        <sz val="10"/>
        <color theme="1"/>
        <rFont val="Symbol"/>
        <family val="1"/>
        <charset val="2"/>
      </rPr>
      <t xml:space="preserve"> S</t>
    </r>
    <r>
      <rPr>
        <sz val="10"/>
        <color theme="1"/>
        <rFont val="Calibri"/>
        <family val="2"/>
        <scheme val="minor"/>
      </rPr>
      <t>n =</t>
    </r>
  </si>
  <si>
    <t>1. Tính toán khả năng chịu lực của 1 bu lông</t>
  </si>
  <si>
    <t>3. Kiểm tra khả năng liên kết của bản bụng</t>
  </si>
  <si>
    <t>Khả năng chịu lực của nhóm bu lông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</si>
  <si>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.n.min(N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;N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)=</t>
    </r>
  </si>
  <si>
    <t>Tỷ số huy động của nhóm bu lông</t>
  </si>
  <si>
    <t>Tỷ số huy động của bản ốp</t>
  </si>
  <si>
    <t>Lực tác dụng lên liên kết bản bụng</t>
  </si>
  <si>
    <t>Chiều dày tối thiểu của bản ốp</t>
  </si>
  <si>
    <r>
      <t>t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1"/>
        <charset val="2"/>
        <scheme val="minor"/>
      </rPr>
      <t xml:space="preserve"> = 1.18V/(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1"/>
        <charset val="2"/>
        <scheme val="minor"/>
      </rP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>b) =</t>
    </r>
  </si>
  <si>
    <t>2. Kiểm tra khả năng liên kết của bản cánh</t>
  </si>
  <si>
    <t>N = N/2+M/h =</t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</si>
  <si>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</si>
  <si>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</si>
  <si>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</si>
  <si>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</si>
  <si>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</si>
  <si>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E2</t>
  </si>
  <si>
    <t>Hệ số k0</t>
  </si>
  <si>
    <t>Hình dạng</t>
  </si>
  <si>
    <t>Hmin</t>
  </si>
  <si>
    <t>Lmin</t>
  </si>
  <si>
    <t>Ledge</t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</si>
  <si>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</si>
  <si>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k tĩnh</t>
  </si>
  <si>
    <t>k động</t>
  </si>
  <si>
    <t>fu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</si>
  <si>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</si>
  <si>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</si>
  <si>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</si>
  <si>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</si>
  <si>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</si>
  <si>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</si>
  <si>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</si>
  <si>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</si>
  <si>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</si>
  <si>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Kê 4 cạnh</t>
  </si>
  <si>
    <t>Kê 3 cạnh</t>
  </si>
  <si>
    <t>Tải trọng động</t>
  </si>
  <si>
    <t>Chữ L</t>
  </si>
  <si>
    <t>25db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</si>
  <si>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</si>
  <si>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</si>
  <si>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</si>
  <si>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</si>
  <si>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</si>
  <si>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</si>
  <si>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</si>
  <si>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</si>
  <si>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</si>
  <si>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</si>
  <si>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</si>
  <si>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Tải trọng tĩnh</t>
  </si>
  <si>
    <t>Không tháo được có bản neo</t>
  </si>
  <si>
    <t>15db</t>
  </si>
  <si>
    <t>CI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</si>
  <si>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</si>
  <si>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</si>
  <si>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a2</t>
  </si>
  <si>
    <t>a3</t>
  </si>
  <si>
    <t>Công trình (ống khói, tháp thải khí…), tải trọng tính tính là tải trọng gió</t>
  </si>
  <si>
    <t>Tháo được có bản neo</t>
  </si>
  <si>
    <t>30db</t>
  </si>
  <si>
    <t>M150</t>
  </si>
  <si>
    <t>B10</t>
  </si>
  <si>
    <t>CII</t>
  </si>
  <si>
    <t>Bu lông tháo được có bản neo lắp đặt tự do trong ống</t>
  </si>
  <si>
    <t>Thẳng</t>
  </si>
  <si>
    <t>10db</t>
  </si>
  <si>
    <t>M200</t>
  </si>
  <si>
    <t>B15</t>
  </si>
  <si>
    <t>C12/15</t>
  </si>
  <si>
    <t>CIII</t>
  </si>
  <si>
    <t>Đầu côn (D&lt; 16)</t>
  </si>
  <si>
    <t>M250</t>
  </si>
  <si>
    <t>B20</t>
  </si>
  <si>
    <t>C16/20</t>
  </si>
  <si>
    <t>AI</t>
  </si>
  <si>
    <t>Đầu côn</t>
  </si>
  <si>
    <t>M300</t>
  </si>
  <si>
    <t>B22.5</t>
  </si>
  <si>
    <t>C18/22.5</t>
  </si>
  <si>
    <t>AII</t>
  </si>
  <si>
    <t>M350</t>
  </si>
  <si>
    <t>B25</t>
  </si>
  <si>
    <t>C20/25</t>
  </si>
  <si>
    <t>AIII</t>
  </si>
  <si>
    <t>M400</t>
  </si>
  <si>
    <t>B30</t>
  </si>
  <si>
    <t>C25/30</t>
  </si>
  <si>
    <t>CB240-T</t>
  </si>
  <si>
    <t>M450</t>
  </si>
  <si>
    <t>B35</t>
  </si>
  <si>
    <t>C28/35</t>
  </si>
  <si>
    <t>CB300-T</t>
  </si>
  <si>
    <t>M500</t>
  </si>
  <si>
    <t>B40</t>
  </si>
  <si>
    <t>C32/40</t>
  </si>
  <si>
    <t>CB300-V</t>
  </si>
  <si>
    <t>M600</t>
  </si>
  <si>
    <t>B45</t>
  </si>
  <si>
    <t>C35/45</t>
  </si>
  <si>
    <t>CB400-V</t>
  </si>
  <si>
    <t>M700</t>
  </si>
  <si>
    <t>B50</t>
  </si>
  <si>
    <t>C40/50</t>
  </si>
  <si>
    <t>CB500-V</t>
  </si>
  <si>
    <t>B55</t>
  </si>
  <si>
    <t>C45/55</t>
  </si>
  <si>
    <t>SR235</t>
  </si>
  <si>
    <t>M800</t>
  </si>
  <si>
    <t>B60</t>
  </si>
  <si>
    <t>C50/60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</si>
  <si>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</si>
  <si>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</si>
  <si>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</si>
  <si>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</si>
  <si>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</si>
  <si>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</si>
  <si>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</si>
  <si>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</si>
  <si>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</si>
  <si>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</si>
  <si>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</si>
  <si>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</si>
  <si>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THIẾT KẾ LIÊN KẾT NỐI DẦM THEO TCVN 5575:2024</t>
  </si>
  <si>
    <t>2.1 Dầm</t>
  </si>
  <si>
    <r>
      <t>t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1"/>
        <charset val="2"/>
        <scheme val="minor"/>
      </rPr>
      <t xml:space="preserve"> = 1.18N/(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1"/>
        <charset val="2"/>
        <scheme val="minor"/>
      </rPr>
      <t>fb) =</t>
    </r>
  </si>
  <si>
    <r>
      <t>b = b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+2b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</si>
  <si>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Bề rộng bản ốp cánh trong, b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</si>
  <si>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Bề rộng bản ốp cánh ngoài, b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</si>
  <si>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t>Tổng bề rộng của tấm chịu N</t>
  </si>
  <si>
    <t>H Tổng</t>
  </si>
  <si>
    <t>H Bụng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</si>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</sst>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70C0"/>
      <name val="Arial"/>
      <family val="2"/>
    </font>
    <font>
      <sz val="12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10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0" fillId="9" borderId="0" applyNumberFormat="0" applyBorder="0" applyAlignment="0" applyProtection="0"/>
    <xf numFmtId="0" fontId="32" fillId="0" borderId="0"/>
    <xf numFmtId="0" fontId="35" fillId="0" borderId="0"/>
    <xf numFmtId="0" fontId="39" fillId="0" borderId="0"/>
    <xf numFmtId="164" fontId="32" fillId="0" borderId="0" applyFont="0" applyFill="0" applyBorder="0" applyAlignment="0" applyProtection="0"/>
    <xf numFmtId="0" fontId="43" fillId="0" borderId="0"/>
    <xf numFmtId="0" fontId="39" fillId="0" borderId="0"/>
  </cellStyleXfs>
  <cellXfs count="149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3" fillId="7" borderId="10" xfId="0" applyFont="1" applyFill="1" applyBorder="1" applyAlignment="1">
      <alignment vertical="top"/>
    </xf>
    <xf numFmtId="0" fontId="9" fillId="7" borderId="11" xfId="0" applyFont="1" applyFill="1" applyBorder="1" applyAlignment="1">
      <alignment horizontal="left" indent="1"/>
    </xf>
    <xf numFmtId="0" fontId="3" fillId="7" borderId="11" xfId="0" applyFont="1" applyFill="1" applyBorder="1" applyAlignment="1">
      <alignment horizontal="left" vertical="top" indent="2"/>
    </xf>
    <xf numFmtId="0" fontId="3" fillId="7" borderId="1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10" xfId="0" applyFont="1" applyFill="1" applyBorder="1" applyAlignment="1">
      <alignment vertical="center"/>
    </xf>
    <xf numFmtId="0" fontId="15" fillId="7" borderId="0" xfId="0" applyFont="1" applyFill="1" applyAlignment="1">
      <alignment horizontal="right" vertical="center"/>
    </xf>
    <xf numFmtId="0" fontId="17" fillId="0" borderId="0" xfId="0" applyFont="1"/>
    <xf numFmtId="0" fontId="3" fillId="7" borderId="12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2" fillId="7" borderId="11" xfId="0" applyFont="1" applyFill="1" applyBorder="1" applyAlignment="1">
      <alignment horizontal="left" indent="1"/>
    </xf>
    <xf numFmtId="0" fontId="22" fillId="7" borderId="15" xfId="0" applyFont="1" applyFill="1" applyBorder="1" applyAlignment="1">
      <alignment horizontal="left" indent="1"/>
    </xf>
    <xf numFmtId="0" fontId="3" fillId="7" borderId="16" xfId="0" applyFont="1" applyFill="1" applyBorder="1"/>
    <xf numFmtId="0" fontId="16" fillId="7" borderId="16" xfId="0" applyFont="1" applyFill="1" applyBorder="1" applyAlignment="1">
      <alignment horizontal="center"/>
    </xf>
    <xf numFmtId="0" fontId="20" fillId="7" borderId="16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center" vertical="center"/>
    </xf>
    <xf numFmtId="2" fontId="3" fillId="7" borderId="16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right" vertical="center"/>
    </xf>
    <xf numFmtId="0" fontId="3" fillId="7" borderId="16" xfId="0" applyFont="1" applyFill="1" applyBorder="1" applyAlignment="1">
      <alignment horizontal="right" vertical="center"/>
    </xf>
    <xf numFmtId="0" fontId="3" fillId="7" borderId="17" xfId="0" applyFont="1" applyFill="1" applyBorder="1"/>
    <xf numFmtId="0" fontId="0" fillId="0" borderId="12" xfId="0" applyBorder="1" applyAlignment="1">
      <alignment horizontal="center" vertical="center"/>
    </xf>
    <xf numFmtId="0" fontId="1" fillId="3" borderId="12" xfId="2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/>
    </xf>
    <xf numFmtId="1" fontId="3" fillId="7" borderId="12" xfId="0" applyNumberFormat="1" applyFont="1" applyFill="1" applyBorder="1" applyAlignment="1">
      <alignment horizontal="center" vertical="center"/>
    </xf>
    <xf numFmtId="0" fontId="26" fillId="7" borderId="12" xfId="0" applyFont="1" applyFill="1" applyBorder="1" applyAlignment="1">
      <alignment horizontal="center" vertical="center"/>
    </xf>
    <xf numFmtId="0" fontId="0" fillId="3" borderId="12" xfId="2" applyFont="1" applyBorder="1" applyAlignment="1">
      <alignment horizontal="center" vertical="center"/>
    </xf>
    <xf numFmtId="0" fontId="24" fillId="8" borderId="22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right" vertical="center"/>
    </xf>
    <xf numFmtId="0" fontId="3" fillId="7" borderId="22" xfId="0" applyFont="1" applyFill="1" applyBorder="1" applyAlignment="1">
      <alignment horizontal="center"/>
    </xf>
    <xf numFmtId="0" fontId="18" fillId="7" borderId="0" xfId="0" applyFont="1" applyFill="1" applyAlignment="1">
      <alignment horizontal="center" vertical="center"/>
    </xf>
    <xf numFmtId="0" fontId="24" fillId="8" borderId="0" xfId="0" applyFont="1" applyFill="1" applyAlignment="1">
      <alignment horizontal="center" wrapText="1"/>
    </xf>
    <xf numFmtId="0" fontId="3" fillId="7" borderId="0" xfId="0" applyFont="1" applyFill="1" applyAlignment="1">
      <alignment vertical="top"/>
    </xf>
    <xf numFmtId="0" fontId="3" fillId="7" borderId="0" xfId="0" applyFont="1" applyFill="1" applyAlignment="1">
      <alignment horizontal="right" vertical="top"/>
    </xf>
    <xf numFmtId="0" fontId="10" fillId="7" borderId="0" xfId="0" applyFont="1" applyFill="1" applyAlignment="1">
      <alignment vertical="top"/>
    </xf>
    <xf numFmtId="0" fontId="3" fillId="7" borderId="0" xfId="0" applyFont="1" applyFill="1"/>
    <xf numFmtId="0" fontId="11" fillId="7" borderId="0" xfId="0" applyFont="1" applyFill="1" applyAlignment="1">
      <alignment horizontal="right" vertical="center"/>
    </xf>
    <xf numFmtId="0" fontId="11" fillId="7" borderId="0" xfId="0" applyFont="1" applyFill="1" applyAlignment="1">
      <alignment horizontal="center" vertical="center"/>
    </xf>
    <xf numFmtId="0" fontId="11" fillId="7" borderId="10" xfId="0" applyFont="1" applyFill="1" applyBorder="1" applyAlignment="1">
      <alignment horizontal="left" vertical="center"/>
    </xf>
    <xf numFmtId="0" fontId="12" fillId="7" borderId="0" xfId="0" applyFont="1" applyFill="1"/>
    <xf numFmtId="0" fontId="3" fillId="7" borderId="0" xfId="0" applyFont="1" applyFill="1" applyAlignment="1">
      <alignment horizontal="right" vertical="center"/>
    </xf>
    <xf numFmtId="1" fontId="3" fillId="7" borderId="0" xfId="0" applyNumberFormat="1" applyFont="1" applyFill="1" applyAlignment="1">
      <alignment horizontal="center" vertical="center"/>
    </xf>
    <xf numFmtId="0" fontId="11" fillId="7" borderId="0" xfId="0" applyFont="1" applyFill="1"/>
    <xf numFmtId="1" fontId="18" fillId="7" borderId="0" xfId="0" applyNumberFormat="1" applyFont="1" applyFill="1" applyAlignment="1">
      <alignment horizontal="center" vertical="center"/>
    </xf>
    <xf numFmtId="164" fontId="11" fillId="7" borderId="0" xfId="0" applyNumberFormat="1" applyFont="1" applyFill="1" applyAlignment="1">
      <alignment horizontal="center" vertical="center"/>
    </xf>
    <xf numFmtId="0" fontId="3" fillId="7" borderId="11" xfId="0" applyFont="1" applyFill="1" applyBorder="1"/>
    <xf numFmtId="0" fontId="9" fillId="7" borderId="0" xfId="0" applyFont="1" applyFill="1" applyAlignment="1">
      <alignment horizontal="left" indent="1"/>
    </xf>
    <xf numFmtId="0" fontId="3" fillId="7" borderId="0" xfId="0" applyFont="1" applyFill="1" applyAlignment="1">
      <alignment horizontal="left" vertical="center"/>
    </xf>
    <xf numFmtId="0" fontId="11" fillId="7" borderId="10" xfId="0" applyFont="1" applyFill="1" applyBorder="1" applyAlignment="1">
      <alignment horizontal="right" vertical="center"/>
    </xf>
    <xf numFmtId="0" fontId="3" fillId="7" borderId="0" xfId="0" applyFont="1" applyFill="1" applyAlignment="1">
      <alignment horizontal="right"/>
    </xf>
    <xf numFmtId="2" fontId="11" fillId="7" borderId="0" xfId="0" applyNumberFormat="1" applyFont="1" applyFill="1" applyAlignment="1">
      <alignment horizontal="right" vertical="center"/>
    </xf>
    <xf numFmtId="0" fontId="8" fillId="7" borderId="0" xfId="0" applyFont="1" applyFill="1" applyAlignment="1">
      <alignment horizontal="left" vertical="center"/>
    </xf>
    <xf numFmtId="164" fontId="18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left" vertical="top" indent="2"/>
    </xf>
    <xf numFmtId="2" fontId="19" fillId="2" borderId="1" xfId="1" applyNumberFormat="1" applyFont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20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164" fontId="3" fillId="7" borderId="0" xfId="0" applyNumberFormat="1" applyFont="1" applyFill="1"/>
    <xf numFmtId="0" fontId="24" fillId="8" borderId="0" xfId="0" applyFont="1" applyFill="1" applyAlignment="1">
      <alignment horizontal="center"/>
    </xf>
    <xf numFmtId="0" fontId="24" fillId="8" borderId="0" xfId="0" applyFont="1" applyFill="1" applyAlignment="1">
      <alignment horizontal="center" vertical="center" wrapText="1"/>
    </xf>
    <xf numFmtId="0" fontId="33" fillId="8" borderId="12" xfId="4" applyFont="1" applyFill="1" applyBorder="1" applyAlignment="1">
      <alignment horizontal="center" vertical="center" wrapText="1"/>
    </xf>
    <xf numFmtId="0" fontId="36" fillId="10" borderId="12" xfId="5" applyFont="1" applyFill="1" applyBorder="1" applyAlignment="1">
      <alignment horizontal="center" vertical="center"/>
    </xf>
    <xf numFmtId="0" fontId="37" fillId="10" borderId="12" xfId="0" applyFont="1" applyFill="1" applyBorder="1" applyAlignment="1">
      <alignment horizontal="center" vertical="center"/>
    </xf>
    <xf numFmtId="0" fontId="37" fillId="10" borderId="12" xfId="0" applyFont="1" applyFill="1" applyBorder="1" applyAlignment="1">
      <alignment vertical="center"/>
    </xf>
    <xf numFmtId="0" fontId="36" fillId="10" borderId="13" xfId="6" applyFont="1" applyFill="1" applyBorder="1" applyAlignment="1">
      <alignment horizontal="center" vertical="center"/>
    </xf>
    <xf numFmtId="0" fontId="3" fillId="0" borderId="12" xfId="0" applyFont="1" applyBorder="1"/>
    <xf numFmtId="0" fontId="3" fillId="7" borderId="0" xfId="0" applyFont="1" applyFill="1" applyAlignment="1">
      <alignment horizontal="center"/>
    </xf>
    <xf numFmtId="0" fontId="26" fillId="7" borderId="0" xfId="0" applyFont="1" applyFill="1" applyAlignment="1">
      <alignment horizontal="center" vertical="center"/>
    </xf>
    <xf numFmtId="0" fontId="33" fillId="8" borderId="12" xfId="4" applyFont="1" applyFill="1" applyBorder="1" applyAlignment="1">
      <alignment vertical="center"/>
    </xf>
    <xf numFmtId="0" fontId="36" fillId="10" borderId="13" xfId="5" applyFont="1" applyFill="1" applyBorder="1" applyAlignment="1">
      <alignment horizontal="center" vertical="center"/>
    </xf>
    <xf numFmtId="0" fontId="43" fillId="7" borderId="12" xfId="5" applyFont="1" applyFill="1" applyBorder="1" applyAlignment="1">
      <alignment horizontal="left" vertical="center"/>
    </xf>
    <xf numFmtId="0" fontId="43" fillId="7" borderId="12" xfId="5" applyFont="1" applyFill="1" applyBorder="1" applyAlignment="1">
      <alignment horizontal="center" vertical="center"/>
    </xf>
    <xf numFmtId="0" fontId="43" fillId="7" borderId="13" xfId="5" applyFont="1" applyFill="1" applyBorder="1" applyAlignment="1">
      <alignment horizontal="left" vertical="center"/>
    </xf>
    <xf numFmtId="0" fontId="43" fillId="7" borderId="12" xfId="6" applyFont="1" applyFill="1" applyBorder="1" applyAlignment="1">
      <alignment vertical="center"/>
    </xf>
    <xf numFmtId="0" fontId="44" fillId="0" borderId="29" xfId="4" applyFont="1" applyBorder="1" applyAlignment="1" applyProtection="1">
      <alignment horizontal="center" vertical="center"/>
      <protection hidden="1"/>
    </xf>
    <xf numFmtId="0" fontId="0" fillId="0" borderId="28" xfId="0" applyBorder="1" applyAlignment="1">
      <alignment horizontal="center" vertical="center"/>
    </xf>
    <xf numFmtId="165" fontId="43" fillId="0" borderId="28" xfId="7" applyNumberFormat="1" applyFont="1" applyBorder="1" applyAlignment="1" applyProtection="1">
      <alignment horizontal="center" vertical="center"/>
      <protection hidden="1"/>
    </xf>
    <xf numFmtId="164" fontId="43" fillId="0" borderId="28" xfId="4" applyNumberFormat="1" applyFont="1" applyBorder="1" applyAlignment="1" applyProtection="1">
      <alignment horizontal="center" vertical="center"/>
      <protection hidden="1"/>
    </xf>
    <xf numFmtId="2" fontId="43" fillId="0" borderId="28" xfId="4" applyNumberFormat="1" applyFont="1" applyBorder="1" applyAlignment="1" applyProtection="1">
      <alignment horizontal="center" vertical="center"/>
      <protection hidden="1"/>
    </xf>
    <xf numFmtId="2" fontId="43" fillId="0" borderId="15" xfId="4" applyNumberFormat="1" applyFont="1" applyBorder="1" applyAlignment="1" applyProtection="1">
      <alignment horizontal="center" vertical="center"/>
      <protection hidden="1"/>
    </xf>
    <xf numFmtId="0" fontId="45" fillId="7" borderId="12" xfId="8" applyFont="1" applyFill="1" applyBorder="1" applyAlignment="1" applyProtection="1">
      <alignment horizontal="center" vertical="center"/>
      <protection hidden="1"/>
    </xf>
    <xf numFmtId="0" fontId="44" fillId="0" borderId="30" xfId="4" applyFont="1" applyBorder="1" applyAlignment="1" applyProtection="1">
      <alignment horizontal="center" vertical="center"/>
      <protection hidden="1"/>
    </xf>
    <xf numFmtId="165" fontId="43" fillId="0" borderId="12" xfId="7" applyNumberFormat="1" applyFont="1" applyBorder="1" applyAlignment="1" applyProtection="1">
      <alignment horizontal="center" vertical="center"/>
      <protection hidden="1"/>
    </xf>
    <xf numFmtId="164" fontId="43" fillId="0" borderId="12" xfId="4" applyNumberFormat="1" applyFont="1" applyBorder="1" applyAlignment="1" applyProtection="1">
      <alignment horizontal="center" vertical="center"/>
      <protection hidden="1"/>
    </xf>
    <xf numFmtId="2" fontId="43" fillId="0" borderId="12" xfId="4" applyNumberFormat="1" applyFont="1" applyBorder="1" applyAlignment="1" applyProtection="1">
      <alignment horizontal="center" vertical="center"/>
      <protection hidden="1"/>
    </xf>
    <xf numFmtId="2" fontId="43" fillId="0" borderId="13" xfId="4" applyNumberFormat="1" applyFont="1" applyBorder="1" applyAlignment="1" applyProtection="1">
      <alignment horizontal="center" vertical="center"/>
      <protection hidden="1"/>
    </xf>
    <xf numFmtId="0" fontId="0" fillId="7" borderId="12" xfId="0" applyFill="1" applyBorder="1" applyAlignment="1">
      <alignment horizontal="center" vertical="center"/>
    </xf>
    <xf numFmtId="0" fontId="43" fillId="7" borderId="13" xfId="6" applyFont="1" applyFill="1" applyBorder="1" applyAlignment="1">
      <alignment horizontal="left" vertical="center"/>
    </xf>
    <xf numFmtId="0" fontId="43" fillId="7" borderId="13" xfId="9" applyFont="1" applyFill="1" applyBorder="1" applyAlignment="1">
      <alignment horizontal="left" vertical="center"/>
    </xf>
    <xf numFmtId="0" fontId="44" fillId="0" borderId="31" xfId="4" applyFont="1" applyBorder="1" applyAlignment="1" applyProtection="1">
      <alignment horizontal="center" vertical="center"/>
      <protection hidden="1"/>
    </xf>
    <xf numFmtId="0" fontId="0" fillId="0" borderId="32" xfId="0" applyBorder="1" applyAlignment="1">
      <alignment horizontal="center" vertical="center"/>
    </xf>
    <xf numFmtId="165" fontId="43" fillId="0" borderId="32" xfId="7" applyNumberFormat="1" applyFont="1" applyBorder="1" applyAlignment="1" applyProtection="1">
      <alignment horizontal="center" vertical="center"/>
      <protection hidden="1"/>
    </xf>
    <xf numFmtId="164" fontId="43" fillId="0" borderId="32" xfId="4" applyNumberFormat="1" applyFont="1" applyBorder="1" applyAlignment="1" applyProtection="1">
      <alignment horizontal="center" vertical="center"/>
      <protection hidden="1"/>
    </xf>
    <xf numFmtId="2" fontId="43" fillId="0" borderId="32" xfId="4" applyNumberFormat="1" applyFont="1" applyBorder="1" applyAlignment="1" applyProtection="1">
      <alignment horizontal="center" vertical="center"/>
      <protection hidden="1"/>
    </xf>
    <xf numFmtId="2" fontId="43" fillId="0" borderId="33" xfId="4" applyNumberFormat="1" applyFont="1" applyBorder="1" applyAlignment="1" applyProtection="1">
      <alignment horizontal="center" vertical="center"/>
      <protection hidden="1"/>
    </xf>
    <xf numFmtId="1" fontId="43" fillId="7" borderId="12" xfId="6" applyNumberFormat="1" applyFont="1" applyFill="1" applyBorder="1" applyAlignment="1">
      <alignment vertical="center"/>
    </xf>
    <xf numFmtId="1" fontId="43" fillId="7" borderId="12" xfId="6" applyNumberFormat="1" applyFont="1" applyFill="1" applyBorder="1" applyAlignment="1">
      <alignment horizontal="center" vertical="center"/>
    </xf>
    <xf numFmtId="0" fontId="43" fillId="7" borderId="13" xfId="6" applyFont="1" applyFill="1" applyBorder="1" applyAlignment="1">
      <alignment vertical="center"/>
    </xf>
    <xf numFmtId="0" fontId="43" fillId="7" borderId="12" xfId="6" applyFont="1" applyFill="1" applyBorder="1" applyAlignment="1">
      <alignment horizontal="center" vertical="center"/>
    </xf>
    <xf numFmtId="0" fontId="24" fillId="8" borderId="21" xfId="0" applyFont="1" applyFill="1" applyBorder="1" applyAlignment="1">
      <alignment horizontal="center" vertical="center"/>
    </xf>
    <xf numFmtId="0" fontId="24" fillId="8" borderId="23" xfId="0" applyFont="1" applyFill="1" applyBorder="1" applyAlignment="1">
      <alignment horizontal="center" vertical="center"/>
    </xf>
    <xf numFmtId="0" fontId="46" fillId="8" borderId="22" xfId="0" applyFont="1" applyFill="1" applyBorder="1" applyAlignment="1">
      <alignment horizontal="center"/>
    </xf>
    <xf numFmtId="0" fontId="24" fillId="8" borderId="34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30" fillId="9" borderId="16" xfId="3" applyBorder="1" applyAlignment="1">
      <alignment horizontal="center" vertical="center"/>
    </xf>
    <xf numFmtId="0" fontId="7" fillId="9" borderId="16" xfId="3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6" borderId="13" xfId="0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3" xfId="0" applyFont="1" applyFill="1" applyBorder="1" applyAlignment="1">
      <alignment horizontal="center" vertical="center"/>
    </xf>
    <xf numFmtId="0" fontId="29" fillId="5" borderId="5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33" fillId="8" borderId="12" xfId="4" applyFont="1" applyFill="1" applyBorder="1" applyAlignment="1">
      <alignment horizontal="center" vertical="center" wrapText="1"/>
    </xf>
    <xf numFmtId="0" fontId="24" fillId="8" borderId="18" xfId="0" applyFont="1" applyFill="1" applyBorder="1" applyAlignment="1">
      <alignment horizontal="center" wrapText="1"/>
    </xf>
    <xf numFmtId="0" fontId="24" fillId="8" borderId="19" xfId="0" applyFont="1" applyFill="1" applyBorder="1" applyAlignment="1">
      <alignment horizontal="center" wrapText="1"/>
    </xf>
    <xf numFmtId="0" fontId="24" fillId="8" borderId="20" xfId="0" applyFont="1" applyFill="1" applyBorder="1" applyAlignment="1">
      <alignment horizontal="center" wrapText="1"/>
    </xf>
    <xf numFmtId="0" fontId="24" fillId="8" borderId="0" xfId="0" applyFont="1" applyFill="1" applyAlignment="1">
      <alignment horizontal="center" wrapText="1"/>
    </xf>
    <xf numFmtId="0" fontId="24" fillId="8" borderId="0" xfId="0" applyFont="1" applyFill="1" applyAlignment="1">
      <alignment horizontal="center" vertical="center" wrapText="1"/>
    </xf>
    <xf numFmtId="0" fontId="24" fillId="8" borderId="16" xfId="0" applyFont="1" applyFill="1" applyBorder="1" applyAlignment="1">
      <alignment horizontal="center" vertical="center" wrapText="1"/>
    </xf>
    <xf numFmtId="0" fontId="24" fillId="8" borderId="24" xfId="0" applyFont="1" applyFill="1" applyBorder="1" applyAlignment="1">
      <alignment horizontal="center"/>
    </xf>
    <xf numFmtId="0" fontId="24" fillId="8" borderId="25" xfId="0" applyFont="1" applyFill="1" applyBorder="1" applyAlignment="1">
      <alignment horizontal="center"/>
    </xf>
    <xf numFmtId="0" fontId="24" fillId="8" borderId="26" xfId="0" applyFont="1" applyFill="1" applyBorder="1" applyAlignment="1">
      <alignment horizontal="center"/>
    </xf>
    <xf numFmtId="0" fontId="24" fillId="8" borderId="12" xfId="0" applyFont="1" applyFill="1" applyBorder="1" applyAlignment="1">
      <alignment horizontal="center"/>
    </xf>
    <xf numFmtId="0" fontId="36" fillId="10" borderId="12" xfId="5" applyFont="1" applyFill="1" applyBorder="1" applyAlignment="1">
      <alignment horizontal="center" vertical="center"/>
    </xf>
    <xf numFmtId="0" fontId="36" fillId="10" borderId="2" xfId="5" applyFont="1" applyFill="1" applyBorder="1" applyAlignment="1">
      <alignment horizontal="center" vertical="center"/>
    </xf>
    <xf numFmtId="0" fontId="36" fillId="10" borderId="3" xfId="5" applyFont="1" applyFill="1" applyBorder="1" applyAlignment="1">
      <alignment horizontal="center" vertical="center"/>
    </xf>
    <xf numFmtId="0" fontId="36" fillId="10" borderId="11" xfId="5" applyFont="1" applyFill="1" applyBorder="1" applyAlignment="1">
      <alignment horizontal="center" vertical="center"/>
    </xf>
    <xf numFmtId="0" fontId="36" fillId="10" borderId="0" xfId="5" applyFont="1" applyFill="1" applyAlignment="1">
      <alignment horizontal="center" vertical="center"/>
    </xf>
    <xf numFmtId="0" fontId="33" fillId="8" borderId="27" xfId="4" applyFont="1" applyFill="1" applyBorder="1" applyAlignment="1">
      <alignment horizontal="center" vertical="center"/>
    </xf>
    <xf numFmtId="0" fontId="33" fillId="8" borderId="28" xfId="4" applyFont="1" applyFill="1" applyBorder="1" applyAlignment="1">
      <alignment horizontal="center" vertical="center"/>
    </xf>
    <xf numFmtId="0" fontId="33" fillId="8" borderId="12" xfId="4" applyFont="1" applyFill="1" applyBorder="1" applyAlignment="1">
      <alignment horizontal="center" vertical="center"/>
    </xf>
    <xf numFmtId="0" fontId="33" fillId="8" borderId="15" xfId="4" applyFont="1" applyFill="1" applyBorder="1" applyAlignment="1">
      <alignment horizontal="center" vertical="center" wrapText="1"/>
    </xf>
    <xf numFmtId="0" fontId="33" fillId="8" borderId="16" xfId="4" applyFont="1" applyFill="1" applyBorder="1" applyAlignment="1">
      <alignment horizontal="center" vertical="center" wrapText="1"/>
    </xf>
  </cellXfs>
  <cellStyles count="10">
    <cellStyle name="20% - Accent1" xfId="2" builtinId="30"/>
    <cellStyle name="Accent5" xfId="3" builtinId="45"/>
    <cellStyle name="Calculation" xfId="1" builtinId="22"/>
    <cellStyle name="Comma 2" xfId="7" xr:uid="{4C8E37E0-9979-4460-9A9C-8C26D6A365E3}"/>
    <cellStyle name="Normal" xfId="0" builtinId="0"/>
    <cellStyle name="Normal 2" xfId="6" xr:uid="{83ECA522-9383-41FF-BBFD-61ED78E6EB0D}"/>
    <cellStyle name="Normal 2 2" xfId="9" xr:uid="{A7E8D24A-E79E-43DB-8257-BAFD7D9A3031}"/>
    <cellStyle name="Normal 3" xfId="8" xr:uid="{AEAE9602-1DB1-426A-AE4F-EC6A331EBEED}"/>
    <cellStyle name="Normal 5" xfId="4" xr:uid="{86766E27-4C22-4114-988A-4F802B084792}"/>
    <cellStyle name="Normal_Sheet3" xfId="5" xr:uid="{1E1984D7-42B2-43D7-86A8-82D0F3920ADB}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221E56-C846-4E5F-A0F7-748846DBE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99F25F55-CEC1-4438-942E-1F2C2643C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60082</xdr:colOff>
      <xdr:row>42</xdr:row>
      <xdr:rowOff>7328</xdr:rowOff>
    </xdr:from>
    <xdr:to>
      <xdr:col>11</xdr:col>
      <xdr:colOff>18465</xdr:colOff>
      <xdr:row>52</xdr:row>
      <xdr:rowOff>87657</xdr:rowOff>
    </xdr:to>
    <xdr:pic>
      <xdr:nvPicPr>
        <xdr:cNvPr id="3" name="Picture 2" descr="Beam Moment Plate Splice Connection_1">
          <a:extLst>
            <a:ext uri="{FF2B5EF4-FFF2-40B4-BE49-F238E27FC236}">
              <a16:creationId xmlns:a16="http://schemas.microsoft.com/office/drawing/2014/main" id="{6F44B643-D7C2-3EF6-BE22-80091CAA0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7870" y="5421924"/>
          <a:ext cx="2152650" cy="1686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AE671-4631-4B4A-8B25-D1310580A3A9}">
  <sheetPr codeName="Sheet2">
    <tabColor rgb="FF0070C0"/>
  </sheetPr>
  <dimension ref="A1:DN33"/>
  <sheetViews>
    <sheetView showGridLines="0" zoomScale="130" zoomScaleNormal="130" zoomScaleSheetLayoutView="100" workbookViewId="0">
      <selection activeCell="U21" sqref="U21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2" customWidth="1"/>
    <col min="11" max="15" width="7.33203125" style="1"/>
    <col min="16" max="20" width="0" style="1" hidden="1" customWidth="1"/>
    <col min="21" max="21" width="3.33203125" style="2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2" customWidth="1"/>
    <col min="48" max="50" width="7.33203125" style="1"/>
    <col min="51" max="51" width="3.33203125" style="2" customWidth="1"/>
    <col min="52" max="54" width="7.33203125" style="1"/>
    <col min="55" max="59" width="0" style="1" hidden="1" customWidth="1"/>
    <col min="60" max="60" width="3.33203125" style="2" customWidth="1"/>
    <col min="61" max="62" width="7.33203125" style="1"/>
    <col min="63" max="63" width="9.44140625" style="1" bestFit="1" customWidth="1"/>
    <col min="64" max="67" width="7.44140625" style="1" bestFit="1" customWidth="1"/>
    <col min="68" max="68" width="8.109375" style="1" bestFit="1" customWidth="1"/>
    <col min="69" max="69" width="7.33203125" style="1"/>
    <col min="70" max="79" width="0" style="1" hidden="1" customWidth="1"/>
    <col min="80" max="80" width="3.33203125" style="2" customWidth="1"/>
    <col min="81" max="81" width="9.5546875" style="81" bestFit="1" customWidth="1"/>
    <col min="82" max="83" width="9.5546875" style="106" customWidth="1"/>
    <col min="84" max="85" width="5" style="81" bestFit="1" customWidth="1"/>
    <col min="86" max="86" width="5" style="81" customWidth="1"/>
    <col min="87" max="87" width="5" style="81" bestFit="1" customWidth="1"/>
    <col min="88" max="88" width="7" style="105" bestFit="1" customWidth="1"/>
    <col min="89" max="103" width="0" style="1" hidden="1" customWidth="1"/>
    <col min="104" max="104" width="3.33203125" style="2" customWidth="1"/>
    <col min="105" max="16384" width="7.33203125" style="1"/>
  </cols>
  <sheetData>
    <row r="1" spans="1:118" ht="14.25" customHeight="1">
      <c r="A1" s="107" t="s">
        <v>39</v>
      </c>
      <c r="B1" s="34" t="s">
        <v>40</v>
      </c>
      <c r="C1" s="34" t="s">
        <v>41</v>
      </c>
      <c r="D1" s="34" t="s">
        <v>42</v>
      </c>
      <c r="E1" s="109" t="s">
        <v>236</v>
      </c>
      <c r="F1" s="66"/>
      <c r="G1" s="66"/>
      <c r="H1" s="66"/>
      <c r="I1" s="66"/>
      <c r="K1" s="129" t="s">
        <v>23</v>
      </c>
      <c r="L1" s="130"/>
      <c r="M1" s="130"/>
      <c r="N1" s="130"/>
      <c r="O1" s="130"/>
      <c r="P1" s="38"/>
      <c r="Q1" s="38"/>
      <c r="R1" s="38"/>
      <c r="S1" s="38"/>
      <c r="T1" s="38"/>
      <c r="V1" s="133" t="s">
        <v>30</v>
      </c>
      <c r="W1" s="133"/>
      <c r="X1" s="133"/>
      <c r="Y1" s="133"/>
      <c r="Z1" s="133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V1" s="135" t="s">
        <v>114</v>
      </c>
      <c r="AW1" s="136"/>
      <c r="AX1" s="137"/>
      <c r="AZ1" s="135" t="s">
        <v>63</v>
      </c>
      <c r="BA1" s="136"/>
      <c r="BB1" s="137"/>
      <c r="BI1" s="128" t="s">
        <v>115</v>
      </c>
      <c r="BJ1" s="128"/>
      <c r="BK1" s="146" t="s">
        <v>116</v>
      </c>
      <c r="BL1" s="128" t="s">
        <v>117</v>
      </c>
      <c r="BM1" s="128"/>
      <c r="BN1" s="128"/>
      <c r="BO1" s="128"/>
      <c r="BP1" s="146" t="s">
        <v>118</v>
      </c>
      <c r="BQ1" s="146"/>
      <c r="CC1" s="147" t="s">
        <v>117</v>
      </c>
      <c r="CD1" s="148"/>
      <c r="CE1" s="148"/>
      <c r="CF1" s="148"/>
      <c r="CG1" s="148"/>
      <c r="CH1" s="148"/>
      <c r="CI1" s="148"/>
      <c r="CJ1" s="148"/>
      <c r="DA1" s="147" t="s">
        <v>119</v>
      </c>
      <c r="DB1" s="148"/>
      <c r="DC1" s="148"/>
      <c r="DD1" s="148"/>
      <c r="DE1" s="148"/>
      <c r="DF1" s="138" t="s">
        <v>120</v>
      </c>
      <c r="DG1" s="138"/>
      <c r="DH1" s="1" t="s">
        <v>121</v>
      </c>
      <c r="DI1" s="1" t="s">
        <v>122</v>
      </c>
      <c r="DJ1" s="1" t="s">
        <v>123</v>
      </c>
      <c r="DK1" s="1" t="s">
        <v>124</v>
      </c>
      <c r="DL1" s="12" t="s">
        <v>125</v>
      </c>
      <c r="DM1" s="12" t="s">
        <v>126</v>
      </c>
      <c r="DN1" s="12" t="s">
        <v>127</v>
      </c>
    </row>
    <row r="2" spans="1:118" ht="15.6">
      <c r="A2" s="108"/>
      <c r="B2" s="34" t="s">
        <v>43</v>
      </c>
      <c r="C2" s="34" t="s">
        <v>43</v>
      </c>
      <c r="D2" s="34" t="s">
        <v>43</v>
      </c>
      <c r="E2" s="110"/>
      <c r="F2" s="66"/>
      <c r="G2" s="66"/>
      <c r="H2" s="66"/>
      <c r="I2" s="66"/>
      <c r="K2" s="131"/>
      <c r="L2" s="132"/>
      <c r="M2" s="132"/>
      <c r="N2" s="132"/>
      <c r="O2" s="132"/>
      <c r="P2" s="38"/>
      <c r="Q2" s="38"/>
      <c r="R2" s="38"/>
      <c r="S2" s="38"/>
      <c r="T2" s="38"/>
      <c r="V2" s="134"/>
      <c r="W2" s="134"/>
      <c r="X2" s="134"/>
      <c r="Y2" s="134"/>
      <c r="Z2" s="134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V2" s="34" t="s">
        <v>128</v>
      </c>
      <c r="AW2" s="34" t="s">
        <v>28</v>
      </c>
      <c r="AX2" s="34" t="s">
        <v>29</v>
      </c>
      <c r="AZ2" s="34" t="s">
        <v>64</v>
      </c>
      <c r="BA2" s="34" t="s">
        <v>65</v>
      </c>
      <c r="BB2" s="34" t="s">
        <v>66</v>
      </c>
      <c r="BI2" s="128"/>
      <c r="BJ2" s="128"/>
      <c r="BK2" s="146"/>
      <c r="BL2" s="128" t="s">
        <v>129</v>
      </c>
      <c r="BM2" s="128"/>
      <c r="BN2" s="128" t="s">
        <v>130</v>
      </c>
      <c r="BO2" s="128"/>
      <c r="BP2" s="146"/>
      <c r="BQ2" s="146"/>
      <c r="CC2" s="139" t="s">
        <v>131</v>
      </c>
      <c r="CD2" s="70" t="s">
        <v>132</v>
      </c>
      <c r="CE2" s="70" t="s">
        <v>128</v>
      </c>
      <c r="CF2" s="71" t="s">
        <v>133</v>
      </c>
      <c r="CG2" s="71" t="s">
        <v>134</v>
      </c>
      <c r="CH2" s="71" t="s">
        <v>135</v>
      </c>
      <c r="CI2" s="71" t="s">
        <v>136</v>
      </c>
      <c r="CJ2" s="72" t="s">
        <v>137</v>
      </c>
      <c r="DA2" s="140" t="s">
        <v>138</v>
      </c>
      <c r="DB2" s="141"/>
      <c r="DC2" s="141"/>
      <c r="DD2" s="140" t="s">
        <v>139</v>
      </c>
      <c r="DE2" s="141"/>
      <c r="DF2" s="73" t="s">
        <v>140</v>
      </c>
      <c r="DG2" s="73">
        <v>1.35</v>
      </c>
      <c r="DH2" s="1" t="s">
        <v>141</v>
      </c>
      <c r="DI2" s="1" t="s">
        <v>142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6">
      <c r="A3" s="35" t="s">
        <v>44</v>
      </c>
      <c r="B3" s="36">
        <f>2.06*10^5</f>
        <v>206000</v>
      </c>
      <c r="C3" s="36">
        <v>235</v>
      </c>
      <c r="D3" s="111">
        <v>370</v>
      </c>
      <c r="E3" s="112">
        <v>1.1000000000000001</v>
      </c>
      <c r="F3" s="74"/>
      <c r="G3" s="74"/>
      <c r="H3" s="74"/>
      <c r="I3" s="74"/>
      <c r="K3" s="15" t="s">
        <v>24</v>
      </c>
      <c r="L3" s="15" t="s">
        <v>143</v>
      </c>
      <c r="M3" s="15" t="s">
        <v>144</v>
      </c>
      <c r="N3" s="15" t="s">
        <v>145</v>
      </c>
      <c r="O3" s="15" t="s">
        <v>146</v>
      </c>
      <c r="P3" s="37"/>
      <c r="Q3" s="37"/>
      <c r="R3" s="37"/>
      <c r="S3" s="37"/>
      <c r="T3" s="37"/>
      <c r="V3" s="29" t="s">
        <v>31</v>
      </c>
      <c r="W3" s="29" t="s">
        <v>32</v>
      </c>
      <c r="X3" s="29" t="s">
        <v>33</v>
      </c>
      <c r="Y3" s="29" t="s">
        <v>147</v>
      </c>
      <c r="Z3" s="32" t="s">
        <v>34</v>
      </c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V3" s="14">
        <v>360</v>
      </c>
      <c r="AW3" s="14">
        <v>560</v>
      </c>
      <c r="AX3" s="14">
        <v>475</v>
      </c>
      <c r="AZ3" s="14" t="s">
        <v>67</v>
      </c>
      <c r="BA3" s="14">
        <v>430</v>
      </c>
      <c r="BB3" s="14">
        <v>180</v>
      </c>
      <c r="BI3" s="128"/>
      <c r="BJ3" s="128"/>
      <c r="BK3" s="146"/>
      <c r="BL3" s="68" t="s">
        <v>148</v>
      </c>
      <c r="BM3" s="68" t="s">
        <v>149</v>
      </c>
      <c r="BN3" s="68" t="s">
        <v>150</v>
      </c>
      <c r="BO3" s="68" t="s">
        <v>151</v>
      </c>
      <c r="BP3" s="144" t="s">
        <v>152</v>
      </c>
      <c r="BQ3" s="76" t="s">
        <v>153</v>
      </c>
      <c r="CC3" s="139"/>
      <c r="CD3" s="69" t="s">
        <v>2</v>
      </c>
      <c r="CE3" s="69" t="s">
        <v>2</v>
      </c>
      <c r="CF3" s="69" t="s">
        <v>2</v>
      </c>
      <c r="CG3" s="69" t="s">
        <v>2</v>
      </c>
      <c r="CH3" s="69" t="s">
        <v>2</v>
      </c>
      <c r="CI3" s="69" t="s">
        <v>2</v>
      </c>
      <c r="CJ3" s="77" t="s">
        <v>2</v>
      </c>
      <c r="DA3" s="142"/>
      <c r="DB3" s="143"/>
      <c r="DC3" s="143"/>
      <c r="DD3" s="142"/>
      <c r="DE3" s="143"/>
      <c r="DF3" s="73" t="s">
        <v>154</v>
      </c>
      <c r="DG3" s="73">
        <v>1.05</v>
      </c>
      <c r="DH3" s="1" t="s">
        <v>155</v>
      </c>
      <c r="DI3" s="1" t="s">
        <v>156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35" t="s">
        <v>45</v>
      </c>
      <c r="B4" s="36">
        <f t="shared" ref="B4:B33" si="0">2.06*10^5</f>
        <v>206000</v>
      </c>
      <c r="C4" s="36">
        <v>345</v>
      </c>
      <c r="D4" s="111">
        <v>510</v>
      </c>
      <c r="E4" s="112">
        <v>1.1000000000000001</v>
      </c>
      <c r="F4" s="74"/>
      <c r="G4" s="74"/>
      <c r="H4" s="74"/>
      <c r="I4" s="74"/>
      <c r="K4" s="15">
        <v>5.6</v>
      </c>
      <c r="L4" s="15">
        <v>500</v>
      </c>
      <c r="M4" s="15">
        <v>300</v>
      </c>
      <c r="N4" s="15">
        <v>210</v>
      </c>
      <c r="O4" s="15">
        <v>225</v>
      </c>
      <c r="P4" s="37"/>
      <c r="Q4" s="37"/>
      <c r="R4" s="37"/>
      <c r="S4" s="37"/>
      <c r="T4" s="37"/>
      <c r="V4" s="30">
        <v>10</v>
      </c>
      <c r="W4" s="14">
        <v>1.5</v>
      </c>
      <c r="X4" s="31">
        <v>78.5</v>
      </c>
      <c r="Y4" s="14">
        <v>57.1</v>
      </c>
      <c r="Z4" s="14">
        <v>1</v>
      </c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V4" s="14">
        <v>370</v>
      </c>
      <c r="AW4" s="14">
        <v>580</v>
      </c>
      <c r="AX4" s="14">
        <v>485</v>
      </c>
      <c r="AZ4" s="14" t="s">
        <v>68</v>
      </c>
      <c r="BA4" s="14">
        <v>510</v>
      </c>
      <c r="BB4" s="14">
        <v>225</v>
      </c>
      <c r="BI4" s="128"/>
      <c r="BJ4" s="128"/>
      <c r="BK4" s="68" t="s">
        <v>2</v>
      </c>
      <c r="BL4" s="68" t="s">
        <v>2</v>
      </c>
      <c r="BM4" s="68" t="s">
        <v>2</v>
      </c>
      <c r="BN4" s="68" t="s">
        <v>2</v>
      </c>
      <c r="BO4" s="68" t="s">
        <v>2</v>
      </c>
      <c r="BP4" s="145"/>
      <c r="BQ4" s="68" t="s">
        <v>2</v>
      </c>
      <c r="CC4" s="78" t="s">
        <v>157</v>
      </c>
      <c r="CD4" s="79">
        <v>235</v>
      </c>
      <c r="CE4" s="79">
        <v>373</v>
      </c>
      <c r="CF4" s="78">
        <f>CD4</f>
        <v>235</v>
      </c>
      <c r="CG4" s="78">
        <f>CF4/1.15</f>
        <v>204.34782608695653</v>
      </c>
      <c r="CH4" s="78">
        <f>CF4</f>
        <v>235</v>
      </c>
      <c r="CI4" s="78">
        <f>0.7*CD4</f>
        <v>164.5</v>
      </c>
      <c r="CJ4" s="80">
        <v>200000</v>
      </c>
      <c r="DA4" s="81" t="s">
        <v>158</v>
      </c>
      <c r="DB4" s="81" t="s">
        <v>159</v>
      </c>
      <c r="DC4" s="81" t="s">
        <v>160</v>
      </c>
      <c r="DD4" s="81" t="s">
        <v>158</v>
      </c>
      <c r="DE4" s="81" t="s">
        <v>161</v>
      </c>
      <c r="DF4" s="73" t="s">
        <v>162</v>
      </c>
      <c r="DG4" s="73">
        <v>1.18</v>
      </c>
      <c r="DH4" s="1" t="s">
        <v>163</v>
      </c>
      <c r="DI4" s="1" t="s">
        <v>164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6">
      <c r="A5" s="35" t="s">
        <v>237</v>
      </c>
      <c r="B5" s="36">
        <f t="shared" si="0"/>
        <v>206000</v>
      </c>
      <c r="C5" s="36">
        <v>355</v>
      </c>
      <c r="D5" s="111">
        <v>510</v>
      </c>
      <c r="E5" s="112">
        <v>1.1000000000000001</v>
      </c>
      <c r="F5" s="74"/>
      <c r="G5" s="74"/>
      <c r="H5" s="74"/>
      <c r="I5" s="74"/>
      <c r="K5" s="15">
        <v>5.8</v>
      </c>
      <c r="L5" s="15">
        <v>500</v>
      </c>
      <c r="M5" s="15">
        <v>400</v>
      </c>
      <c r="N5" s="15">
        <v>210</v>
      </c>
      <c r="O5" s="15">
        <v>210</v>
      </c>
      <c r="P5" s="37"/>
      <c r="Q5" s="37"/>
      <c r="R5" s="37"/>
      <c r="S5" s="37"/>
      <c r="T5" s="37"/>
      <c r="V5" s="30">
        <v>12</v>
      </c>
      <c r="W5" s="14">
        <v>1.5</v>
      </c>
      <c r="X5" s="31">
        <v>113</v>
      </c>
      <c r="Y5" s="14">
        <v>84.2</v>
      </c>
      <c r="Z5" s="14">
        <v>1</v>
      </c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V5" s="14">
        <v>380</v>
      </c>
      <c r="AW5" s="14">
        <v>590</v>
      </c>
      <c r="AX5" s="14">
        <v>500</v>
      </c>
      <c r="AZ5" s="14" t="s">
        <v>13</v>
      </c>
      <c r="BA5" s="14">
        <v>410</v>
      </c>
      <c r="BB5" s="14">
        <v>180</v>
      </c>
      <c r="BI5" s="82" t="s">
        <v>165</v>
      </c>
      <c r="BJ5" s="83" t="s">
        <v>166</v>
      </c>
      <c r="BK5" s="84">
        <v>19000</v>
      </c>
      <c r="BL5" s="85">
        <v>7.5</v>
      </c>
      <c r="BM5" s="85">
        <v>6</v>
      </c>
      <c r="BN5" s="86">
        <v>0.85</v>
      </c>
      <c r="BO5" s="87">
        <v>0.56000000000000005</v>
      </c>
      <c r="BP5" s="73"/>
      <c r="BQ5" s="73"/>
      <c r="CC5" s="78" t="s">
        <v>167</v>
      </c>
      <c r="CD5" s="79">
        <v>295</v>
      </c>
      <c r="CE5" s="79">
        <v>490</v>
      </c>
      <c r="CF5" s="78">
        <f t="shared" ref="CF5:CF19" si="1">CD5</f>
        <v>295</v>
      </c>
      <c r="CG5" s="78">
        <f t="shared" ref="CG5:CG19" si="2">CF5/1.15</f>
        <v>256.52173913043481</v>
      </c>
      <c r="CH5" s="78">
        <f t="shared" ref="CH5:CH19" si="3">CF5</f>
        <v>295</v>
      </c>
      <c r="CI5" s="78">
        <f t="shared" ref="CI5:CI19" si="4">0.7*CD5</f>
        <v>206.5</v>
      </c>
      <c r="CJ5" s="80">
        <v>200000</v>
      </c>
      <c r="DA5" s="81">
        <v>0</v>
      </c>
      <c r="DB5" s="81">
        <v>4.8000000000000001E-2</v>
      </c>
      <c r="DC5" s="81">
        <v>4.8000000000000001E-2</v>
      </c>
      <c r="DD5" s="88">
        <v>0</v>
      </c>
      <c r="DE5" s="81">
        <v>4.8000000000000001E-2</v>
      </c>
      <c r="DF5" s="73" t="s">
        <v>168</v>
      </c>
      <c r="DG5" s="73">
        <v>1.1499999999999999</v>
      </c>
      <c r="DH5" s="1" t="s">
        <v>169</v>
      </c>
      <c r="DI5" s="1" t="s">
        <v>170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4.4">
      <c r="A6" s="35" t="s">
        <v>46</v>
      </c>
      <c r="B6" s="36">
        <f t="shared" si="0"/>
        <v>206000</v>
      </c>
      <c r="C6" s="36">
        <v>250</v>
      </c>
      <c r="D6" s="111">
        <v>400</v>
      </c>
      <c r="E6" s="112">
        <v>1.1000000000000001</v>
      </c>
      <c r="F6" s="74"/>
      <c r="G6" s="74"/>
      <c r="H6" s="74"/>
      <c r="I6" s="74"/>
      <c r="K6" s="15">
        <v>8.8000000000000007</v>
      </c>
      <c r="L6" s="15">
        <v>830</v>
      </c>
      <c r="M6" s="15">
        <v>660</v>
      </c>
      <c r="N6" s="15">
        <v>332</v>
      </c>
      <c r="O6" s="15">
        <v>448</v>
      </c>
      <c r="P6" s="37"/>
      <c r="Q6" s="37"/>
      <c r="R6" s="37"/>
      <c r="S6" s="37"/>
      <c r="T6" s="37"/>
      <c r="V6" s="30">
        <v>16</v>
      </c>
      <c r="W6" s="14">
        <v>2</v>
      </c>
      <c r="X6" s="31">
        <f t="shared" ref="X6:X15" si="5">PI()*V6^2/4</f>
        <v>201.06192982974676</v>
      </c>
      <c r="Y6" s="14">
        <v>157</v>
      </c>
      <c r="Z6" s="14">
        <v>1</v>
      </c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V6" s="14">
        <v>390</v>
      </c>
      <c r="AW6" s="14">
        <v>610</v>
      </c>
      <c r="AX6" s="14">
        <v>515</v>
      </c>
      <c r="AZ6" s="14" t="s">
        <v>69</v>
      </c>
      <c r="BA6" s="14">
        <v>450</v>
      </c>
      <c r="BB6" s="14">
        <v>200</v>
      </c>
      <c r="BI6" s="89" t="s">
        <v>171</v>
      </c>
      <c r="BJ6" s="27" t="s">
        <v>172</v>
      </c>
      <c r="BK6" s="90">
        <v>24000</v>
      </c>
      <c r="BL6" s="91">
        <v>11</v>
      </c>
      <c r="BM6" s="91">
        <v>8.5</v>
      </c>
      <c r="BN6" s="92">
        <v>1.1000000000000001</v>
      </c>
      <c r="BO6" s="93">
        <v>0.75</v>
      </c>
      <c r="BP6" s="73" t="s">
        <v>173</v>
      </c>
      <c r="BQ6" s="73">
        <f>VALUE(MID(BP6,2,2))</f>
        <v>12</v>
      </c>
      <c r="CC6" s="78" t="s">
        <v>174</v>
      </c>
      <c r="CD6" s="79">
        <v>390</v>
      </c>
      <c r="CE6" s="79">
        <v>590</v>
      </c>
      <c r="CF6" s="78">
        <f t="shared" si="1"/>
        <v>390</v>
      </c>
      <c r="CG6" s="78">
        <f t="shared" si="2"/>
        <v>339.13043478260875</v>
      </c>
      <c r="CH6" s="78">
        <f t="shared" si="3"/>
        <v>390</v>
      </c>
      <c r="CI6" s="78">
        <f t="shared" si="4"/>
        <v>273</v>
      </c>
      <c r="CJ6" s="80">
        <v>200000</v>
      </c>
      <c r="DA6" s="81">
        <v>1</v>
      </c>
      <c r="DB6" s="81">
        <v>4.8000000000000001E-2</v>
      </c>
      <c r="DC6" s="81">
        <v>4.8000000000000001E-2</v>
      </c>
      <c r="DD6" s="94">
        <v>0.5</v>
      </c>
      <c r="DE6" s="81">
        <v>4.8000000000000001E-2</v>
      </c>
      <c r="DH6" s="1" t="s">
        <v>175</v>
      </c>
      <c r="DI6" s="1" t="s">
        <v>170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4.4">
      <c r="A7" s="35" t="s">
        <v>47</v>
      </c>
      <c r="B7" s="36">
        <f t="shared" si="0"/>
        <v>206000</v>
      </c>
      <c r="C7" s="36">
        <v>345</v>
      </c>
      <c r="D7" s="111">
        <v>450</v>
      </c>
      <c r="E7" s="112">
        <v>1.1000000000000001</v>
      </c>
      <c r="F7" s="74"/>
      <c r="G7" s="74"/>
      <c r="H7" s="74"/>
      <c r="I7" s="74"/>
      <c r="K7" s="15">
        <v>10.9</v>
      </c>
      <c r="L7" s="15">
        <v>1040</v>
      </c>
      <c r="M7" s="15">
        <v>940</v>
      </c>
      <c r="N7" s="15">
        <v>416</v>
      </c>
      <c r="O7" s="15">
        <v>728</v>
      </c>
      <c r="P7" s="37"/>
      <c r="Q7" s="37"/>
      <c r="R7" s="37"/>
      <c r="S7" s="37"/>
      <c r="T7" s="37"/>
      <c r="V7" s="30">
        <v>18</v>
      </c>
      <c r="W7" s="14">
        <v>2.5</v>
      </c>
      <c r="X7" s="31">
        <f t="shared" si="5"/>
        <v>254.46900494077323</v>
      </c>
      <c r="Y7" s="14">
        <v>192</v>
      </c>
      <c r="Z7" s="14">
        <v>1.05</v>
      </c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V7" s="14">
        <v>430</v>
      </c>
      <c r="AW7" s="14">
        <v>670</v>
      </c>
      <c r="AX7" s="14">
        <v>565</v>
      </c>
      <c r="AZ7" s="14" t="s">
        <v>70</v>
      </c>
      <c r="BA7" s="14">
        <v>490</v>
      </c>
      <c r="BB7" s="14">
        <v>215</v>
      </c>
      <c r="BI7" s="89" t="s">
        <v>176</v>
      </c>
      <c r="BJ7" s="27" t="s">
        <v>177</v>
      </c>
      <c r="BK7" s="90">
        <v>27500</v>
      </c>
      <c r="BL7" s="91">
        <v>15</v>
      </c>
      <c r="BM7" s="91">
        <v>11.5</v>
      </c>
      <c r="BN7" s="92">
        <v>1.35</v>
      </c>
      <c r="BO7" s="93">
        <v>0.9</v>
      </c>
      <c r="BP7" s="73" t="s">
        <v>178</v>
      </c>
      <c r="BQ7" s="73">
        <f t="shared" ref="BQ7" si="6">VALUE(MID(BP7,2,2))</f>
        <v>16</v>
      </c>
      <c r="CC7" s="78" t="s">
        <v>179</v>
      </c>
      <c r="CD7" s="79">
        <v>235</v>
      </c>
      <c r="CE7" s="79">
        <v>373</v>
      </c>
      <c r="CF7" s="78">
        <f t="shared" si="1"/>
        <v>235</v>
      </c>
      <c r="CG7" s="78">
        <f t="shared" si="2"/>
        <v>204.34782608695653</v>
      </c>
      <c r="CH7" s="78">
        <f t="shared" si="3"/>
        <v>235</v>
      </c>
      <c r="CI7" s="78">
        <f t="shared" si="4"/>
        <v>164.5</v>
      </c>
      <c r="CJ7" s="95">
        <v>200000</v>
      </c>
      <c r="DA7" s="81">
        <f>DA6+0.1</f>
        <v>1.1000000000000001</v>
      </c>
      <c r="DB7" s="81">
        <v>5.5E-2</v>
      </c>
      <c r="DC7" s="81">
        <v>4.9000000000000002E-2</v>
      </c>
      <c r="DD7" s="94">
        <f>DD6+0.1</f>
        <v>0.6</v>
      </c>
      <c r="DE7" s="81">
        <v>5.5E-2</v>
      </c>
      <c r="DH7" s="1" t="s">
        <v>180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4.4">
      <c r="A8" s="35" t="s">
        <v>48</v>
      </c>
      <c r="B8" s="36">
        <f t="shared" si="0"/>
        <v>206000</v>
      </c>
      <c r="C8" s="36">
        <v>235</v>
      </c>
      <c r="D8" s="111">
        <v>360</v>
      </c>
      <c r="E8" s="112">
        <v>1.05</v>
      </c>
      <c r="F8" s="74"/>
      <c r="G8" s="74"/>
      <c r="H8" s="74"/>
      <c r="I8" s="74"/>
      <c r="K8" s="15">
        <v>12.9</v>
      </c>
      <c r="L8" s="15">
        <v>1220</v>
      </c>
      <c r="M8" s="15">
        <v>1100</v>
      </c>
      <c r="N8" s="15">
        <v>427</v>
      </c>
      <c r="O8" s="15">
        <v>854</v>
      </c>
      <c r="P8" s="37"/>
      <c r="Q8" s="37"/>
      <c r="R8" s="37"/>
      <c r="S8" s="37"/>
      <c r="T8" s="37"/>
      <c r="V8" s="30">
        <v>20</v>
      </c>
      <c r="W8" s="14">
        <v>2.5</v>
      </c>
      <c r="X8" s="31">
        <f t="shared" si="5"/>
        <v>314.15926535897933</v>
      </c>
      <c r="Y8" s="14">
        <v>245</v>
      </c>
      <c r="Z8" s="14">
        <v>1.1000000000000001</v>
      </c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V8" s="14">
        <v>440</v>
      </c>
      <c r="AW8" s="14">
        <v>685</v>
      </c>
      <c r="AX8" s="14">
        <v>580</v>
      </c>
      <c r="BI8" s="89" t="s">
        <v>181</v>
      </c>
      <c r="BJ8" s="27" t="s">
        <v>182</v>
      </c>
      <c r="BK8" s="90">
        <f>(BK7+BK9)/2</f>
        <v>28750</v>
      </c>
      <c r="BL8" s="91">
        <f t="shared" ref="BL8:BO8" si="7">(BL7+BL9)/2</f>
        <v>16.75</v>
      </c>
      <c r="BM8" s="91">
        <f>(BM7+BM9)/2</f>
        <v>13</v>
      </c>
      <c r="BN8" s="91">
        <f t="shared" si="7"/>
        <v>1.4500000000000002</v>
      </c>
      <c r="BO8" s="91">
        <f t="shared" si="7"/>
        <v>0.97500000000000009</v>
      </c>
      <c r="BP8" s="73" t="s">
        <v>183</v>
      </c>
      <c r="BQ8" s="73">
        <v>18</v>
      </c>
      <c r="CC8" s="78" t="s">
        <v>184</v>
      </c>
      <c r="CD8" s="79">
        <v>295</v>
      </c>
      <c r="CE8" s="79">
        <v>490</v>
      </c>
      <c r="CF8" s="78">
        <f t="shared" si="1"/>
        <v>295</v>
      </c>
      <c r="CG8" s="78">
        <f t="shared" si="2"/>
        <v>256.52173913043481</v>
      </c>
      <c r="CH8" s="78">
        <f t="shared" si="3"/>
        <v>295</v>
      </c>
      <c r="CI8" s="78">
        <f t="shared" si="4"/>
        <v>206.5</v>
      </c>
      <c r="CJ8" s="95">
        <v>200000</v>
      </c>
      <c r="DA8" s="81">
        <f t="shared" ref="DA8:DA16" si="8">DA7+0.1</f>
        <v>1.2000000000000002</v>
      </c>
      <c r="DB8" s="81">
        <v>6.3E-2</v>
      </c>
      <c r="DC8" s="81">
        <v>0.05</v>
      </c>
      <c r="DD8" s="94">
        <f>DD7+0.1</f>
        <v>0.7</v>
      </c>
      <c r="DE8" s="81">
        <v>6.3E-2</v>
      </c>
    </row>
    <row r="9" spans="1:118" ht="14.4">
      <c r="A9" s="35" t="s">
        <v>49</v>
      </c>
      <c r="B9" s="36">
        <f t="shared" si="0"/>
        <v>206000</v>
      </c>
      <c r="C9" s="36">
        <v>225</v>
      </c>
      <c r="D9" s="111">
        <v>360</v>
      </c>
      <c r="E9" s="112">
        <v>1.05</v>
      </c>
      <c r="F9" s="74"/>
      <c r="G9" s="74"/>
      <c r="H9" s="74"/>
      <c r="I9" s="74"/>
      <c r="V9" s="30">
        <v>22</v>
      </c>
      <c r="W9" s="14">
        <v>2.5</v>
      </c>
      <c r="X9" s="31">
        <f t="shared" si="5"/>
        <v>380.13271108436498</v>
      </c>
      <c r="Y9" s="14">
        <v>303</v>
      </c>
      <c r="Z9" s="14">
        <v>1.1000000000000001</v>
      </c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V9" s="14">
        <v>450</v>
      </c>
      <c r="AW9" s="14">
        <v>700</v>
      </c>
      <c r="AX9" s="14">
        <v>595</v>
      </c>
      <c r="BI9" s="89" t="s">
        <v>185</v>
      </c>
      <c r="BJ9" s="27" t="s">
        <v>186</v>
      </c>
      <c r="BK9" s="90">
        <v>30000</v>
      </c>
      <c r="BL9" s="91">
        <v>18.5</v>
      </c>
      <c r="BM9" s="91">
        <v>14.5</v>
      </c>
      <c r="BN9" s="92">
        <v>1.55</v>
      </c>
      <c r="BO9" s="93">
        <v>1.05</v>
      </c>
      <c r="BP9" s="73" t="s">
        <v>187</v>
      </c>
      <c r="BQ9" s="73">
        <f t="shared" ref="BQ9:BQ16" si="9">VALUE(MID(BP9,2,2))</f>
        <v>20</v>
      </c>
      <c r="CC9" s="78" t="s">
        <v>188</v>
      </c>
      <c r="CD9" s="79">
        <v>390</v>
      </c>
      <c r="CE9" s="79">
        <v>590</v>
      </c>
      <c r="CF9" s="78">
        <f t="shared" si="1"/>
        <v>390</v>
      </c>
      <c r="CG9" s="78">
        <f t="shared" si="2"/>
        <v>339.13043478260875</v>
      </c>
      <c r="CH9" s="78">
        <f t="shared" si="3"/>
        <v>390</v>
      </c>
      <c r="CI9" s="78">
        <f t="shared" si="4"/>
        <v>273</v>
      </c>
      <c r="CJ9" s="95">
        <v>200000</v>
      </c>
      <c r="DA9" s="81">
        <f t="shared" si="8"/>
        <v>1.3000000000000003</v>
      </c>
      <c r="DB9" s="81">
        <v>6.9000000000000006E-2</v>
      </c>
      <c r="DC9" s="81">
        <v>0.05</v>
      </c>
      <c r="DD9" s="94">
        <f>DD8+0.1</f>
        <v>0.79999999999999993</v>
      </c>
      <c r="DE9" s="81">
        <v>6.9000000000000006E-2</v>
      </c>
    </row>
    <row r="10" spans="1:118" ht="14.4">
      <c r="A10" s="35" t="s">
        <v>50</v>
      </c>
      <c r="B10" s="36">
        <f t="shared" si="0"/>
        <v>206000</v>
      </c>
      <c r="C10" s="36">
        <v>215</v>
      </c>
      <c r="D10" s="111">
        <v>360</v>
      </c>
      <c r="E10" s="112">
        <v>1.05</v>
      </c>
      <c r="F10" s="74"/>
      <c r="G10" s="74"/>
      <c r="H10" s="74"/>
      <c r="I10" s="74"/>
      <c r="V10" s="30">
        <v>24</v>
      </c>
      <c r="W10" s="14">
        <v>3</v>
      </c>
      <c r="X10" s="31">
        <f t="shared" si="5"/>
        <v>452.38934211693021</v>
      </c>
      <c r="Y10" s="14">
        <v>353</v>
      </c>
      <c r="Z10" s="14">
        <v>1.1000000000000001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V10" s="14">
        <v>460</v>
      </c>
      <c r="AW10" s="14">
        <v>720</v>
      </c>
      <c r="AX10" s="14">
        <v>605</v>
      </c>
      <c r="BI10" s="89" t="s">
        <v>189</v>
      </c>
      <c r="BJ10" s="27" t="s">
        <v>190</v>
      </c>
      <c r="BK10" s="90">
        <v>32500</v>
      </c>
      <c r="BL10" s="91">
        <v>22</v>
      </c>
      <c r="BM10" s="91">
        <v>17</v>
      </c>
      <c r="BN10" s="92">
        <v>1.75</v>
      </c>
      <c r="BO10" s="93">
        <v>1.1499999999999999</v>
      </c>
      <c r="BP10" s="73" t="s">
        <v>191</v>
      </c>
      <c r="BQ10" s="73">
        <f t="shared" si="9"/>
        <v>25</v>
      </c>
      <c r="CC10" s="78" t="s">
        <v>192</v>
      </c>
      <c r="CD10" s="79">
        <v>240</v>
      </c>
      <c r="CE10" s="79">
        <v>380</v>
      </c>
      <c r="CF10" s="78">
        <f t="shared" si="1"/>
        <v>240</v>
      </c>
      <c r="CG10" s="78">
        <f>CD10/1.15</f>
        <v>208.69565217391306</v>
      </c>
      <c r="CH10" s="78">
        <f t="shared" si="3"/>
        <v>240</v>
      </c>
      <c r="CI10" s="78">
        <v>170</v>
      </c>
      <c r="CJ10" s="80">
        <v>200000</v>
      </c>
      <c r="DA10" s="81">
        <f t="shared" si="8"/>
        <v>1.4000000000000004</v>
      </c>
      <c r="DB10" s="81">
        <v>7.4999999999999997E-2</v>
      </c>
      <c r="DC10" s="81">
        <v>0.05</v>
      </c>
      <c r="DD10" s="94">
        <f>DD9+0.1</f>
        <v>0.89999999999999991</v>
      </c>
      <c r="DE10" s="81">
        <v>7.4999999999999997E-2</v>
      </c>
    </row>
    <row r="11" spans="1:118" ht="14.4">
      <c r="A11" s="35" t="s">
        <v>51</v>
      </c>
      <c r="B11" s="36">
        <f t="shared" si="0"/>
        <v>206000</v>
      </c>
      <c r="C11" s="36">
        <v>215</v>
      </c>
      <c r="D11" s="111">
        <v>360</v>
      </c>
      <c r="E11" s="112">
        <v>1.05</v>
      </c>
      <c r="F11" s="74"/>
      <c r="G11" s="74"/>
      <c r="H11" s="74"/>
      <c r="I11" s="74"/>
      <c r="V11" s="30">
        <v>27</v>
      </c>
      <c r="W11" s="14">
        <v>3</v>
      </c>
      <c r="X11" s="31">
        <f t="shared" si="5"/>
        <v>572.55526111673976</v>
      </c>
      <c r="Y11" s="14">
        <v>459</v>
      </c>
      <c r="Z11" s="14">
        <v>1.2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V11" s="14">
        <v>470</v>
      </c>
      <c r="AW11" s="14">
        <v>735</v>
      </c>
      <c r="AX11" s="14">
        <v>620</v>
      </c>
      <c r="BI11" s="89" t="s">
        <v>193</v>
      </c>
      <c r="BJ11" s="27" t="s">
        <v>194</v>
      </c>
      <c r="BK11" s="90">
        <v>34500</v>
      </c>
      <c r="BL11" s="91">
        <v>25.5</v>
      </c>
      <c r="BM11" s="91">
        <v>19.5</v>
      </c>
      <c r="BN11" s="92">
        <v>1.95</v>
      </c>
      <c r="BO11" s="93">
        <v>1.3</v>
      </c>
      <c r="BP11" s="73" t="s">
        <v>195</v>
      </c>
      <c r="BQ11" s="73">
        <f t="shared" si="9"/>
        <v>28</v>
      </c>
      <c r="CC11" s="78" t="s">
        <v>196</v>
      </c>
      <c r="CD11" s="79">
        <v>300</v>
      </c>
      <c r="CE11" s="79">
        <v>440</v>
      </c>
      <c r="CF11" s="78">
        <f t="shared" si="1"/>
        <v>300</v>
      </c>
      <c r="CG11" s="78">
        <f t="shared" ref="CG11:CG14" si="10">CD11/1.15</f>
        <v>260.86956521739131</v>
      </c>
      <c r="CH11" s="78">
        <f t="shared" si="3"/>
        <v>300</v>
      </c>
      <c r="CI11" s="78">
        <v>210</v>
      </c>
      <c r="CJ11" s="80">
        <v>200000</v>
      </c>
      <c r="DA11" s="81">
        <f t="shared" si="8"/>
        <v>1.5000000000000004</v>
      </c>
      <c r="DB11" s="81">
        <v>8.1000000000000003E-2</v>
      </c>
      <c r="DC11" s="81">
        <v>0.05</v>
      </c>
      <c r="DD11" s="94">
        <f>DD10+0.1</f>
        <v>0.99999999999999989</v>
      </c>
      <c r="DE11" s="81">
        <v>8.1000000000000003E-2</v>
      </c>
    </row>
    <row r="12" spans="1:118" ht="14.4">
      <c r="A12" s="35" t="s">
        <v>52</v>
      </c>
      <c r="B12" s="36">
        <f t="shared" si="0"/>
        <v>206000</v>
      </c>
      <c r="C12" s="36">
        <v>215</v>
      </c>
      <c r="D12" s="111">
        <v>360</v>
      </c>
      <c r="E12" s="112">
        <v>1.05</v>
      </c>
      <c r="F12" s="74"/>
      <c r="G12" s="74"/>
      <c r="H12" s="74"/>
      <c r="I12" s="74"/>
      <c r="V12" s="30">
        <v>30</v>
      </c>
      <c r="W12" s="14">
        <v>3.5</v>
      </c>
      <c r="X12" s="31">
        <f t="shared" si="5"/>
        <v>706.85834705770344</v>
      </c>
      <c r="Y12" s="14">
        <v>561</v>
      </c>
      <c r="Z12" s="14">
        <v>1.3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V12" s="14">
        <v>480</v>
      </c>
      <c r="AW12" s="14">
        <v>750</v>
      </c>
      <c r="AX12" s="14">
        <v>630</v>
      </c>
      <c r="BI12" s="89" t="s">
        <v>197</v>
      </c>
      <c r="BJ12" s="27" t="s">
        <v>198</v>
      </c>
      <c r="BK12" s="90">
        <v>36000</v>
      </c>
      <c r="BL12" s="91">
        <v>29</v>
      </c>
      <c r="BM12" s="91">
        <v>22</v>
      </c>
      <c r="BN12" s="92">
        <v>2.1</v>
      </c>
      <c r="BO12" s="93">
        <v>1.4</v>
      </c>
      <c r="BP12" s="73" t="s">
        <v>199</v>
      </c>
      <c r="BQ12" s="73">
        <f t="shared" si="9"/>
        <v>32</v>
      </c>
      <c r="CC12" s="78" t="s">
        <v>200</v>
      </c>
      <c r="CD12" s="79">
        <v>300</v>
      </c>
      <c r="CE12" s="79">
        <v>450</v>
      </c>
      <c r="CF12" s="78">
        <f t="shared" si="1"/>
        <v>300</v>
      </c>
      <c r="CG12" s="78">
        <f t="shared" si="10"/>
        <v>260.86956521739131</v>
      </c>
      <c r="CH12" s="78">
        <f t="shared" si="3"/>
        <v>300</v>
      </c>
      <c r="CI12" s="78">
        <v>210</v>
      </c>
      <c r="CJ12" s="80">
        <v>200000</v>
      </c>
      <c r="DA12" s="81">
        <f t="shared" si="8"/>
        <v>1.6000000000000005</v>
      </c>
      <c r="DB12" s="81">
        <v>8.5999999999999993E-2</v>
      </c>
      <c r="DC12" s="81">
        <v>4.9000000000000002E-2</v>
      </c>
      <c r="DD12" s="94">
        <v>1.2</v>
      </c>
      <c r="DE12" s="81">
        <v>8.5999999999999993E-2</v>
      </c>
    </row>
    <row r="13" spans="1:118" ht="14.4">
      <c r="A13" s="35" t="s">
        <v>53</v>
      </c>
      <c r="B13" s="36">
        <f t="shared" si="0"/>
        <v>206000</v>
      </c>
      <c r="C13" s="36">
        <v>275</v>
      </c>
      <c r="D13" s="111">
        <v>410</v>
      </c>
      <c r="E13" s="112">
        <v>1.05</v>
      </c>
      <c r="F13" s="74"/>
      <c r="G13" s="74"/>
      <c r="H13" s="74"/>
      <c r="I13" s="74"/>
      <c r="V13" s="30">
        <v>36</v>
      </c>
      <c r="W13" s="14">
        <v>4</v>
      </c>
      <c r="X13" s="31">
        <f t="shared" si="5"/>
        <v>1017.8760197630929</v>
      </c>
      <c r="Y13" s="14">
        <v>816</v>
      </c>
      <c r="Z13" s="14">
        <v>1.3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V13" s="14">
        <v>490</v>
      </c>
      <c r="AW13" s="14">
        <v>765</v>
      </c>
      <c r="AX13" s="14">
        <v>645</v>
      </c>
      <c r="BI13" s="89" t="s">
        <v>201</v>
      </c>
      <c r="BJ13" s="27" t="s">
        <v>202</v>
      </c>
      <c r="BK13" s="90">
        <v>37000</v>
      </c>
      <c r="BL13" s="91">
        <v>32</v>
      </c>
      <c r="BM13" s="91">
        <v>25</v>
      </c>
      <c r="BN13" s="92">
        <v>2.25</v>
      </c>
      <c r="BO13" s="93">
        <v>1.5</v>
      </c>
      <c r="BP13" s="73" t="s">
        <v>203</v>
      </c>
      <c r="BQ13" s="73">
        <f t="shared" si="9"/>
        <v>35</v>
      </c>
      <c r="CC13" s="78" t="s">
        <v>204</v>
      </c>
      <c r="CD13" s="79">
        <v>400</v>
      </c>
      <c r="CE13" s="79">
        <v>570</v>
      </c>
      <c r="CF13" s="78">
        <f t="shared" si="1"/>
        <v>400</v>
      </c>
      <c r="CG13" s="78">
        <f t="shared" si="10"/>
        <v>347.82608695652175</v>
      </c>
      <c r="CH13" s="78">
        <f t="shared" si="3"/>
        <v>400</v>
      </c>
      <c r="CI13" s="78">
        <v>280</v>
      </c>
      <c r="CJ13" s="80">
        <v>200000</v>
      </c>
      <c r="DA13" s="81">
        <f t="shared" si="8"/>
        <v>1.7000000000000006</v>
      </c>
      <c r="DB13" s="81">
        <v>9.0999999999999998E-2</v>
      </c>
      <c r="DC13" s="81">
        <v>4.8000000000000001E-2</v>
      </c>
      <c r="DD13" s="94">
        <v>1.4</v>
      </c>
      <c r="DE13" s="81">
        <v>9.0999999999999998E-2</v>
      </c>
    </row>
    <row r="14" spans="1:118" ht="14.4">
      <c r="A14" s="35" t="s">
        <v>54</v>
      </c>
      <c r="B14" s="36">
        <f t="shared" si="0"/>
        <v>206000</v>
      </c>
      <c r="C14" s="36">
        <v>265</v>
      </c>
      <c r="D14" s="111">
        <v>410</v>
      </c>
      <c r="E14" s="112">
        <v>1.05</v>
      </c>
      <c r="F14" s="74"/>
      <c r="G14" s="74"/>
      <c r="H14" s="74"/>
      <c r="I14" s="74"/>
      <c r="V14" s="30">
        <v>42</v>
      </c>
      <c r="W14" s="14">
        <v>4.5</v>
      </c>
      <c r="X14" s="31">
        <f t="shared" si="5"/>
        <v>1385.4423602330987</v>
      </c>
      <c r="Y14" s="14">
        <v>1120</v>
      </c>
      <c r="Z14" s="14">
        <v>1.6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V14" s="14">
        <v>510</v>
      </c>
      <c r="AW14" s="14">
        <v>795</v>
      </c>
      <c r="AX14" s="14">
        <v>670</v>
      </c>
      <c r="BI14" s="89" t="s">
        <v>205</v>
      </c>
      <c r="BJ14" s="27" t="s">
        <v>206</v>
      </c>
      <c r="BK14" s="90">
        <v>38000</v>
      </c>
      <c r="BL14" s="91">
        <v>36</v>
      </c>
      <c r="BM14" s="91">
        <v>27.5</v>
      </c>
      <c r="BN14" s="92">
        <v>2.4500000000000002</v>
      </c>
      <c r="BO14" s="93">
        <v>1.6</v>
      </c>
      <c r="BP14" s="73" t="s">
        <v>207</v>
      </c>
      <c r="BQ14" s="73">
        <f t="shared" si="9"/>
        <v>40</v>
      </c>
      <c r="CC14" s="78" t="s">
        <v>208</v>
      </c>
      <c r="CD14" s="79">
        <v>500</v>
      </c>
      <c r="CE14" s="79">
        <v>650</v>
      </c>
      <c r="CF14" s="78">
        <f t="shared" si="1"/>
        <v>500</v>
      </c>
      <c r="CG14" s="78">
        <f t="shared" si="10"/>
        <v>434.78260869565219</v>
      </c>
      <c r="CH14" s="78">
        <f t="shared" si="3"/>
        <v>500</v>
      </c>
      <c r="CI14" s="78">
        <v>300</v>
      </c>
      <c r="CJ14" s="80">
        <v>200000</v>
      </c>
      <c r="DA14" s="81">
        <f t="shared" si="8"/>
        <v>1.8000000000000007</v>
      </c>
      <c r="DB14" s="81">
        <v>9.4E-2</v>
      </c>
      <c r="DC14" s="81">
        <v>4.8000000000000001E-2</v>
      </c>
      <c r="DD14" s="94">
        <v>2</v>
      </c>
      <c r="DE14" s="81">
        <v>9.4E-2</v>
      </c>
    </row>
    <row r="15" spans="1:118" ht="14.4">
      <c r="A15" s="35" t="s">
        <v>55</v>
      </c>
      <c r="B15" s="36">
        <f t="shared" si="0"/>
        <v>206000</v>
      </c>
      <c r="C15" s="36">
        <v>255</v>
      </c>
      <c r="D15" s="111">
        <v>410</v>
      </c>
      <c r="E15" s="112">
        <v>1.05</v>
      </c>
      <c r="F15" s="74"/>
      <c r="G15" s="74"/>
      <c r="H15" s="74"/>
      <c r="I15" s="74"/>
      <c r="V15" s="30">
        <v>48</v>
      </c>
      <c r="W15" s="14">
        <v>5</v>
      </c>
      <c r="X15" s="31">
        <f t="shared" si="5"/>
        <v>1809.5573684677208</v>
      </c>
      <c r="Y15" s="14">
        <v>1472</v>
      </c>
      <c r="Z15" s="14">
        <v>1.6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V15" s="14">
        <v>540</v>
      </c>
      <c r="AW15" s="14">
        <v>845</v>
      </c>
      <c r="AX15" s="14">
        <v>710</v>
      </c>
      <c r="BI15" s="89" t="s">
        <v>205</v>
      </c>
      <c r="BJ15" s="27" t="s">
        <v>209</v>
      </c>
      <c r="BK15" s="90">
        <v>39000</v>
      </c>
      <c r="BL15" s="91">
        <v>39.5</v>
      </c>
      <c r="BM15" s="91">
        <v>30</v>
      </c>
      <c r="BN15" s="92">
        <v>2.6</v>
      </c>
      <c r="BO15" s="93">
        <v>1.7</v>
      </c>
      <c r="BP15" s="73" t="s">
        <v>210</v>
      </c>
      <c r="BQ15" s="73">
        <f t="shared" si="9"/>
        <v>45</v>
      </c>
      <c r="CC15" s="78" t="s">
        <v>211</v>
      </c>
      <c r="CD15" s="79">
        <v>235</v>
      </c>
      <c r="CE15" s="79">
        <v>380</v>
      </c>
      <c r="CF15" s="78">
        <f t="shared" si="1"/>
        <v>235</v>
      </c>
      <c r="CG15" s="78">
        <f t="shared" si="2"/>
        <v>204.34782608695653</v>
      </c>
      <c r="CH15" s="78">
        <f t="shared" si="3"/>
        <v>235</v>
      </c>
      <c r="CI15" s="78">
        <f t="shared" si="4"/>
        <v>164.5</v>
      </c>
      <c r="CJ15" s="96">
        <v>200000</v>
      </c>
      <c r="DA15" s="81">
        <f t="shared" si="8"/>
        <v>1.9000000000000008</v>
      </c>
      <c r="DB15" s="81">
        <v>9.8000000000000004E-2</v>
      </c>
      <c r="DC15" s="81">
        <v>4.7E-2</v>
      </c>
      <c r="DD15" s="94">
        <v>2.0000100000000001</v>
      </c>
      <c r="DE15" s="81">
        <v>9.8000000000000004E-2</v>
      </c>
    </row>
    <row r="16" spans="1:118" ht="15" thickBot="1">
      <c r="A16" s="35" t="s">
        <v>56</v>
      </c>
      <c r="B16" s="36">
        <f t="shared" si="0"/>
        <v>206000</v>
      </c>
      <c r="C16" s="36">
        <v>245</v>
      </c>
      <c r="D16" s="111">
        <v>410</v>
      </c>
      <c r="E16" s="112">
        <v>1.05</v>
      </c>
      <c r="F16" s="74"/>
      <c r="G16" s="74"/>
      <c r="H16" s="74"/>
      <c r="I16" s="74"/>
      <c r="AV16" s="14">
        <v>570</v>
      </c>
      <c r="AW16" s="14">
        <v>890</v>
      </c>
      <c r="AX16" s="14">
        <v>750</v>
      </c>
      <c r="BI16" s="97" t="s">
        <v>212</v>
      </c>
      <c r="BJ16" s="98" t="s">
        <v>213</v>
      </c>
      <c r="BK16" s="99">
        <v>39500</v>
      </c>
      <c r="BL16" s="100">
        <v>43</v>
      </c>
      <c r="BM16" s="100">
        <v>33</v>
      </c>
      <c r="BN16" s="101">
        <v>2.75</v>
      </c>
      <c r="BO16" s="102">
        <v>1.8</v>
      </c>
      <c r="BP16" s="73" t="s">
        <v>214</v>
      </c>
      <c r="BQ16" s="73">
        <f t="shared" si="9"/>
        <v>50</v>
      </c>
      <c r="CC16" s="78" t="s">
        <v>215</v>
      </c>
      <c r="CD16" s="79">
        <v>295</v>
      </c>
      <c r="CE16" s="79">
        <v>440</v>
      </c>
      <c r="CF16" s="78">
        <f t="shared" si="1"/>
        <v>295</v>
      </c>
      <c r="CG16" s="78">
        <f t="shared" si="2"/>
        <v>256.52173913043481</v>
      </c>
      <c r="CH16" s="78">
        <f t="shared" si="3"/>
        <v>295</v>
      </c>
      <c r="CI16" s="78">
        <f t="shared" si="4"/>
        <v>206.5</v>
      </c>
      <c r="CJ16" s="96">
        <v>200000</v>
      </c>
      <c r="DA16" s="81">
        <f t="shared" si="8"/>
        <v>2.0000000000000009</v>
      </c>
      <c r="DB16" s="81">
        <v>0.1</v>
      </c>
      <c r="DC16" s="81">
        <v>4.5999999999999999E-2</v>
      </c>
      <c r="DD16" s="94">
        <v>100</v>
      </c>
      <c r="DE16" s="81">
        <v>9.8000000000000004E-2</v>
      </c>
    </row>
    <row r="17" spans="1:109">
      <c r="A17" s="35" t="s">
        <v>57</v>
      </c>
      <c r="B17" s="36">
        <f t="shared" si="0"/>
        <v>206000</v>
      </c>
      <c r="C17" s="36">
        <v>235</v>
      </c>
      <c r="D17" s="111">
        <v>410</v>
      </c>
      <c r="E17" s="112">
        <v>1.05</v>
      </c>
      <c r="F17" s="74"/>
      <c r="G17" s="74"/>
      <c r="H17" s="74"/>
      <c r="I17" s="74"/>
      <c r="AV17" s="14">
        <v>590</v>
      </c>
      <c r="AW17" s="14">
        <v>920</v>
      </c>
      <c r="AX17" s="14">
        <v>775</v>
      </c>
      <c r="CC17" s="78" t="s">
        <v>216</v>
      </c>
      <c r="CD17" s="79">
        <v>295</v>
      </c>
      <c r="CE17" s="79">
        <v>440</v>
      </c>
      <c r="CF17" s="78">
        <f t="shared" si="1"/>
        <v>295</v>
      </c>
      <c r="CG17" s="78">
        <f t="shared" si="2"/>
        <v>256.52173913043481</v>
      </c>
      <c r="CH17" s="78">
        <f t="shared" si="3"/>
        <v>295</v>
      </c>
      <c r="CI17" s="78">
        <f t="shared" si="4"/>
        <v>206.5</v>
      </c>
      <c r="CJ17" s="96">
        <v>200000</v>
      </c>
      <c r="DA17" s="81">
        <v>2.0001000000000002</v>
      </c>
      <c r="DB17" s="81">
        <v>0.125</v>
      </c>
      <c r="DC17" s="81">
        <v>3.6999999999999998E-2</v>
      </c>
      <c r="DD17" s="81"/>
      <c r="DE17" s="81"/>
    </row>
    <row r="18" spans="1:109">
      <c r="A18" s="35" t="s">
        <v>58</v>
      </c>
      <c r="B18" s="36">
        <f t="shared" si="0"/>
        <v>206000</v>
      </c>
      <c r="C18" s="36">
        <v>355</v>
      </c>
      <c r="D18" s="111">
        <v>470</v>
      </c>
      <c r="E18" s="112">
        <v>1.05</v>
      </c>
      <c r="F18" s="74"/>
      <c r="G18" s="74"/>
      <c r="H18" s="74"/>
      <c r="I18" s="74"/>
      <c r="AV18" s="14"/>
      <c r="AW18" s="14"/>
      <c r="AX18" s="14"/>
      <c r="CC18" s="78" t="s">
        <v>217</v>
      </c>
      <c r="CD18" s="79">
        <v>390</v>
      </c>
      <c r="CE18" s="79">
        <v>560</v>
      </c>
      <c r="CF18" s="78">
        <f t="shared" si="1"/>
        <v>390</v>
      </c>
      <c r="CG18" s="78">
        <f t="shared" si="2"/>
        <v>339.13043478260875</v>
      </c>
      <c r="CH18" s="78">
        <f t="shared" si="3"/>
        <v>390</v>
      </c>
      <c r="CI18" s="78">
        <f t="shared" si="4"/>
        <v>273</v>
      </c>
      <c r="CJ18" s="95">
        <v>200000</v>
      </c>
      <c r="DA18" s="81">
        <v>999</v>
      </c>
      <c r="DB18" s="81">
        <v>0.125</v>
      </c>
      <c r="DC18" s="81">
        <v>3.6999999999999998E-2</v>
      </c>
      <c r="DD18" s="81"/>
      <c r="DE18" s="81"/>
    </row>
    <row r="19" spans="1:109">
      <c r="A19" s="35" t="s">
        <v>59</v>
      </c>
      <c r="B19" s="36">
        <f t="shared" si="0"/>
        <v>206000</v>
      </c>
      <c r="C19" s="36">
        <v>345</v>
      </c>
      <c r="D19" s="111">
        <v>470</v>
      </c>
      <c r="E19" s="112">
        <v>1.05</v>
      </c>
      <c r="F19" s="74"/>
      <c r="G19" s="74"/>
      <c r="H19" s="74"/>
      <c r="I19" s="74"/>
      <c r="AV19" s="14"/>
      <c r="AW19" s="14"/>
      <c r="AX19" s="14"/>
      <c r="CC19" s="78" t="s">
        <v>218</v>
      </c>
      <c r="CD19" s="79">
        <v>490</v>
      </c>
      <c r="CE19" s="79">
        <v>620</v>
      </c>
      <c r="CF19" s="78">
        <f t="shared" si="1"/>
        <v>490</v>
      </c>
      <c r="CG19" s="78">
        <f t="shared" si="2"/>
        <v>426.08695652173918</v>
      </c>
      <c r="CH19" s="78">
        <f t="shared" si="3"/>
        <v>490</v>
      </c>
      <c r="CI19" s="78">
        <f t="shared" si="4"/>
        <v>343</v>
      </c>
      <c r="CJ19" s="96">
        <v>200000</v>
      </c>
    </row>
    <row r="20" spans="1:109">
      <c r="A20" s="35" t="s">
        <v>60</v>
      </c>
      <c r="B20" s="36">
        <f t="shared" si="0"/>
        <v>206000</v>
      </c>
      <c r="C20" s="36">
        <v>335</v>
      </c>
      <c r="D20" s="111">
        <v>470</v>
      </c>
      <c r="E20" s="112">
        <v>1.05</v>
      </c>
      <c r="F20" s="74"/>
      <c r="G20" s="74"/>
      <c r="H20" s="74"/>
      <c r="I20" s="74"/>
      <c r="AV20" s="14"/>
      <c r="AW20" s="14"/>
      <c r="AX20" s="14"/>
      <c r="CC20" s="103"/>
      <c r="CD20" s="104"/>
      <c r="CE20" s="104"/>
    </row>
    <row r="21" spans="1:109">
      <c r="A21" s="35" t="s">
        <v>61</v>
      </c>
      <c r="B21" s="36">
        <f t="shared" si="0"/>
        <v>206000</v>
      </c>
      <c r="C21" s="36">
        <v>325</v>
      </c>
      <c r="D21" s="111">
        <v>470</v>
      </c>
      <c r="E21" s="112">
        <v>1.05</v>
      </c>
      <c r="F21" s="74"/>
      <c r="G21" s="74"/>
      <c r="H21" s="74"/>
      <c r="I21" s="74"/>
      <c r="AV21" s="14"/>
      <c r="AW21" s="14"/>
      <c r="AX21" s="14"/>
      <c r="CC21" s="103"/>
      <c r="CD21" s="104"/>
      <c r="CE21" s="104"/>
    </row>
    <row r="22" spans="1:109">
      <c r="A22" s="35" t="s">
        <v>62</v>
      </c>
      <c r="B22" s="36">
        <f t="shared" si="0"/>
        <v>206000</v>
      </c>
      <c r="C22" s="36">
        <v>315</v>
      </c>
      <c r="D22" s="111">
        <v>470</v>
      </c>
      <c r="E22" s="112">
        <v>1.05</v>
      </c>
      <c r="F22" s="74"/>
      <c r="G22" s="74"/>
      <c r="H22" s="74"/>
      <c r="I22" s="74"/>
      <c r="AV22" s="14"/>
      <c r="AW22" s="14"/>
      <c r="AX22" s="14"/>
    </row>
    <row r="23" spans="1:109">
      <c r="A23" s="35" t="s">
        <v>219</v>
      </c>
      <c r="B23" s="36">
        <f t="shared" si="0"/>
        <v>206000</v>
      </c>
      <c r="C23" s="36">
        <v>205</v>
      </c>
      <c r="D23" s="111">
        <v>330</v>
      </c>
      <c r="E23" s="112">
        <v>1.05</v>
      </c>
      <c r="F23" s="74"/>
      <c r="G23" s="74"/>
      <c r="H23" s="74"/>
      <c r="I23" s="74"/>
      <c r="AV23" s="14"/>
      <c r="AW23" s="14"/>
      <c r="AX23" s="14"/>
    </row>
    <row r="24" spans="1:109">
      <c r="A24" s="35" t="s">
        <v>220</v>
      </c>
      <c r="B24" s="36">
        <f t="shared" si="0"/>
        <v>206000</v>
      </c>
      <c r="C24" s="36">
        <v>195</v>
      </c>
      <c r="D24" s="111">
        <v>330</v>
      </c>
      <c r="E24" s="112">
        <v>1.05</v>
      </c>
      <c r="F24" s="74"/>
      <c r="G24" s="74"/>
      <c r="H24" s="74"/>
      <c r="I24" s="74"/>
    </row>
    <row r="25" spans="1:109">
      <c r="A25" s="35" t="s">
        <v>221</v>
      </c>
      <c r="B25" s="36">
        <f t="shared" si="0"/>
        <v>206000</v>
      </c>
      <c r="C25" s="36">
        <v>245</v>
      </c>
      <c r="D25" s="111">
        <v>400</v>
      </c>
      <c r="E25" s="112">
        <v>1.05</v>
      </c>
      <c r="F25" s="74"/>
      <c r="G25" s="74"/>
      <c r="H25" s="74"/>
      <c r="I25" s="74"/>
    </row>
    <row r="26" spans="1:109">
      <c r="A26" s="35" t="s">
        <v>222</v>
      </c>
      <c r="B26" s="36">
        <f t="shared" si="0"/>
        <v>206000</v>
      </c>
      <c r="C26" s="36">
        <v>235</v>
      </c>
      <c r="D26" s="111">
        <v>400</v>
      </c>
      <c r="E26" s="112">
        <v>1.05</v>
      </c>
      <c r="F26" s="74"/>
      <c r="G26" s="74"/>
      <c r="H26" s="74"/>
      <c r="I26" s="74"/>
    </row>
    <row r="27" spans="1:109">
      <c r="A27" s="35" t="s">
        <v>223</v>
      </c>
      <c r="B27" s="36">
        <f t="shared" si="0"/>
        <v>206000</v>
      </c>
      <c r="C27" s="36">
        <v>285</v>
      </c>
      <c r="D27" s="111">
        <v>490</v>
      </c>
      <c r="E27" s="112">
        <v>1.05</v>
      </c>
      <c r="F27" s="74"/>
      <c r="G27" s="74"/>
      <c r="H27" s="74"/>
      <c r="I27" s="74"/>
    </row>
    <row r="28" spans="1:109">
      <c r="A28" s="35" t="s">
        <v>224</v>
      </c>
      <c r="B28" s="36">
        <f t="shared" si="0"/>
        <v>206000</v>
      </c>
      <c r="C28" s="36">
        <v>275</v>
      </c>
      <c r="D28" s="111">
        <v>490</v>
      </c>
      <c r="E28" s="112">
        <v>1.05</v>
      </c>
      <c r="F28" s="74"/>
      <c r="G28" s="74"/>
      <c r="H28" s="74"/>
      <c r="I28" s="74"/>
    </row>
    <row r="29" spans="1:109">
      <c r="A29" s="35" t="s">
        <v>225</v>
      </c>
      <c r="B29" s="36">
        <f t="shared" si="0"/>
        <v>206000</v>
      </c>
      <c r="C29" s="36">
        <v>400</v>
      </c>
      <c r="D29" s="111">
        <v>540</v>
      </c>
      <c r="E29" s="112">
        <v>1.05</v>
      </c>
      <c r="F29" s="74"/>
      <c r="G29" s="74"/>
      <c r="H29" s="74"/>
      <c r="I29" s="74"/>
    </row>
    <row r="30" spans="1:109">
      <c r="A30" s="35" t="s">
        <v>226</v>
      </c>
      <c r="B30" s="36">
        <f t="shared" si="0"/>
        <v>206000</v>
      </c>
      <c r="C30" s="36">
        <v>390</v>
      </c>
      <c r="D30" s="111">
        <v>540</v>
      </c>
      <c r="E30" s="112">
        <v>1.05</v>
      </c>
    </row>
    <row r="31" spans="1:109">
      <c r="A31" s="35" t="s">
        <v>238</v>
      </c>
      <c r="B31" s="36">
        <f t="shared" si="0"/>
        <v>206000</v>
      </c>
      <c r="C31" s="36">
        <v>220</v>
      </c>
      <c r="D31" s="111">
        <v>340</v>
      </c>
      <c r="E31" s="112">
        <v>1.05</v>
      </c>
    </row>
    <row r="32" spans="1:109">
      <c r="A32" s="35" t="s">
        <v>239</v>
      </c>
      <c r="B32" s="36">
        <f t="shared" si="0"/>
        <v>206000</v>
      </c>
      <c r="C32" s="36">
        <v>240</v>
      </c>
      <c r="D32" s="111">
        <v>380</v>
      </c>
      <c r="E32" s="112">
        <v>1.05</v>
      </c>
    </row>
    <row r="33" spans="1:5">
      <c r="A33" s="35" t="s">
        <v>240</v>
      </c>
      <c r="B33" s="36">
        <f t="shared" si="0"/>
        <v>206000</v>
      </c>
      <c r="C33" s="36">
        <v>260</v>
      </c>
      <c r="D33" s="111">
        <v>420</v>
      </c>
      <c r="E33" s="112">
        <v>1.05</v>
      </c>
    </row>
  </sheetData>
  <mergeCells count="17">
    <mergeCell ref="BK1:BK3"/>
    <mergeCell ref="BL1:BO1"/>
    <mergeCell ref="BP1:BQ2"/>
    <mergeCell ref="CC1:CJ1"/>
    <mergeCell ref="DA1:DE1"/>
    <mergeCell ref="DF1:DG1"/>
    <mergeCell ref="BL2:BM2"/>
    <mergeCell ref="BN2:BO2"/>
    <mergeCell ref="CC2:CC3"/>
    <mergeCell ref="DA2:DC3"/>
    <mergeCell ref="DD2:DE3"/>
    <mergeCell ref="BP3:BP4"/>
    <mergeCell ref="BI1:BJ4"/>
    <mergeCell ref="K1:O2"/>
    <mergeCell ref="V1:Z2"/>
    <mergeCell ref="AV1:AX1"/>
    <mergeCell ref="AZ1:BB1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B1:AC122"/>
  <sheetViews>
    <sheetView showGridLines="0" tabSelected="1" topLeftCell="A59" zoomScale="130" zoomScaleNormal="130" zoomScaleSheetLayoutView="100" workbookViewId="0">
      <selection activeCell="R79" sqref="R79"/>
    </sheetView>
  </sheetViews>
  <sheetFormatPr defaultColWidth="7.33203125" defaultRowHeight="13.8"/>
  <cols>
    <col min="1" max="1" width="1.5546875" style="1" customWidth="1"/>
    <col min="2" max="6" width="6.6640625" style="1" customWidth="1"/>
    <col min="7" max="7" width="2.88671875" style="2" customWidth="1"/>
    <col min="8" max="8" width="7.33203125" style="1"/>
    <col min="9" max="9" width="10" style="1" bestFit="1" customWidth="1"/>
    <col min="10" max="10" width="8.44140625" style="1" bestFit="1" customWidth="1"/>
    <col min="11" max="11" width="7.33203125" style="1"/>
    <col min="12" max="12" width="7.33203125" style="1" customWidth="1"/>
    <col min="13" max="13" width="7.33203125" style="1"/>
    <col min="14" max="14" width="8.5546875" style="1" customWidth="1"/>
    <col min="15" max="15" width="7.6640625" style="1" customWidth="1"/>
    <col min="16" max="16" width="8.109375" style="1" bestFit="1" customWidth="1"/>
    <col min="17" max="17" width="8.109375" style="1" customWidth="1"/>
    <col min="18" max="18" width="8.5546875" style="1" bestFit="1" customWidth="1"/>
    <col min="19" max="19" width="7.6640625" style="1" customWidth="1"/>
    <col min="20" max="25" width="7.33203125" style="1" hidden="1" customWidth="1"/>
    <col min="26" max="26" width="2.88671875" style="2" customWidth="1"/>
    <col min="27" max="16384" width="7.33203125" style="1"/>
  </cols>
  <sheetData>
    <row r="1" spans="2:29" ht="12.75" hidden="1" customHeight="1"/>
    <row r="2" spans="2:29" ht="12.75" hidden="1" customHeight="1"/>
    <row r="3" spans="2:29" ht="12.75" hidden="1" customHeight="1"/>
    <row r="4" spans="2:29" ht="12.75" hidden="1" customHeight="1"/>
    <row r="5" spans="2:29" ht="12.75" hidden="1" customHeight="1"/>
    <row r="6" spans="2:29" ht="12.75" hidden="1" customHeight="1"/>
    <row r="7" spans="2:29" ht="12.75" hidden="1" customHeight="1"/>
    <row r="8" spans="2:29" ht="12.75" hidden="1" customHeight="1"/>
    <row r="9" spans="2:29" ht="12.75" hidden="1" customHeight="1"/>
    <row r="10" spans="2:29" ht="10.5" customHeight="1"/>
    <row r="11" spans="2:29" ht="20.25" customHeight="1">
      <c r="B11" s="113" t="s">
        <v>83</v>
      </c>
      <c r="C11" s="113"/>
      <c r="D11" s="113"/>
      <c r="E11" s="113"/>
      <c r="F11" s="113"/>
      <c r="G11" s="4">
        <f>MAX(COUNTA(#REF!)+21,23)</f>
        <v>23</v>
      </c>
      <c r="H11" s="118" t="s">
        <v>227</v>
      </c>
      <c r="I11" s="119"/>
      <c r="J11" s="119"/>
      <c r="K11" s="119"/>
      <c r="L11" s="119"/>
      <c r="M11" s="119"/>
      <c r="N11" s="119"/>
      <c r="O11" s="119"/>
      <c r="P11" s="119"/>
      <c r="Q11" s="122" t="str">
        <f>VLOOKUP(AA11,$AB$11:$AC$12,2,FALSE)</f>
        <v>600x300x8x16</v>
      </c>
      <c r="R11" s="122"/>
      <c r="S11" s="123"/>
      <c r="T11" s="3"/>
      <c r="Z11" s="4">
        <f>MAX(COUNTA(#REF!)+21,23)</f>
        <v>23</v>
      </c>
      <c r="AA11" s="115" t="s">
        <v>234</v>
      </c>
      <c r="AB11" s="1" t="s">
        <v>234</v>
      </c>
      <c r="AC11" s="1" t="str" cm="1">
        <f t="array" ref="AC11">_xll.Dce_Name_SectI(R40,R40,R41,R42,R43,"x","-",AB11)</f>
        <v>600x300x8x16</v>
      </c>
    </row>
    <row r="12" spans="2:29" ht="12.75" customHeight="1">
      <c r="B12" s="14"/>
      <c r="C12" s="28" t="s">
        <v>80</v>
      </c>
      <c r="D12" s="28" t="s">
        <v>29</v>
      </c>
      <c r="E12" s="28" t="s">
        <v>81</v>
      </c>
      <c r="F12" s="28" t="s">
        <v>82</v>
      </c>
      <c r="G12" s="5"/>
      <c r="H12" s="120"/>
      <c r="I12" s="121"/>
      <c r="J12" s="121"/>
      <c r="K12" s="121"/>
      <c r="L12" s="121"/>
      <c r="M12" s="121"/>
      <c r="N12" s="121"/>
      <c r="O12" s="121"/>
      <c r="P12" s="121"/>
      <c r="Q12" s="124"/>
      <c r="R12" s="124"/>
      <c r="S12" s="125"/>
      <c r="Z12" s="5"/>
      <c r="AA12" s="115"/>
      <c r="AB12" s="1" t="s">
        <v>235</v>
      </c>
      <c r="AC12" s="1" t="str" cm="1">
        <f t="array" ref="AC12">_xll.Dce_Name_SectI(R40,R40,R41,R42,R43,"x","-",AB12)</f>
        <v>568x8+300x16</v>
      </c>
    </row>
    <row r="13" spans="2:29" ht="15" customHeight="1">
      <c r="B13" s="28">
        <v>12</v>
      </c>
      <c r="C13" s="14">
        <v>50</v>
      </c>
      <c r="D13" s="14">
        <v>50</v>
      </c>
      <c r="E13" s="14">
        <v>60</v>
      </c>
      <c r="F13" s="14">
        <v>120</v>
      </c>
      <c r="H13" s="126" t="s">
        <v>0</v>
      </c>
      <c r="I13" s="127"/>
      <c r="J13" s="127"/>
      <c r="K13" s="39"/>
      <c r="L13" s="39"/>
      <c r="M13" s="39"/>
      <c r="N13" s="39"/>
      <c r="O13" s="39"/>
      <c r="P13" s="39"/>
      <c r="Q13" s="39"/>
      <c r="R13" s="39"/>
      <c r="S13" s="6"/>
    </row>
    <row r="14" spans="2:29" ht="12.75" customHeight="1">
      <c r="B14" s="28">
        <v>16</v>
      </c>
      <c r="C14" s="14">
        <v>50</v>
      </c>
      <c r="D14" s="14">
        <v>50</v>
      </c>
      <c r="E14" s="14">
        <v>60</v>
      </c>
      <c r="F14" s="14">
        <v>120</v>
      </c>
      <c r="H14" s="7" t="s">
        <v>38</v>
      </c>
      <c r="I14" s="39"/>
      <c r="J14" s="39"/>
      <c r="K14" s="39"/>
      <c r="L14" s="39"/>
      <c r="M14" s="39"/>
      <c r="N14" s="40"/>
      <c r="O14" s="41"/>
      <c r="P14" s="39"/>
      <c r="Q14" s="42"/>
      <c r="R14" s="42"/>
      <c r="S14" s="6"/>
    </row>
    <row r="15" spans="2:29" ht="12.75" customHeight="1">
      <c r="B15" s="28">
        <v>20</v>
      </c>
      <c r="C15" s="14">
        <v>50</v>
      </c>
      <c r="D15" s="14">
        <v>50</v>
      </c>
      <c r="E15" s="14">
        <v>60</v>
      </c>
      <c r="F15" s="14">
        <v>120</v>
      </c>
      <c r="H15" s="7" t="s">
        <v>37</v>
      </c>
      <c r="I15" s="39"/>
      <c r="J15" s="39"/>
      <c r="K15" s="39"/>
      <c r="L15" s="39"/>
      <c r="M15" s="39"/>
      <c r="N15" s="40"/>
      <c r="O15" s="41"/>
      <c r="P15" s="39"/>
      <c r="Q15" s="42"/>
      <c r="R15" s="42"/>
      <c r="S15" s="6"/>
    </row>
    <row r="16" spans="2:29" ht="12.75" customHeight="1">
      <c r="B16" s="28">
        <v>24</v>
      </c>
      <c r="C16" s="14">
        <v>60</v>
      </c>
      <c r="D16" s="14">
        <v>70</v>
      </c>
      <c r="E16" s="14">
        <v>80</v>
      </c>
      <c r="F16" s="14">
        <v>150</v>
      </c>
      <c r="H16" s="8"/>
      <c r="I16" s="39" t="str">
        <f>"- Cấp độ bền bu lông:"</f>
        <v>- Cấp độ bền bu lông:</v>
      </c>
      <c r="J16" s="39"/>
      <c r="K16" s="40"/>
      <c r="L16" s="43"/>
      <c r="M16" s="39"/>
      <c r="N16" s="42"/>
      <c r="O16" s="42"/>
      <c r="P16" s="42"/>
      <c r="Q16" s="42"/>
      <c r="R16" s="44">
        <v>8.8000000000000007</v>
      </c>
      <c r="S16" s="45" t="s">
        <v>29</v>
      </c>
    </row>
    <row r="17" spans="2:28" ht="12.75" customHeight="1">
      <c r="B17" s="28">
        <v>27</v>
      </c>
      <c r="C17" s="14">
        <v>60</v>
      </c>
      <c r="D17" s="14">
        <v>70</v>
      </c>
      <c r="E17" s="14">
        <v>80</v>
      </c>
      <c r="F17" s="14">
        <v>160</v>
      </c>
      <c r="H17" s="8"/>
      <c r="I17" s="39" t="str">
        <f>"- Cường độ tính toán chịu cắt:"</f>
        <v>- Cường độ tính toán chịu cắt:</v>
      </c>
      <c r="J17" s="39"/>
      <c r="K17" s="40"/>
      <c r="L17" s="43"/>
      <c r="M17" s="39"/>
      <c r="N17" s="42"/>
      <c r="O17" s="42"/>
      <c r="P17" s="46"/>
      <c r="Q17" s="47" t="s">
        <v>25</v>
      </c>
      <c r="R17" s="37">
        <f>VLOOKUP(R16,Data!$K$4:$O$999,4,FALSE)</f>
        <v>332</v>
      </c>
      <c r="S17" s="11" t="s">
        <v>2</v>
      </c>
    </row>
    <row r="18" spans="2:28" ht="12.75" customHeight="1">
      <c r="B18" s="28">
        <v>30</v>
      </c>
      <c r="C18" s="14">
        <v>60</v>
      </c>
      <c r="D18" s="14">
        <v>70</v>
      </c>
      <c r="E18" s="14">
        <v>80</v>
      </c>
      <c r="F18" s="14">
        <v>200</v>
      </c>
      <c r="H18" s="8"/>
      <c r="I18" s="39" t="str">
        <f>"- Cường độ tính toán chịu kéo:"</f>
        <v>- Cường độ tính toán chịu kéo:</v>
      </c>
      <c r="J18" s="39"/>
      <c r="K18" s="40"/>
      <c r="L18" s="43"/>
      <c r="M18" s="39"/>
      <c r="N18" s="42"/>
      <c r="O18" s="42"/>
      <c r="P18" s="42"/>
      <c r="Q18" s="47" t="s">
        <v>26</v>
      </c>
      <c r="R18" s="37">
        <f>VLOOKUP(R16,Data!$K$4:$O$999,5,FALSE)</f>
        <v>448</v>
      </c>
      <c r="S18" s="11" t="s">
        <v>2</v>
      </c>
    </row>
    <row r="19" spans="2:28" ht="12.75" customHeight="1">
      <c r="B19" s="28">
        <v>33</v>
      </c>
      <c r="C19" s="14">
        <v>60</v>
      </c>
      <c r="D19" s="14">
        <v>70</v>
      </c>
      <c r="E19" s="14">
        <v>80</v>
      </c>
      <c r="F19" s="14">
        <v>200</v>
      </c>
      <c r="H19" s="8"/>
      <c r="I19" s="39" t="str">
        <f>"- Cường độ tính toán chịu ép mặt:"</f>
        <v>- Cường độ tính toán chịu ép mặt:</v>
      </c>
      <c r="J19" s="39"/>
      <c r="K19" s="40"/>
      <c r="L19" s="43"/>
      <c r="M19" s="39"/>
      <c r="N19" s="42"/>
      <c r="O19" s="42"/>
      <c r="P19" s="42"/>
      <c r="Q19" s="47" t="s">
        <v>27</v>
      </c>
      <c r="R19" s="37">
        <f>IFERROR(VLOOKUP(R27,Data!$AV$3:$AX$17,MATCH(Cal!S16,Data!$AV$2:$AX$2,0)),IF(S16="A",1.6,1.35)*R27)</f>
        <v>500</v>
      </c>
      <c r="S19" s="11" t="s">
        <v>2</v>
      </c>
    </row>
    <row r="20" spans="2:28" ht="12.75" customHeight="1">
      <c r="B20" s="28">
        <v>36</v>
      </c>
      <c r="C20" s="14">
        <v>60</v>
      </c>
      <c r="D20" s="14">
        <v>70</v>
      </c>
      <c r="E20" s="14">
        <v>80</v>
      </c>
      <c r="F20" s="14">
        <v>200</v>
      </c>
      <c r="H20" s="8"/>
      <c r="I20" s="39" t="str">
        <f>"- Đường kính ngoài bu lông:"</f>
        <v>- Đường kính ngoài bu lông:</v>
      </c>
      <c r="J20" s="39"/>
      <c r="K20" s="40"/>
      <c r="L20" s="43"/>
      <c r="M20" s="39"/>
      <c r="N20" s="42"/>
      <c r="O20" s="42"/>
      <c r="P20" s="42"/>
      <c r="Q20" s="47" t="s">
        <v>3</v>
      </c>
      <c r="R20" s="44">
        <v>24</v>
      </c>
      <c r="S20" s="11" t="s">
        <v>4</v>
      </c>
    </row>
    <row r="21" spans="2:28" ht="12.75" customHeight="1">
      <c r="B21" s="114" t="s">
        <v>84</v>
      </c>
      <c r="C21" s="114"/>
      <c r="H21" s="8"/>
      <c r="I21" s="39" t="str">
        <f>"- Diện tích tiết diện nguyên bu lông:"</f>
        <v>- Diện tích tiết diện nguyên bu lông:</v>
      </c>
      <c r="J21" s="39"/>
      <c r="K21" s="40"/>
      <c r="L21" s="43"/>
      <c r="M21" s="39"/>
      <c r="N21" s="42"/>
      <c r="O21" s="42"/>
      <c r="P21" s="42"/>
      <c r="Q21" s="47" t="s">
        <v>74</v>
      </c>
      <c r="R21" s="48">
        <f>VLOOKUP(R20,Data!$V$4:$Z$99,3,FALSE)</f>
        <v>452.38934211693021</v>
      </c>
      <c r="S21" s="11" t="s">
        <v>6</v>
      </c>
    </row>
    <row r="22" spans="2:28" ht="12.75" customHeight="1">
      <c r="B22" s="28" t="s">
        <v>85</v>
      </c>
      <c r="C22" s="33" t="s">
        <v>86</v>
      </c>
      <c r="H22" s="8"/>
      <c r="I22" s="39" t="str">
        <f>"- Diện tích thực thân bu lông:"</f>
        <v>- Diện tích thực thân bu lông:</v>
      </c>
      <c r="J22" s="39"/>
      <c r="K22" s="40"/>
      <c r="L22" s="43"/>
      <c r="M22" s="39"/>
      <c r="N22" s="42"/>
      <c r="O22" s="42"/>
      <c r="P22" s="42"/>
      <c r="Q22" s="47" t="s">
        <v>5</v>
      </c>
      <c r="R22" s="10">
        <f>VLOOKUP(R20,Data!$V$4:$Z$99,4,FALSE)</f>
        <v>353</v>
      </c>
      <c r="S22" s="11" t="s">
        <v>6</v>
      </c>
      <c r="AB22"/>
    </row>
    <row r="23" spans="2:28" ht="12.75" customHeight="1">
      <c r="B23" s="14">
        <v>184</v>
      </c>
      <c r="C23" s="14">
        <v>100</v>
      </c>
      <c r="H23" s="8"/>
      <c r="I23" s="39" t="str">
        <f>"- Hệ số điều kiện làm việc của liên kết một bu lông (bảng 44):"</f>
        <v>- Hệ số điều kiện làm việc của liên kết một bu lông (bảng 44):</v>
      </c>
      <c r="J23" s="39"/>
      <c r="K23" s="40"/>
      <c r="L23" s="43"/>
      <c r="M23" s="39"/>
      <c r="N23" s="42"/>
      <c r="O23" s="42"/>
      <c r="P23" s="42"/>
      <c r="Q23" s="12" t="s">
        <v>7</v>
      </c>
      <c r="R23" s="44">
        <v>0.85</v>
      </c>
      <c r="S23" s="9"/>
    </row>
    <row r="24" spans="2:28" ht="12.75" customHeight="1">
      <c r="B24" s="14">
        <v>212</v>
      </c>
      <c r="C24" s="14">
        <v>120</v>
      </c>
      <c r="H24" s="7" t="s">
        <v>36</v>
      </c>
      <c r="I24" s="39"/>
      <c r="J24" s="39"/>
      <c r="K24" s="39"/>
      <c r="L24" s="39"/>
      <c r="M24" s="39"/>
      <c r="N24" s="40"/>
      <c r="O24" s="41"/>
      <c r="P24" s="39"/>
      <c r="Q24" s="42"/>
      <c r="R24" s="42"/>
      <c r="S24" s="6"/>
    </row>
    <row r="25" spans="2:28" ht="12.75" customHeight="1">
      <c r="B25" s="14">
        <v>298</v>
      </c>
      <c r="C25" s="14">
        <v>150</v>
      </c>
      <c r="H25" s="8"/>
      <c r="I25" s="39" t="str">
        <f>"- Loại thép:"</f>
        <v>- Loại thép:</v>
      </c>
      <c r="J25" s="39"/>
      <c r="K25" s="40"/>
      <c r="L25" s="43"/>
      <c r="M25" s="39"/>
      <c r="N25" s="42"/>
      <c r="O25" s="42"/>
      <c r="P25" s="42"/>
      <c r="Q25" s="42"/>
      <c r="R25" s="49" t="s">
        <v>239</v>
      </c>
      <c r="S25" s="9"/>
    </row>
    <row r="26" spans="2:28" ht="12.75" customHeight="1">
      <c r="B26" s="14">
        <v>300</v>
      </c>
      <c r="C26" s="14">
        <v>150</v>
      </c>
      <c r="H26" s="8"/>
      <c r="I26" s="39" t="str">
        <f>"- Cường độ tiêu chuẩn của thép:"</f>
        <v>- Cường độ tiêu chuẩn của thép:</v>
      </c>
      <c r="J26" s="39"/>
      <c r="K26" s="40"/>
      <c r="L26" s="43"/>
      <c r="M26" s="39"/>
      <c r="N26" s="42"/>
      <c r="O26" s="42"/>
      <c r="P26" s="42"/>
      <c r="Q26" s="47" t="s">
        <v>1</v>
      </c>
      <c r="R26" s="37">
        <f>VLOOKUP(R25,Data!$A$3:$D$99,3,FALSE)</f>
        <v>240</v>
      </c>
      <c r="S26" s="11" t="s">
        <v>2</v>
      </c>
    </row>
    <row r="27" spans="2:28" ht="12.75" customHeight="1">
      <c r="B27" s="14">
        <v>350</v>
      </c>
      <c r="C27" s="14">
        <v>180</v>
      </c>
      <c r="H27" s="8"/>
      <c r="I27" s="39" t="str">
        <f>"- Cường độ tiêu chuẩn kéo đứt của thép:"</f>
        <v>- Cường độ tiêu chuẩn kéo đứt của thép:</v>
      </c>
      <c r="J27" s="39"/>
      <c r="K27" s="40"/>
      <c r="L27" s="43"/>
      <c r="M27" s="39"/>
      <c r="N27" s="42"/>
      <c r="O27" s="42"/>
      <c r="P27" s="42"/>
      <c r="Q27" s="47" t="s">
        <v>8</v>
      </c>
      <c r="R27" s="37">
        <f>VLOOKUP(R25,Data!$A$3:$D$99,4,FALSE)</f>
        <v>380</v>
      </c>
      <c r="S27" s="11" t="s">
        <v>2</v>
      </c>
    </row>
    <row r="28" spans="2:28" ht="12.75" customHeight="1">
      <c r="B28" s="14">
        <v>370</v>
      </c>
      <c r="C28" s="14">
        <v>200</v>
      </c>
      <c r="H28" s="8"/>
      <c r="I28" s="39" t="str">
        <f>"- Cường độ tính toán của thép:"</f>
        <v>- Cường độ tính toán của thép:</v>
      </c>
      <c r="J28" s="39"/>
      <c r="K28" s="40"/>
      <c r="L28" s="43"/>
      <c r="M28" s="42"/>
      <c r="N28" s="42"/>
      <c r="O28" s="12" t="s">
        <v>9</v>
      </c>
      <c r="P28" s="37">
        <f>VLOOKUP(R25,Data!$A$3:$E$99,5,FALSE)</f>
        <v>1.05</v>
      </c>
      <c r="Q28" s="47" t="s">
        <v>10</v>
      </c>
      <c r="R28" s="50">
        <f>R26/P28</f>
        <v>228.57142857142856</v>
      </c>
      <c r="S28" s="11" t="s">
        <v>2</v>
      </c>
      <c r="T28" s="13"/>
    </row>
    <row r="29" spans="2:28" ht="12.75" customHeight="1">
      <c r="B29" s="14">
        <v>400</v>
      </c>
      <c r="C29" s="14">
        <v>200</v>
      </c>
      <c r="H29" s="8"/>
      <c r="I29" s="39" t="str">
        <f>"- Cường độ tính toán chịu cắt của thép:"</f>
        <v>- Cường độ tính toán chịu cắt của thép:</v>
      </c>
      <c r="J29" s="39"/>
      <c r="K29" s="40"/>
      <c r="L29" s="43"/>
      <c r="M29" s="39"/>
      <c r="N29" s="42"/>
      <c r="O29" s="42"/>
      <c r="P29" s="42"/>
      <c r="Q29" s="47" t="s">
        <v>76</v>
      </c>
      <c r="R29" s="50">
        <f>0.58*R26/P28</f>
        <v>132.57142857142856</v>
      </c>
      <c r="S29" s="11" t="s">
        <v>2</v>
      </c>
      <c r="T29" s="13"/>
    </row>
    <row r="30" spans="2:28" ht="12.75" customHeight="1">
      <c r="B30" s="14">
        <v>500</v>
      </c>
      <c r="C30" s="14">
        <v>250</v>
      </c>
      <c r="H30" s="8"/>
      <c r="I30" s="39" t="str">
        <f>"- Hệ số điều kiện làm việc của kết cấu (Bảng 1 - Mục 9):"</f>
        <v>- Hệ số điều kiện làm việc của kết cấu (Bảng 1 - Mục 9):</v>
      </c>
      <c r="J30" s="39"/>
      <c r="K30" s="40"/>
      <c r="L30" s="43"/>
      <c r="M30" s="39"/>
      <c r="N30" s="42"/>
      <c r="O30" s="42"/>
      <c r="P30" s="42"/>
      <c r="Q30" s="12" t="s">
        <v>11</v>
      </c>
      <c r="R30" s="51">
        <v>1</v>
      </c>
      <c r="S30" s="11" t="s">
        <v>2</v>
      </c>
      <c r="T30" s="13"/>
    </row>
    <row r="31" spans="2:28" ht="12.75" customHeight="1">
      <c r="H31" s="7" t="s">
        <v>12</v>
      </c>
      <c r="I31" s="39"/>
      <c r="J31" s="39"/>
      <c r="K31" s="39"/>
      <c r="L31" s="39"/>
      <c r="M31" s="39"/>
      <c r="N31" s="40"/>
      <c r="O31" s="41"/>
      <c r="P31" s="39"/>
      <c r="Q31" s="42"/>
      <c r="R31" s="42"/>
      <c r="S31" s="6"/>
    </row>
    <row r="32" spans="2:28" ht="12.75" customHeight="1">
      <c r="H32" s="8"/>
      <c r="I32" s="39" t="str">
        <f>"- Que hàn:"</f>
        <v>- Que hàn:</v>
      </c>
      <c r="J32" s="39"/>
      <c r="K32" s="40"/>
      <c r="L32" s="43"/>
      <c r="M32" s="39"/>
      <c r="N32" s="42"/>
      <c r="O32" s="42"/>
      <c r="P32" s="42"/>
      <c r="Q32" s="42"/>
      <c r="R32" s="44" t="s">
        <v>13</v>
      </c>
      <c r="S32" s="9"/>
    </row>
    <row r="33" spans="8:20" ht="12.75" customHeight="1">
      <c r="H33" s="8"/>
      <c r="I33" s="39" t="str">
        <f>"- Cường độ tiêu chuẩn theo giới hạn bền:"</f>
        <v>- Cường độ tiêu chuẩn theo giới hạn bền:</v>
      </c>
      <c r="J33" s="39"/>
      <c r="K33" s="40"/>
      <c r="L33" s="43"/>
      <c r="M33" s="39"/>
      <c r="N33" s="42"/>
      <c r="O33" s="42"/>
      <c r="P33" s="42"/>
      <c r="Q33" s="47" t="s">
        <v>14</v>
      </c>
      <c r="R33" s="10">
        <f>VLOOKUP(R32,Data!$AZ$3:$BB$10,2,FALSE)</f>
        <v>410</v>
      </c>
      <c r="S33" s="11" t="s">
        <v>2</v>
      </c>
    </row>
    <row r="34" spans="8:20" ht="12.75" customHeight="1">
      <c r="H34" s="8"/>
      <c r="I34" s="39" t="str">
        <f>"- Cường độ tính toán theo kim loại đường hàn:"</f>
        <v>- Cường độ tính toán theo kim loại đường hàn:</v>
      </c>
      <c r="J34" s="39"/>
      <c r="K34" s="40"/>
      <c r="L34" s="43"/>
      <c r="M34" s="39"/>
      <c r="N34" s="42"/>
      <c r="O34" s="12" t="s">
        <v>15</v>
      </c>
      <c r="P34" s="44">
        <v>0.7</v>
      </c>
      <c r="Q34" s="47" t="s">
        <v>16</v>
      </c>
      <c r="R34" s="10">
        <f>VLOOKUP(R32,Data!$AZ$3:$BB$10,3,FALSE)</f>
        <v>180</v>
      </c>
      <c r="S34" s="11" t="s">
        <v>2</v>
      </c>
    </row>
    <row r="35" spans="8:20" ht="12.75" customHeight="1">
      <c r="H35" s="8"/>
      <c r="I35" s="39" t="str">
        <f>"- Cường độ tính toán theo kim loại biên nóng chảy:"</f>
        <v>- Cường độ tính toán theo kim loại biên nóng chảy:</v>
      </c>
      <c r="J35" s="39"/>
      <c r="K35" s="40"/>
      <c r="L35" s="43"/>
      <c r="M35" s="39"/>
      <c r="N35" s="42"/>
      <c r="O35" s="12" t="s">
        <v>17</v>
      </c>
      <c r="P35" s="48">
        <v>1</v>
      </c>
      <c r="Q35" s="47" t="s">
        <v>18</v>
      </c>
      <c r="R35" s="10">
        <f>0.45*R27</f>
        <v>171</v>
      </c>
      <c r="S35" s="11" t="s">
        <v>2</v>
      </c>
    </row>
    <row r="36" spans="8:20" ht="12.75" customHeight="1">
      <c r="H36" s="8"/>
      <c r="I36" s="39" t="str">
        <f>"- Hệ số điều kiện làm việc :"</f>
        <v>- Hệ số điều kiện làm việc :</v>
      </c>
      <c r="J36" s="39"/>
      <c r="K36" s="40"/>
      <c r="L36" s="43"/>
      <c r="M36" s="39"/>
      <c r="N36" s="42"/>
      <c r="O36" s="42"/>
      <c r="P36" s="42"/>
      <c r="Q36" s="12" t="s">
        <v>11</v>
      </c>
      <c r="R36" s="44">
        <v>0.9</v>
      </c>
      <c r="S36" s="11" t="s">
        <v>2</v>
      </c>
      <c r="T36" s="13"/>
    </row>
    <row r="37" spans="8:20" ht="12.75" customHeight="1">
      <c r="H37" s="8"/>
      <c r="I37" s="39" t="str">
        <f>"- Cường độ tính toán của đường hàn:"</f>
        <v>- Cường độ tính toán của đường hàn:</v>
      </c>
      <c r="J37" s="39"/>
      <c r="K37" s="40"/>
      <c r="L37" s="43"/>
      <c r="M37" s="39"/>
      <c r="N37" s="42"/>
      <c r="O37" s="12"/>
      <c r="P37" s="44"/>
      <c r="Q37" s="47" t="s">
        <v>93</v>
      </c>
      <c r="R37" s="48">
        <f>1.15*MIN(P34*R34,P35*R35)*R36</f>
        <v>130.41</v>
      </c>
      <c r="S37" s="11" t="s">
        <v>2</v>
      </c>
    </row>
    <row r="38" spans="8:20" ht="12.75" customHeight="1">
      <c r="H38" s="7" t="s">
        <v>35</v>
      </c>
      <c r="I38" s="39"/>
      <c r="J38" s="39"/>
      <c r="K38" s="39"/>
      <c r="L38" s="39"/>
      <c r="M38" s="39"/>
      <c r="N38" s="39"/>
      <c r="O38" s="41"/>
      <c r="P38" s="39"/>
      <c r="Q38" s="42"/>
      <c r="R38" s="42"/>
      <c r="S38" s="6"/>
    </row>
    <row r="39" spans="8:20" ht="12.75" customHeight="1">
      <c r="H39" s="52"/>
      <c r="I39" s="39"/>
      <c r="J39" s="39"/>
      <c r="K39" s="42"/>
      <c r="L39" s="53" t="s">
        <v>228</v>
      </c>
      <c r="M39" s="39"/>
      <c r="N39" s="40"/>
      <c r="O39" s="41"/>
      <c r="P39" s="39"/>
      <c r="Q39" s="42"/>
      <c r="R39" s="42"/>
      <c r="S39" s="6"/>
    </row>
    <row r="40" spans="8:20" ht="12.75" customHeight="1">
      <c r="H40" s="8"/>
      <c r="I40" s="42"/>
      <c r="J40" s="39"/>
      <c r="K40" s="40"/>
      <c r="L40" s="39"/>
      <c r="M40" s="39"/>
      <c r="N40" s="42"/>
      <c r="O40" s="42"/>
      <c r="P40" s="42"/>
      <c r="Q40" s="47" t="s">
        <v>89</v>
      </c>
      <c r="R40" s="44">
        <v>600</v>
      </c>
      <c r="S40" s="11" t="s">
        <v>4</v>
      </c>
    </row>
    <row r="41" spans="8:20" ht="12.75" customHeight="1">
      <c r="H41" s="8"/>
      <c r="I41" s="42"/>
      <c r="J41" s="39"/>
      <c r="K41" s="40"/>
      <c r="L41" s="39"/>
      <c r="M41" s="39"/>
      <c r="N41" s="42"/>
      <c r="O41" s="42"/>
      <c r="P41" s="46"/>
      <c r="Q41" s="47" t="s">
        <v>90</v>
      </c>
      <c r="R41" s="44">
        <v>300</v>
      </c>
      <c r="S41" s="11" t="s">
        <v>4</v>
      </c>
    </row>
    <row r="42" spans="8:20" ht="12.75" customHeight="1">
      <c r="H42" s="8"/>
      <c r="I42" s="42"/>
      <c r="J42" s="39"/>
      <c r="K42" s="40"/>
      <c r="L42" s="39"/>
      <c r="M42" s="39"/>
      <c r="N42" s="42"/>
      <c r="O42" s="42"/>
      <c r="P42" s="42"/>
      <c r="Q42" s="47" t="s">
        <v>91</v>
      </c>
      <c r="R42" s="44">
        <v>8</v>
      </c>
      <c r="S42" s="11" t="s">
        <v>4</v>
      </c>
    </row>
    <row r="43" spans="8:20" ht="12.75" customHeight="1">
      <c r="H43" s="8"/>
      <c r="I43" s="42"/>
      <c r="J43" s="42"/>
      <c r="K43" s="47"/>
      <c r="L43" s="39"/>
      <c r="M43" s="54"/>
      <c r="N43" s="42"/>
      <c r="O43" s="42"/>
      <c r="P43" s="42"/>
      <c r="Q43" s="47" t="s">
        <v>92</v>
      </c>
      <c r="R43" s="44">
        <v>16</v>
      </c>
      <c r="S43" s="11" t="s">
        <v>4</v>
      </c>
    </row>
    <row r="44" spans="8:20" ht="12.75" customHeight="1">
      <c r="H44" s="52"/>
      <c r="I44" s="39"/>
      <c r="J44" s="39"/>
      <c r="K44" s="42"/>
      <c r="L44" s="53" t="s">
        <v>88</v>
      </c>
      <c r="M44" s="39"/>
      <c r="N44" s="40"/>
      <c r="O44" s="41"/>
      <c r="P44" s="39"/>
      <c r="Q44" s="42"/>
      <c r="R44" s="42"/>
      <c r="S44" s="6"/>
    </row>
    <row r="45" spans="8:20" ht="12.75" customHeight="1">
      <c r="H45" s="7"/>
      <c r="I45" s="39"/>
      <c r="J45" s="39"/>
      <c r="K45" s="43"/>
      <c r="L45" s="53" t="s">
        <v>95</v>
      </c>
      <c r="M45" s="43"/>
      <c r="N45" s="39"/>
      <c r="O45" s="42"/>
      <c r="P45" s="42"/>
      <c r="Q45" s="47"/>
      <c r="R45" s="44"/>
      <c r="S45" s="11"/>
    </row>
    <row r="46" spans="8:20" ht="12.75" customHeight="1">
      <c r="H46" s="7"/>
      <c r="I46" s="39"/>
      <c r="J46" s="56"/>
      <c r="K46" s="40"/>
      <c r="L46" s="43"/>
      <c r="M46" s="43"/>
      <c r="N46" s="43"/>
      <c r="O46" s="44"/>
      <c r="P46" s="42"/>
      <c r="Q46" s="47" t="s">
        <v>98</v>
      </c>
      <c r="R46" s="44">
        <v>16</v>
      </c>
      <c r="S46" s="11" t="s">
        <v>4</v>
      </c>
    </row>
    <row r="47" spans="8:20" ht="12.75" customHeight="1">
      <c r="H47" s="7"/>
      <c r="I47" s="39"/>
      <c r="J47" s="39"/>
      <c r="K47" s="40"/>
      <c r="L47" s="43"/>
      <c r="M47" s="43"/>
      <c r="N47" s="43"/>
      <c r="O47" s="42"/>
      <c r="P47" s="42"/>
      <c r="Q47" s="47" t="s">
        <v>232</v>
      </c>
      <c r="R47" s="44">
        <f>R41</f>
        <v>300</v>
      </c>
      <c r="S47" s="11" t="s">
        <v>4</v>
      </c>
    </row>
    <row r="48" spans="8:20" ht="12.75" customHeight="1">
      <c r="H48" s="7"/>
      <c r="I48" s="39"/>
      <c r="J48" s="39"/>
      <c r="K48" s="40"/>
      <c r="L48" s="43"/>
      <c r="M48" s="43"/>
      <c r="N48" s="43"/>
      <c r="O48" s="42"/>
      <c r="P48" s="42"/>
      <c r="Q48" s="47" t="s">
        <v>231</v>
      </c>
      <c r="R48" s="44">
        <v>100</v>
      </c>
      <c r="S48" s="11" t="s">
        <v>4</v>
      </c>
    </row>
    <row r="49" spans="8:20" ht="12.75" customHeight="1">
      <c r="H49" s="7"/>
      <c r="I49" s="39"/>
      <c r="J49" s="39"/>
      <c r="K49" s="40"/>
      <c r="L49" s="43"/>
      <c r="M49" s="43"/>
      <c r="N49" s="43"/>
      <c r="O49" s="43"/>
      <c r="P49" s="43"/>
      <c r="Q49" s="47" t="s">
        <v>100</v>
      </c>
      <c r="R49" s="44">
        <v>700</v>
      </c>
      <c r="S49" s="11" t="s">
        <v>4</v>
      </c>
    </row>
    <row r="50" spans="8:20" ht="12.75" customHeight="1">
      <c r="H50" s="7"/>
      <c r="I50" s="39"/>
      <c r="J50" s="39"/>
      <c r="K50" s="40"/>
      <c r="L50" s="43"/>
      <c r="M50" s="43"/>
      <c r="N50" s="43"/>
      <c r="O50" s="43"/>
      <c r="P50" s="43"/>
      <c r="Q50" s="47" t="s">
        <v>102</v>
      </c>
      <c r="R50" s="44">
        <v>8</v>
      </c>
      <c r="S50" s="11" t="s">
        <v>79</v>
      </c>
    </row>
    <row r="51" spans="8:20" ht="12.75" customHeight="1">
      <c r="H51" s="7"/>
      <c r="I51" s="39"/>
      <c r="J51" s="39"/>
      <c r="K51" s="40"/>
      <c r="L51" s="43"/>
      <c r="M51" s="43"/>
      <c r="N51" s="43"/>
      <c r="O51" s="43"/>
      <c r="P51" s="43"/>
      <c r="Q51" s="47" t="s">
        <v>101</v>
      </c>
      <c r="R51" s="37">
        <f>R50/2</f>
        <v>4</v>
      </c>
      <c r="S51" s="11" t="s">
        <v>79</v>
      </c>
    </row>
    <row r="52" spans="8:20" ht="12.75" customHeight="1">
      <c r="H52" s="7"/>
      <c r="I52" s="39"/>
      <c r="J52" s="39"/>
      <c r="K52" s="40"/>
      <c r="L52" s="53" t="s">
        <v>97</v>
      </c>
      <c r="M52" s="43"/>
      <c r="N52" s="39"/>
      <c r="O52" s="42"/>
      <c r="P52" s="42"/>
      <c r="Q52" s="47"/>
      <c r="R52" s="44"/>
      <c r="S52" s="11"/>
    </row>
    <row r="53" spans="8:20" ht="12.75" customHeight="1">
      <c r="H53" s="7"/>
      <c r="I53" s="39"/>
      <c r="J53" s="39"/>
      <c r="K53" s="40"/>
      <c r="L53" s="43"/>
      <c r="M53" s="40"/>
      <c r="N53" s="42"/>
      <c r="O53" s="43"/>
      <c r="P53" s="43"/>
      <c r="Q53" s="47" t="s">
        <v>96</v>
      </c>
      <c r="R53" s="44">
        <v>2</v>
      </c>
      <c r="S53" s="55"/>
    </row>
    <row r="54" spans="8:20" ht="12.75" customHeight="1">
      <c r="H54" s="7"/>
      <c r="I54" s="39"/>
      <c r="J54" s="39"/>
      <c r="K54" s="40"/>
      <c r="L54" s="43"/>
      <c r="M54" s="43"/>
      <c r="N54" s="43"/>
      <c r="O54" s="44"/>
      <c r="P54" s="42"/>
      <c r="Q54" s="47" t="s">
        <v>98</v>
      </c>
      <c r="R54" s="44">
        <v>8</v>
      </c>
      <c r="S54" s="11" t="s">
        <v>4</v>
      </c>
    </row>
    <row r="55" spans="8:20" ht="12.75" customHeight="1">
      <c r="H55" s="8"/>
      <c r="I55" s="39"/>
      <c r="J55" s="39"/>
      <c r="K55" s="40"/>
      <c r="L55" s="43"/>
      <c r="M55" s="43"/>
      <c r="N55" s="43"/>
      <c r="O55" s="43"/>
      <c r="P55" s="42"/>
      <c r="Q55" s="47" t="s">
        <v>99</v>
      </c>
      <c r="R55" s="44">
        <v>400</v>
      </c>
      <c r="S55" s="11" t="s">
        <v>4</v>
      </c>
    </row>
    <row r="56" spans="8:20" ht="12.75" customHeight="1">
      <c r="H56" s="8"/>
      <c r="I56" s="39"/>
      <c r="J56" s="39"/>
      <c r="K56" s="40"/>
      <c r="L56" s="43"/>
      <c r="M56" s="43"/>
      <c r="N56" s="43"/>
      <c r="O56" s="43"/>
      <c r="P56" s="43"/>
      <c r="Q56" s="47" t="s">
        <v>100</v>
      </c>
      <c r="R56" s="44">
        <v>500</v>
      </c>
      <c r="S56" s="11" t="s">
        <v>4</v>
      </c>
    </row>
    <row r="57" spans="8:20" ht="12.75" customHeight="1">
      <c r="H57" s="8"/>
      <c r="I57" s="39"/>
      <c r="J57" s="39"/>
      <c r="K57" s="40"/>
      <c r="L57" s="43"/>
      <c r="M57" s="43"/>
      <c r="N57" s="43"/>
      <c r="O57" s="43"/>
      <c r="P57" s="43"/>
      <c r="Q57" s="47" t="s">
        <v>102</v>
      </c>
      <c r="R57" s="44">
        <v>4</v>
      </c>
      <c r="S57" s="11" t="s">
        <v>79</v>
      </c>
    </row>
    <row r="58" spans="8:20" ht="12.75" customHeight="1">
      <c r="H58" s="8"/>
      <c r="I58" s="39"/>
      <c r="J58" s="39"/>
      <c r="K58" s="40"/>
      <c r="L58" s="43"/>
      <c r="M58" s="39"/>
      <c r="N58" s="42"/>
      <c r="O58" s="42"/>
      <c r="P58" s="46"/>
      <c r="Q58" s="47" t="s">
        <v>101</v>
      </c>
      <c r="R58" s="37">
        <f>R57/2</f>
        <v>2</v>
      </c>
      <c r="S58" s="11" t="s">
        <v>79</v>
      </c>
    </row>
    <row r="59" spans="8:20" ht="12.75" customHeight="1">
      <c r="H59" s="7" t="s">
        <v>71</v>
      </c>
      <c r="I59" s="39"/>
      <c r="J59" s="39"/>
      <c r="K59" s="39"/>
      <c r="L59" s="39"/>
      <c r="M59" s="39"/>
      <c r="N59" s="40"/>
      <c r="O59" s="41"/>
      <c r="P59" s="39"/>
      <c r="Q59" s="42"/>
      <c r="R59" s="42"/>
      <c r="S59" s="6"/>
      <c r="T59" s="13"/>
    </row>
    <row r="60" spans="8:20" ht="12.75" customHeight="1">
      <c r="H60" s="7"/>
      <c r="I60" s="39" t="str">
        <f>"- Moment:"</f>
        <v>- Moment:</v>
      </c>
      <c r="J60" s="39"/>
      <c r="K60" s="39"/>
      <c r="L60" s="43"/>
      <c r="M60" s="39"/>
      <c r="N60" s="42"/>
      <c r="O60" s="42"/>
      <c r="P60" s="43"/>
      <c r="Q60" s="47" t="s">
        <v>77</v>
      </c>
      <c r="R60" s="44">
        <v>160</v>
      </c>
      <c r="S60" s="11" t="s">
        <v>21</v>
      </c>
      <c r="T60" s="13"/>
    </row>
    <row r="61" spans="8:20" ht="12.75" customHeight="1">
      <c r="H61" s="7"/>
      <c r="I61" s="39" t="str">
        <f>"- Lực dọc:"</f>
        <v>- Lực dọc:</v>
      </c>
      <c r="J61" s="39"/>
      <c r="K61" s="39"/>
      <c r="L61" s="43"/>
      <c r="M61" s="39"/>
      <c r="N61" s="42"/>
      <c r="O61" s="42"/>
      <c r="P61" s="43"/>
      <c r="Q61" s="47" t="s">
        <v>78</v>
      </c>
      <c r="R61" s="44">
        <v>500</v>
      </c>
      <c r="S61" s="11" t="s">
        <v>20</v>
      </c>
      <c r="T61" s="13"/>
    </row>
    <row r="62" spans="8:20" ht="15" customHeight="1">
      <c r="H62" s="7"/>
      <c r="I62" s="39" t="str">
        <f>"- Lực cắt:"</f>
        <v>- Lực cắt:</v>
      </c>
      <c r="J62" s="42"/>
      <c r="K62" s="42"/>
      <c r="L62" s="42"/>
      <c r="M62" s="42"/>
      <c r="N62" s="42"/>
      <c r="O62" s="42"/>
      <c r="P62" s="42"/>
      <c r="Q62" s="47" t="s">
        <v>72</v>
      </c>
      <c r="R62" s="44">
        <v>180</v>
      </c>
      <c r="S62" s="11" t="s">
        <v>20</v>
      </c>
      <c r="T62" s="13"/>
    </row>
    <row r="63" spans="8:20">
      <c r="H63" s="116" t="s">
        <v>19</v>
      </c>
      <c r="I63" s="117"/>
      <c r="J63" s="117"/>
      <c r="K63" s="47"/>
      <c r="L63" s="57"/>
      <c r="M63" s="54"/>
      <c r="N63" s="42"/>
      <c r="O63" s="42"/>
      <c r="P63" s="42"/>
      <c r="Q63" s="42"/>
      <c r="R63" s="42"/>
      <c r="S63" s="9"/>
      <c r="T63" s="13"/>
    </row>
    <row r="64" spans="8:20" ht="12.75" customHeight="1">
      <c r="H64" s="7" t="s">
        <v>103</v>
      </c>
      <c r="I64" s="39"/>
      <c r="J64" s="39"/>
      <c r="K64" s="39"/>
      <c r="L64" s="39"/>
      <c r="M64" s="39"/>
      <c r="N64" s="40"/>
      <c r="O64" s="41"/>
      <c r="P64" s="39"/>
      <c r="Q64" s="42"/>
      <c r="R64" s="42"/>
      <c r="S64" s="6"/>
      <c r="T64" s="13"/>
    </row>
    <row r="65" spans="8:20">
      <c r="H65" s="8" t="str">
        <f>"- Khả năng chịu cắt của 1 bu lông:"</f>
        <v>- Khả năng chịu cắt của 1 bu lông:</v>
      </c>
      <c r="I65" s="58"/>
      <c r="J65" s="58"/>
      <c r="K65" s="47"/>
      <c r="L65" s="57"/>
      <c r="M65" s="54"/>
      <c r="N65" s="42"/>
      <c r="O65" s="42"/>
      <c r="P65" s="42"/>
      <c r="Q65" s="47"/>
      <c r="R65" s="59"/>
      <c r="S65" s="11"/>
      <c r="T65" s="13"/>
    </row>
    <row r="66" spans="8:20" ht="15">
      <c r="H66" s="8"/>
      <c r="I66" s="60" t="str">
        <f>"+ Bản cánh:"</f>
        <v>+ Bản cánh:</v>
      </c>
      <c r="J66" s="58"/>
      <c r="K66" s="47"/>
      <c r="L66" s="57"/>
      <c r="M66" s="12" t="s">
        <v>94</v>
      </c>
      <c r="N66" s="37">
        <f>IF(R47*R48&gt;0,2,1)</f>
        <v>2</v>
      </c>
      <c r="O66" s="44"/>
      <c r="P66" s="42"/>
      <c r="Q66" s="47" t="s">
        <v>73</v>
      </c>
      <c r="R66" s="59">
        <f>R17*R21*N66*R23*R30/1000</f>
        <v>255.32854469079538</v>
      </c>
      <c r="S66" s="11" t="s">
        <v>20</v>
      </c>
      <c r="T66" s="13"/>
    </row>
    <row r="67" spans="8:20" ht="15">
      <c r="H67" s="8"/>
      <c r="I67" s="60" t="str">
        <f>"+ Bản bụng:"</f>
        <v>+ Bản bụng:</v>
      </c>
      <c r="J67" s="58"/>
      <c r="K67" s="47"/>
      <c r="L67" s="57"/>
      <c r="M67" s="12" t="s">
        <v>94</v>
      </c>
      <c r="N67" s="37">
        <f>R53</f>
        <v>2</v>
      </c>
      <c r="O67" s="44"/>
      <c r="P67" s="42"/>
      <c r="Q67" s="47" t="s">
        <v>73</v>
      </c>
      <c r="R67" s="59">
        <f>R17*R21*N67*R23*R30/1000</f>
        <v>255.32854469079538</v>
      </c>
      <c r="S67" s="11" t="s">
        <v>20</v>
      </c>
      <c r="T67" s="13"/>
    </row>
    <row r="68" spans="8:20">
      <c r="H68" s="8" t="str">
        <f>"- Khả năng chịu ép mặt của 1 bu lông:"</f>
        <v>- Khả năng chịu ép mặt của 1 bu lông:</v>
      </c>
      <c r="I68" s="58"/>
      <c r="J68" s="58"/>
      <c r="K68" s="47"/>
      <c r="L68" s="57"/>
      <c r="M68" s="54"/>
      <c r="N68" s="42"/>
      <c r="O68" s="42"/>
      <c r="P68" s="42"/>
      <c r="Q68" s="47"/>
      <c r="R68" s="59"/>
      <c r="S68" s="11"/>
      <c r="T68" s="13"/>
    </row>
    <row r="69" spans="8:20" ht="15">
      <c r="H69" s="8"/>
      <c r="I69" s="60" t="str">
        <f>"+ Bản cánh:"</f>
        <v>+ Bản cánh:</v>
      </c>
      <c r="J69" s="58"/>
      <c r="K69" s="47"/>
      <c r="L69" s="57"/>
      <c r="M69" s="12"/>
      <c r="N69" s="37"/>
      <c r="O69" s="44"/>
      <c r="P69" s="42"/>
      <c r="Q69" s="47" t="s">
        <v>75</v>
      </c>
      <c r="R69" s="59">
        <f>R19*R20*R23*R30*MAX(N66*R46,R43)/1000</f>
        <v>326.39999999999998</v>
      </c>
      <c r="S69" s="11" t="s">
        <v>20</v>
      </c>
      <c r="T69" s="13"/>
    </row>
    <row r="70" spans="8:20" ht="15">
      <c r="H70" s="8"/>
      <c r="I70" s="60" t="str">
        <f>"+ Bản bụng:"</f>
        <v>+ Bản bụng:</v>
      </c>
      <c r="J70" s="58"/>
      <c r="K70" s="47"/>
      <c r="L70" s="57"/>
      <c r="M70" s="12"/>
      <c r="N70" s="37"/>
      <c r="O70" s="44"/>
      <c r="P70" s="42"/>
      <c r="Q70" s="47" t="s">
        <v>75</v>
      </c>
      <c r="R70" s="59">
        <f>R19*R20*R23*R30*MAX(R53*R54,R42)/1000</f>
        <v>163.19999999999999</v>
      </c>
      <c r="S70" s="11" t="s">
        <v>20</v>
      </c>
      <c r="T70" s="13"/>
    </row>
    <row r="71" spans="8:20" ht="15">
      <c r="H71" s="8" t="str">
        <f>"- Khả năng chịu kéo của 1 bu lông:"</f>
        <v>- Khả năng chịu kéo của 1 bu lông:</v>
      </c>
      <c r="I71" s="58"/>
      <c r="J71" s="58"/>
      <c r="K71" s="47"/>
      <c r="L71" s="57"/>
      <c r="M71" s="12"/>
      <c r="N71" s="44"/>
      <c r="O71" s="44"/>
      <c r="P71" s="42"/>
      <c r="Q71" s="47" t="s">
        <v>87</v>
      </c>
      <c r="R71" s="59">
        <f>R18*R22*R30/1000</f>
        <v>158.14400000000001</v>
      </c>
      <c r="S71" s="11" t="s">
        <v>20</v>
      </c>
      <c r="T71" s="13"/>
    </row>
    <row r="72" spans="8:20">
      <c r="H72" s="7" t="s">
        <v>112</v>
      </c>
      <c r="I72" s="58"/>
      <c r="J72" s="58"/>
      <c r="K72" s="47"/>
      <c r="L72" s="57"/>
      <c r="M72" s="54"/>
      <c r="N72" s="42"/>
      <c r="O72" s="42"/>
      <c r="P72" s="42"/>
      <c r="Q72" s="47"/>
      <c r="R72" s="50"/>
      <c r="S72" s="11"/>
      <c r="T72" s="13"/>
    </row>
    <row r="73" spans="8:20">
      <c r="H73" s="8" t="s">
        <v>109</v>
      </c>
      <c r="I73" s="58"/>
      <c r="J73" s="58"/>
      <c r="K73" s="47"/>
      <c r="L73" s="57"/>
      <c r="M73" s="54"/>
      <c r="N73" s="42"/>
      <c r="O73" s="42"/>
      <c r="P73" s="42"/>
      <c r="Q73" s="47" t="s">
        <v>113</v>
      </c>
      <c r="R73" s="59">
        <f>ABS(R61/2)+R60*1000/R40</f>
        <v>516.66666666666674</v>
      </c>
      <c r="S73" s="11" t="s">
        <v>20</v>
      </c>
      <c r="T73" s="13"/>
    </row>
    <row r="74" spans="8:20" ht="15">
      <c r="H74" s="8" t="s">
        <v>105</v>
      </c>
      <c r="I74" s="42"/>
      <c r="J74" s="42"/>
      <c r="K74" s="47"/>
      <c r="L74" s="57"/>
      <c r="M74" s="54"/>
      <c r="N74" s="42"/>
      <c r="O74" s="42"/>
      <c r="P74" s="42"/>
      <c r="Q74" s="12" t="s">
        <v>106</v>
      </c>
      <c r="R74" s="59">
        <f>R30*R51*MIN(R66,R69)</f>
        <v>1021.3141787631815</v>
      </c>
      <c r="S74" s="11" t="s">
        <v>20</v>
      </c>
      <c r="T74" s="13"/>
    </row>
    <row r="75" spans="8:20">
      <c r="H75" s="8" t="s">
        <v>107</v>
      </c>
      <c r="I75" s="58"/>
      <c r="J75" s="58"/>
      <c r="K75" s="47"/>
      <c r="L75" s="57"/>
      <c r="M75" s="54"/>
      <c r="N75" s="42"/>
      <c r="O75" s="42"/>
      <c r="P75" s="42"/>
      <c r="Q75" s="47"/>
      <c r="R75" s="61">
        <f>R73/R74</f>
        <v>0.50588416122094149</v>
      </c>
      <c r="S75" s="16" t="str">
        <f>IF(R75&lt;=1,"OK","CHECK")</f>
        <v>OK</v>
      </c>
      <c r="T75" s="13"/>
    </row>
    <row r="76" spans="8:20" ht="15">
      <c r="H76" s="8" t="s">
        <v>233</v>
      </c>
      <c r="I76" s="58"/>
      <c r="J76" s="58"/>
      <c r="K76" s="47"/>
      <c r="L76" s="57"/>
      <c r="M76" s="54"/>
      <c r="N76" s="42"/>
      <c r="O76" s="42"/>
      <c r="P76" s="42"/>
      <c r="Q76" s="47" t="s">
        <v>230</v>
      </c>
      <c r="R76" s="10">
        <f>R47+2*R48</f>
        <v>500</v>
      </c>
      <c r="S76" s="11" t="s">
        <v>4</v>
      </c>
      <c r="T76" s="13"/>
    </row>
    <row r="77" spans="8:20" ht="15">
      <c r="H77" s="8" t="s">
        <v>110</v>
      </c>
      <c r="I77" s="42"/>
      <c r="J77" s="42"/>
      <c r="K77" s="47"/>
      <c r="L77" s="57"/>
      <c r="M77" s="54"/>
      <c r="N77" s="54"/>
      <c r="O77" s="54"/>
      <c r="P77" s="42"/>
      <c r="Q77" s="12" t="s">
        <v>229</v>
      </c>
      <c r="R77" s="59">
        <f>1.18*R73*1000/(R30*R28*R76)</f>
        <v>5.3345833333333346</v>
      </c>
      <c r="S77" s="11" t="s">
        <v>4</v>
      </c>
      <c r="T77" s="13"/>
    </row>
    <row r="78" spans="8:20">
      <c r="H78" s="8" t="s">
        <v>108</v>
      </c>
      <c r="I78" s="58"/>
      <c r="J78" s="58"/>
      <c r="K78" s="47"/>
      <c r="L78" s="57"/>
      <c r="M78" s="54"/>
      <c r="N78" s="42"/>
      <c r="O78" s="42"/>
      <c r="P78" s="42"/>
      <c r="Q78" s="47"/>
      <c r="R78" s="61">
        <f>R77/R46</f>
        <v>0.33341145833333341</v>
      </c>
      <c r="S78" s="16" t="str">
        <f>IF(R78&lt;=1,"OK","CHECK")</f>
        <v>OK</v>
      </c>
      <c r="T78" s="13"/>
    </row>
    <row r="79" spans="8:20">
      <c r="H79" s="7" t="s">
        <v>104</v>
      </c>
      <c r="I79" s="58"/>
      <c r="J79" s="58"/>
      <c r="K79" s="47"/>
      <c r="L79" s="57"/>
      <c r="M79" s="54"/>
      <c r="N79" s="42"/>
      <c r="O79" s="42"/>
      <c r="P79" s="42"/>
      <c r="Q79" s="47"/>
      <c r="R79" s="50"/>
      <c r="S79" s="11"/>
      <c r="T79" s="13"/>
    </row>
    <row r="80" spans="8:20">
      <c r="H80" s="8" t="s">
        <v>109</v>
      </c>
      <c r="I80" s="58"/>
      <c r="J80" s="58"/>
      <c r="K80" s="47"/>
      <c r="L80" s="57"/>
      <c r="M80" s="54"/>
      <c r="N80" s="42"/>
      <c r="O80" s="42"/>
      <c r="P80" s="42"/>
      <c r="Q80" s="47" t="s">
        <v>72</v>
      </c>
      <c r="R80" s="59">
        <f>R62</f>
        <v>180</v>
      </c>
      <c r="S80" s="11" t="s">
        <v>20</v>
      </c>
      <c r="T80" s="13"/>
    </row>
    <row r="81" spans="8:20" ht="15">
      <c r="H81" s="8" t="s">
        <v>105</v>
      </c>
      <c r="I81" s="42"/>
      <c r="J81" s="42"/>
      <c r="K81" s="47"/>
      <c r="L81" s="57"/>
      <c r="M81" s="54"/>
      <c r="N81" s="42"/>
      <c r="O81" s="42"/>
      <c r="P81" s="42"/>
      <c r="Q81" s="12" t="s">
        <v>106</v>
      </c>
      <c r="R81" s="59">
        <f>R30*R58*MIN(R67,R70)</f>
        <v>326.39999999999998</v>
      </c>
      <c r="S81" s="11" t="s">
        <v>20</v>
      </c>
      <c r="T81" s="13"/>
    </row>
    <row r="82" spans="8:20">
      <c r="H82" s="8" t="s">
        <v>107</v>
      </c>
      <c r="I82" s="58"/>
      <c r="J82" s="58"/>
      <c r="K82" s="47"/>
      <c r="L82" s="57"/>
      <c r="M82" s="54"/>
      <c r="N82" s="42"/>
      <c r="O82" s="42"/>
      <c r="P82" s="42"/>
      <c r="Q82" s="47"/>
      <c r="R82" s="61">
        <f>R80/R81</f>
        <v>0.55147058823529416</v>
      </c>
      <c r="S82" s="16" t="str">
        <f>IF(R82&lt;=1,"OK","CHECK")</f>
        <v>OK</v>
      </c>
      <c r="T82" s="13"/>
    </row>
    <row r="83" spans="8:20" ht="15">
      <c r="H83" s="8" t="s">
        <v>110</v>
      </c>
      <c r="I83" s="42"/>
      <c r="J83" s="42"/>
      <c r="K83" s="47"/>
      <c r="L83" s="57"/>
      <c r="M83" s="54"/>
      <c r="N83" s="42"/>
      <c r="O83" s="42"/>
      <c r="P83" s="42"/>
      <c r="Q83" s="12" t="s">
        <v>111</v>
      </c>
      <c r="R83" s="59">
        <f>1.18*R80*1000/(R30*R53*R29*R55)</f>
        <v>2.0026939655172415</v>
      </c>
      <c r="S83" s="11" t="s">
        <v>4</v>
      </c>
      <c r="T83" s="13"/>
    </row>
    <row r="84" spans="8:20">
      <c r="H84" s="8" t="s">
        <v>108</v>
      </c>
      <c r="I84" s="58"/>
      <c r="J84" s="58"/>
      <c r="K84" s="47"/>
      <c r="L84" s="57"/>
      <c r="M84" s="54"/>
      <c r="N84" s="42"/>
      <c r="O84" s="42"/>
      <c r="P84" s="42"/>
      <c r="Q84" s="47"/>
      <c r="R84" s="61">
        <f>R83/R54</f>
        <v>0.25033674568965519</v>
      </c>
      <c r="S84" s="16" t="str">
        <f>IF(R84&lt;=1,"OK","CHECK")</f>
        <v>OK</v>
      </c>
      <c r="T84" s="13"/>
    </row>
    <row r="85" spans="8:20">
      <c r="H85" s="17" t="s">
        <v>22</v>
      </c>
      <c r="I85" s="42"/>
      <c r="J85" s="42"/>
      <c r="K85" s="62"/>
      <c r="L85" s="63"/>
      <c r="M85" s="10"/>
      <c r="N85" s="10"/>
      <c r="O85" s="64"/>
      <c r="P85" s="12"/>
      <c r="Q85" s="65"/>
      <c r="R85" s="42"/>
      <c r="S85" s="9"/>
    </row>
    <row r="86" spans="8:20">
      <c r="H86" s="18"/>
      <c r="I86" s="19"/>
      <c r="J86" s="19"/>
      <c r="K86" s="20"/>
      <c r="L86" s="21"/>
      <c r="M86" s="22"/>
      <c r="N86" s="22"/>
      <c r="O86" s="23"/>
      <c r="P86" s="24"/>
      <c r="Q86" s="25"/>
      <c r="R86" s="25"/>
      <c r="S86" s="26"/>
    </row>
    <row r="119" spans="8:10">
      <c r="H119" s="1">
        <v>0.25</v>
      </c>
      <c r="I119" s="1">
        <v>1.19</v>
      </c>
    </row>
    <row r="120" spans="8:10">
      <c r="H120" s="1">
        <v>0.5</v>
      </c>
      <c r="I120" s="1">
        <v>1.1200000000000001</v>
      </c>
    </row>
    <row r="121" spans="8:10">
      <c r="H121" s="1">
        <v>1</v>
      </c>
      <c r="I121" s="1">
        <v>1.07</v>
      </c>
    </row>
    <row r="122" spans="8:10">
      <c r="H122" s="1">
        <v>2</v>
      </c>
      <c r="I122" s="1">
        <v>1.04</v>
      </c>
      <c r="J122" s="1" t="e" cm="1">
        <f t="array" aca="1" ref="J122" ca="1">noisuy1chieu(#REF!,H119:H122,I119:I122)</f>
        <v>#NAME?</v>
      </c>
    </row>
  </sheetData>
  <mergeCells count="7">
    <mergeCell ref="B11:F11"/>
    <mergeCell ref="B21:C21"/>
    <mergeCell ref="AA11:AA12"/>
    <mergeCell ref="H63:J63"/>
    <mergeCell ref="H11:P12"/>
    <mergeCell ref="Q11:S12"/>
    <mergeCell ref="H13:J13"/>
  </mergeCells>
  <conditionalFormatting sqref="L85:L86">
    <cfRule type="containsText" dxfId="8" priority="28" operator="containsText" text="OK">
      <formula>NOT(ISERROR(SEARCH("OK",L85)))</formula>
    </cfRule>
  </conditionalFormatting>
  <conditionalFormatting sqref="S82">
    <cfRule type="containsText" dxfId="7" priority="7" operator="containsText" text="Check">
      <formula>NOT(ISERROR(SEARCH("Check",S82)))</formula>
    </cfRule>
    <cfRule type="containsText" dxfId="6" priority="8" operator="containsText" text="OK">
      <formula>NOT(ISERROR(SEARCH("OK",S82)))</formula>
    </cfRule>
  </conditionalFormatting>
  <conditionalFormatting sqref="S84">
    <cfRule type="containsText" dxfId="5" priority="5" operator="containsText" text="Check">
      <formula>NOT(ISERROR(SEARCH("Check",S84)))</formula>
    </cfRule>
    <cfRule type="containsText" dxfId="4" priority="6" operator="containsText" text="OK">
      <formula>NOT(ISERROR(SEARCH("OK",S84)))</formula>
    </cfRule>
  </conditionalFormatting>
  <conditionalFormatting sqref="S75">
    <cfRule type="containsText" dxfId="3" priority="3" operator="containsText" text="Check">
      <formula>NOT(ISERROR(SEARCH("Check",S75)))</formula>
    </cfRule>
    <cfRule type="containsText" dxfId="2" priority="4" operator="containsText" text="OK">
      <formula>NOT(ISERROR(SEARCH("OK",S75)))</formula>
    </cfRule>
  </conditionalFormatting>
  <conditionalFormatting sqref="S78">
    <cfRule type="containsText" dxfId="1" priority="1" operator="containsText" text="Check">
      <formula>NOT(ISERROR(SEARCH("Check",S78)))</formula>
    </cfRule>
    <cfRule type="containsText" dxfId="0" priority="2" operator="containsText" text="OK">
      <formula>NOT(ISERROR(SEARCH("OK",S78)))</formula>
    </cfRule>
  </conditionalFormatting>
  <dataValidations count="5">
    <dataValidation type="list" allowBlank="1" showInputMessage="1" showErrorMessage="1" sqref="S16" xr:uid="{A62B5363-9F30-4799-8226-D7CB0009279F}">
      <formula1>"A,B"</formula1>
    </dataValidation>
    <dataValidation type="list" allowBlank="1" showInputMessage="1" showErrorMessage="1" sqref="R45 R52" xr:uid="{B325D7C4-075A-4C0F-BF9B-318F8CC82163}">
      <formula1>"4,6,8,10,12,14,16,18"</formula1>
    </dataValidation>
    <dataValidation type="list" allowBlank="1" showInputMessage="1" showErrorMessage="1" sqref="R53" xr:uid="{5B2AFA88-9914-4AA0-B03D-BFD888C48A5B}">
      <formula1>"1,2"</formula1>
    </dataValidation>
    <dataValidation type="list" allowBlank="1" showInputMessage="1" showErrorMessage="1" sqref="R20" xr:uid="{BD8FD0C9-3064-4C01-BE0D-BF7AC6584D18}">
      <formula1>$B$13:$B$20</formula1>
    </dataValidation>
    <dataValidation type="list" allowBlank="1" showInputMessage="1" showErrorMessage="1" sqref="AA11:AA12" xr:uid="{3BFF0E5B-248D-472A-9F23-72B6CFB82474}">
      <formula1>$AB$11:$AB$12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I61 R83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4E2BE9-B04B-41F4-B89C-41F0215540C7}">
          <x14:formula1>
            <xm:f>Data!$K$4:$K$99</xm:f>
          </x14:formula1>
          <xm:sqref>R16</xm:sqref>
        </x14:dataValidation>
        <x14:dataValidation type="list" allowBlank="1" showInputMessage="1" showErrorMessage="1" xr:uid="{85B016CF-728C-4011-AAAF-9F70D5A10266}">
          <x14:formula1>
            <xm:f>Data!$A$3:$A$99</xm:f>
          </x14:formula1>
          <xm:sqref>R25</xm:sqref>
        </x14:dataValidation>
        <x14:dataValidation type="list" allowBlank="1" showInputMessage="1" showErrorMessage="1" xr:uid="{82F703B2-A55C-480A-BCAC-5E69D6251150}">
          <x14:formula1>
            <xm:f>Data!AZ$3:AZ$99</xm:f>
          </x14:formula1>
          <xm:sqref>R32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2026-05-04T04:15:23Z</dcterms:modified>
</cp:coreProperties>
</file>