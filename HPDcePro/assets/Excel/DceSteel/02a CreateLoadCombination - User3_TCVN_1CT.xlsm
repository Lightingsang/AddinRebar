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EF76F6A1-486C-49B0-AD59-1ADDD350A4F4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ata" sheetId="9" state="hidden" r:id="rId1"/>
    <sheet name="User3" sheetId="6" r:id="rId2"/>
  </sheets>
  <functionGroups builtInGroupCount="19"/>
  <externalReferences>
    <externalReference r:id="rId3"/>
  </externalReferences>
  <definedNames>
    <definedName name="_xleta.CONCATENATE" hidden="1" xlm="1">#NAME?</definedName>
    <definedName name="nn">'[1]DESIGN SHEET OF BMB'!$Q$4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9" i="6" l="1"/>
  <c r="I89" i="6"/>
  <c r="K88" i="6"/>
  <c r="I88" i="6"/>
  <c r="K87" i="6"/>
  <c r="I87" i="6"/>
  <c r="K86" i="6"/>
  <c r="I86" i="6"/>
  <c r="K85" i="6"/>
  <c r="I85" i="6"/>
  <c r="K84" i="6"/>
  <c r="I84" i="6"/>
  <c r="K83" i="6"/>
  <c r="I83" i="6"/>
  <c r="K82" i="6"/>
  <c r="I82" i="6"/>
  <c r="K81" i="6"/>
  <c r="I81" i="6"/>
  <c r="K80" i="6"/>
  <c r="I80" i="6"/>
  <c r="K79" i="6"/>
  <c r="I79" i="6"/>
  <c r="K78" i="6"/>
  <c r="I78" i="6"/>
  <c r="K77" i="6"/>
  <c r="I77" i="6"/>
  <c r="K76" i="6"/>
  <c r="I76" i="6"/>
  <c r="K75" i="6"/>
  <c r="I75" i="6"/>
  <c r="K74" i="6"/>
  <c r="I74" i="6"/>
  <c r="K73" i="6"/>
  <c r="I73" i="6"/>
  <c r="K72" i="6"/>
  <c r="I72" i="6"/>
  <c r="K71" i="6"/>
  <c r="I71" i="6"/>
  <c r="K70" i="6"/>
  <c r="I70" i="6"/>
  <c r="K69" i="6"/>
  <c r="I69" i="6"/>
  <c r="K68" i="6"/>
  <c r="I68" i="6"/>
  <c r="K67" i="6"/>
  <c r="I67" i="6"/>
  <c r="K66" i="6"/>
  <c r="I66" i="6"/>
  <c r="K65" i="6"/>
  <c r="I65" i="6"/>
  <c r="K64" i="6"/>
  <c r="I64" i="6"/>
  <c r="K63" i="6"/>
  <c r="I63" i="6"/>
  <c r="K62" i="6"/>
  <c r="I62" i="6"/>
  <c r="K61" i="6"/>
  <c r="I61" i="6"/>
  <c r="K60" i="6"/>
  <c r="I60" i="6"/>
  <c r="K59" i="6"/>
  <c r="I59" i="6"/>
  <c r="K58" i="6"/>
  <c r="I58" i="6"/>
  <c r="B138" i="6" a="1"/>
  <c r="B146" i="6" a="1"/>
  <c r="B154" i="6" a="1"/>
  <c r="B162" i="6" a="1"/>
  <c r="B156" i="6" a="1"/>
  <c r="B165" i="6" a="1"/>
  <c r="B147" i="6" a="1"/>
  <c r="B164" i="6" a="1"/>
  <c r="B158" i="6" a="1"/>
  <c r="B159" i="6" a="1"/>
  <c r="B144" i="6" a="1"/>
  <c r="B139" i="6" a="1"/>
  <c r="B155" i="6" a="1"/>
  <c r="B163" i="6" a="1"/>
  <c r="B157" i="6" a="1"/>
  <c r="B166" i="6" a="1"/>
  <c r="B167" i="6" a="1"/>
  <c r="B153" i="6" a="1"/>
  <c r="B148" i="6" a="1"/>
  <c r="B152" i="6" a="1"/>
  <c r="B140" i="6" a="1"/>
  <c r="B149" i="6" a="1"/>
  <c r="B141" i="6" a="1"/>
  <c r="B150" i="6" a="1"/>
  <c r="B151" i="6" a="1"/>
  <c r="B160" i="6" a="1"/>
  <c r="B145" i="6" a="1"/>
  <c r="B142" i="6" a="1"/>
  <c r="B161" i="6" a="1"/>
  <c r="B143" i="6" a="1"/>
  <c r="B137" i="6" a="1"/>
  <c r="B129" i="6" a="1"/>
  <c r="B62" i="6" a="1"/>
  <c r="B64" i="6" a="1"/>
  <c r="B119" i="6" a="1"/>
  <c r="B104" i="6" a="1"/>
  <c r="B17" i="6" a="1"/>
  <c r="B126" i="6" a="1"/>
  <c r="B115" i="6" a="1"/>
  <c r="B51" i="6" a="1"/>
  <c r="B106" i="6" a="1"/>
  <c r="B73" i="6" a="1"/>
  <c r="B89" i="6" a="1"/>
  <c r="B131" i="6" a="1"/>
  <c r="B14" i="6" a="1"/>
  <c r="B65" i="6" a="1"/>
  <c r="B117" i="6" a="1"/>
  <c r="B130" i="6" a="1"/>
  <c r="B49" i="6" a="1"/>
  <c r="B91" i="6" a="1"/>
  <c r="B79" i="6" a="1"/>
  <c r="B74" i="6" a="1"/>
  <c r="B44" i="6" a="1"/>
  <c r="B66" i="6" a="1"/>
  <c r="B98" i="6" a="1"/>
  <c r="B123" i="6" a="1"/>
  <c r="B86" i="6" a="1"/>
  <c r="B97" i="6" a="1"/>
  <c r="B39" i="6" a="1"/>
  <c r="B118" i="6" a="1"/>
  <c r="B113" i="6" a="1"/>
  <c r="B121" i="6" a="1"/>
  <c r="B81" i="6" a="1"/>
  <c r="B45" i="6" a="1"/>
  <c r="B41" i="6" a="1"/>
  <c r="B58" i="6" a="1"/>
  <c r="B83" i="6" a="1"/>
  <c r="B25" i="6" a="1"/>
  <c r="B46" i="6" a="1"/>
  <c r="B57" i="6" a="1"/>
  <c r="B88" i="6" a="1"/>
  <c r="B53" i="6" a="1"/>
  <c r="B33" i="6" a="1"/>
  <c r="B132" i="6" a="1"/>
  <c r="B120" i="6" a="1"/>
  <c r="B13" i="6" a="1"/>
  <c r="B134" i="6" a="1"/>
  <c r="B26" i="6" a="1"/>
  <c r="B125" i="6" a="1"/>
  <c r="B110" i="6" a="1"/>
  <c r="B70" i="6" a="1"/>
  <c r="B87" i="6" a="1"/>
  <c r="B78" i="6" a="1"/>
  <c r="B20" i="6" a="1"/>
  <c r="B40" i="6" a="1"/>
  <c r="B80" i="6" a="1"/>
  <c r="B102" i="6" a="1"/>
  <c r="B114" i="6" a="1"/>
  <c r="B37" i="6" a="1"/>
  <c r="B18" i="6" a="1"/>
  <c r="B116" i="6" a="1"/>
  <c r="B59" i="6" a="1"/>
  <c r="B101" i="6" a="1"/>
  <c r="B48" i="6" a="1"/>
  <c r="B82" i="6" a="1"/>
  <c r="B105" i="6" a="1"/>
  <c r="B30" i="6" a="1"/>
  <c r="B72" i="6" a="1"/>
  <c r="B135" i="6" a="1"/>
  <c r="B136" i="6" a="1"/>
  <c r="B75" i="6" a="1"/>
  <c r="B29" i="6" a="1"/>
  <c r="B127" i="6" a="1"/>
  <c r="B109" i="6" a="1"/>
  <c r="B32" i="6" a="1"/>
  <c r="B34" i="6" a="1"/>
  <c r="B99" i="6" a="1"/>
  <c r="B94" i="6" a="1"/>
  <c r="B95" i="6" a="1"/>
  <c r="B24" i="6" a="1"/>
  <c r="B71" i="6" a="1"/>
  <c r="B96" i="6" a="1"/>
  <c r="B107" i="6" a="1"/>
  <c r="B69" i="6" a="1"/>
  <c r="B111" i="6" a="1"/>
  <c r="B133" i="6" a="1"/>
  <c r="B42" i="6" a="1"/>
  <c r="B54" i="6" a="1"/>
  <c r="B61" i="6" a="1"/>
  <c r="B76" i="6" a="1"/>
  <c r="B55" i="6" a="1"/>
  <c r="B103" i="6" a="1"/>
  <c r="B35" i="6" a="1"/>
  <c r="B56" i="6" a="1"/>
  <c r="B67" i="6" a="1"/>
  <c r="B108" i="6" a="1"/>
  <c r="B93" i="6" a="1"/>
  <c r="B128" i="6" a="1"/>
  <c r="B23" i="6" a="1"/>
  <c r="B22" i="6" a="1"/>
  <c r="B21" i="6" a="1"/>
  <c r="B63" i="6" a="1"/>
  <c r="B15" i="6" a="1"/>
  <c r="B36" i="6" a="1"/>
  <c r="B84" i="6" a="1"/>
  <c r="B31" i="6" a="1"/>
  <c r="B43" i="6" a="1"/>
  <c r="B50" i="6" a="1"/>
  <c r="B77" i="6" a="1"/>
  <c r="B38" i="6" a="1"/>
  <c r="B100" i="6" a="1"/>
  <c r="B122" i="6" a="1"/>
  <c r="B124" i="6" a="1"/>
  <c r="B47" i="6" a="1"/>
  <c r="B68" i="6" a="1"/>
  <c r="B90" i="6" a="1"/>
  <c r="B52" i="6" a="1"/>
  <c r="B112" i="6" a="1"/>
  <c r="B28" i="6" a="1"/>
  <c r="B60" i="6" a="1"/>
  <c r="B92" i="6" a="1"/>
  <c r="B16" i="6" a="1"/>
  <c r="B27" i="6" a="1"/>
  <c r="B12" i="6" a="1"/>
  <c r="B85" i="6" a="1"/>
  <c r="B19" i="6" a="1"/>
  <c r="B143" i="6" l="1"/>
  <c r="B161" i="6"/>
  <c r="B142" i="6"/>
  <c r="B145" i="6"/>
  <c r="B160" i="6"/>
  <c r="B151" i="6"/>
  <c r="B150" i="6"/>
  <c r="B141" i="6"/>
  <c r="B149" i="6"/>
  <c r="B140" i="6"/>
  <c r="B152" i="6"/>
  <c r="B148" i="6"/>
  <c r="B153" i="6"/>
  <c r="B167" i="6"/>
  <c r="B166" i="6"/>
  <c r="B157" i="6"/>
  <c r="B163" i="6"/>
  <c r="B155" i="6"/>
  <c r="B139" i="6"/>
  <c r="B144" i="6"/>
  <c r="B159" i="6"/>
  <c r="B158" i="6"/>
  <c r="B164" i="6"/>
  <c r="B147" i="6"/>
  <c r="B165" i="6"/>
  <c r="B156" i="6"/>
  <c r="B162" i="6"/>
  <c r="B154" i="6"/>
  <c r="B146" i="6"/>
  <c r="B138" i="6"/>
  <c r="B50" i="6"/>
  <c r="B23" i="6"/>
  <c r="B78" i="6"/>
  <c r="B61" i="6"/>
  <c r="B24" i="6"/>
  <c r="B75" i="6"/>
  <c r="B116" i="6"/>
  <c r="B70" i="6"/>
  <c r="B33" i="6"/>
  <c r="B98" i="6"/>
  <c r="B81" i="6"/>
  <c r="B44" i="6"/>
  <c r="B85" i="6"/>
  <c r="B126" i="6"/>
  <c r="B12" i="6"/>
  <c r="B90" i="6"/>
  <c r="B43" i="6"/>
  <c r="B128" i="6"/>
  <c r="B101" i="6"/>
  <c r="B54" i="6"/>
  <c r="B95" i="6"/>
  <c r="B136" i="6"/>
  <c r="B18" i="6"/>
  <c r="B110" i="6"/>
  <c r="B53" i="6"/>
  <c r="B19" i="6"/>
  <c r="B121" i="6"/>
  <c r="B74" i="6"/>
  <c r="B115" i="6"/>
  <c r="B17" i="6"/>
  <c r="B27" i="6"/>
  <c r="B68" i="6"/>
  <c r="B31" i="6"/>
  <c r="B93" i="6"/>
  <c r="B59" i="6"/>
  <c r="B42" i="6"/>
  <c r="B94" i="6"/>
  <c r="B135" i="6"/>
  <c r="B37" i="6"/>
  <c r="B125" i="6"/>
  <c r="B88" i="6"/>
  <c r="B51" i="6"/>
  <c r="B113" i="6"/>
  <c r="B79" i="6"/>
  <c r="B52" i="6"/>
  <c r="B104" i="6"/>
  <c r="B16" i="6"/>
  <c r="B47" i="6"/>
  <c r="B84" i="6"/>
  <c r="B108" i="6"/>
  <c r="B71" i="6"/>
  <c r="B133" i="6"/>
  <c r="B99" i="6"/>
  <c r="B72" i="6"/>
  <c r="B114" i="6"/>
  <c r="B26" i="6"/>
  <c r="B57" i="6"/>
  <c r="B22" i="6"/>
  <c r="B118" i="6"/>
  <c r="B91" i="6"/>
  <c r="B14" i="6"/>
  <c r="B119" i="6"/>
  <c r="B92" i="6"/>
  <c r="B124" i="6"/>
  <c r="B36" i="6"/>
  <c r="B67" i="6"/>
  <c r="B29" i="6"/>
  <c r="B111" i="6"/>
  <c r="B34" i="6"/>
  <c r="B30" i="6"/>
  <c r="B102" i="6"/>
  <c r="B134" i="6"/>
  <c r="B46" i="6"/>
  <c r="B77" i="6"/>
  <c r="B39" i="6"/>
  <c r="B49" i="6"/>
  <c r="B131" i="6"/>
  <c r="B64" i="6"/>
  <c r="B60" i="6"/>
  <c r="B122" i="6"/>
  <c r="B15" i="6"/>
  <c r="B56" i="6"/>
  <c r="B87" i="6"/>
  <c r="B69" i="6"/>
  <c r="B32" i="6"/>
  <c r="B105" i="6"/>
  <c r="B80" i="6"/>
  <c r="B13" i="6"/>
  <c r="B25" i="6"/>
  <c r="B66" i="6"/>
  <c r="B97" i="6"/>
  <c r="B130" i="6"/>
  <c r="B89" i="6"/>
  <c r="B62" i="6"/>
  <c r="B28" i="6"/>
  <c r="B100" i="6"/>
  <c r="B63" i="6"/>
  <c r="B35" i="6"/>
  <c r="B76" i="6"/>
  <c r="B107" i="6"/>
  <c r="B109" i="6"/>
  <c r="B82" i="6"/>
  <c r="B40" i="6"/>
  <c r="B120" i="6"/>
  <c r="B83" i="6"/>
  <c r="B45" i="6"/>
  <c r="B86" i="6"/>
  <c r="B117" i="6"/>
  <c r="B73" i="6"/>
  <c r="B129" i="6"/>
  <c r="B112" i="6"/>
  <c r="B38" i="6"/>
  <c r="B21" i="6"/>
  <c r="B103" i="6"/>
  <c r="B55" i="6"/>
  <c r="B96" i="6"/>
  <c r="B127" i="6"/>
  <c r="B48" i="6"/>
  <c r="B20" i="6"/>
  <c r="B132" i="6"/>
  <c r="B58" i="6"/>
  <c r="B41" i="6"/>
  <c r="B123" i="6"/>
  <c r="B65" i="6"/>
  <c r="B106" i="6"/>
  <c r="B13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<sst xmlns="http://schemas.openxmlformats.org/spreadsheetml/2006/main" count="294" uniqueCount="193">
  <si>
    <t>Live</t>
  </si>
  <si>
    <t>Wind</t>
  </si>
  <si>
    <t>Dead</t>
  </si>
  <si>
    <t>Load type</t>
  </si>
  <si>
    <t>Giải thích</t>
  </si>
  <si>
    <t>Name</t>
  </si>
  <si>
    <t>SuperDead</t>
  </si>
  <si>
    <t>ReduceLive</t>
  </si>
  <si>
    <t>Quake</t>
  </si>
  <si>
    <t>Snow</t>
  </si>
  <si>
    <t>Other</t>
  </si>
  <si>
    <t>Temperature</t>
  </si>
  <si>
    <t>Rooflive</t>
  </si>
  <si>
    <t>Notional</t>
  </si>
  <si>
    <t>PatternLive</t>
  </si>
  <si>
    <t>Combination</t>
  </si>
  <si>
    <t>CR1</t>
  </si>
  <si>
    <t>CR2</t>
  </si>
  <si>
    <t>CR3</t>
  </si>
  <si>
    <t>CR4</t>
  </si>
  <si>
    <t>D</t>
  </si>
  <si>
    <t>SDL</t>
  </si>
  <si>
    <t>BW</t>
  </si>
  <si>
    <t>COL</t>
  </si>
  <si>
    <t>SOIL</t>
  </si>
  <si>
    <t>WATER</t>
  </si>
  <si>
    <t>LLB</t>
  </si>
  <si>
    <t>Lr</t>
  </si>
  <si>
    <t>LLE</t>
  </si>
  <si>
    <t>Wx+1</t>
  </si>
  <si>
    <t>Wx+2</t>
  </si>
  <si>
    <t>Wx-1</t>
  </si>
  <si>
    <t>Wx-2</t>
  </si>
  <si>
    <t>Wy+1</t>
  </si>
  <si>
    <t>Wy+2</t>
  </si>
  <si>
    <t>Wy-1</t>
  </si>
  <si>
    <t>Wy-2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</si>
  <si>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</si>
  <si>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</si>
  <si>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</si>
  <si>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</si>
  <si>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</si>
  <si>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</si>
  <si>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</si>
  <si>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</si>
  <si>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</si>
  <si>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</si>
  <si>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</si>
  <si>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</si>
  <si>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</si>
  <si>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</si>
  <si>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</si>
  <si>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</si>
  <si>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</si>
  <si>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</si>
  <si>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</si>
  <si>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</si>
  <si>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</si>
  <si>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</si>
  <si>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</si>
  <si>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</si>
  <si>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</si>
  <si>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</si>
  <si>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</si>
  <si>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</si>
  <si>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</si>
  <si>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</si>
  <si>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</si>
  <si>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TC32</t>
  </si>
  <si>
    <t>TC33</t>
  </si>
  <si>
    <t>TC34</t>
  </si>
  <si>
    <t>TC35</t>
  </si>
  <si>
    <t>TC36</t>
  </si>
  <si>
    <t>TC37</t>
  </si>
  <si>
    <t>TC38</t>
  </si>
  <si>
    <t>TC39</t>
  </si>
  <si>
    <t>TC40</t>
  </si>
  <si>
    <t>TC41</t>
  </si>
  <si>
    <t>TC42</t>
  </si>
  <si>
    <t>TC43</t>
  </si>
  <si>
    <t>TC44</t>
  </si>
  <si>
    <t>TC45</t>
  </si>
  <si>
    <t>TC46</t>
  </si>
  <si>
    <t>TC47</t>
  </si>
  <si>
    <t>TC48</t>
  </si>
  <si>
    <t>TT1</t>
  </si>
  <si>
    <t>TT2</t>
  </si>
  <si>
    <t>TT3</t>
  </si>
  <si>
    <t>TT4</t>
  </si>
  <si>
    <t>TT5</t>
  </si>
  <si>
    <t>TT6</t>
  </si>
  <si>
    <t>TT7</t>
  </si>
  <si>
    <t>TT8</t>
  </si>
  <si>
    <t>TT9</t>
  </si>
  <si>
    <t>TT10</t>
  </si>
  <si>
    <t>TT11</t>
  </si>
  <si>
    <t>TT12</t>
  </si>
  <si>
    <t>TT13</t>
  </si>
  <si>
    <t>TT14</t>
  </si>
  <si>
    <t>TT15</t>
  </si>
  <si>
    <t>TT16</t>
  </si>
  <si>
    <t>TT17</t>
  </si>
  <si>
    <t>TT18</t>
  </si>
  <si>
    <t>TT19</t>
  </si>
  <si>
    <t>TT20</t>
  </si>
  <si>
    <t>TT21</t>
  </si>
  <si>
    <t>TT22</t>
  </si>
  <si>
    <t>TT23</t>
  </si>
  <si>
    <t>TT24</t>
  </si>
  <si>
    <t>TT25</t>
  </si>
  <si>
    <t>TT26</t>
  </si>
  <si>
    <t>TT27</t>
  </si>
  <si>
    <t>TT28</t>
  </si>
  <si>
    <t>TT29</t>
  </si>
  <si>
    <t>TT30</t>
  </si>
  <si>
    <t>TT31</t>
  </si>
  <si>
    <t>TT32</t>
  </si>
  <si>
    <t>TT33</t>
  </si>
  <si>
    <t>TT34</t>
  </si>
  <si>
    <t>TT35</t>
  </si>
  <si>
    <t>TT36</t>
  </si>
  <si>
    <t>TT37</t>
  </si>
  <si>
    <t>TT38</t>
  </si>
  <si>
    <t>TT39</t>
  </si>
  <si>
    <t>TT40</t>
  </si>
  <si>
    <t>TT41</t>
  </si>
  <si>
    <t>TT42</t>
  </si>
  <si>
    <t>TT43</t>
  </si>
  <si>
    <t>TT44</t>
  </si>
  <si>
    <t>TT45</t>
  </si>
  <si>
    <t>TT46</t>
  </si>
  <si>
    <t>TT47</t>
  </si>
  <si>
    <t>TT48</t>
  </si>
  <si>
    <t>TT49</t>
  </si>
  <si>
    <t>TT50</t>
  </si>
  <si>
    <t>TT51</t>
  </si>
  <si>
    <t>TT52</t>
  </si>
  <si>
    <t>TT53</t>
  </si>
  <si>
    <t>TT54</t>
  </si>
  <si>
    <t>TT55</t>
  </si>
  <si>
    <t>TT56</t>
  </si>
  <si>
    <t>TT57</t>
  </si>
  <si>
    <t>TT58</t>
  </si>
  <si>
    <t>TT59</t>
  </si>
  <si>
    <t>TT60</t>
  </si>
  <si>
    <t>TT61</t>
  </si>
  <si>
    <t>TT62</t>
  </si>
  <si>
    <t>TT63</t>
  </si>
  <si>
    <t>TT64</t>
  </si>
  <si>
    <t>TT65</t>
  </si>
  <si>
    <t>TT66</t>
  </si>
  <si>
    <t>TT67</t>
  </si>
  <si>
    <t>TT68</t>
  </si>
  <si>
    <t>TT69</t>
  </si>
  <si>
    <t>TT70</t>
  </si>
  <si>
    <t>TT71</t>
  </si>
  <si>
    <t>TT72</t>
  </si>
  <si>
    <t>TT73</t>
  </si>
  <si>
    <t>TT74</t>
  </si>
  <si>
    <t>TT75</t>
  </si>
  <si>
    <t>TT76</t>
  </si>
  <si>
    <t>TT77</t>
  </si>
  <si>
    <t>TT78</t>
  </si>
  <si>
    <t>TC49</t>
  </si>
  <si>
    <t>TC50</t>
  </si>
  <si>
    <t>TC51</t>
  </si>
  <si>
    <t>TC52</t>
  </si>
  <si>
    <t>TC53</t>
  </si>
  <si>
    <t>TC54</t>
  </si>
  <si>
    <t>TC55</t>
  </si>
  <si>
    <t>TC56</t>
  </si>
  <si>
    <t>TC57</t>
  </si>
  <si>
    <t>TC58</t>
  </si>
  <si>
    <t>TC59</t>
  </si>
  <si>
    <t>TC60</t>
  </si>
  <si>
    <t>TC61</t>
  </si>
  <si>
    <t>TC62</t>
  </si>
  <si>
    <t>TC63</t>
  </si>
  <si>
    <t>TC64</t>
  </si>
  <si>
    <t>TC65</t>
  </si>
  <si>
    <t>TC66</t>
  </si>
  <si>
    <t>TC67</t>
  </si>
  <si>
    <t>TC68</t>
  </si>
  <si>
    <t>TC69</t>
  </si>
  <si>
    <t>TC70</t>
  </si>
  <si>
    <t>TC71</t>
  </si>
  <si>
    <t>TC72</t>
  </si>
  <si>
    <t>TC73</t>
  </si>
  <si>
    <t>TC74</t>
  </si>
  <si>
    <t>TC75</t>
  </si>
  <si>
    <t>TC76</t>
  </si>
  <si>
    <t>TC77</t>
  </si>
  <si>
    <t>TC78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</si>
</sst>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8"/>
      <name val="Calibri"/>
      <family val="2"/>
      <scheme val="minor"/>
    </font>
    <font>
      <sz val="10"/>
      <color rgb="FF13499C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</borders>
  <cellStyleXfs count="3">
    <xf numFmtId="0" fontId="0" fillId="0" borderId="0"/>
    <xf numFmtId="0" fontId="3" fillId="3" borderId="2" applyNumberFormat="0" applyAlignment="0" applyProtection="0"/>
    <xf numFmtId="0" fontId="5" fillId="4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/>
    <xf numFmtId="0" fontId="4" fillId="4" borderId="1" xfId="2" applyFont="1" applyBorder="1" applyAlignment="1">
      <alignment horizontal="center" vertical="center"/>
    </xf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4" fillId="4" borderId="3" xfId="2" applyFont="1" applyBorder="1" applyAlignment="1">
      <alignment horizontal="center"/>
    </xf>
  </cellXfs>
  <cellStyles count="3">
    <cellStyle name="Accent1" xfId="2" builtinId="29"/>
    <cellStyle name="Input 2" xfId="1" xr:uid="{AB773100-D783-4B38-B649-AC0D668A1330}"/>
    <cellStyle name="Normal" xfId="0" builtinId="0"/>
  </cellStyles>
  <dxfs count="9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ownloads\1A%20-%20LOAD%20APPLICATION%20AND%20PURLIN%20-%20Under%2018m%20-%20R22.2.xlsm" TargetMode="External"/><Relationship Id="rId1" Type="http://schemas.openxmlformats.org/officeDocument/2006/relationships/externalLinkPath" Target="https://d.docs.live.net/Users/DELL/Downloads/1A%20-%20LOAD%20APPLICATION%20AND%20PURLIN%20-%20Under%2018m%20-%20R22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SIGN SHEET OF BMB"/>
      <sheetName val="1-TM"/>
      <sheetName val="1"/>
      <sheetName val="1-Parapet"/>
      <sheetName val="1-Autoload"/>
      <sheetName val="1-Canopy"/>
      <sheetName val="2"/>
      <sheetName val="3-TM"/>
      <sheetName val="3"/>
      <sheetName val="3-1A"/>
      <sheetName val="3-1B"/>
      <sheetName val="3-2A"/>
      <sheetName val="3-2B"/>
      <sheetName val="3-3A"/>
      <sheetName val="3-3B"/>
      <sheetName val="3-4A"/>
      <sheetName val="3-4B"/>
      <sheetName val="3-5"/>
      <sheetName val="4-TM"/>
      <sheetName val="4"/>
      <sheetName val="4-1A"/>
      <sheetName val="4-1B"/>
      <sheetName val="4-2A"/>
      <sheetName val="4-2B"/>
      <sheetName val="4-3A"/>
      <sheetName val="4-3B"/>
      <sheetName val="4-4A"/>
      <sheetName val="4-4B"/>
      <sheetName val="4-5"/>
      <sheetName val="5"/>
      <sheetName val="6A"/>
      <sheetName val="6-A"/>
      <sheetName val="6-B"/>
      <sheetName val="6B"/>
      <sheetName val="6-A (2)"/>
      <sheetName val="6-B (2)"/>
      <sheetName val="7"/>
      <sheetName val="7-1A"/>
      <sheetName val="7-1B"/>
      <sheetName val="7-2A"/>
      <sheetName val="7-2B"/>
      <sheetName val="7-3"/>
      <sheetName val="8"/>
      <sheetName val="8-1A"/>
      <sheetName val="8-1B"/>
      <sheetName val="8-2A"/>
      <sheetName val="8-2B"/>
      <sheetName val="8-3"/>
      <sheetName val="9"/>
      <sheetName val="Autoload"/>
      <sheetName val="ControlPanel"/>
      <sheetName val="BT"/>
      <sheetName val="10"/>
      <sheetName val="GEN-TUBE."/>
      <sheetName val="DETAIL-TUBE"/>
      <sheetName val="DTHH-XG"/>
      <sheetName val="NL-C1"/>
      <sheetName val="NL-RL"/>
      <sheetName val="NL-C2"/>
      <sheetName val="NL-CV2"/>
      <sheetName val="NL-C3"/>
      <sheetName val="NL-CV3"/>
      <sheetName val="NL-C4"/>
      <sheetName val="NL-C5"/>
      <sheetName val="NL-CV5"/>
    </sheetNames>
    <sheetDataSet>
      <sheetData sheetId="0">
        <row r="4">
          <cell r="Q4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AB1-11B8-404F-A93E-7956969056FB}">
  <sheetPr codeName="Sheet6"/>
  <dimension ref="A1:A13"/>
  <sheetViews>
    <sheetView workbookViewId="0">
      <selection activeCell="D12" sqref="D12"/>
    </sheetView>
  </sheetViews>
  <sheetFormatPr defaultRowHeight="15" x14ac:dyDescent="0.25"/>
  <cols>
    <col min="1" max="1" width="12.5703125" bestFit="1" customWidth="1"/>
  </cols>
  <sheetData>
    <row r="1" spans="1:1" x14ac:dyDescent="0.25">
      <c r="A1" t="s">
        <v>2</v>
      </c>
    </row>
    <row r="2" spans="1:1" x14ac:dyDescent="0.25">
      <c r="A2" t="s">
        <v>6</v>
      </c>
    </row>
    <row r="3" spans="1:1" x14ac:dyDescent="0.25">
      <c r="A3" t="s">
        <v>0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1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957B3-6F83-43BA-95F4-67102B47140B}">
  <sheetPr codeName="Sheet1">
    <tabColor theme="8"/>
  </sheetPr>
  <dimension ref="A1:CY167"/>
  <sheetViews>
    <sheetView showGridLines="0" tabSelected="1" zoomScale="85" zoomScaleNormal="85" workbookViewId="0">
      <pane xSplit="2" ySplit="12" topLeftCell="C13" activePane="bottomRight" state="frozen"/>
      <selection pane="topRight" activeCell="D1" sqref="D1"/>
      <selection pane="bottomLeft" activeCell="A4" sqref="A4"/>
      <selection pane="bottomRight" activeCell="K39" sqref="K39"/>
    </sheetView>
  </sheetViews>
  <sheetFormatPr defaultRowHeight="15" x14ac:dyDescent="0.25"/>
  <cols>
    <col min="1" max="1" width="9.140625" style="4"/>
    <col min="2" max="2" width="78.28515625" style="2" bestFit="1" customWidth="1"/>
    <col min="3" max="17" width="9.140625" style="3"/>
    <col min="18" max="19" width="9.140625" style="2"/>
    <col min="20" max="23" width="9.140625" style="3"/>
    <col min="24" max="103" width="9.140625" style="2"/>
  </cols>
  <sheetData>
    <row r="1" spans="1:103" x14ac:dyDescent="0.25">
      <c r="A1" s="6"/>
      <c r="B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/>
      <c r="S1"/>
      <c r="T1" s="1"/>
      <c r="U1" s="1"/>
      <c r="V1" s="1"/>
      <c r="W1" s="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</row>
    <row r="2" spans="1:103" hidden="1" x14ac:dyDescent="0.25">
      <c r="A2" s="6"/>
      <c r="B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/>
      <c r="S2"/>
      <c r="T2" s="1"/>
      <c r="U2" s="1"/>
      <c r="V2" s="1"/>
      <c r="W2" s="1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</row>
    <row r="3" spans="1:103" hidden="1" x14ac:dyDescent="0.25">
      <c r="A3" s="6"/>
      <c r="B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/>
      <c r="S3"/>
      <c r="T3" s="1"/>
      <c r="U3" s="1"/>
      <c r="V3" s="1"/>
      <c r="W3" s="1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</row>
    <row r="4" spans="1:103" hidden="1" x14ac:dyDescent="0.25">
      <c r="A4" s="6"/>
      <c r="B4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/>
      <c r="S4"/>
      <c r="T4" s="1"/>
      <c r="U4" s="1"/>
      <c r="V4" s="1"/>
      <c r="W4" s="1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</row>
    <row r="5" spans="1:103" hidden="1" x14ac:dyDescent="0.25">
      <c r="A5" s="6"/>
      <c r="B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/>
      <c r="S5"/>
      <c r="T5" s="1"/>
      <c r="U5" s="1"/>
      <c r="V5" s="1"/>
      <c r="W5" s="1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</row>
    <row r="6" spans="1:103" hidden="1" x14ac:dyDescent="0.25">
      <c r="A6" s="6"/>
      <c r="B6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/>
      <c r="S6"/>
      <c r="T6" s="1"/>
      <c r="U6" s="1"/>
      <c r="V6" s="1"/>
      <c r="W6" s="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</row>
    <row r="7" spans="1:103" hidden="1" x14ac:dyDescent="0.25">
      <c r="A7" s="6"/>
      <c r="B7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/>
      <c r="S7"/>
      <c r="T7" s="1"/>
      <c r="U7" s="1"/>
      <c r="V7" s="1"/>
      <c r="W7" s="1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</row>
    <row r="8" spans="1:103" hidden="1" x14ac:dyDescent="0.25">
      <c r="A8" s="6"/>
      <c r="B8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/>
      <c r="S8"/>
      <c r="T8" s="1"/>
      <c r="U8" s="1"/>
      <c r="V8" s="1"/>
      <c r="W8" s="1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</row>
    <row r="9" spans="1:103" hidden="1" x14ac:dyDescent="0.25">
      <c r="A9" s="6"/>
      <c r="B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/>
      <c r="S9"/>
      <c r="T9" s="1"/>
      <c r="U9" s="1"/>
      <c r="V9" s="1"/>
      <c r="W9" s="1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</row>
    <row r="10" spans="1:103" x14ac:dyDescent="0.25">
      <c r="A10" s="18" t="s">
        <v>3</v>
      </c>
      <c r="B10" s="18"/>
      <c r="C10" s="7" t="s">
        <v>2</v>
      </c>
      <c r="D10" s="7" t="s">
        <v>6</v>
      </c>
      <c r="E10" s="7" t="s">
        <v>6</v>
      </c>
      <c r="F10" s="7" t="s">
        <v>6</v>
      </c>
      <c r="G10" s="7" t="s">
        <v>6</v>
      </c>
      <c r="H10" s="7" t="s">
        <v>6</v>
      </c>
      <c r="I10" s="7" t="s">
        <v>12</v>
      </c>
      <c r="J10" s="7" t="s">
        <v>0</v>
      </c>
      <c r="K10" s="7" t="s">
        <v>0</v>
      </c>
      <c r="L10" s="7" t="s">
        <v>1</v>
      </c>
      <c r="M10" s="7" t="s">
        <v>1</v>
      </c>
      <c r="N10" s="7" t="s">
        <v>1</v>
      </c>
      <c r="O10" s="7" t="s">
        <v>1</v>
      </c>
      <c r="P10" s="7" t="s">
        <v>1</v>
      </c>
      <c r="Q10" s="7" t="s">
        <v>1</v>
      </c>
      <c r="R10" s="7" t="s">
        <v>1</v>
      </c>
      <c r="S10" s="7" t="s">
        <v>1</v>
      </c>
      <c r="T10" s="7" t="s">
        <v>0</v>
      </c>
      <c r="U10" s="7" t="s">
        <v>0</v>
      </c>
      <c r="V10" s="7" t="s">
        <v>0</v>
      </c>
      <c r="W10" s="7" t="s">
        <v>0</v>
      </c>
      <c r="X10" s="7" t="s">
        <v>0</v>
      </c>
      <c r="Y10" s="7" t="s">
        <v>0</v>
      </c>
      <c r="Z10" s="7" t="s">
        <v>0</v>
      </c>
      <c r="AA10" s="7" t="s">
        <v>0</v>
      </c>
      <c r="AB10" s="7" t="s">
        <v>0</v>
      </c>
      <c r="AC10" s="7" t="s">
        <v>0</v>
      </c>
      <c r="AD10" s="7" t="s">
        <v>0</v>
      </c>
      <c r="AE10" s="7" t="s">
        <v>0</v>
      </c>
      <c r="AF10" s="7" t="s">
        <v>0</v>
      </c>
      <c r="AG10" s="7" t="s">
        <v>0</v>
      </c>
      <c r="AH10" s="7" t="s">
        <v>0</v>
      </c>
      <c r="AI10" s="7" t="s">
        <v>0</v>
      </c>
      <c r="AJ10" s="7" t="s">
        <v>0</v>
      </c>
      <c r="AK10" s="7" t="s">
        <v>0</v>
      </c>
      <c r="AL10" s="7" t="s">
        <v>0</v>
      </c>
      <c r="AM10" s="7" t="s">
        <v>0</v>
      </c>
      <c r="AN10" s="7" t="s">
        <v>0</v>
      </c>
      <c r="AO10" s="7" t="s">
        <v>0</v>
      </c>
      <c r="AP10" s="7" t="s">
        <v>0</v>
      </c>
      <c r="AQ10" s="7" t="s">
        <v>0</v>
      </c>
      <c r="AR10" s="7" t="s">
        <v>0</v>
      </c>
      <c r="AS10" s="7" t="s">
        <v>0</v>
      </c>
      <c r="AT10" s="7" t="s">
        <v>0</v>
      </c>
      <c r="AU10" s="7" t="s">
        <v>0</v>
      </c>
      <c r="AV10" s="7" t="s">
        <v>0</v>
      </c>
      <c r="AW10" s="7" t="s">
        <v>0</v>
      </c>
      <c r="AX10" s="7" t="s">
        <v>0</v>
      </c>
      <c r="AY10" s="7" t="s">
        <v>0</v>
      </c>
      <c r="AZ10" s="7" t="s">
        <v>0</v>
      </c>
      <c r="BA10" s="7" t="s">
        <v>0</v>
      </c>
      <c r="BB10" s="7" t="s">
        <v>0</v>
      </c>
      <c r="BC10" s="7" t="s">
        <v>0</v>
      </c>
      <c r="BD10" s="7" t="s">
        <v>0</v>
      </c>
      <c r="BE10" s="7" t="s">
        <v>0</v>
      </c>
      <c r="BF10" s="7" t="s">
        <v>0</v>
      </c>
      <c r="BG10" s="7" t="s">
        <v>0</v>
      </c>
      <c r="BH10" s="7" t="s">
        <v>0</v>
      </c>
      <c r="BI10" s="7" t="s">
        <v>0</v>
      </c>
      <c r="BJ10" s="7" t="s">
        <v>0</v>
      </c>
      <c r="BK10" s="7" t="s">
        <v>0</v>
      </c>
      <c r="BL10" s="7" t="s">
        <v>0</v>
      </c>
      <c r="BM10" s="7" t="s">
        <v>0</v>
      </c>
      <c r="BN10" s="7" t="s">
        <v>0</v>
      </c>
      <c r="BO10" s="7" t="s">
        <v>0</v>
      </c>
      <c r="BP10" s="7" t="s">
        <v>0</v>
      </c>
      <c r="BQ10" s="7" t="s">
        <v>0</v>
      </c>
      <c r="BR10" s="7" t="s">
        <v>0</v>
      </c>
      <c r="BS10" s="7" t="s">
        <v>0</v>
      </c>
      <c r="BT10" s="7" t="s">
        <v>0</v>
      </c>
      <c r="BU10" s="7" t="s">
        <v>0</v>
      </c>
      <c r="BV10" s="7" t="s">
        <v>0</v>
      </c>
      <c r="BW10" s="7" t="s">
        <v>0</v>
      </c>
      <c r="BX10" s="7" t="s">
        <v>0</v>
      </c>
      <c r="BY10" s="7" t="s">
        <v>0</v>
      </c>
      <c r="BZ10" s="7" t="s">
        <v>0</v>
      </c>
      <c r="CA10" s="7" t="s">
        <v>0</v>
      </c>
      <c r="CB10" s="7" t="s">
        <v>0</v>
      </c>
      <c r="CC10" s="7" t="s">
        <v>0</v>
      </c>
      <c r="CD10" s="7" t="s">
        <v>0</v>
      </c>
      <c r="CE10" s="7" t="s">
        <v>0</v>
      </c>
      <c r="CF10" s="7" t="s">
        <v>0</v>
      </c>
      <c r="CG10" s="7" t="s">
        <v>0</v>
      </c>
      <c r="CH10" s="7" t="s">
        <v>0</v>
      </c>
      <c r="CI10" s="7" t="s">
        <v>0</v>
      </c>
      <c r="CJ10" s="7" t="s">
        <v>0</v>
      </c>
      <c r="CK10" s="7" t="s">
        <v>0</v>
      </c>
      <c r="CL10" s="7" t="s">
        <v>0</v>
      </c>
      <c r="CM10" s="7" t="s">
        <v>0</v>
      </c>
      <c r="CN10" s="7" t="s">
        <v>0</v>
      </c>
      <c r="CO10" s="7" t="s">
        <v>0</v>
      </c>
      <c r="CP10" s="7" t="s">
        <v>0</v>
      </c>
      <c r="CQ10" s="7" t="s">
        <v>0</v>
      </c>
      <c r="CR10" s="7" t="s">
        <v>0</v>
      </c>
      <c r="CS10" s="7" t="s">
        <v>0</v>
      </c>
      <c r="CT10" s="7" t="s">
        <v>0</v>
      </c>
      <c r="CU10" s="7" t="s">
        <v>0</v>
      </c>
      <c r="CV10" s="7" t="s">
        <v>0</v>
      </c>
      <c r="CW10" s="7" t="s">
        <v>0</v>
      </c>
      <c r="CX10" s="7" t="s">
        <v>0</v>
      </c>
      <c r="CY10" s="7" t="s">
        <v>0</v>
      </c>
    </row>
    <row r="11" spans="1:103" x14ac:dyDescent="0.25">
      <c r="A11" s="5" t="s">
        <v>5</v>
      </c>
      <c r="B11" s="5" t="s">
        <v>4</v>
      </c>
      <c r="C11" s="7" t="s">
        <v>20</v>
      </c>
      <c r="D11" s="7" t="s">
        <v>21</v>
      </c>
      <c r="E11" s="7" t="s">
        <v>22</v>
      </c>
      <c r="F11" s="7" t="s">
        <v>23</v>
      </c>
      <c r="G11" s="7" t="s">
        <v>24</v>
      </c>
      <c r="H11" s="7" t="s">
        <v>25</v>
      </c>
      <c r="I11" s="7" t="s">
        <v>27</v>
      </c>
      <c r="J11" s="7" t="s">
        <v>26</v>
      </c>
      <c r="K11" s="7" t="s">
        <v>28</v>
      </c>
      <c r="L11" s="7" t="s">
        <v>29</v>
      </c>
      <c r="M11" s="7" t="s">
        <v>30</v>
      </c>
      <c r="N11" s="7" t="s">
        <v>31</v>
      </c>
      <c r="O11" s="7" t="s">
        <v>32</v>
      </c>
      <c r="P11" s="7" t="s">
        <v>33</v>
      </c>
      <c r="Q11" s="7" t="s">
        <v>34</v>
      </c>
      <c r="R11" s="7" t="s">
        <v>35</v>
      </c>
      <c r="S11" s="7" t="s">
        <v>36</v>
      </c>
      <c r="T11" s="7" t="s">
        <v>16</v>
      </c>
      <c r="U11" s="7" t="s">
        <v>17</v>
      </c>
      <c r="V11" s="7" t="s">
        <v>18</v>
      </c>
      <c r="W11" s="7" t="s">
        <v>19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</row>
    <row r="12" spans="1:103" x14ac:dyDescent="0.25">
      <c r="A12" s="4" t="s">
        <v>85</v>
      </c>
      <c r="B12" s="2" t="str" cm="1">
        <f t="array" ref="B12">User3($C$11:$ZX$11,C12:ZX12)</f>
        <v>1.05D+1.2SDL+1.2BW+1.1COL+1.1SOIL+1WATER</v>
      </c>
      <c r="C12" s="3">
        <v>1.05</v>
      </c>
      <c r="D12" s="3">
        <v>1.2</v>
      </c>
      <c r="E12" s="3">
        <v>1.2</v>
      </c>
      <c r="F12" s="3">
        <v>1.1000000000000001</v>
      </c>
      <c r="G12" s="3">
        <v>1.1000000000000001</v>
      </c>
      <c r="H12" s="3">
        <v>1</v>
      </c>
    </row>
    <row r="13" spans="1:103" x14ac:dyDescent="0.25">
      <c r="A13" s="4" t="s">
        <v>86</v>
      </c>
      <c r="B13" s="2" t="str" cm="1">
        <f t="array" ref="B13">User3($C$11:$ZX$11,C13:ZX13)</f>
        <v>1.05D+1.2SDL+1.2BW+1.1COL+1.1SOIL+1WATER+1.3Lr+1.3LLB+1.2LLE</v>
      </c>
      <c r="C13" s="3">
        <v>1.05</v>
      </c>
      <c r="D13" s="3">
        <v>1.2</v>
      </c>
      <c r="E13" s="3">
        <v>1.2</v>
      </c>
      <c r="F13" s="3">
        <v>1.1000000000000001</v>
      </c>
      <c r="G13" s="3">
        <v>1.1000000000000001</v>
      </c>
      <c r="H13" s="3">
        <v>1</v>
      </c>
      <c r="I13" s="3">
        <v>1.3</v>
      </c>
      <c r="J13" s="3">
        <v>1.3</v>
      </c>
      <c r="K13" s="3">
        <v>1.2</v>
      </c>
    </row>
    <row r="14" spans="1:103" s="11" customFormat="1" x14ac:dyDescent="0.25">
      <c r="A14" s="4" t="s">
        <v>87</v>
      </c>
      <c r="B14" s="9" t="str" cm="1">
        <f t="array" ref="B14">User3($C$11:$ZX$11,C14:ZX14)</f>
        <v>1.05D+1.2SDL+1.2BW+1.1COL+1.1SOIL+1WATER+2.1Wx+1</v>
      </c>
      <c r="C14" s="10">
        <v>1.05</v>
      </c>
      <c r="D14" s="10">
        <v>1.2</v>
      </c>
      <c r="E14" s="10">
        <v>1.2</v>
      </c>
      <c r="F14" s="10">
        <v>1.1000000000000001</v>
      </c>
      <c r="G14" s="10">
        <v>1.1000000000000001</v>
      </c>
      <c r="H14" s="10">
        <v>1</v>
      </c>
      <c r="I14" s="10"/>
      <c r="J14" s="10"/>
      <c r="K14" s="10"/>
      <c r="L14" s="10">
        <v>2.1</v>
      </c>
      <c r="M14" s="10"/>
      <c r="N14" s="10"/>
      <c r="O14" s="10"/>
      <c r="P14" s="10"/>
      <c r="Q14" s="10"/>
      <c r="R14" s="9"/>
      <c r="S14" s="9"/>
      <c r="T14" s="10"/>
      <c r="U14" s="10"/>
      <c r="V14" s="10"/>
      <c r="W14" s="10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</row>
    <row r="15" spans="1:103" s="14" customFormat="1" x14ac:dyDescent="0.25">
      <c r="A15" s="4" t="s">
        <v>88</v>
      </c>
      <c r="B15" s="12" t="str" cm="1">
        <f t="array" ref="B15">User3($C$11:$ZX$11,C15:ZX15)</f>
        <v>1.05D+1.2SDL+1.2BW+1.1COL+1.1SOIL+1WATER+2.1Wx+2</v>
      </c>
      <c r="C15" s="13">
        <v>1.05</v>
      </c>
      <c r="D15" s="13">
        <v>1.2</v>
      </c>
      <c r="E15" s="13">
        <v>1.2</v>
      </c>
      <c r="F15" s="13">
        <v>1.1000000000000001</v>
      </c>
      <c r="G15" s="13">
        <v>1.1000000000000001</v>
      </c>
      <c r="H15" s="13">
        <v>1</v>
      </c>
      <c r="I15" s="13"/>
      <c r="J15" s="13"/>
      <c r="K15" s="13"/>
      <c r="L15" s="13"/>
      <c r="M15" s="13">
        <v>2.1</v>
      </c>
      <c r="N15" s="13"/>
      <c r="O15" s="13"/>
      <c r="P15" s="13"/>
      <c r="Q15" s="13"/>
      <c r="R15" s="12"/>
      <c r="S15" s="12"/>
      <c r="T15" s="13"/>
      <c r="U15" s="13"/>
      <c r="V15" s="13"/>
      <c r="W15" s="13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</row>
    <row r="16" spans="1:103" s="14" customFormat="1" x14ac:dyDescent="0.25">
      <c r="A16" s="4" t="s">
        <v>89</v>
      </c>
      <c r="B16" s="12" t="str" cm="1">
        <f t="array" ref="B16">User3($C$11:$ZX$11,C16:ZX16)</f>
        <v>1.05D+1.2SDL+1.2BW+1.1COL+1.1SOIL+1WATER+2.1Wx-1</v>
      </c>
      <c r="C16" s="13">
        <v>1.05</v>
      </c>
      <c r="D16" s="13">
        <v>1.2</v>
      </c>
      <c r="E16" s="13">
        <v>1.2</v>
      </c>
      <c r="F16" s="13">
        <v>1.1000000000000001</v>
      </c>
      <c r="G16" s="13">
        <v>1.1000000000000001</v>
      </c>
      <c r="H16" s="13">
        <v>1</v>
      </c>
      <c r="I16" s="13"/>
      <c r="J16" s="13"/>
      <c r="K16" s="13"/>
      <c r="L16" s="13"/>
      <c r="M16" s="13"/>
      <c r="N16" s="13">
        <v>2.1</v>
      </c>
      <c r="O16" s="13"/>
      <c r="P16" s="13"/>
      <c r="Q16" s="13"/>
      <c r="R16" s="12"/>
      <c r="S16" s="12"/>
      <c r="T16" s="13"/>
      <c r="U16" s="13"/>
      <c r="V16" s="13"/>
      <c r="W16" s="13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</row>
    <row r="17" spans="1:103" s="14" customFormat="1" x14ac:dyDescent="0.25">
      <c r="A17" s="4" t="s">
        <v>90</v>
      </c>
      <c r="B17" s="12" t="str" cm="1">
        <f t="array" ref="B17">User3($C$11:$ZX$11,C17:ZX17)</f>
        <v>1.05D+1.2SDL+1.2BW+1.1COL+1.1SOIL+1WATER+2.1Wx-2</v>
      </c>
      <c r="C17" s="13">
        <v>1.05</v>
      </c>
      <c r="D17" s="13">
        <v>1.2</v>
      </c>
      <c r="E17" s="13">
        <v>1.2</v>
      </c>
      <c r="F17" s="13">
        <v>1.1000000000000001</v>
      </c>
      <c r="G17" s="13">
        <v>1.1000000000000001</v>
      </c>
      <c r="H17" s="13">
        <v>1</v>
      </c>
      <c r="I17" s="13"/>
      <c r="J17" s="13"/>
      <c r="K17" s="13"/>
      <c r="L17" s="13"/>
      <c r="M17" s="13"/>
      <c r="N17" s="13"/>
      <c r="O17" s="13">
        <v>2.1</v>
      </c>
      <c r="P17" s="13"/>
      <c r="Q17" s="13"/>
      <c r="R17" s="12"/>
      <c r="S17" s="12"/>
      <c r="T17" s="13"/>
      <c r="U17" s="13"/>
      <c r="V17" s="13"/>
      <c r="W17" s="13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</row>
    <row r="18" spans="1:103" s="14" customFormat="1" x14ac:dyDescent="0.25">
      <c r="A18" s="4" t="s">
        <v>91</v>
      </c>
      <c r="B18" s="12" t="str" cm="1">
        <f t="array" ref="B18">User3($C$11:$ZX$11,C18:ZX18)</f>
        <v>1.05D+1.2SDL+1.2BW+1.1COL+1.1SOIL+1WATER+2.1Wy+1</v>
      </c>
      <c r="C18" s="13">
        <v>1.05</v>
      </c>
      <c r="D18" s="13">
        <v>1.2</v>
      </c>
      <c r="E18" s="13">
        <v>1.2</v>
      </c>
      <c r="F18" s="13">
        <v>1.1000000000000001</v>
      </c>
      <c r="G18" s="13">
        <v>1.1000000000000001</v>
      </c>
      <c r="H18" s="13">
        <v>1</v>
      </c>
      <c r="I18" s="13"/>
      <c r="J18" s="13"/>
      <c r="K18" s="13"/>
      <c r="L18" s="13"/>
      <c r="M18" s="13"/>
      <c r="N18" s="13"/>
      <c r="O18" s="13"/>
      <c r="P18" s="13">
        <v>2.1</v>
      </c>
      <c r="Q18" s="13"/>
      <c r="R18" s="12"/>
      <c r="S18" s="12"/>
      <c r="T18" s="13"/>
      <c r="U18" s="13"/>
      <c r="V18" s="13"/>
      <c r="W18" s="13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</row>
    <row r="19" spans="1:103" s="14" customFormat="1" x14ac:dyDescent="0.25">
      <c r="A19" s="4" t="s">
        <v>92</v>
      </c>
      <c r="B19" s="12" t="str" cm="1">
        <f t="array" ref="B19">User3($C$11:$ZX$11,C19:ZX19)</f>
        <v>1.05D+1.2SDL+1.2BW+1.1COL+1.1SOIL+1WATER+2.1Wy+2</v>
      </c>
      <c r="C19" s="13">
        <v>1.05</v>
      </c>
      <c r="D19" s="13">
        <v>1.2</v>
      </c>
      <c r="E19" s="13">
        <v>1.2</v>
      </c>
      <c r="F19" s="13">
        <v>1.1000000000000001</v>
      </c>
      <c r="G19" s="13">
        <v>1.1000000000000001</v>
      </c>
      <c r="H19" s="13">
        <v>1</v>
      </c>
      <c r="I19" s="13"/>
      <c r="J19" s="13"/>
      <c r="K19" s="13"/>
      <c r="L19" s="13"/>
      <c r="M19" s="13"/>
      <c r="N19" s="13"/>
      <c r="O19" s="13"/>
      <c r="P19" s="13"/>
      <c r="Q19" s="13">
        <v>2.1</v>
      </c>
      <c r="R19" s="12"/>
      <c r="S19" s="12"/>
      <c r="T19" s="13"/>
      <c r="U19" s="13"/>
      <c r="V19" s="13"/>
      <c r="W19" s="13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</row>
    <row r="20" spans="1:103" s="14" customFormat="1" x14ac:dyDescent="0.25">
      <c r="A20" s="4" t="s">
        <v>93</v>
      </c>
      <c r="B20" s="12" t="str" cm="1">
        <f t="array" ref="B20">User3($C$11:$ZX$11,C20:ZX20)</f>
        <v>1.05D+1.2SDL+1.2BW+1.1COL+1.1SOIL+1WATER+2.1Wy-1</v>
      </c>
      <c r="C20" s="13">
        <v>1.05</v>
      </c>
      <c r="D20" s="13">
        <v>1.2</v>
      </c>
      <c r="E20" s="13">
        <v>1.2</v>
      </c>
      <c r="F20" s="13">
        <v>1.1000000000000001</v>
      </c>
      <c r="G20" s="13">
        <v>1.1000000000000001</v>
      </c>
      <c r="H20" s="13">
        <v>1</v>
      </c>
      <c r="I20" s="13"/>
      <c r="J20" s="13"/>
      <c r="K20" s="13"/>
      <c r="L20" s="13"/>
      <c r="M20" s="13"/>
      <c r="N20" s="13"/>
      <c r="O20" s="13"/>
      <c r="P20" s="13"/>
      <c r="Q20" s="13"/>
      <c r="R20" s="12">
        <v>2.1</v>
      </c>
      <c r="S20" s="12"/>
      <c r="T20" s="13"/>
      <c r="U20" s="13"/>
      <c r="V20" s="13"/>
      <c r="W20" s="13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</row>
    <row r="21" spans="1:103" s="17" customFormat="1" x14ac:dyDescent="0.25">
      <c r="A21" s="4" t="s">
        <v>94</v>
      </c>
      <c r="B21" s="15" t="str" cm="1">
        <f t="array" ref="B21">User3($C$11:$ZX$11,C21:ZX21)</f>
        <v>1.05D+1.2SDL+1.2BW+1.1COL+1.1SOIL+1WATER+2.1Wy-2</v>
      </c>
      <c r="C21" s="16">
        <v>1.05</v>
      </c>
      <c r="D21" s="16">
        <v>1.2</v>
      </c>
      <c r="E21" s="16">
        <v>1.2</v>
      </c>
      <c r="F21" s="16">
        <v>1.1000000000000001</v>
      </c>
      <c r="G21" s="16">
        <v>1.1000000000000001</v>
      </c>
      <c r="H21" s="16">
        <v>1</v>
      </c>
      <c r="I21" s="16"/>
      <c r="J21" s="16"/>
      <c r="K21" s="16"/>
      <c r="L21" s="16"/>
      <c r="M21" s="16"/>
      <c r="N21" s="16"/>
      <c r="O21" s="16"/>
      <c r="P21" s="16"/>
      <c r="Q21" s="16"/>
      <c r="R21" s="15"/>
      <c r="S21" s="15">
        <v>2.1</v>
      </c>
      <c r="T21" s="16"/>
      <c r="U21" s="16"/>
      <c r="V21" s="16"/>
      <c r="W21" s="16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</row>
    <row r="22" spans="1:103" s="11" customFormat="1" x14ac:dyDescent="0.25">
      <c r="A22" s="4" t="s">
        <v>95</v>
      </c>
      <c r="B22" s="9" t="str" cm="1">
        <f t="array" ref="B22">User3($C$11:$ZX$11,C22:ZX22)</f>
        <v>1.05D+1.2SDL+1.2BW+1.1COL+1.1SOIL+1WATER+1.2CR1</v>
      </c>
      <c r="C22" s="10">
        <v>1.05</v>
      </c>
      <c r="D22" s="10">
        <v>1.2</v>
      </c>
      <c r="E22" s="10">
        <v>1.2</v>
      </c>
      <c r="F22" s="10">
        <v>1.1000000000000001</v>
      </c>
      <c r="G22" s="10">
        <v>1.1000000000000001</v>
      </c>
      <c r="H22" s="10">
        <v>1</v>
      </c>
      <c r="I22" s="10"/>
      <c r="J22" s="10"/>
      <c r="K22" s="10"/>
      <c r="L22" s="10"/>
      <c r="M22" s="10"/>
      <c r="N22" s="10"/>
      <c r="O22" s="10"/>
      <c r="P22" s="10"/>
      <c r="Q22" s="10"/>
      <c r="R22" s="9"/>
      <c r="S22" s="9"/>
      <c r="T22" s="10">
        <v>1.2</v>
      </c>
      <c r="U22" s="10"/>
      <c r="V22" s="10"/>
      <c r="W22" s="10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</row>
    <row r="23" spans="1:103" s="14" customFormat="1" x14ac:dyDescent="0.25">
      <c r="A23" s="4" t="s">
        <v>96</v>
      </c>
      <c r="B23" s="12" t="str" cm="1">
        <f t="array" ref="B23">User3($C$11:$ZX$11,C23:ZX23)</f>
        <v>1.05D+1.2SDL+1.2BW+1.1COL+1.1SOIL+1WATER+1.2CR2</v>
      </c>
      <c r="C23" s="13">
        <v>1.05</v>
      </c>
      <c r="D23" s="13">
        <v>1.2</v>
      </c>
      <c r="E23" s="13">
        <v>1.2</v>
      </c>
      <c r="F23" s="13">
        <v>1.1000000000000001</v>
      </c>
      <c r="G23" s="13">
        <v>1.1000000000000001</v>
      </c>
      <c r="H23" s="13">
        <v>1</v>
      </c>
      <c r="I23" s="13"/>
      <c r="J23" s="13"/>
      <c r="K23" s="13"/>
      <c r="L23" s="13"/>
      <c r="M23" s="13"/>
      <c r="N23" s="13"/>
      <c r="O23" s="13"/>
      <c r="P23" s="13"/>
      <c r="Q23" s="13"/>
      <c r="R23" s="12"/>
      <c r="S23" s="12"/>
      <c r="T23" s="13"/>
      <c r="U23" s="13">
        <v>1.2</v>
      </c>
      <c r="V23" s="13"/>
      <c r="W23" s="13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</row>
    <row r="24" spans="1:103" s="14" customFormat="1" x14ac:dyDescent="0.25">
      <c r="A24" s="4" t="s">
        <v>97</v>
      </c>
      <c r="B24" s="12" t="str" cm="1">
        <f t="array" ref="B24">User3($C$11:$ZX$11,C24:ZX24)</f>
        <v>1.05D+1.2SDL+1.2BW+1.1COL+1.1SOIL+1WATER+1.2CR3</v>
      </c>
      <c r="C24" s="13">
        <v>1.05</v>
      </c>
      <c r="D24" s="13">
        <v>1.2</v>
      </c>
      <c r="E24" s="13">
        <v>1.2</v>
      </c>
      <c r="F24" s="13">
        <v>1.1000000000000001</v>
      </c>
      <c r="G24" s="13">
        <v>1.1000000000000001</v>
      </c>
      <c r="H24" s="13">
        <v>1</v>
      </c>
      <c r="I24" s="13"/>
      <c r="J24" s="13"/>
      <c r="K24" s="13"/>
      <c r="L24" s="13"/>
      <c r="M24" s="13"/>
      <c r="N24" s="13"/>
      <c r="O24" s="13"/>
      <c r="P24" s="13"/>
      <c r="Q24" s="13"/>
      <c r="R24" s="12"/>
      <c r="S24" s="12"/>
      <c r="T24" s="13"/>
      <c r="U24" s="13"/>
      <c r="V24" s="13">
        <v>1.2</v>
      </c>
      <c r="W24" s="13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</row>
    <row r="25" spans="1:103" s="17" customFormat="1" x14ac:dyDescent="0.25">
      <c r="A25" s="4" t="s">
        <v>98</v>
      </c>
      <c r="B25" s="15" t="str" cm="1">
        <f t="array" ref="B25">User3($C$11:$ZX$11,C25:ZX25)</f>
        <v>1.05D+1.2SDL+1.2BW+1.1COL+1.1SOIL+1WATER+1.2CR4</v>
      </c>
      <c r="C25" s="16">
        <v>1.05</v>
      </c>
      <c r="D25" s="16">
        <v>1.2</v>
      </c>
      <c r="E25" s="16">
        <v>1.2</v>
      </c>
      <c r="F25" s="16">
        <v>1.1000000000000001</v>
      </c>
      <c r="G25" s="16">
        <v>1.1000000000000001</v>
      </c>
      <c r="H25" s="16">
        <v>1</v>
      </c>
      <c r="I25" s="16"/>
      <c r="J25" s="16"/>
      <c r="K25" s="16"/>
      <c r="L25" s="16"/>
      <c r="M25" s="16"/>
      <c r="N25" s="16"/>
      <c r="O25" s="16"/>
      <c r="P25" s="16"/>
      <c r="Q25" s="16"/>
      <c r="R25" s="15"/>
      <c r="S25" s="15"/>
      <c r="T25" s="16"/>
      <c r="U25" s="16"/>
      <c r="V25" s="16"/>
      <c r="W25" s="16">
        <v>1.2</v>
      </c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</row>
    <row r="26" spans="1:103" s="11" customFormat="1" x14ac:dyDescent="0.25">
      <c r="A26" s="4" t="s">
        <v>99</v>
      </c>
      <c r="B26" s="9" t="str" cm="1">
        <f t="array" ref="B26">User3($C$11:$ZX$11,C26:ZX26)</f>
        <v>1.05D+1.2SDL+1.2BW+1.1COL+1.1SOIL+1WATER+1.3Lr+1.3LLB+1.2LLE+1.89Wx+1+1.2CR1</v>
      </c>
      <c r="C26" s="13">
        <v>1.05</v>
      </c>
      <c r="D26" s="13">
        <v>1.2</v>
      </c>
      <c r="E26" s="13">
        <v>1.2</v>
      </c>
      <c r="F26" s="13">
        <v>1.1000000000000001</v>
      </c>
      <c r="G26" s="13">
        <v>1.1000000000000001</v>
      </c>
      <c r="H26" s="13">
        <v>1</v>
      </c>
      <c r="I26" s="10">
        <v>1.3</v>
      </c>
      <c r="J26" s="10">
        <v>1.3</v>
      </c>
      <c r="K26" s="10">
        <v>1.2</v>
      </c>
      <c r="L26" s="10">
        <v>1.89</v>
      </c>
      <c r="M26" s="10"/>
      <c r="N26" s="10"/>
      <c r="O26" s="10"/>
      <c r="P26" s="10"/>
      <c r="Q26" s="10"/>
      <c r="R26" s="9"/>
      <c r="S26" s="9"/>
      <c r="T26" s="10">
        <v>1.2</v>
      </c>
      <c r="U26" s="10"/>
      <c r="V26" s="10"/>
      <c r="W26" s="10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</row>
    <row r="27" spans="1:103" s="14" customFormat="1" x14ac:dyDescent="0.25">
      <c r="A27" s="4" t="s">
        <v>100</v>
      </c>
      <c r="B27" s="12" t="str" cm="1">
        <f t="array" ref="B27">User3($C$11:$ZX$11,C27:ZX27)</f>
        <v>1.05D+1.2SDL+1.2BW+1.1COL+1.1SOIL+1WATER+1.3Lr+1.3LLB+1.2LLE+1.89Wx+2+1.2CR1</v>
      </c>
      <c r="C27" s="13">
        <v>1.05</v>
      </c>
      <c r="D27" s="13">
        <v>1.2</v>
      </c>
      <c r="E27" s="13">
        <v>1.2</v>
      </c>
      <c r="F27" s="13">
        <v>1.1000000000000001</v>
      </c>
      <c r="G27" s="13">
        <v>1.1000000000000001</v>
      </c>
      <c r="H27" s="13">
        <v>1</v>
      </c>
      <c r="I27" s="13">
        <v>1.3</v>
      </c>
      <c r="J27" s="13">
        <v>1.3</v>
      </c>
      <c r="K27" s="13">
        <v>1.2</v>
      </c>
      <c r="L27" s="13"/>
      <c r="M27" s="13">
        <v>1.89</v>
      </c>
      <c r="N27" s="13"/>
      <c r="O27" s="13"/>
      <c r="P27" s="13"/>
      <c r="Q27" s="13"/>
      <c r="R27" s="12"/>
      <c r="S27" s="12"/>
      <c r="T27" s="13">
        <v>1.2</v>
      </c>
      <c r="U27" s="13"/>
      <c r="V27" s="13"/>
      <c r="W27" s="13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</row>
    <row r="28" spans="1:103" s="14" customFormat="1" x14ac:dyDescent="0.25">
      <c r="A28" s="4" t="s">
        <v>101</v>
      </c>
      <c r="B28" s="12" t="str" cm="1">
        <f t="array" ref="B28">User3($C$11:$ZX$11,C28:ZX28)</f>
        <v>1.05D+1.2SDL+1.2BW+1.1COL+1.1SOIL+1WATER+1.3Lr+1.3LLB+1.2LLE+1.89Wx-1+1.2CR1</v>
      </c>
      <c r="C28" s="13">
        <v>1.05</v>
      </c>
      <c r="D28" s="13">
        <v>1.2</v>
      </c>
      <c r="E28" s="13">
        <v>1.2</v>
      </c>
      <c r="F28" s="13">
        <v>1.1000000000000001</v>
      </c>
      <c r="G28" s="13">
        <v>1.1000000000000001</v>
      </c>
      <c r="H28" s="13">
        <v>1</v>
      </c>
      <c r="I28" s="13">
        <v>1.3</v>
      </c>
      <c r="J28" s="13">
        <v>1.3</v>
      </c>
      <c r="K28" s="13">
        <v>1.2</v>
      </c>
      <c r="L28" s="13"/>
      <c r="M28" s="13"/>
      <c r="N28" s="13">
        <v>1.89</v>
      </c>
      <c r="O28" s="13"/>
      <c r="P28" s="13"/>
      <c r="Q28" s="13"/>
      <c r="R28" s="12"/>
      <c r="S28" s="12"/>
      <c r="T28" s="13">
        <v>1.2</v>
      </c>
      <c r="U28" s="13"/>
      <c r="V28" s="13"/>
      <c r="W28" s="13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</row>
    <row r="29" spans="1:103" s="14" customFormat="1" x14ac:dyDescent="0.25">
      <c r="A29" s="4" t="s">
        <v>102</v>
      </c>
      <c r="B29" s="12" t="str" cm="1">
        <f t="array" ref="B29">User3($C$11:$ZX$11,C29:ZX29)</f>
        <v>1.05D+1.2SDL+1.2BW+1.1COL+1.1SOIL+1WATER+1.3Lr+1.3LLB+1.2LLE+1.89Wx-2+1.2CR1</v>
      </c>
      <c r="C29" s="13">
        <v>1.05</v>
      </c>
      <c r="D29" s="13">
        <v>1.2</v>
      </c>
      <c r="E29" s="13">
        <v>1.2</v>
      </c>
      <c r="F29" s="13">
        <v>1.1000000000000001</v>
      </c>
      <c r="G29" s="13">
        <v>1.1000000000000001</v>
      </c>
      <c r="H29" s="13">
        <v>1</v>
      </c>
      <c r="I29" s="13">
        <v>1.3</v>
      </c>
      <c r="J29" s="13">
        <v>1.3</v>
      </c>
      <c r="K29" s="13">
        <v>1.2</v>
      </c>
      <c r="L29" s="13"/>
      <c r="M29" s="13"/>
      <c r="N29" s="13"/>
      <c r="O29" s="13">
        <v>1.89</v>
      </c>
      <c r="P29" s="13"/>
      <c r="Q29" s="13"/>
      <c r="R29" s="12"/>
      <c r="S29" s="12"/>
      <c r="T29" s="13">
        <v>1.2</v>
      </c>
      <c r="U29" s="13"/>
      <c r="V29" s="13"/>
      <c r="W29" s="13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</row>
    <row r="30" spans="1:103" s="14" customFormat="1" x14ac:dyDescent="0.25">
      <c r="A30" s="4" t="s">
        <v>103</v>
      </c>
      <c r="B30" s="12" t="str" cm="1">
        <f t="array" ref="B30">User3($C$11:$ZX$11,C30:ZX30)</f>
        <v>1.05D+1.2SDL+1.2BW+1.1COL+1.1SOIL+1WATER+1.3Lr+1.3LLB+1.2LLE+1.89Wy+1+1.2CR1</v>
      </c>
      <c r="C30" s="13">
        <v>1.05</v>
      </c>
      <c r="D30" s="13">
        <v>1.2</v>
      </c>
      <c r="E30" s="13">
        <v>1.2</v>
      </c>
      <c r="F30" s="13">
        <v>1.1000000000000001</v>
      </c>
      <c r="G30" s="13">
        <v>1.1000000000000001</v>
      </c>
      <c r="H30" s="13">
        <v>1</v>
      </c>
      <c r="I30" s="13">
        <v>1.3</v>
      </c>
      <c r="J30" s="13">
        <v>1.3</v>
      </c>
      <c r="K30" s="13">
        <v>1.2</v>
      </c>
      <c r="L30" s="13"/>
      <c r="M30" s="13"/>
      <c r="N30" s="13"/>
      <c r="O30" s="13"/>
      <c r="P30" s="13">
        <v>1.89</v>
      </c>
      <c r="Q30" s="13"/>
      <c r="R30" s="12"/>
      <c r="S30" s="12"/>
      <c r="T30" s="13">
        <v>1.2</v>
      </c>
      <c r="U30" s="13"/>
      <c r="V30" s="13"/>
      <c r="W30" s="13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</row>
    <row r="31" spans="1:103" s="14" customFormat="1" x14ac:dyDescent="0.25">
      <c r="A31" s="4" t="s">
        <v>104</v>
      </c>
      <c r="B31" s="12" t="str" cm="1">
        <f t="array" ref="B31">User3($C$11:$ZX$11,C31:ZX31)</f>
        <v>1.05D+1.2SDL+1.2BW+1.1COL+1.1SOIL+1WATER+1.3Lr+1.3LLB+1.2LLE+1.89Wy+2+1.2CR1</v>
      </c>
      <c r="C31" s="13">
        <v>1.05</v>
      </c>
      <c r="D31" s="13">
        <v>1.2</v>
      </c>
      <c r="E31" s="13">
        <v>1.2</v>
      </c>
      <c r="F31" s="13">
        <v>1.1000000000000001</v>
      </c>
      <c r="G31" s="13">
        <v>1.1000000000000001</v>
      </c>
      <c r="H31" s="13">
        <v>1</v>
      </c>
      <c r="I31" s="13">
        <v>1.3</v>
      </c>
      <c r="J31" s="13">
        <v>1.3</v>
      </c>
      <c r="K31" s="13">
        <v>1.2</v>
      </c>
      <c r="L31" s="13"/>
      <c r="M31" s="13"/>
      <c r="N31" s="13"/>
      <c r="O31" s="13"/>
      <c r="P31" s="13"/>
      <c r="Q31" s="13">
        <v>1.89</v>
      </c>
      <c r="R31" s="12"/>
      <c r="S31" s="12"/>
      <c r="T31" s="13">
        <v>1.2</v>
      </c>
      <c r="U31" s="13"/>
      <c r="V31" s="13"/>
      <c r="W31" s="13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</row>
    <row r="32" spans="1:103" s="14" customFormat="1" x14ac:dyDescent="0.25">
      <c r="A32" s="4" t="s">
        <v>105</v>
      </c>
      <c r="B32" s="12" t="str" cm="1">
        <f t="array" ref="B32">User3($C$11:$ZX$11,C32:ZX32)</f>
        <v>1.05D+1.2SDL+1.2BW+1.1COL+1.1SOIL+1WATER+1.3Lr+1.3LLB+1.2LLE+1.89Wy-1+1.2CR1</v>
      </c>
      <c r="C32" s="13">
        <v>1.05</v>
      </c>
      <c r="D32" s="13">
        <v>1.2</v>
      </c>
      <c r="E32" s="13">
        <v>1.2</v>
      </c>
      <c r="F32" s="13">
        <v>1.1000000000000001</v>
      </c>
      <c r="G32" s="13">
        <v>1.1000000000000001</v>
      </c>
      <c r="H32" s="13">
        <v>1</v>
      </c>
      <c r="I32" s="13">
        <v>1.3</v>
      </c>
      <c r="J32" s="13">
        <v>1.3</v>
      </c>
      <c r="K32" s="13">
        <v>1.2</v>
      </c>
      <c r="L32" s="13"/>
      <c r="M32" s="13"/>
      <c r="N32" s="13"/>
      <c r="O32" s="13"/>
      <c r="P32" s="13"/>
      <c r="Q32" s="13"/>
      <c r="R32" s="12">
        <v>1.89</v>
      </c>
      <c r="S32" s="12"/>
      <c r="T32" s="13">
        <v>1.2</v>
      </c>
      <c r="U32" s="13"/>
      <c r="V32" s="13"/>
      <c r="W32" s="13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</row>
    <row r="33" spans="1:103" s="17" customFormat="1" x14ac:dyDescent="0.25">
      <c r="A33" s="4" t="s">
        <v>106</v>
      </c>
      <c r="B33" s="15" t="str" cm="1">
        <f t="array" ref="B33">User3($C$11:$ZX$11,C33:ZX33)</f>
        <v>1.05D+1.2SDL+1.2BW+1.1COL+1.1SOIL+1WATER+1.3Lr+1.3LLB+1.2LLE+1.89Wy-2+1.2CR1</v>
      </c>
      <c r="C33" s="16">
        <v>1.05</v>
      </c>
      <c r="D33" s="16">
        <v>1.2</v>
      </c>
      <c r="E33" s="16">
        <v>1.2</v>
      </c>
      <c r="F33" s="16">
        <v>1.1000000000000001</v>
      </c>
      <c r="G33" s="16">
        <v>1.1000000000000001</v>
      </c>
      <c r="H33" s="16">
        <v>1</v>
      </c>
      <c r="I33" s="16">
        <v>1.3</v>
      </c>
      <c r="J33" s="16">
        <v>1.3</v>
      </c>
      <c r="K33" s="16">
        <v>1.2</v>
      </c>
      <c r="L33" s="16"/>
      <c r="M33" s="16"/>
      <c r="N33" s="16"/>
      <c r="O33" s="16"/>
      <c r="P33" s="16"/>
      <c r="Q33" s="16"/>
      <c r="R33" s="15"/>
      <c r="S33" s="15">
        <v>1.89</v>
      </c>
      <c r="T33" s="16">
        <v>1.2</v>
      </c>
      <c r="U33" s="16"/>
      <c r="V33" s="16"/>
      <c r="W33" s="16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</row>
    <row r="34" spans="1:103" s="11" customFormat="1" x14ac:dyDescent="0.25">
      <c r="A34" s="4" t="s">
        <v>107</v>
      </c>
      <c r="B34" s="9" t="str" cm="1">
        <f t="array" ref="B34">User3($C$11:$ZX$11,C34:ZX34)</f>
        <v>1.05D+1.2SDL+1.2BW+1.1COL+1.1SOIL+1WATER+1.3Lr+1.3LLB+1.2LLE+1.89Wx+1+1.2CR2</v>
      </c>
      <c r="C34" s="13">
        <v>1.05</v>
      </c>
      <c r="D34" s="13">
        <v>1.2</v>
      </c>
      <c r="E34" s="13">
        <v>1.2</v>
      </c>
      <c r="F34" s="13">
        <v>1.1000000000000001</v>
      </c>
      <c r="G34" s="13">
        <v>1.1000000000000001</v>
      </c>
      <c r="H34" s="13">
        <v>1</v>
      </c>
      <c r="I34" s="10">
        <v>1.3</v>
      </c>
      <c r="J34" s="10">
        <v>1.3</v>
      </c>
      <c r="K34" s="10">
        <v>1.2</v>
      </c>
      <c r="L34" s="10">
        <v>1.89</v>
      </c>
      <c r="M34" s="10"/>
      <c r="N34" s="10"/>
      <c r="O34" s="10"/>
      <c r="P34" s="10"/>
      <c r="Q34" s="10"/>
      <c r="R34" s="9"/>
      <c r="S34" s="9"/>
      <c r="T34" s="10"/>
      <c r="U34" s="10">
        <v>1.2</v>
      </c>
      <c r="V34" s="10"/>
      <c r="W34" s="10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</row>
    <row r="35" spans="1:103" s="14" customFormat="1" x14ac:dyDescent="0.25">
      <c r="A35" s="4" t="s">
        <v>108</v>
      </c>
      <c r="B35" s="12" t="str" cm="1">
        <f t="array" ref="B35">User3($C$11:$ZX$11,C35:ZX35)</f>
        <v>1.05D+1.2SDL+1.2BW+1.1COL+1.1SOIL+1WATER+1.3Lr+1.3LLB+1.2LLE+1.89Wx+2+1.2CR2</v>
      </c>
      <c r="C35" s="13">
        <v>1.05</v>
      </c>
      <c r="D35" s="13">
        <v>1.2</v>
      </c>
      <c r="E35" s="13">
        <v>1.2</v>
      </c>
      <c r="F35" s="13">
        <v>1.1000000000000001</v>
      </c>
      <c r="G35" s="13">
        <v>1.1000000000000001</v>
      </c>
      <c r="H35" s="13">
        <v>1</v>
      </c>
      <c r="I35" s="13">
        <v>1.3</v>
      </c>
      <c r="J35" s="13">
        <v>1.3</v>
      </c>
      <c r="K35" s="13">
        <v>1.2</v>
      </c>
      <c r="L35" s="13"/>
      <c r="M35" s="13">
        <v>1.89</v>
      </c>
      <c r="N35" s="13"/>
      <c r="O35" s="13"/>
      <c r="P35" s="13"/>
      <c r="Q35" s="13"/>
      <c r="R35" s="12"/>
      <c r="S35" s="12"/>
      <c r="T35" s="13"/>
      <c r="U35" s="13">
        <v>1.2</v>
      </c>
      <c r="V35" s="13"/>
      <c r="W35" s="13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</row>
    <row r="36" spans="1:103" s="14" customFormat="1" x14ac:dyDescent="0.25">
      <c r="A36" s="4" t="s">
        <v>109</v>
      </c>
      <c r="B36" s="12" t="str" cm="1">
        <f t="array" ref="B36">User3($C$11:$ZX$11,C36:ZX36)</f>
        <v>1.05D+1.2SDL+1.2BW+1.1COL+1.1SOIL+1WATER+1.3Lr+1.3LLB+1.2LLE+1.89Wx-1+1.2CR2</v>
      </c>
      <c r="C36" s="13">
        <v>1.05</v>
      </c>
      <c r="D36" s="13">
        <v>1.2</v>
      </c>
      <c r="E36" s="13">
        <v>1.2</v>
      </c>
      <c r="F36" s="13">
        <v>1.1000000000000001</v>
      </c>
      <c r="G36" s="13">
        <v>1.1000000000000001</v>
      </c>
      <c r="H36" s="13">
        <v>1</v>
      </c>
      <c r="I36" s="13">
        <v>1.3</v>
      </c>
      <c r="J36" s="13">
        <v>1.3</v>
      </c>
      <c r="K36" s="13">
        <v>1.2</v>
      </c>
      <c r="L36" s="13"/>
      <c r="M36" s="13"/>
      <c r="N36" s="13">
        <v>1.89</v>
      </c>
      <c r="O36" s="13"/>
      <c r="P36" s="13"/>
      <c r="Q36" s="13"/>
      <c r="R36" s="12"/>
      <c r="S36" s="12"/>
      <c r="T36" s="13"/>
      <c r="U36" s="13">
        <v>1.2</v>
      </c>
      <c r="V36" s="13"/>
      <c r="W36" s="13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</row>
    <row r="37" spans="1:103" s="14" customFormat="1" x14ac:dyDescent="0.25">
      <c r="A37" s="4" t="s">
        <v>110</v>
      </c>
      <c r="B37" s="12" t="str" cm="1">
        <f t="array" ref="B37">User3($C$11:$ZX$11,C37:ZX37)</f>
        <v>1.05D+1.2SDL+1.2BW+1.1COL+1.1SOIL+1WATER+1.3Lr+1.3LLB+1.2LLE+1.89Wx-2+1.2CR2</v>
      </c>
      <c r="C37" s="13">
        <v>1.05</v>
      </c>
      <c r="D37" s="13">
        <v>1.2</v>
      </c>
      <c r="E37" s="13">
        <v>1.2</v>
      </c>
      <c r="F37" s="13">
        <v>1.1000000000000001</v>
      </c>
      <c r="G37" s="13">
        <v>1.1000000000000001</v>
      </c>
      <c r="H37" s="13">
        <v>1</v>
      </c>
      <c r="I37" s="13">
        <v>1.3</v>
      </c>
      <c r="J37" s="13">
        <v>1.3</v>
      </c>
      <c r="K37" s="13">
        <v>1.2</v>
      </c>
      <c r="L37" s="13"/>
      <c r="M37" s="13"/>
      <c r="N37" s="13"/>
      <c r="O37" s="13">
        <v>1.89</v>
      </c>
      <c r="P37" s="13"/>
      <c r="Q37" s="13"/>
      <c r="R37" s="12"/>
      <c r="S37" s="12"/>
      <c r="T37" s="13"/>
      <c r="U37" s="13">
        <v>1.2</v>
      </c>
      <c r="V37" s="13"/>
      <c r="W37" s="13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</row>
    <row r="38" spans="1:103" s="14" customFormat="1" x14ac:dyDescent="0.25">
      <c r="A38" s="4" t="s">
        <v>111</v>
      </c>
      <c r="B38" s="12" t="str" cm="1">
        <f t="array" ref="B38">User3($C$11:$ZX$11,C38:ZX38)</f>
        <v>1.05D+1.2SDL+1.2BW+1.1COL+1.1SOIL+1WATER+1.3Lr+1.3LLB+1.2LLE+1.89Wy+1+1.2CR2</v>
      </c>
      <c r="C38" s="13">
        <v>1.05</v>
      </c>
      <c r="D38" s="13">
        <v>1.2</v>
      </c>
      <c r="E38" s="13">
        <v>1.2</v>
      </c>
      <c r="F38" s="13">
        <v>1.1000000000000001</v>
      </c>
      <c r="G38" s="13">
        <v>1.1000000000000001</v>
      </c>
      <c r="H38" s="13">
        <v>1</v>
      </c>
      <c r="I38" s="13">
        <v>1.3</v>
      </c>
      <c r="J38" s="13">
        <v>1.3</v>
      </c>
      <c r="K38" s="13">
        <v>1.2</v>
      </c>
      <c r="L38" s="13"/>
      <c r="M38" s="13"/>
      <c r="N38" s="13"/>
      <c r="O38" s="13"/>
      <c r="P38" s="13">
        <v>1.89</v>
      </c>
      <c r="Q38" s="13"/>
      <c r="R38" s="12"/>
      <c r="S38" s="12"/>
      <c r="T38" s="13"/>
      <c r="U38" s="13">
        <v>1.2</v>
      </c>
      <c r="V38" s="13"/>
      <c r="W38" s="13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</row>
    <row r="39" spans="1:103" s="14" customFormat="1" x14ac:dyDescent="0.25">
      <c r="A39" s="4" t="s">
        <v>112</v>
      </c>
      <c r="B39" s="12" t="str" cm="1">
        <f t="array" ref="B39">User3($C$11:$ZX$11,C39:ZX39)</f>
        <v>1.05D+1.2SDL+1.2BW+1.1COL+1.1SOIL+1WATER+1.3Lr+1.3LLB+1.2LLE+1.89Wy+2+1.2CR2</v>
      </c>
      <c r="C39" s="13">
        <v>1.05</v>
      </c>
      <c r="D39" s="13">
        <v>1.2</v>
      </c>
      <c r="E39" s="13">
        <v>1.2</v>
      </c>
      <c r="F39" s="13">
        <v>1.1000000000000001</v>
      </c>
      <c r="G39" s="13">
        <v>1.1000000000000001</v>
      </c>
      <c r="H39" s="13">
        <v>1</v>
      </c>
      <c r="I39" s="13">
        <v>1.3</v>
      </c>
      <c r="J39" s="13">
        <v>1.3</v>
      </c>
      <c r="K39" s="13">
        <v>1.2</v>
      </c>
      <c r="L39" s="13"/>
      <c r="M39" s="13"/>
      <c r="N39" s="13"/>
      <c r="O39" s="13"/>
      <c r="P39" s="13"/>
      <c r="Q39" s="13">
        <v>1.89</v>
      </c>
      <c r="R39" s="12"/>
      <c r="S39" s="12"/>
      <c r="T39" s="13"/>
      <c r="U39" s="13">
        <v>1.2</v>
      </c>
      <c r="V39" s="13"/>
      <c r="W39" s="13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</row>
    <row r="40" spans="1:103" s="14" customFormat="1" x14ac:dyDescent="0.25">
      <c r="A40" s="4" t="s">
        <v>113</v>
      </c>
      <c r="B40" s="12" t="str" cm="1">
        <f t="array" ref="B40">User3($C$11:$ZX$11,C40:ZX40)</f>
        <v>1.05D+1.2SDL+1.2BW+1.1COL+1.1SOIL+1WATER+1.3Lr+1.3LLB+1.2LLE+1.89Wy-1+1.2CR2</v>
      </c>
      <c r="C40" s="13">
        <v>1.05</v>
      </c>
      <c r="D40" s="13">
        <v>1.2</v>
      </c>
      <c r="E40" s="13">
        <v>1.2</v>
      </c>
      <c r="F40" s="13">
        <v>1.1000000000000001</v>
      </c>
      <c r="G40" s="13">
        <v>1.1000000000000001</v>
      </c>
      <c r="H40" s="13">
        <v>1</v>
      </c>
      <c r="I40" s="13">
        <v>1.3</v>
      </c>
      <c r="J40" s="13">
        <v>1.3</v>
      </c>
      <c r="K40" s="13">
        <v>1.2</v>
      </c>
      <c r="L40" s="13"/>
      <c r="M40" s="13"/>
      <c r="N40" s="13"/>
      <c r="O40" s="13"/>
      <c r="P40" s="13"/>
      <c r="Q40" s="13"/>
      <c r="R40" s="12">
        <v>1.89</v>
      </c>
      <c r="S40" s="12"/>
      <c r="T40" s="13"/>
      <c r="U40" s="13">
        <v>1.2</v>
      </c>
      <c r="V40" s="13"/>
      <c r="W40" s="13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</row>
    <row r="41" spans="1:103" s="17" customFormat="1" x14ac:dyDescent="0.25">
      <c r="A41" s="4" t="s">
        <v>114</v>
      </c>
      <c r="B41" s="15" t="str" cm="1">
        <f t="array" ref="B41">User3($C$11:$ZX$11,C41:ZX41)</f>
        <v>1.05D+1.2SDL+1.2BW+1.1COL+1.1SOIL+1WATER+1.3Lr+1.3LLB+1.2LLE+1.89Wy-2+1.2CR2</v>
      </c>
      <c r="C41" s="16">
        <v>1.05</v>
      </c>
      <c r="D41" s="16">
        <v>1.2</v>
      </c>
      <c r="E41" s="16">
        <v>1.2</v>
      </c>
      <c r="F41" s="16">
        <v>1.1000000000000001</v>
      </c>
      <c r="G41" s="16">
        <v>1.1000000000000001</v>
      </c>
      <c r="H41" s="16">
        <v>1</v>
      </c>
      <c r="I41" s="16">
        <v>1.3</v>
      </c>
      <c r="J41" s="16">
        <v>1.3</v>
      </c>
      <c r="K41" s="16">
        <v>1.2</v>
      </c>
      <c r="L41" s="16"/>
      <c r="M41" s="16"/>
      <c r="N41" s="16"/>
      <c r="O41" s="16"/>
      <c r="P41" s="16"/>
      <c r="Q41" s="16"/>
      <c r="R41" s="15"/>
      <c r="S41" s="15">
        <v>1.89</v>
      </c>
      <c r="T41" s="16"/>
      <c r="U41" s="16">
        <v>1.2</v>
      </c>
      <c r="V41" s="16"/>
      <c r="W41" s="16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</row>
    <row r="42" spans="1:103" s="11" customFormat="1" x14ac:dyDescent="0.25">
      <c r="A42" s="4" t="s">
        <v>115</v>
      </c>
      <c r="B42" s="9" t="str" cm="1">
        <f t="array" ref="B42">User3($C$11:$ZX$11,C42:ZX42)</f>
        <v>1.05D+1.2SDL+1.2BW+1.1COL+1.1SOIL+1WATER+1.3Lr+1.3LLB+1.2LLE+1.89Wx+1+1.2CR3</v>
      </c>
      <c r="C42" s="13">
        <v>1.05</v>
      </c>
      <c r="D42" s="13">
        <v>1.2</v>
      </c>
      <c r="E42" s="13">
        <v>1.2</v>
      </c>
      <c r="F42" s="13">
        <v>1.1000000000000001</v>
      </c>
      <c r="G42" s="13">
        <v>1.1000000000000001</v>
      </c>
      <c r="H42" s="13">
        <v>1</v>
      </c>
      <c r="I42" s="10">
        <v>1.3</v>
      </c>
      <c r="J42" s="10">
        <v>1.3</v>
      </c>
      <c r="K42" s="10">
        <v>1.2</v>
      </c>
      <c r="L42" s="10">
        <v>1.89</v>
      </c>
      <c r="M42" s="10"/>
      <c r="N42" s="10"/>
      <c r="O42" s="10"/>
      <c r="P42" s="10"/>
      <c r="Q42" s="10"/>
      <c r="R42" s="9"/>
      <c r="S42" s="9"/>
      <c r="T42" s="10"/>
      <c r="U42" s="10"/>
      <c r="V42" s="10">
        <v>1.2</v>
      </c>
      <c r="W42" s="10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</row>
    <row r="43" spans="1:103" s="14" customFormat="1" x14ac:dyDescent="0.25">
      <c r="A43" s="4" t="s">
        <v>116</v>
      </c>
      <c r="B43" s="12" t="str" cm="1">
        <f t="array" ref="B43">User3($C$11:$ZX$11,C43:ZX43)</f>
        <v>1.05D+1.2SDL+1.2BW+1.1COL+1.1SOIL+1WATER+1.3Lr+1.3LLB+1.2LLE+1.89Wx+2+1.2CR3</v>
      </c>
      <c r="C43" s="13">
        <v>1.05</v>
      </c>
      <c r="D43" s="13">
        <v>1.2</v>
      </c>
      <c r="E43" s="13">
        <v>1.2</v>
      </c>
      <c r="F43" s="13">
        <v>1.1000000000000001</v>
      </c>
      <c r="G43" s="13">
        <v>1.1000000000000001</v>
      </c>
      <c r="H43" s="13">
        <v>1</v>
      </c>
      <c r="I43" s="13">
        <v>1.3</v>
      </c>
      <c r="J43" s="13">
        <v>1.3</v>
      </c>
      <c r="K43" s="13">
        <v>1.2</v>
      </c>
      <c r="L43" s="13"/>
      <c r="M43" s="13">
        <v>1.89</v>
      </c>
      <c r="N43" s="13"/>
      <c r="O43" s="13"/>
      <c r="P43" s="13"/>
      <c r="Q43" s="13"/>
      <c r="R43" s="12"/>
      <c r="S43" s="12"/>
      <c r="T43" s="13"/>
      <c r="U43" s="13"/>
      <c r="V43" s="13">
        <v>1.2</v>
      </c>
      <c r="W43" s="13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</row>
    <row r="44" spans="1:103" s="14" customFormat="1" x14ac:dyDescent="0.25">
      <c r="A44" s="4" t="s">
        <v>117</v>
      </c>
      <c r="B44" s="12" t="str" cm="1">
        <f t="array" ref="B44">User3($C$11:$ZX$11,C44:ZX44)</f>
        <v>1.05D+1.2SDL+1.2BW+1.1COL+1.1SOIL+1WATER+1.3Lr+1.3LLB+1.2LLE+1.89Wx-1+1.2CR3</v>
      </c>
      <c r="C44" s="13">
        <v>1.05</v>
      </c>
      <c r="D44" s="13">
        <v>1.2</v>
      </c>
      <c r="E44" s="13">
        <v>1.2</v>
      </c>
      <c r="F44" s="13">
        <v>1.1000000000000001</v>
      </c>
      <c r="G44" s="13">
        <v>1.1000000000000001</v>
      </c>
      <c r="H44" s="13">
        <v>1</v>
      </c>
      <c r="I44" s="13">
        <v>1.3</v>
      </c>
      <c r="J44" s="13">
        <v>1.3</v>
      </c>
      <c r="K44" s="13">
        <v>1.2</v>
      </c>
      <c r="L44" s="13"/>
      <c r="M44" s="13"/>
      <c r="N44" s="13">
        <v>1.89</v>
      </c>
      <c r="O44" s="13"/>
      <c r="P44" s="13"/>
      <c r="Q44" s="13"/>
      <c r="R44" s="12"/>
      <c r="S44" s="12"/>
      <c r="T44" s="13"/>
      <c r="U44" s="13"/>
      <c r="V44" s="13">
        <v>1.2</v>
      </c>
      <c r="W44" s="13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</row>
    <row r="45" spans="1:103" s="14" customFormat="1" x14ac:dyDescent="0.25">
      <c r="A45" s="4" t="s">
        <v>118</v>
      </c>
      <c r="B45" s="12" t="str" cm="1">
        <f t="array" ref="B45">User3($C$11:$ZX$11,C45:ZX45)</f>
        <v>1.05D+1.2SDL+1.2BW+1.1COL+1.1SOIL+1WATER+1.3Lr+1.3LLB+1.2LLE+1.89Wx-2+1.2CR3</v>
      </c>
      <c r="C45" s="13">
        <v>1.05</v>
      </c>
      <c r="D45" s="13">
        <v>1.2</v>
      </c>
      <c r="E45" s="13">
        <v>1.2</v>
      </c>
      <c r="F45" s="13">
        <v>1.1000000000000001</v>
      </c>
      <c r="G45" s="13">
        <v>1.1000000000000001</v>
      </c>
      <c r="H45" s="13">
        <v>1</v>
      </c>
      <c r="I45" s="13">
        <v>1.3</v>
      </c>
      <c r="J45" s="13">
        <v>1.3</v>
      </c>
      <c r="K45" s="13">
        <v>1.2</v>
      </c>
      <c r="L45" s="13"/>
      <c r="M45" s="13"/>
      <c r="N45" s="13"/>
      <c r="O45" s="13">
        <v>1.89</v>
      </c>
      <c r="P45" s="13"/>
      <c r="Q45" s="13"/>
      <c r="R45" s="12"/>
      <c r="S45" s="12"/>
      <c r="T45" s="13"/>
      <c r="U45" s="13"/>
      <c r="V45" s="13">
        <v>1.2</v>
      </c>
      <c r="W45" s="13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</row>
    <row r="46" spans="1:103" s="14" customFormat="1" x14ac:dyDescent="0.25">
      <c r="A46" s="4" t="s">
        <v>119</v>
      </c>
      <c r="B46" s="12" t="str" cm="1">
        <f t="array" ref="B46">User3($C$11:$ZX$11,C46:ZX46)</f>
        <v>1.05D+1.2SDL+1.2BW+1.1COL+1.1SOIL+1WATER+1.3Lr+1.3LLB+1.2LLE+1.89Wy+1+1.2CR3</v>
      </c>
      <c r="C46" s="13">
        <v>1.05</v>
      </c>
      <c r="D46" s="13">
        <v>1.2</v>
      </c>
      <c r="E46" s="13">
        <v>1.2</v>
      </c>
      <c r="F46" s="13">
        <v>1.1000000000000001</v>
      </c>
      <c r="G46" s="13">
        <v>1.1000000000000001</v>
      </c>
      <c r="H46" s="13">
        <v>1</v>
      </c>
      <c r="I46" s="13">
        <v>1.3</v>
      </c>
      <c r="J46" s="13">
        <v>1.3</v>
      </c>
      <c r="K46" s="13">
        <v>1.2</v>
      </c>
      <c r="L46" s="13"/>
      <c r="M46" s="13"/>
      <c r="N46" s="13"/>
      <c r="O46" s="13"/>
      <c r="P46" s="13">
        <v>1.89</v>
      </c>
      <c r="Q46" s="13"/>
      <c r="R46" s="12"/>
      <c r="S46" s="12"/>
      <c r="T46" s="13"/>
      <c r="U46" s="13"/>
      <c r="V46" s="13">
        <v>1.2</v>
      </c>
      <c r="W46" s="13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</row>
    <row r="47" spans="1:103" s="14" customFormat="1" x14ac:dyDescent="0.25">
      <c r="A47" s="4" t="s">
        <v>120</v>
      </c>
      <c r="B47" s="12" t="str" cm="1">
        <f t="array" ref="B47">User3($C$11:$ZX$11,C47:ZX47)</f>
        <v>1.05D+1.2SDL+1.2BW+1.1COL+1.1SOIL+1WATER+1.3Lr+1.3LLB+1.2LLE+1.89Wy+2+1.2CR3</v>
      </c>
      <c r="C47" s="13">
        <v>1.05</v>
      </c>
      <c r="D47" s="13">
        <v>1.2</v>
      </c>
      <c r="E47" s="13">
        <v>1.2</v>
      </c>
      <c r="F47" s="13">
        <v>1.1000000000000001</v>
      </c>
      <c r="G47" s="13">
        <v>1.1000000000000001</v>
      </c>
      <c r="H47" s="13">
        <v>1</v>
      </c>
      <c r="I47" s="13">
        <v>1.3</v>
      </c>
      <c r="J47" s="13">
        <v>1.3</v>
      </c>
      <c r="K47" s="13">
        <v>1.2</v>
      </c>
      <c r="L47" s="13"/>
      <c r="M47" s="13"/>
      <c r="N47" s="13"/>
      <c r="O47" s="13"/>
      <c r="P47" s="13"/>
      <c r="Q47" s="13">
        <v>1.89</v>
      </c>
      <c r="R47" s="12"/>
      <c r="S47" s="12"/>
      <c r="T47" s="13"/>
      <c r="U47" s="13"/>
      <c r="V47" s="13">
        <v>1.2</v>
      </c>
      <c r="W47" s="13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</row>
    <row r="48" spans="1:103" s="14" customFormat="1" x14ac:dyDescent="0.25">
      <c r="A48" s="4" t="s">
        <v>121</v>
      </c>
      <c r="B48" s="12" t="str" cm="1">
        <f t="array" ref="B48">User3($C$11:$ZX$11,C48:ZX48)</f>
        <v>1.05D+1.2SDL+1.2BW+1.1COL+1.1SOIL+1WATER+1.3Lr+1.3LLB+1.2LLE+1.89Wy-1+1.2CR3</v>
      </c>
      <c r="C48" s="13">
        <v>1.05</v>
      </c>
      <c r="D48" s="13">
        <v>1.2</v>
      </c>
      <c r="E48" s="13">
        <v>1.2</v>
      </c>
      <c r="F48" s="13">
        <v>1.1000000000000001</v>
      </c>
      <c r="G48" s="13">
        <v>1.1000000000000001</v>
      </c>
      <c r="H48" s="13">
        <v>1</v>
      </c>
      <c r="I48" s="13">
        <v>1.3</v>
      </c>
      <c r="J48" s="13">
        <v>1.3</v>
      </c>
      <c r="K48" s="13">
        <v>1.2</v>
      </c>
      <c r="L48" s="13"/>
      <c r="M48" s="13"/>
      <c r="N48" s="13"/>
      <c r="O48" s="13"/>
      <c r="P48" s="13"/>
      <c r="Q48" s="13"/>
      <c r="R48" s="12">
        <v>1.89</v>
      </c>
      <c r="S48" s="12"/>
      <c r="T48" s="13"/>
      <c r="U48" s="13"/>
      <c r="V48" s="13">
        <v>1.2</v>
      </c>
      <c r="W48" s="13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</row>
    <row r="49" spans="1:103" s="17" customFormat="1" x14ac:dyDescent="0.25">
      <c r="A49" s="4" t="s">
        <v>122</v>
      </c>
      <c r="B49" s="15" t="str" cm="1">
        <f t="array" ref="B49">User3($C$11:$ZX$11,C49:ZX49)</f>
        <v>1.05D+1.2SDL+1.2BW+1.1COL+1.1SOIL+1WATER+1.3Lr+1.3LLB+1.2LLE+1.89Wy-2+1.2CR3</v>
      </c>
      <c r="C49" s="16">
        <v>1.05</v>
      </c>
      <c r="D49" s="16">
        <v>1.2</v>
      </c>
      <c r="E49" s="16">
        <v>1.2</v>
      </c>
      <c r="F49" s="16">
        <v>1.1000000000000001</v>
      </c>
      <c r="G49" s="16">
        <v>1.1000000000000001</v>
      </c>
      <c r="H49" s="16">
        <v>1</v>
      </c>
      <c r="I49" s="16">
        <v>1.3</v>
      </c>
      <c r="J49" s="16">
        <v>1.3</v>
      </c>
      <c r="K49" s="16">
        <v>1.2</v>
      </c>
      <c r="L49" s="16"/>
      <c r="M49" s="16"/>
      <c r="N49" s="16"/>
      <c r="O49" s="16"/>
      <c r="P49" s="16"/>
      <c r="Q49" s="16"/>
      <c r="R49" s="15"/>
      <c r="S49" s="15">
        <v>1.89</v>
      </c>
      <c r="T49" s="16"/>
      <c r="U49" s="16"/>
      <c r="V49" s="16">
        <v>1.2</v>
      </c>
      <c r="W49" s="16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Y49" s="15"/>
    </row>
    <row r="50" spans="1:103" s="11" customFormat="1" x14ac:dyDescent="0.25">
      <c r="A50" s="4" t="s">
        <v>123</v>
      </c>
      <c r="B50" s="9" t="str" cm="1">
        <f t="array" ref="B50">User3($C$11:$ZX$11,C50:ZX50)</f>
        <v>1.05D+1.2SDL+1.2BW+1.1COL+1.1SOIL+1WATER+1.3Lr+1.3LLB+1.2LLE+1.89Wx+1+1.2CR4</v>
      </c>
      <c r="C50" s="13">
        <v>1.05</v>
      </c>
      <c r="D50" s="13">
        <v>1.2</v>
      </c>
      <c r="E50" s="13">
        <v>1.2</v>
      </c>
      <c r="F50" s="13">
        <v>1.1000000000000001</v>
      </c>
      <c r="G50" s="13">
        <v>1.1000000000000001</v>
      </c>
      <c r="H50" s="13">
        <v>1</v>
      </c>
      <c r="I50" s="10">
        <v>1.3</v>
      </c>
      <c r="J50" s="10">
        <v>1.3</v>
      </c>
      <c r="K50" s="10">
        <v>1.2</v>
      </c>
      <c r="L50" s="10">
        <v>1.89</v>
      </c>
      <c r="M50" s="10"/>
      <c r="N50" s="10"/>
      <c r="O50" s="10"/>
      <c r="P50" s="10"/>
      <c r="Q50" s="10"/>
      <c r="R50" s="9"/>
      <c r="S50" s="9"/>
      <c r="T50" s="10"/>
      <c r="U50" s="10"/>
      <c r="V50" s="10"/>
      <c r="W50" s="10">
        <v>1.2</v>
      </c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</row>
    <row r="51" spans="1:103" s="14" customFormat="1" x14ac:dyDescent="0.25">
      <c r="A51" s="4" t="s">
        <v>124</v>
      </c>
      <c r="B51" s="12" t="str" cm="1">
        <f t="array" ref="B51">User3($C$11:$ZX$11,C51:ZX51)</f>
        <v>1.05D+1.2SDL+1.2BW+1.1COL+1.1SOIL+1WATER+1.3Lr+1.3LLB+1.2LLE+1.89Wx+2+1.2CR4</v>
      </c>
      <c r="C51" s="13">
        <v>1.05</v>
      </c>
      <c r="D51" s="13">
        <v>1.2</v>
      </c>
      <c r="E51" s="13">
        <v>1.2</v>
      </c>
      <c r="F51" s="13">
        <v>1.1000000000000001</v>
      </c>
      <c r="G51" s="13">
        <v>1.1000000000000001</v>
      </c>
      <c r="H51" s="13">
        <v>1</v>
      </c>
      <c r="I51" s="13">
        <v>1.3</v>
      </c>
      <c r="J51" s="13">
        <v>1.3</v>
      </c>
      <c r="K51" s="13">
        <v>1.2</v>
      </c>
      <c r="L51" s="13"/>
      <c r="M51" s="13">
        <v>1.89</v>
      </c>
      <c r="N51" s="13"/>
      <c r="O51" s="13"/>
      <c r="P51" s="13"/>
      <c r="Q51" s="13"/>
      <c r="R51" s="12"/>
      <c r="S51" s="12"/>
      <c r="T51" s="13"/>
      <c r="U51" s="13"/>
      <c r="V51" s="13"/>
      <c r="W51" s="13">
        <v>1.2</v>
      </c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</row>
    <row r="52" spans="1:103" s="14" customFormat="1" x14ac:dyDescent="0.25">
      <c r="A52" s="4" t="s">
        <v>125</v>
      </c>
      <c r="B52" s="12" t="str" cm="1">
        <f t="array" ref="B52">User3($C$11:$ZX$11,C52:ZX52)</f>
        <v>1.05D+1.2SDL+1.2BW+1.1COL+1.1SOIL+1WATER+1.3Lr+1.3LLB+1.2LLE+1.89Wx-1+1.2CR4</v>
      </c>
      <c r="C52" s="13">
        <v>1.05</v>
      </c>
      <c r="D52" s="13">
        <v>1.2</v>
      </c>
      <c r="E52" s="13">
        <v>1.2</v>
      </c>
      <c r="F52" s="13">
        <v>1.1000000000000001</v>
      </c>
      <c r="G52" s="13">
        <v>1.1000000000000001</v>
      </c>
      <c r="H52" s="13">
        <v>1</v>
      </c>
      <c r="I52" s="13">
        <v>1.3</v>
      </c>
      <c r="J52" s="13">
        <v>1.3</v>
      </c>
      <c r="K52" s="13">
        <v>1.2</v>
      </c>
      <c r="L52" s="13"/>
      <c r="M52" s="13"/>
      <c r="N52" s="13">
        <v>1.89</v>
      </c>
      <c r="O52" s="13"/>
      <c r="P52" s="13"/>
      <c r="Q52" s="13"/>
      <c r="R52" s="12"/>
      <c r="S52" s="12"/>
      <c r="T52" s="13"/>
      <c r="U52" s="13"/>
      <c r="V52" s="13"/>
      <c r="W52" s="13">
        <v>1.2</v>
      </c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</row>
    <row r="53" spans="1:103" s="14" customFormat="1" x14ac:dyDescent="0.25">
      <c r="A53" s="4" t="s">
        <v>126</v>
      </c>
      <c r="B53" s="12" t="str" cm="1">
        <f t="array" ref="B53">User3($C$11:$ZX$11,C53:ZX53)</f>
        <v>1.05D+1.2SDL+1.2BW+1.1COL+1.1SOIL+1WATER+1.3Lr+1.3LLB+1.2LLE+1.89Wx-2+1.2CR4</v>
      </c>
      <c r="C53" s="13">
        <v>1.05</v>
      </c>
      <c r="D53" s="13">
        <v>1.2</v>
      </c>
      <c r="E53" s="13">
        <v>1.2</v>
      </c>
      <c r="F53" s="13">
        <v>1.1000000000000001</v>
      </c>
      <c r="G53" s="13">
        <v>1.1000000000000001</v>
      </c>
      <c r="H53" s="13">
        <v>1</v>
      </c>
      <c r="I53" s="13">
        <v>1.3</v>
      </c>
      <c r="J53" s="13">
        <v>1.3</v>
      </c>
      <c r="K53" s="13">
        <v>1.2</v>
      </c>
      <c r="L53" s="13"/>
      <c r="M53" s="13"/>
      <c r="N53" s="13"/>
      <c r="O53" s="13">
        <v>1.89</v>
      </c>
      <c r="P53" s="13"/>
      <c r="Q53" s="13"/>
      <c r="R53" s="12"/>
      <c r="S53" s="12"/>
      <c r="T53" s="13"/>
      <c r="U53" s="13"/>
      <c r="V53" s="13"/>
      <c r="W53" s="13">
        <v>1.2</v>
      </c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</row>
    <row r="54" spans="1:103" s="14" customFormat="1" x14ac:dyDescent="0.25">
      <c r="A54" s="4" t="s">
        <v>127</v>
      </c>
      <c r="B54" s="12" t="str" cm="1">
        <f t="array" ref="B54">User3($C$11:$ZX$11,C54:ZX54)</f>
        <v>1.05D+1.2SDL+1.2BW+1.1COL+1.1SOIL+1WATER+1.3Lr+1.3LLB+1.2LLE+1.89Wy+1+1.2CR4</v>
      </c>
      <c r="C54" s="13">
        <v>1.05</v>
      </c>
      <c r="D54" s="13">
        <v>1.2</v>
      </c>
      <c r="E54" s="13">
        <v>1.2</v>
      </c>
      <c r="F54" s="13">
        <v>1.1000000000000001</v>
      </c>
      <c r="G54" s="13">
        <v>1.1000000000000001</v>
      </c>
      <c r="H54" s="13">
        <v>1</v>
      </c>
      <c r="I54" s="13">
        <v>1.3</v>
      </c>
      <c r="J54" s="13">
        <v>1.3</v>
      </c>
      <c r="K54" s="13">
        <v>1.2</v>
      </c>
      <c r="L54" s="13"/>
      <c r="M54" s="13"/>
      <c r="N54" s="13"/>
      <c r="O54" s="13"/>
      <c r="P54" s="13">
        <v>1.89</v>
      </c>
      <c r="Q54" s="13"/>
      <c r="R54" s="12"/>
      <c r="S54" s="12"/>
      <c r="T54" s="13"/>
      <c r="U54" s="13"/>
      <c r="V54" s="13"/>
      <c r="W54" s="13">
        <v>1.2</v>
      </c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</row>
    <row r="55" spans="1:103" s="14" customFormat="1" x14ac:dyDescent="0.25">
      <c r="A55" s="4" t="s">
        <v>128</v>
      </c>
      <c r="B55" s="12" t="str" cm="1">
        <f t="array" ref="B55">User3($C$11:$ZX$11,C55:ZX55)</f>
        <v>1.05D+1.2SDL+1.2BW+1.1COL+1.1SOIL+1WATER+1.3Lr+1.3LLB+1.2LLE+1.89Wy+2+1.2CR4</v>
      </c>
      <c r="C55" s="13">
        <v>1.05</v>
      </c>
      <c r="D55" s="13">
        <v>1.2</v>
      </c>
      <c r="E55" s="13">
        <v>1.2</v>
      </c>
      <c r="F55" s="13">
        <v>1.1000000000000001</v>
      </c>
      <c r="G55" s="13">
        <v>1.1000000000000001</v>
      </c>
      <c r="H55" s="13">
        <v>1</v>
      </c>
      <c r="I55" s="13">
        <v>1.3</v>
      </c>
      <c r="J55" s="13">
        <v>1.3</v>
      </c>
      <c r="K55" s="13">
        <v>1.2</v>
      </c>
      <c r="L55" s="13"/>
      <c r="M55" s="13"/>
      <c r="N55" s="13"/>
      <c r="O55" s="13"/>
      <c r="P55" s="13"/>
      <c r="Q55" s="13">
        <v>1.89</v>
      </c>
      <c r="R55" s="12"/>
      <c r="S55" s="12"/>
      <c r="T55" s="13"/>
      <c r="U55" s="13"/>
      <c r="V55" s="13"/>
      <c r="W55" s="13">
        <v>1.2</v>
      </c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</row>
    <row r="56" spans="1:103" s="14" customFormat="1" x14ac:dyDescent="0.25">
      <c r="A56" s="4" t="s">
        <v>129</v>
      </c>
      <c r="B56" s="12" t="str" cm="1">
        <f t="array" ref="B56">User3($C$11:$ZX$11,C56:ZX56)</f>
        <v>1.05D+1.2SDL+1.2BW+1.1COL+1.1SOIL+1WATER+1.3Lr+1.3LLB+1.2LLE+1.89Wy-1+1.2CR4</v>
      </c>
      <c r="C56" s="13">
        <v>1.05</v>
      </c>
      <c r="D56" s="13">
        <v>1.2</v>
      </c>
      <c r="E56" s="13">
        <v>1.2</v>
      </c>
      <c r="F56" s="13">
        <v>1.1000000000000001</v>
      </c>
      <c r="G56" s="13">
        <v>1.1000000000000001</v>
      </c>
      <c r="H56" s="13">
        <v>1</v>
      </c>
      <c r="I56" s="13">
        <v>1.3</v>
      </c>
      <c r="J56" s="13">
        <v>1.3</v>
      </c>
      <c r="K56" s="13">
        <v>1.2</v>
      </c>
      <c r="L56" s="13"/>
      <c r="M56" s="13"/>
      <c r="N56" s="13"/>
      <c r="O56" s="13"/>
      <c r="P56" s="13"/>
      <c r="Q56" s="13"/>
      <c r="R56" s="12">
        <v>1.89</v>
      </c>
      <c r="S56" s="12"/>
      <c r="T56" s="13"/>
      <c r="U56" s="13"/>
      <c r="V56" s="13"/>
      <c r="W56" s="13">
        <v>1.2</v>
      </c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</row>
    <row r="57" spans="1:103" s="17" customFormat="1" x14ac:dyDescent="0.25">
      <c r="A57" s="4" t="s">
        <v>130</v>
      </c>
      <c r="B57" s="15" t="str" cm="1">
        <f t="array" ref="B57">User3($C$11:$ZX$11,C57:ZX57)</f>
        <v>1.05D+1.2SDL+1.2BW+1.1COL+1.1SOIL+1WATER+1.3Lr+1.3LLB+1.2LLE+1.89Wy-2+1.2CR4</v>
      </c>
      <c r="C57" s="16">
        <v>1.05</v>
      </c>
      <c r="D57" s="16">
        <v>1.2</v>
      </c>
      <c r="E57" s="16">
        <v>1.2</v>
      </c>
      <c r="F57" s="16">
        <v>1.1000000000000001</v>
      </c>
      <c r="G57" s="16">
        <v>1.1000000000000001</v>
      </c>
      <c r="H57" s="16">
        <v>1</v>
      </c>
      <c r="I57" s="16">
        <v>1.3</v>
      </c>
      <c r="J57" s="16">
        <v>1.3</v>
      </c>
      <c r="K57" s="16">
        <v>1.2</v>
      </c>
      <c r="L57" s="16"/>
      <c r="M57" s="16"/>
      <c r="N57" s="16"/>
      <c r="O57" s="16"/>
      <c r="P57" s="16"/>
      <c r="Q57" s="16"/>
      <c r="R57" s="15"/>
      <c r="S57" s="15">
        <v>1.89</v>
      </c>
      <c r="T57" s="16"/>
      <c r="U57" s="16"/>
      <c r="V57" s="16"/>
      <c r="W57" s="16">
        <v>1.2</v>
      </c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Y57" s="15"/>
    </row>
    <row r="58" spans="1:103" s="11" customFormat="1" x14ac:dyDescent="0.25">
      <c r="A58" s="4" t="s">
        <v>131</v>
      </c>
      <c r="B58" s="9" t="str" cm="1">
        <f t="array" ref="B58">User3($C$11:$ZX$11,C58:ZX58)</f>
        <v>1.05D+1.2SDL+1.2BW+1.1COL+1.1SOIL+1WATER+1.17Lr+1.17LLB+1.08LLE+2.1Wx+1+1.2CR1</v>
      </c>
      <c r="C58" s="13">
        <v>1.05</v>
      </c>
      <c r="D58" s="13">
        <v>1.2</v>
      </c>
      <c r="E58" s="13">
        <v>1.2</v>
      </c>
      <c r="F58" s="13">
        <v>1.1000000000000001</v>
      </c>
      <c r="G58" s="13">
        <v>1.1000000000000001</v>
      </c>
      <c r="H58" s="13">
        <v>1</v>
      </c>
      <c r="I58" s="10">
        <f>1.3*0.9</f>
        <v>1.1700000000000002</v>
      </c>
      <c r="J58" s="10">
        <v>1.17</v>
      </c>
      <c r="K58" s="10">
        <f>1.2*0.9</f>
        <v>1.08</v>
      </c>
      <c r="L58" s="10">
        <v>2.1</v>
      </c>
      <c r="M58" s="10"/>
      <c r="N58" s="10"/>
      <c r="O58" s="10"/>
      <c r="P58" s="10"/>
      <c r="Q58" s="10"/>
      <c r="R58" s="9"/>
      <c r="S58" s="9"/>
      <c r="T58" s="10">
        <v>1.2</v>
      </c>
      <c r="U58" s="10"/>
      <c r="V58" s="10"/>
      <c r="W58" s="10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</row>
    <row r="59" spans="1:103" s="14" customFormat="1" x14ac:dyDescent="0.25">
      <c r="A59" s="4" t="s">
        <v>132</v>
      </c>
      <c r="B59" s="12" t="str" cm="1">
        <f t="array" ref="B59">User3($C$11:$ZX$11,C59:ZX59)</f>
        <v>1.05D+1.2SDL+1.2BW+1.1COL+1.1SOIL+1WATER+1.17Lr+1.17LLB+1.08LLE+2.1Wx+2+1.2CR1</v>
      </c>
      <c r="C59" s="13">
        <v>1.05</v>
      </c>
      <c r="D59" s="13">
        <v>1.2</v>
      </c>
      <c r="E59" s="13">
        <v>1.2</v>
      </c>
      <c r="F59" s="13">
        <v>1.1000000000000001</v>
      </c>
      <c r="G59" s="13">
        <v>1.1000000000000001</v>
      </c>
      <c r="H59" s="13">
        <v>1</v>
      </c>
      <c r="I59" s="13">
        <f t="shared" ref="I59:I89" si="0">1.3*0.9</f>
        <v>1.1700000000000002</v>
      </c>
      <c r="J59" s="13">
        <v>1.17</v>
      </c>
      <c r="K59" s="13">
        <f t="shared" ref="K59:K89" si="1">1.2*0.9</f>
        <v>1.08</v>
      </c>
      <c r="L59" s="13"/>
      <c r="M59" s="13">
        <v>2.1</v>
      </c>
      <c r="N59" s="13"/>
      <c r="O59" s="13"/>
      <c r="P59" s="13"/>
      <c r="Q59" s="13"/>
      <c r="R59" s="12"/>
      <c r="S59" s="12"/>
      <c r="T59" s="13">
        <v>1.2</v>
      </c>
      <c r="U59" s="13"/>
      <c r="V59" s="13"/>
      <c r="W59" s="13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</row>
    <row r="60" spans="1:103" s="14" customFormat="1" x14ac:dyDescent="0.25">
      <c r="A60" s="4" t="s">
        <v>133</v>
      </c>
      <c r="B60" s="12" t="str" cm="1">
        <f t="array" ref="B60">User3($C$11:$ZX$11,C60:ZX60)</f>
        <v>1.05D+1.2SDL+1.2BW+1.1COL+1.1SOIL+1WATER+1.17Lr+1.17LLB+1.08LLE+2.1Wx-1+1.2CR1</v>
      </c>
      <c r="C60" s="13">
        <v>1.05</v>
      </c>
      <c r="D60" s="13">
        <v>1.2</v>
      </c>
      <c r="E60" s="13">
        <v>1.2</v>
      </c>
      <c r="F60" s="13">
        <v>1.1000000000000001</v>
      </c>
      <c r="G60" s="13">
        <v>1.1000000000000001</v>
      </c>
      <c r="H60" s="13">
        <v>1</v>
      </c>
      <c r="I60" s="13">
        <f t="shared" si="0"/>
        <v>1.1700000000000002</v>
      </c>
      <c r="J60" s="13">
        <v>1.17</v>
      </c>
      <c r="K60" s="13">
        <f t="shared" si="1"/>
        <v>1.08</v>
      </c>
      <c r="L60" s="13"/>
      <c r="M60" s="13"/>
      <c r="N60" s="13">
        <v>2.1</v>
      </c>
      <c r="O60" s="13"/>
      <c r="P60" s="13"/>
      <c r="Q60" s="13"/>
      <c r="R60" s="12"/>
      <c r="S60" s="12"/>
      <c r="T60" s="13">
        <v>1.2</v>
      </c>
      <c r="U60" s="13"/>
      <c r="V60" s="13"/>
      <c r="W60" s="13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</row>
    <row r="61" spans="1:103" s="14" customFormat="1" x14ac:dyDescent="0.25">
      <c r="A61" s="4" t="s">
        <v>134</v>
      </c>
      <c r="B61" s="12" t="str" cm="1">
        <f t="array" ref="B61">User3($C$11:$ZX$11,C61:ZX61)</f>
        <v>1.05D+1.2SDL+1.2BW+1.1COL+1.1SOIL+1WATER+1.17Lr+1.17LLB+1.08LLE+2.1Wx-2+1.2CR1</v>
      </c>
      <c r="C61" s="13">
        <v>1.05</v>
      </c>
      <c r="D61" s="13">
        <v>1.2</v>
      </c>
      <c r="E61" s="13">
        <v>1.2</v>
      </c>
      <c r="F61" s="13">
        <v>1.1000000000000001</v>
      </c>
      <c r="G61" s="13">
        <v>1.1000000000000001</v>
      </c>
      <c r="H61" s="13">
        <v>1</v>
      </c>
      <c r="I61" s="13">
        <f t="shared" si="0"/>
        <v>1.1700000000000002</v>
      </c>
      <c r="J61" s="13">
        <v>1.17</v>
      </c>
      <c r="K61" s="13">
        <f t="shared" si="1"/>
        <v>1.08</v>
      </c>
      <c r="L61" s="13"/>
      <c r="M61" s="13"/>
      <c r="N61" s="13"/>
      <c r="O61" s="13">
        <v>2.1</v>
      </c>
      <c r="P61" s="13"/>
      <c r="Q61" s="13"/>
      <c r="R61" s="12"/>
      <c r="S61" s="12"/>
      <c r="T61" s="13">
        <v>1.2</v>
      </c>
      <c r="U61" s="13"/>
      <c r="V61" s="13"/>
      <c r="W61" s="13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</row>
    <row r="62" spans="1:103" s="14" customFormat="1" x14ac:dyDescent="0.25">
      <c r="A62" s="4" t="s">
        <v>135</v>
      </c>
      <c r="B62" s="12" t="str" cm="1">
        <f t="array" ref="B62">User3($C$11:$ZX$11,C62:ZX62)</f>
        <v>1.05D+1.2SDL+1.2BW+1.1COL+1.1SOIL+1WATER+1.17Lr+1.17LLB+1.08LLE+2.1Wy+1+1.2CR1</v>
      </c>
      <c r="C62" s="13">
        <v>1.05</v>
      </c>
      <c r="D62" s="13">
        <v>1.2</v>
      </c>
      <c r="E62" s="13">
        <v>1.2</v>
      </c>
      <c r="F62" s="13">
        <v>1.1000000000000001</v>
      </c>
      <c r="G62" s="13">
        <v>1.1000000000000001</v>
      </c>
      <c r="H62" s="13">
        <v>1</v>
      </c>
      <c r="I62" s="13">
        <f t="shared" si="0"/>
        <v>1.1700000000000002</v>
      </c>
      <c r="J62" s="13">
        <v>1.17</v>
      </c>
      <c r="K62" s="13">
        <f t="shared" si="1"/>
        <v>1.08</v>
      </c>
      <c r="L62" s="13"/>
      <c r="M62" s="13"/>
      <c r="N62" s="13"/>
      <c r="O62" s="13"/>
      <c r="P62" s="13">
        <v>2.1</v>
      </c>
      <c r="Q62" s="13"/>
      <c r="R62" s="12"/>
      <c r="S62" s="12"/>
      <c r="T62" s="13">
        <v>1.2</v>
      </c>
      <c r="U62" s="13"/>
      <c r="V62" s="13"/>
      <c r="W62" s="13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</row>
    <row r="63" spans="1:103" s="14" customFormat="1" x14ac:dyDescent="0.25">
      <c r="A63" s="4" t="s">
        <v>136</v>
      </c>
      <c r="B63" s="12" t="str" cm="1">
        <f t="array" ref="B63">User3($C$11:$ZX$11,C63:ZX63)</f>
        <v>1.05D+1.2SDL+1.2BW+1.1COL+1.1SOIL+1WATER+1.17Lr+1.17LLB+1.08LLE+2.1Wy+2+1.2CR1</v>
      </c>
      <c r="C63" s="13">
        <v>1.05</v>
      </c>
      <c r="D63" s="13">
        <v>1.2</v>
      </c>
      <c r="E63" s="13">
        <v>1.2</v>
      </c>
      <c r="F63" s="13">
        <v>1.1000000000000001</v>
      </c>
      <c r="G63" s="13">
        <v>1.1000000000000001</v>
      </c>
      <c r="H63" s="13">
        <v>1</v>
      </c>
      <c r="I63" s="13">
        <f t="shared" si="0"/>
        <v>1.1700000000000002</v>
      </c>
      <c r="J63" s="13">
        <v>1.17</v>
      </c>
      <c r="K63" s="13">
        <f t="shared" si="1"/>
        <v>1.08</v>
      </c>
      <c r="L63" s="13"/>
      <c r="M63" s="13"/>
      <c r="N63" s="13"/>
      <c r="O63" s="13"/>
      <c r="P63" s="13"/>
      <c r="Q63" s="13">
        <v>2.1</v>
      </c>
      <c r="R63" s="12"/>
      <c r="S63" s="12"/>
      <c r="T63" s="13">
        <v>1.2</v>
      </c>
      <c r="U63" s="13"/>
      <c r="V63" s="13"/>
      <c r="W63" s="13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</row>
    <row r="64" spans="1:103" s="14" customFormat="1" x14ac:dyDescent="0.25">
      <c r="A64" s="4" t="s">
        <v>137</v>
      </c>
      <c r="B64" s="12" t="str" cm="1">
        <f t="array" ref="B64">User3($C$11:$ZX$11,C64:ZX64)</f>
        <v>1.05D+1.2SDL+1.2BW+1.1COL+1.1SOIL+1WATER+1.17Lr+1.17LLB+1.08LLE+2.1Wy-1+1.2CR1</v>
      </c>
      <c r="C64" s="13">
        <v>1.05</v>
      </c>
      <c r="D64" s="13">
        <v>1.2</v>
      </c>
      <c r="E64" s="13">
        <v>1.2</v>
      </c>
      <c r="F64" s="13">
        <v>1.1000000000000001</v>
      </c>
      <c r="G64" s="13">
        <v>1.1000000000000001</v>
      </c>
      <c r="H64" s="13">
        <v>1</v>
      </c>
      <c r="I64" s="13">
        <f t="shared" si="0"/>
        <v>1.1700000000000002</v>
      </c>
      <c r="J64" s="13">
        <v>1.17</v>
      </c>
      <c r="K64" s="13">
        <f t="shared" si="1"/>
        <v>1.08</v>
      </c>
      <c r="L64" s="13"/>
      <c r="M64" s="13"/>
      <c r="N64" s="13"/>
      <c r="O64" s="13"/>
      <c r="P64" s="13"/>
      <c r="Q64" s="13"/>
      <c r="R64" s="12">
        <v>2.1</v>
      </c>
      <c r="S64" s="12"/>
      <c r="T64" s="13">
        <v>1.2</v>
      </c>
      <c r="U64" s="13"/>
      <c r="V64" s="13"/>
      <c r="W64" s="13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</row>
    <row r="65" spans="1:103" s="17" customFormat="1" x14ac:dyDescent="0.25">
      <c r="A65" s="4" t="s">
        <v>138</v>
      </c>
      <c r="B65" s="15" t="str" cm="1">
        <f t="array" ref="B65">User3($C$11:$ZX$11,C65:ZX65)</f>
        <v>1.05D+1.2SDL+1.2BW+1.1COL+1.1SOIL+1WATER+1.17Lr+1.17LLB+1.08LLE+2.1Wy-2+1.2CR1</v>
      </c>
      <c r="C65" s="16">
        <v>1.05</v>
      </c>
      <c r="D65" s="16">
        <v>1.2</v>
      </c>
      <c r="E65" s="16">
        <v>1.2</v>
      </c>
      <c r="F65" s="16">
        <v>1.1000000000000001</v>
      </c>
      <c r="G65" s="16">
        <v>1.1000000000000001</v>
      </c>
      <c r="H65" s="16">
        <v>1</v>
      </c>
      <c r="I65" s="16">
        <f t="shared" si="0"/>
        <v>1.1700000000000002</v>
      </c>
      <c r="J65" s="16">
        <v>1.17</v>
      </c>
      <c r="K65" s="16">
        <f t="shared" si="1"/>
        <v>1.08</v>
      </c>
      <c r="L65" s="16"/>
      <c r="M65" s="16"/>
      <c r="N65" s="16"/>
      <c r="O65" s="16"/>
      <c r="P65" s="16"/>
      <c r="Q65" s="16"/>
      <c r="R65" s="15"/>
      <c r="S65" s="15">
        <v>2.1</v>
      </c>
      <c r="T65" s="16">
        <v>1.2</v>
      </c>
      <c r="U65" s="16"/>
      <c r="V65" s="16"/>
      <c r="W65" s="16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</row>
    <row r="66" spans="1:103" s="11" customFormat="1" x14ac:dyDescent="0.25">
      <c r="A66" s="4" t="s">
        <v>139</v>
      </c>
      <c r="B66" s="9" t="str" cm="1">
        <f t="array" ref="B66">User3($C$11:$ZX$11,C66:ZX66)</f>
        <v>1.05D+1.2SDL+1.2BW+1.1COL+1.1SOIL+1WATER+1.17Lr+1.17LLB+1.08LLE+2.1Wx+1+1.2CR2</v>
      </c>
      <c r="C66" s="13">
        <v>1.05</v>
      </c>
      <c r="D66" s="13">
        <v>1.2</v>
      </c>
      <c r="E66" s="13">
        <v>1.2</v>
      </c>
      <c r="F66" s="13">
        <v>1.1000000000000001</v>
      </c>
      <c r="G66" s="13">
        <v>1.1000000000000001</v>
      </c>
      <c r="H66" s="13">
        <v>1</v>
      </c>
      <c r="I66" s="10">
        <f>1.3*0.9</f>
        <v>1.1700000000000002</v>
      </c>
      <c r="J66" s="10">
        <v>1.17</v>
      </c>
      <c r="K66" s="10">
        <f>1.2*0.9</f>
        <v>1.08</v>
      </c>
      <c r="L66" s="10">
        <v>2.1</v>
      </c>
      <c r="M66" s="10"/>
      <c r="N66" s="10"/>
      <c r="O66" s="10"/>
      <c r="P66" s="10"/>
      <c r="Q66" s="10"/>
      <c r="R66" s="9"/>
      <c r="S66" s="9"/>
      <c r="T66" s="10"/>
      <c r="U66" s="10">
        <v>1.2</v>
      </c>
      <c r="V66" s="10"/>
      <c r="W66" s="10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</row>
    <row r="67" spans="1:103" s="14" customFormat="1" x14ac:dyDescent="0.25">
      <c r="A67" s="4" t="s">
        <v>140</v>
      </c>
      <c r="B67" s="12" t="str" cm="1">
        <f t="array" ref="B67">User3($C$11:$ZX$11,C67:ZX67)</f>
        <v>1.05D+1.2SDL+1.2BW+1.1COL+1.1SOIL+1WATER+1.17Lr+1.17LLB+1.08LLE+2.1Wx+2+1.2CR2</v>
      </c>
      <c r="C67" s="13">
        <v>1.05</v>
      </c>
      <c r="D67" s="13">
        <v>1.2</v>
      </c>
      <c r="E67" s="13">
        <v>1.2</v>
      </c>
      <c r="F67" s="13">
        <v>1.1000000000000001</v>
      </c>
      <c r="G67" s="13">
        <v>1.1000000000000001</v>
      </c>
      <c r="H67" s="13">
        <v>1</v>
      </c>
      <c r="I67" s="13">
        <f t="shared" si="0"/>
        <v>1.1700000000000002</v>
      </c>
      <c r="J67" s="13">
        <v>1.17</v>
      </c>
      <c r="K67" s="13">
        <f t="shared" si="1"/>
        <v>1.08</v>
      </c>
      <c r="L67" s="13"/>
      <c r="M67" s="13">
        <v>2.1</v>
      </c>
      <c r="N67" s="13"/>
      <c r="O67" s="13"/>
      <c r="P67" s="13"/>
      <c r="Q67" s="13"/>
      <c r="R67" s="12"/>
      <c r="S67" s="12"/>
      <c r="T67" s="13"/>
      <c r="U67" s="13">
        <v>1.2</v>
      </c>
      <c r="V67" s="13"/>
      <c r="W67" s="13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</row>
    <row r="68" spans="1:103" s="14" customFormat="1" x14ac:dyDescent="0.25">
      <c r="A68" s="4" t="s">
        <v>141</v>
      </c>
      <c r="B68" s="12" t="str" cm="1">
        <f t="array" ref="B68">User3($C$11:$ZX$11,C68:ZX68)</f>
        <v>1.05D+1.2SDL+1.2BW+1.1COL+1.1SOIL+1WATER+1.17Lr+1.17LLB+1.08LLE+2.1Wx-1+1.2CR2</v>
      </c>
      <c r="C68" s="13">
        <v>1.05</v>
      </c>
      <c r="D68" s="13">
        <v>1.2</v>
      </c>
      <c r="E68" s="13">
        <v>1.2</v>
      </c>
      <c r="F68" s="13">
        <v>1.1000000000000001</v>
      </c>
      <c r="G68" s="13">
        <v>1.1000000000000001</v>
      </c>
      <c r="H68" s="13">
        <v>1</v>
      </c>
      <c r="I68" s="13">
        <f t="shared" si="0"/>
        <v>1.1700000000000002</v>
      </c>
      <c r="J68" s="13">
        <v>1.17</v>
      </c>
      <c r="K68" s="13">
        <f t="shared" si="1"/>
        <v>1.08</v>
      </c>
      <c r="L68" s="13"/>
      <c r="M68" s="13"/>
      <c r="N68" s="13">
        <v>2.1</v>
      </c>
      <c r="O68" s="13"/>
      <c r="P68" s="13"/>
      <c r="Q68" s="13"/>
      <c r="R68" s="12"/>
      <c r="S68" s="12"/>
      <c r="T68" s="13"/>
      <c r="U68" s="13">
        <v>1.2</v>
      </c>
      <c r="V68" s="13"/>
      <c r="W68" s="13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</row>
    <row r="69" spans="1:103" s="14" customFormat="1" x14ac:dyDescent="0.25">
      <c r="A69" s="4" t="s">
        <v>142</v>
      </c>
      <c r="B69" s="12" t="str" cm="1">
        <f t="array" ref="B69">User3($C$11:$ZX$11,C69:ZX69)</f>
        <v>1.05D+1.2SDL+1.2BW+1.1COL+1.1SOIL+1WATER+1.17Lr+1.17LLB+1.08LLE+2.1Wx-2+1.2CR2</v>
      </c>
      <c r="C69" s="13">
        <v>1.05</v>
      </c>
      <c r="D69" s="13">
        <v>1.2</v>
      </c>
      <c r="E69" s="13">
        <v>1.2</v>
      </c>
      <c r="F69" s="13">
        <v>1.1000000000000001</v>
      </c>
      <c r="G69" s="13">
        <v>1.1000000000000001</v>
      </c>
      <c r="H69" s="13">
        <v>1</v>
      </c>
      <c r="I69" s="13">
        <f t="shared" si="0"/>
        <v>1.1700000000000002</v>
      </c>
      <c r="J69" s="13">
        <v>1.17</v>
      </c>
      <c r="K69" s="13">
        <f t="shared" si="1"/>
        <v>1.08</v>
      </c>
      <c r="L69" s="13"/>
      <c r="M69" s="13"/>
      <c r="N69" s="13"/>
      <c r="O69" s="13">
        <v>2.1</v>
      </c>
      <c r="P69" s="13"/>
      <c r="Q69" s="13"/>
      <c r="R69" s="12"/>
      <c r="S69" s="12"/>
      <c r="T69" s="13"/>
      <c r="U69" s="13">
        <v>1.2</v>
      </c>
      <c r="V69" s="13"/>
      <c r="W69" s="13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</row>
    <row r="70" spans="1:103" s="14" customFormat="1" x14ac:dyDescent="0.25">
      <c r="A70" s="4" t="s">
        <v>143</v>
      </c>
      <c r="B70" s="12" t="str" cm="1">
        <f t="array" ref="B70">User3($C$11:$ZX$11,C70:ZX70)</f>
        <v>1.05D+1.2SDL+1.2BW+1.1COL+1.1SOIL+1WATER+1.17Lr+1.17LLB+1.08LLE+2.1Wy+1+1.2CR2</v>
      </c>
      <c r="C70" s="13">
        <v>1.05</v>
      </c>
      <c r="D70" s="13">
        <v>1.2</v>
      </c>
      <c r="E70" s="13">
        <v>1.2</v>
      </c>
      <c r="F70" s="13">
        <v>1.1000000000000001</v>
      </c>
      <c r="G70" s="13">
        <v>1.1000000000000001</v>
      </c>
      <c r="H70" s="13">
        <v>1</v>
      </c>
      <c r="I70" s="13">
        <f t="shared" si="0"/>
        <v>1.1700000000000002</v>
      </c>
      <c r="J70" s="13">
        <v>1.17</v>
      </c>
      <c r="K70" s="13">
        <f t="shared" si="1"/>
        <v>1.08</v>
      </c>
      <c r="L70" s="13"/>
      <c r="M70" s="13"/>
      <c r="N70" s="13"/>
      <c r="O70" s="13"/>
      <c r="P70" s="13">
        <v>2.1</v>
      </c>
      <c r="Q70" s="13"/>
      <c r="R70" s="12"/>
      <c r="S70" s="12"/>
      <c r="T70" s="13"/>
      <c r="U70" s="13">
        <v>1.2</v>
      </c>
      <c r="V70" s="13"/>
      <c r="W70" s="13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</row>
    <row r="71" spans="1:103" s="14" customFormat="1" x14ac:dyDescent="0.25">
      <c r="A71" s="4" t="s">
        <v>144</v>
      </c>
      <c r="B71" s="12" t="str" cm="1">
        <f t="array" ref="B71">User3($C$11:$ZX$11,C71:ZX71)</f>
        <v>1.05D+1.2SDL+1.2BW+1.1COL+1.1SOIL+1WATER+1.17Lr+1.17LLB+1.08LLE+2.1Wy+2+1.2CR2</v>
      </c>
      <c r="C71" s="13">
        <v>1.05</v>
      </c>
      <c r="D71" s="13">
        <v>1.2</v>
      </c>
      <c r="E71" s="13">
        <v>1.2</v>
      </c>
      <c r="F71" s="13">
        <v>1.1000000000000001</v>
      </c>
      <c r="G71" s="13">
        <v>1.1000000000000001</v>
      </c>
      <c r="H71" s="13">
        <v>1</v>
      </c>
      <c r="I71" s="13">
        <f t="shared" si="0"/>
        <v>1.1700000000000002</v>
      </c>
      <c r="J71" s="13">
        <v>1.17</v>
      </c>
      <c r="K71" s="13">
        <f t="shared" si="1"/>
        <v>1.08</v>
      </c>
      <c r="L71" s="13"/>
      <c r="M71" s="13"/>
      <c r="N71" s="13"/>
      <c r="O71" s="13"/>
      <c r="P71" s="13"/>
      <c r="Q71" s="13">
        <v>2.1</v>
      </c>
      <c r="R71" s="12"/>
      <c r="S71" s="12"/>
      <c r="T71" s="13"/>
      <c r="U71" s="13">
        <v>1.2</v>
      </c>
      <c r="V71" s="13"/>
      <c r="W71" s="13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</row>
    <row r="72" spans="1:103" s="14" customFormat="1" x14ac:dyDescent="0.25">
      <c r="A72" s="4" t="s">
        <v>145</v>
      </c>
      <c r="B72" s="12" t="str" cm="1">
        <f t="array" ref="B72">User3($C$11:$ZX$11,C72:ZX72)</f>
        <v>1.05D+1.2SDL+1.2BW+1.1COL+1.1SOIL+1WATER+1.17Lr+1.17LLB+1.08LLE+2.1Wy-1+1.2CR2</v>
      </c>
      <c r="C72" s="13">
        <v>1.05</v>
      </c>
      <c r="D72" s="13">
        <v>1.2</v>
      </c>
      <c r="E72" s="13">
        <v>1.2</v>
      </c>
      <c r="F72" s="13">
        <v>1.1000000000000001</v>
      </c>
      <c r="G72" s="13">
        <v>1.1000000000000001</v>
      </c>
      <c r="H72" s="13">
        <v>1</v>
      </c>
      <c r="I72" s="13">
        <f t="shared" si="0"/>
        <v>1.1700000000000002</v>
      </c>
      <c r="J72" s="13">
        <v>1.17</v>
      </c>
      <c r="K72" s="13">
        <f t="shared" si="1"/>
        <v>1.08</v>
      </c>
      <c r="L72" s="13"/>
      <c r="M72" s="13"/>
      <c r="N72" s="13"/>
      <c r="O72" s="13"/>
      <c r="P72" s="13"/>
      <c r="Q72" s="13"/>
      <c r="R72" s="12">
        <v>2.1</v>
      </c>
      <c r="S72" s="12"/>
      <c r="T72" s="13"/>
      <c r="U72" s="13">
        <v>1.2</v>
      </c>
      <c r="V72" s="13"/>
      <c r="W72" s="13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</row>
    <row r="73" spans="1:103" s="17" customFormat="1" x14ac:dyDescent="0.25">
      <c r="A73" s="4" t="s">
        <v>146</v>
      </c>
      <c r="B73" s="15" t="str" cm="1">
        <f t="array" ref="B73">User3($C$11:$ZX$11,C73:ZX73)</f>
        <v>1.05D+1.2SDL+1.2BW+1.1COL+1.1SOIL+1WATER+1.17Lr+1.17LLB+1.08LLE+2.1Wy-2+1.2CR2</v>
      </c>
      <c r="C73" s="16">
        <v>1.05</v>
      </c>
      <c r="D73" s="16">
        <v>1.2</v>
      </c>
      <c r="E73" s="16">
        <v>1.2</v>
      </c>
      <c r="F73" s="16">
        <v>1.1000000000000001</v>
      </c>
      <c r="G73" s="16">
        <v>1.1000000000000001</v>
      </c>
      <c r="H73" s="16">
        <v>1</v>
      </c>
      <c r="I73" s="16">
        <f t="shared" si="0"/>
        <v>1.1700000000000002</v>
      </c>
      <c r="J73" s="16">
        <v>1.17</v>
      </c>
      <c r="K73" s="16">
        <f t="shared" si="1"/>
        <v>1.08</v>
      </c>
      <c r="L73" s="16"/>
      <c r="M73" s="16"/>
      <c r="N73" s="16"/>
      <c r="O73" s="16"/>
      <c r="P73" s="16"/>
      <c r="Q73" s="16"/>
      <c r="R73" s="15"/>
      <c r="S73" s="15">
        <v>2.1</v>
      </c>
      <c r="T73" s="16"/>
      <c r="U73" s="16">
        <v>1.2</v>
      </c>
      <c r="V73" s="16"/>
      <c r="W73" s="16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</row>
    <row r="74" spans="1:103" s="11" customFormat="1" x14ac:dyDescent="0.25">
      <c r="A74" s="4" t="s">
        <v>147</v>
      </c>
      <c r="B74" s="9" t="str" cm="1">
        <f t="array" ref="B74">User3($C$11:$ZX$11,C74:ZX74)</f>
        <v>1.05D+1.2SDL+1.2BW+1.1COL+1.1SOIL+1WATER+1.17Lr+1.17LLB+1.08LLE+2.1Wx+1+1.2CR3</v>
      </c>
      <c r="C74" s="13">
        <v>1.05</v>
      </c>
      <c r="D74" s="13">
        <v>1.2</v>
      </c>
      <c r="E74" s="13">
        <v>1.2</v>
      </c>
      <c r="F74" s="13">
        <v>1.1000000000000001</v>
      </c>
      <c r="G74" s="13">
        <v>1.1000000000000001</v>
      </c>
      <c r="H74" s="13">
        <v>1</v>
      </c>
      <c r="I74" s="10">
        <f>1.3*0.9</f>
        <v>1.1700000000000002</v>
      </c>
      <c r="J74" s="10">
        <v>1.17</v>
      </c>
      <c r="K74" s="10">
        <f>1.2*0.9</f>
        <v>1.08</v>
      </c>
      <c r="L74" s="10">
        <v>2.1</v>
      </c>
      <c r="M74" s="10"/>
      <c r="N74" s="10"/>
      <c r="O74" s="10"/>
      <c r="P74" s="10"/>
      <c r="Q74" s="10"/>
      <c r="R74" s="9"/>
      <c r="S74" s="9"/>
      <c r="T74" s="10"/>
      <c r="U74" s="10"/>
      <c r="V74" s="10">
        <v>1.2</v>
      </c>
      <c r="W74" s="10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</row>
    <row r="75" spans="1:103" s="14" customFormat="1" x14ac:dyDescent="0.25">
      <c r="A75" s="4" t="s">
        <v>148</v>
      </c>
      <c r="B75" s="12" t="str" cm="1">
        <f t="array" ref="B75">User3($C$11:$ZX$11,C75:ZX75)</f>
        <v>1.05D+1.2SDL+1.2BW+1.1COL+1.1SOIL+1WATER+1.17Lr+1.17LLB+1.08LLE+2.1Wx+2+1.2CR3</v>
      </c>
      <c r="C75" s="13">
        <v>1.05</v>
      </c>
      <c r="D75" s="13">
        <v>1.2</v>
      </c>
      <c r="E75" s="13">
        <v>1.2</v>
      </c>
      <c r="F75" s="13">
        <v>1.1000000000000001</v>
      </c>
      <c r="G75" s="13">
        <v>1.1000000000000001</v>
      </c>
      <c r="H75" s="13">
        <v>1</v>
      </c>
      <c r="I75" s="13">
        <f t="shared" si="0"/>
        <v>1.1700000000000002</v>
      </c>
      <c r="J75" s="13">
        <v>1.17</v>
      </c>
      <c r="K75" s="13">
        <f t="shared" si="1"/>
        <v>1.08</v>
      </c>
      <c r="L75" s="13"/>
      <c r="M75" s="13">
        <v>2.1</v>
      </c>
      <c r="N75" s="13"/>
      <c r="O75" s="13"/>
      <c r="P75" s="13"/>
      <c r="Q75" s="13"/>
      <c r="R75" s="12"/>
      <c r="S75" s="12"/>
      <c r="T75" s="13"/>
      <c r="U75" s="13"/>
      <c r="V75" s="13">
        <v>1.2</v>
      </c>
      <c r="W75" s="13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</row>
    <row r="76" spans="1:103" s="14" customFormat="1" x14ac:dyDescent="0.25">
      <c r="A76" s="4" t="s">
        <v>149</v>
      </c>
      <c r="B76" s="12" t="str" cm="1">
        <f t="array" ref="B76">User3($C$11:$ZX$11,C76:ZX76)</f>
        <v>1.05D+1.2SDL+1.2BW+1.1COL+1.1SOIL+1WATER+1.17Lr+1.17LLB+1.08LLE+2.1Wx-1+1.2CR3</v>
      </c>
      <c r="C76" s="13">
        <v>1.05</v>
      </c>
      <c r="D76" s="13">
        <v>1.2</v>
      </c>
      <c r="E76" s="13">
        <v>1.2</v>
      </c>
      <c r="F76" s="13">
        <v>1.1000000000000001</v>
      </c>
      <c r="G76" s="13">
        <v>1.1000000000000001</v>
      </c>
      <c r="H76" s="13">
        <v>1</v>
      </c>
      <c r="I76" s="13">
        <f t="shared" si="0"/>
        <v>1.1700000000000002</v>
      </c>
      <c r="J76" s="13">
        <v>1.17</v>
      </c>
      <c r="K76" s="13">
        <f t="shared" si="1"/>
        <v>1.08</v>
      </c>
      <c r="L76" s="13"/>
      <c r="M76" s="13"/>
      <c r="N76" s="13">
        <v>2.1</v>
      </c>
      <c r="O76" s="13"/>
      <c r="P76" s="13"/>
      <c r="Q76" s="13"/>
      <c r="R76" s="12"/>
      <c r="S76" s="12"/>
      <c r="T76" s="13"/>
      <c r="U76" s="13"/>
      <c r="V76" s="13">
        <v>1.2</v>
      </c>
      <c r="W76" s="13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</row>
    <row r="77" spans="1:103" s="14" customFormat="1" x14ac:dyDescent="0.25">
      <c r="A77" s="4" t="s">
        <v>150</v>
      </c>
      <c r="B77" s="12" t="str" cm="1">
        <f t="array" ref="B77">User3($C$11:$ZX$11,C77:ZX77)</f>
        <v>1.05D+1.2SDL+1.2BW+1.1COL+1.1SOIL+1WATER+1.17Lr+1.17LLB+1.08LLE+2.1Wx-2+1.2CR3</v>
      </c>
      <c r="C77" s="13">
        <v>1.05</v>
      </c>
      <c r="D77" s="13">
        <v>1.2</v>
      </c>
      <c r="E77" s="13">
        <v>1.2</v>
      </c>
      <c r="F77" s="13">
        <v>1.1000000000000001</v>
      </c>
      <c r="G77" s="13">
        <v>1.1000000000000001</v>
      </c>
      <c r="H77" s="13">
        <v>1</v>
      </c>
      <c r="I77" s="13">
        <f t="shared" si="0"/>
        <v>1.1700000000000002</v>
      </c>
      <c r="J77" s="13">
        <v>1.17</v>
      </c>
      <c r="K77" s="13">
        <f t="shared" si="1"/>
        <v>1.08</v>
      </c>
      <c r="L77" s="13"/>
      <c r="M77" s="13"/>
      <c r="N77" s="13"/>
      <c r="O77" s="13">
        <v>2.1</v>
      </c>
      <c r="P77" s="13"/>
      <c r="Q77" s="13"/>
      <c r="R77" s="12"/>
      <c r="S77" s="12"/>
      <c r="T77" s="13"/>
      <c r="U77" s="13"/>
      <c r="V77" s="13">
        <v>1.2</v>
      </c>
      <c r="W77" s="13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</row>
    <row r="78" spans="1:103" s="14" customFormat="1" x14ac:dyDescent="0.25">
      <c r="A78" s="4" t="s">
        <v>151</v>
      </c>
      <c r="B78" s="12" t="str" cm="1">
        <f t="array" ref="B78">User3($C$11:$ZX$11,C78:ZX78)</f>
        <v>1.05D+1.2SDL+1.2BW+1.1COL+1.1SOIL+1WATER+1.17Lr+1.17LLB+1.08LLE+2.1Wy+1+1.2CR3</v>
      </c>
      <c r="C78" s="13">
        <v>1.05</v>
      </c>
      <c r="D78" s="13">
        <v>1.2</v>
      </c>
      <c r="E78" s="13">
        <v>1.2</v>
      </c>
      <c r="F78" s="13">
        <v>1.1000000000000001</v>
      </c>
      <c r="G78" s="13">
        <v>1.1000000000000001</v>
      </c>
      <c r="H78" s="13">
        <v>1</v>
      </c>
      <c r="I78" s="13">
        <f t="shared" si="0"/>
        <v>1.1700000000000002</v>
      </c>
      <c r="J78" s="13">
        <v>1.17</v>
      </c>
      <c r="K78" s="13">
        <f t="shared" si="1"/>
        <v>1.08</v>
      </c>
      <c r="L78" s="13"/>
      <c r="M78" s="13"/>
      <c r="N78" s="13"/>
      <c r="O78" s="13"/>
      <c r="P78" s="13">
        <v>2.1</v>
      </c>
      <c r="Q78" s="13"/>
      <c r="R78" s="12"/>
      <c r="S78" s="12"/>
      <c r="T78" s="13"/>
      <c r="U78" s="13"/>
      <c r="V78" s="13">
        <v>1.2</v>
      </c>
      <c r="W78" s="13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</row>
    <row r="79" spans="1:103" s="14" customFormat="1" x14ac:dyDescent="0.25">
      <c r="A79" s="4" t="s">
        <v>152</v>
      </c>
      <c r="B79" s="12" t="str" cm="1">
        <f t="array" ref="B79">User3($C$11:$ZX$11,C79:ZX79)</f>
        <v>1.05D+1.2SDL+1.2BW+1.1COL+1.1SOIL+1WATER+1.17Lr+1.17LLB+1.08LLE+2.1Wy+2+1.2CR3</v>
      </c>
      <c r="C79" s="13">
        <v>1.05</v>
      </c>
      <c r="D79" s="13">
        <v>1.2</v>
      </c>
      <c r="E79" s="13">
        <v>1.2</v>
      </c>
      <c r="F79" s="13">
        <v>1.1000000000000001</v>
      </c>
      <c r="G79" s="13">
        <v>1.1000000000000001</v>
      </c>
      <c r="H79" s="13">
        <v>1</v>
      </c>
      <c r="I79" s="13">
        <f t="shared" si="0"/>
        <v>1.1700000000000002</v>
      </c>
      <c r="J79" s="13">
        <v>1.17</v>
      </c>
      <c r="K79" s="13">
        <f t="shared" si="1"/>
        <v>1.08</v>
      </c>
      <c r="L79" s="13"/>
      <c r="M79" s="13"/>
      <c r="N79" s="13"/>
      <c r="O79" s="13"/>
      <c r="P79" s="13"/>
      <c r="Q79" s="13">
        <v>2.1</v>
      </c>
      <c r="R79" s="12"/>
      <c r="S79" s="12"/>
      <c r="T79" s="13"/>
      <c r="U79" s="13"/>
      <c r="V79" s="13">
        <v>1.2</v>
      </c>
      <c r="W79" s="13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</row>
    <row r="80" spans="1:103" s="14" customFormat="1" x14ac:dyDescent="0.25">
      <c r="A80" s="4" t="s">
        <v>153</v>
      </c>
      <c r="B80" s="12" t="str" cm="1">
        <f t="array" ref="B80">User3($C$11:$ZX$11,C80:ZX80)</f>
        <v>1.05D+1.2SDL+1.2BW+1.1COL+1.1SOIL+1WATER+1.17Lr+1.17LLB+1.08LLE+2.1Wy-1+1.2CR3</v>
      </c>
      <c r="C80" s="13">
        <v>1.05</v>
      </c>
      <c r="D80" s="13">
        <v>1.2</v>
      </c>
      <c r="E80" s="13">
        <v>1.2</v>
      </c>
      <c r="F80" s="13">
        <v>1.1000000000000001</v>
      </c>
      <c r="G80" s="13">
        <v>1.1000000000000001</v>
      </c>
      <c r="H80" s="13">
        <v>1</v>
      </c>
      <c r="I80" s="13">
        <f t="shared" si="0"/>
        <v>1.1700000000000002</v>
      </c>
      <c r="J80" s="13">
        <v>1.17</v>
      </c>
      <c r="K80" s="13">
        <f t="shared" si="1"/>
        <v>1.08</v>
      </c>
      <c r="L80" s="13"/>
      <c r="M80" s="13"/>
      <c r="N80" s="13"/>
      <c r="O80" s="13"/>
      <c r="P80" s="13"/>
      <c r="Q80" s="13"/>
      <c r="R80" s="12">
        <v>2.1</v>
      </c>
      <c r="S80" s="12"/>
      <c r="T80" s="13"/>
      <c r="U80" s="13"/>
      <c r="V80" s="13">
        <v>1.2</v>
      </c>
      <c r="W80" s="13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</row>
    <row r="81" spans="1:103" s="17" customFormat="1" x14ac:dyDescent="0.25">
      <c r="A81" s="4" t="s">
        <v>154</v>
      </c>
      <c r="B81" s="15" t="str" cm="1">
        <f t="array" ref="B81">User3($C$11:$ZX$11,C81:ZX81)</f>
        <v>1.05D+1.2SDL+1.2BW+1.1COL+1.1SOIL+1WATER+1.17Lr+1.17LLB+1.08LLE+2.1Wy-2+1.2CR3</v>
      </c>
      <c r="C81" s="16">
        <v>1.05</v>
      </c>
      <c r="D81" s="16">
        <v>1.2</v>
      </c>
      <c r="E81" s="16">
        <v>1.2</v>
      </c>
      <c r="F81" s="16">
        <v>1.1000000000000001</v>
      </c>
      <c r="G81" s="16">
        <v>1.1000000000000001</v>
      </c>
      <c r="H81" s="16">
        <v>1</v>
      </c>
      <c r="I81" s="16">
        <f t="shared" si="0"/>
        <v>1.1700000000000002</v>
      </c>
      <c r="J81" s="16">
        <v>1.17</v>
      </c>
      <c r="K81" s="16">
        <f t="shared" si="1"/>
        <v>1.08</v>
      </c>
      <c r="L81" s="16"/>
      <c r="M81" s="16"/>
      <c r="N81" s="16"/>
      <c r="O81" s="16"/>
      <c r="P81" s="16"/>
      <c r="Q81" s="16"/>
      <c r="R81" s="15"/>
      <c r="S81" s="15">
        <v>2.1</v>
      </c>
      <c r="T81" s="16"/>
      <c r="U81" s="16"/>
      <c r="V81" s="16">
        <v>1.2</v>
      </c>
      <c r="W81" s="16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</row>
    <row r="82" spans="1:103" s="11" customFormat="1" x14ac:dyDescent="0.25">
      <c r="A82" s="4" t="s">
        <v>155</v>
      </c>
      <c r="B82" s="9" t="str" cm="1">
        <f t="array" ref="B82">User3($C$11:$ZX$11,C82:ZX82)</f>
        <v>1.05D+1.2SDL+1.2BW+1.1COL+1.1SOIL+1WATER+1.17Lr+1.17LLB+1.08LLE+2.1Wx+1+1.2CR4</v>
      </c>
      <c r="C82" s="13">
        <v>1.05</v>
      </c>
      <c r="D82" s="13">
        <v>1.2</v>
      </c>
      <c r="E82" s="13">
        <v>1.2</v>
      </c>
      <c r="F82" s="13">
        <v>1.1000000000000001</v>
      </c>
      <c r="G82" s="13">
        <v>1.1000000000000001</v>
      </c>
      <c r="H82" s="13">
        <v>1</v>
      </c>
      <c r="I82" s="10">
        <f>1.3*0.9</f>
        <v>1.1700000000000002</v>
      </c>
      <c r="J82" s="10">
        <v>1.17</v>
      </c>
      <c r="K82" s="10">
        <f>1.2*0.9</f>
        <v>1.08</v>
      </c>
      <c r="L82" s="10">
        <v>2.1</v>
      </c>
      <c r="M82" s="10"/>
      <c r="N82" s="10"/>
      <c r="O82" s="10"/>
      <c r="P82" s="10"/>
      <c r="Q82" s="10"/>
      <c r="R82" s="9"/>
      <c r="S82" s="9"/>
      <c r="T82" s="10"/>
      <c r="U82" s="10"/>
      <c r="V82" s="10"/>
      <c r="W82" s="10">
        <v>1.2</v>
      </c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</row>
    <row r="83" spans="1:103" s="14" customFormat="1" x14ac:dyDescent="0.25">
      <c r="A83" s="4" t="s">
        <v>156</v>
      </c>
      <c r="B83" s="12" t="str" cm="1">
        <f t="array" ref="B83">User3($C$11:$ZX$11,C83:ZX83)</f>
        <v>1.05D+1.2SDL+1.2BW+1.1COL+1.1SOIL+1WATER+1.17Lr+1.17LLB+1.08LLE+2.1Wx+2+1.2CR4</v>
      </c>
      <c r="C83" s="13">
        <v>1.05</v>
      </c>
      <c r="D83" s="13">
        <v>1.2</v>
      </c>
      <c r="E83" s="13">
        <v>1.2</v>
      </c>
      <c r="F83" s="13">
        <v>1.1000000000000001</v>
      </c>
      <c r="G83" s="13">
        <v>1.1000000000000001</v>
      </c>
      <c r="H83" s="13">
        <v>1</v>
      </c>
      <c r="I83" s="13">
        <f t="shared" si="0"/>
        <v>1.1700000000000002</v>
      </c>
      <c r="J83" s="13">
        <v>1.17</v>
      </c>
      <c r="K83" s="13">
        <f t="shared" si="1"/>
        <v>1.08</v>
      </c>
      <c r="L83" s="13"/>
      <c r="M83" s="13">
        <v>2.1</v>
      </c>
      <c r="N83" s="13"/>
      <c r="O83" s="13"/>
      <c r="P83" s="13"/>
      <c r="Q83" s="13"/>
      <c r="R83" s="12"/>
      <c r="S83" s="12"/>
      <c r="T83" s="13"/>
      <c r="U83" s="13"/>
      <c r="V83" s="13"/>
      <c r="W83" s="13">
        <v>1.2</v>
      </c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</row>
    <row r="84" spans="1:103" s="14" customFormat="1" x14ac:dyDescent="0.25">
      <c r="A84" s="4" t="s">
        <v>157</v>
      </c>
      <c r="B84" s="12" t="str" cm="1">
        <f t="array" ref="B84">User3($C$11:$ZX$11,C84:ZX84)</f>
        <v>1.05D+1.2SDL+1.2BW+1.1COL+1.1SOIL+1WATER+1.17Lr+1.17LLB+1.08LLE+2.1Wx-1+1.2CR4</v>
      </c>
      <c r="C84" s="13">
        <v>1.05</v>
      </c>
      <c r="D84" s="13">
        <v>1.2</v>
      </c>
      <c r="E84" s="13">
        <v>1.2</v>
      </c>
      <c r="F84" s="13">
        <v>1.1000000000000001</v>
      </c>
      <c r="G84" s="13">
        <v>1.1000000000000001</v>
      </c>
      <c r="H84" s="13">
        <v>1</v>
      </c>
      <c r="I84" s="13">
        <f t="shared" si="0"/>
        <v>1.1700000000000002</v>
      </c>
      <c r="J84" s="13">
        <v>1.17</v>
      </c>
      <c r="K84" s="13">
        <f t="shared" si="1"/>
        <v>1.08</v>
      </c>
      <c r="L84" s="13"/>
      <c r="M84" s="13"/>
      <c r="N84" s="13">
        <v>2.1</v>
      </c>
      <c r="O84" s="13"/>
      <c r="P84" s="13"/>
      <c r="Q84" s="13"/>
      <c r="R84" s="12"/>
      <c r="S84" s="12"/>
      <c r="T84" s="13"/>
      <c r="U84" s="13"/>
      <c r="V84" s="13"/>
      <c r="W84" s="13">
        <v>1.2</v>
      </c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</row>
    <row r="85" spans="1:103" s="14" customFormat="1" x14ac:dyDescent="0.25">
      <c r="A85" s="4" t="s">
        <v>158</v>
      </c>
      <c r="B85" s="12" t="str" cm="1">
        <f t="array" ref="B85">User3($C$11:$ZX$11,C85:ZX85)</f>
        <v>1.05D+1.2SDL+1.2BW+1.1COL+1.1SOIL+1WATER+1.17Lr+1.17LLB+1.08LLE+2.1Wx-2+1.2CR4</v>
      </c>
      <c r="C85" s="13">
        <v>1.05</v>
      </c>
      <c r="D85" s="13">
        <v>1.2</v>
      </c>
      <c r="E85" s="13">
        <v>1.2</v>
      </c>
      <c r="F85" s="13">
        <v>1.1000000000000001</v>
      </c>
      <c r="G85" s="13">
        <v>1.1000000000000001</v>
      </c>
      <c r="H85" s="13">
        <v>1</v>
      </c>
      <c r="I85" s="13">
        <f t="shared" si="0"/>
        <v>1.1700000000000002</v>
      </c>
      <c r="J85" s="13">
        <v>1.17</v>
      </c>
      <c r="K85" s="13">
        <f t="shared" si="1"/>
        <v>1.08</v>
      </c>
      <c r="L85" s="13"/>
      <c r="M85" s="13"/>
      <c r="N85" s="13"/>
      <c r="O85" s="13">
        <v>2.1</v>
      </c>
      <c r="P85" s="13"/>
      <c r="Q85" s="13"/>
      <c r="R85" s="12"/>
      <c r="S85" s="12"/>
      <c r="T85" s="13"/>
      <c r="U85" s="13"/>
      <c r="V85" s="13"/>
      <c r="W85" s="13">
        <v>1.2</v>
      </c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</row>
    <row r="86" spans="1:103" s="14" customFormat="1" x14ac:dyDescent="0.25">
      <c r="A86" s="4" t="s">
        <v>159</v>
      </c>
      <c r="B86" s="12" t="str" cm="1">
        <f t="array" ref="B86">User3($C$11:$ZX$11,C86:ZX86)</f>
        <v>1.05D+1.2SDL+1.2BW+1.1COL+1.1SOIL+1WATER+1.17Lr+1.17LLB+1.08LLE+2.1Wy+1+1.2CR4</v>
      </c>
      <c r="C86" s="13">
        <v>1.05</v>
      </c>
      <c r="D86" s="13">
        <v>1.2</v>
      </c>
      <c r="E86" s="13">
        <v>1.2</v>
      </c>
      <c r="F86" s="13">
        <v>1.1000000000000001</v>
      </c>
      <c r="G86" s="13">
        <v>1.1000000000000001</v>
      </c>
      <c r="H86" s="13">
        <v>1</v>
      </c>
      <c r="I86" s="13">
        <f t="shared" si="0"/>
        <v>1.1700000000000002</v>
      </c>
      <c r="J86" s="13">
        <v>1.17</v>
      </c>
      <c r="K86" s="13">
        <f t="shared" si="1"/>
        <v>1.08</v>
      </c>
      <c r="L86" s="13"/>
      <c r="M86" s="13"/>
      <c r="N86" s="13"/>
      <c r="O86" s="13"/>
      <c r="P86" s="13">
        <v>2.1</v>
      </c>
      <c r="Q86" s="13"/>
      <c r="R86" s="12"/>
      <c r="S86" s="12"/>
      <c r="T86" s="13"/>
      <c r="U86" s="13"/>
      <c r="V86" s="13"/>
      <c r="W86" s="13">
        <v>1.2</v>
      </c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</row>
    <row r="87" spans="1:103" s="14" customFormat="1" x14ac:dyDescent="0.25">
      <c r="A87" s="4" t="s">
        <v>160</v>
      </c>
      <c r="B87" s="12" t="str" cm="1">
        <f t="array" ref="B87">User3($C$11:$ZX$11,C87:ZX87)</f>
        <v>1.05D+1.2SDL+1.2BW+1.1COL+1.1SOIL+1WATER+1.17Lr+1.17LLB+1.08LLE+2.1Wy+2+1.2CR4</v>
      </c>
      <c r="C87" s="13">
        <v>1.05</v>
      </c>
      <c r="D87" s="13">
        <v>1.2</v>
      </c>
      <c r="E87" s="13">
        <v>1.2</v>
      </c>
      <c r="F87" s="13">
        <v>1.1000000000000001</v>
      </c>
      <c r="G87" s="13">
        <v>1.1000000000000001</v>
      </c>
      <c r="H87" s="13">
        <v>1</v>
      </c>
      <c r="I87" s="13">
        <f t="shared" si="0"/>
        <v>1.1700000000000002</v>
      </c>
      <c r="J87" s="13">
        <v>1.17</v>
      </c>
      <c r="K87" s="13">
        <f t="shared" si="1"/>
        <v>1.08</v>
      </c>
      <c r="L87" s="13"/>
      <c r="M87" s="13"/>
      <c r="N87" s="13"/>
      <c r="O87" s="13"/>
      <c r="P87" s="13"/>
      <c r="Q87" s="13">
        <v>2.1</v>
      </c>
      <c r="R87" s="12"/>
      <c r="S87" s="12"/>
      <c r="T87" s="13"/>
      <c r="U87" s="13"/>
      <c r="V87" s="13"/>
      <c r="W87" s="13">
        <v>1.2</v>
      </c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</row>
    <row r="88" spans="1:103" s="14" customFormat="1" x14ac:dyDescent="0.25">
      <c r="A88" s="4" t="s">
        <v>161</v>
      </c>
      <c r="B88" s="12" t="str" cm="1">
        <f t="array" ref="B88">User3($C$11:$ZX$11,C88:ZX88)</f>
        <v>1.05D+1.2SDL+1.2BW+1.1COL+1.1SOIL+1WATER+1.17Lr+1.17LLB+1.08LLE+2.1Wy-1+1.2CR4</v>
      </c>
      <c r="C88" s="13">
        <v>1.05</v>
      </c>
      <c r="D88" s="13">
        <v>1.2</v>
      </c>
      <c r="E88" s="13">
        <v>1.2</v>
      </c>
      <c r="F88" s="13">
        <v>1.1000000000000001</v>
      </c>
      <c r="G88" s="13">
        <v>1.1000000000000001</v>
      </c>
      <c r="H88" s="13">
        <v>1</v>
      </c>
      <c r="I88" s="13">
        <f t="shared" si="0"/>
        <v>1.1700000000000002</v>
      </c>
      <c r="J88" s="13">
        <v>1.17</v>
      </c>
      <c r="K88" s="13">
        <f t="shared" si="1"/>
        <v>1.08</v>
      </c>
      <c r="L88" s="13"/>
      <c r="M88" s="13"/>
      <c r="N88" s="13"/>
      <c r="O88" s="13"/>
      <c r="P88" s="13"/>
      <c r="Q88" s="13"/>
      <c r="R88" s="12">
        <v>2.1</v>
      </c>
      <c r="S88" s="12"/>
      <c r="T88" s="13"/>
      <c r="U88" s="13"/>
      <c r="V88" s="13"/>
      <c r="W88" s="13">
        <v>1.2</v>
      </c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</row>
    <row r="89" spans="1:103" s="17" customFormat="1" x14ac:dyDescent="0.25">
      <c r="A89" s="4" t="s">
        <v>162</v>
      </c>
      <c r="B89" s="15" t="str" cm="1">
        <f t="array" ref="B89">User3($C$11:$ZX$11,C89:ZX89)</f>
        <v>1.05D+1.2SDL+1.2BW+1.1COL+1.1SOIL+1WATER+1.17Lr+1.17LLB+1.08LLE+2.1Wy-2+1.2CR4</v>
      </c>
      <c r="C89" s="16">
        <v>1.05</v>
      </c>
      <c r="D89" s="16">
        <v>1.2</v>
      </c>
      <c r="E89" s="16">
        <v>1.2</v>
      </c>
      <c r="F89" s="16">
        <v>1.1000000000000001</v>
      </c>
      <c r="G89" s="16">
        <v>1.1000000000000001</v>
      </c>
      <c r="H89" s="16">
        <v>1</v>
      </c>
      <c r="I89" s="16">
        <f t="shared" si="0"/>
        <v>1.1700000000000002</v>
      </c>
      <c r="J89" s="16">
        <v>1.17</v>
      </c>
      <c r="K89" s="16">
        <f t="shared" si="1"/>
        <v>1.08</v>
      </c>
      <c r="L89" s="16"/>
      <c r="M89" s="16"/>
      <c r="N89" s="16"/>
      <c r="O89" s="16"/>
      <c r="P89" s="16"/>
      <c r="Q89" s="16"/>
      <c r="R89" s="15"/>
      <c r="S89" s="15">
        <v>2.1</v>
      </c>
      <c r="T89" s="16"/>
      <c r="U89" s="16"/>
      <c r="V89" s="16"/>
      <c r="W89" s="16">
        <v>1.2</v>
      </c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5"/>
      <c r="CB89" s="15"/>
      <c r="CC89" s="15"/>
      <c r="CD89" s="15"/>
      <c r="CE89" s="15"/>
      <c r="CF89" s="15"/>
      <c r="CG89" s="15"/>
      <c r="CH89" s="15"/>
      <c r="CI89" s="15"/>
      <c r="CJ89" s="15"/>
      <c r="CK89" s="15"/>
      <c r="CL89" s="15"/>
      <c r="CM89" s="15"/>
      <c r="CN89" s="15"/>
      <c r="CO89" s="15"/>
      <c r="CP89" s="15"/>
      <c r="CQ89" s="15"/>
      <c r="CR89" s="15"/>
      <c r="CS89" s="15"/>
      <c r="CT89" s="15"/>
      <c r="CU89" s="15"/>
      <c r="CV89" s="15"/>
      <c r="CW89" s="15"/>
      <c r="CX89" s="15"/>
      <c r="CY89" s="15"/>
    </row>
    <row r="90" spans="1:103" x14ac:dyDescent="0.25">
      <c r="A90" s="4" t="s">
        <v>37</v>
      </c>
      <c r="B90" s="2" t="str" cm="1">
        <f t="array" ref="B90">User3($C$11:$ZX$11,C90:ZX90)</f>
        <v>1D+1SDL+1BW+1COL+1SOIL+1WATER</v>
      </c>
      <c r="C90" s="3">
        <v>1</v>
      </c>
      <c r="D90" s="3">
        <v>1</v>
      </c>
      <c r="E90" s="3">
        <v>1</v>
      </c>
      <c r="F90" s="3">
        <v>1</v>
      </c>
      <c r="G90" s="3">
        <v>1</v>
      </c>
      <c r="H90" s="3">
        <v>1</v>
      </c>
    </row>
    <row r="91" spans="1:103" x14ac:dyDescent="0.25">
      <c r="A91" s="4" t="s">
        <v>38</v>
      </c>
      <c r="B91" s="2" t="str" cm="1">
        <f t="array" ref="B91">User3($C$11:$ZX$11,C91:ZX91)</f>
        <v>1D+1SDL+1BW+1COL+1SOIL+1WATER+1Lr+1LLB+1LLE</v>
      </c>
      <c r="C91" s="3">
        <v>1</v>
      </c>
      <c r="D91" s="3">
        <v>1</v>
      </c>
      <c r="E91" s="3">
        <v>1</v>
      </c>
      <c r="F91" s="3">
        <v>1</v>
      </c>
      <c r="G91" s="3">
        <v>1</v>
      </c>
      <c r="H91" s="3">
        <v>1</v>
      </c>
      <c r="I91" s="3">
        <v>1</v>
      </c>
      <c r="J91" s="3">
        <v>1</v>
      </c>
      <c r="K91" s="3">
        <v>1</v>
      </c>
    </row>
    <row r="92" spans="1:103" x14ac:dyDescent="0.25">
      <c r="A92" s="4" t="s">
        <v>39</v>
      </c>
      <c r="B92" s="2" t="str" cm="1">
        <f t="array" ref="B92">User3($C$11:$ZX$11,C92:ZX92)</f>
        <v>1D+1SDL+1BW+1COL+1SOIL+1WATER+1Wx+1</v>
      </c>
      <c r="C92" s="10">
        <v>1</v>
      </c>
      <c r="D92" s="10">
        <v>1</v>
      </c>
      <c r="E92" s="10">
        <v>1</v>
      </c>
      <c r="F92" s="10">
        <v>1</v>
      </c>
      <c r="G92" s="10">
        <v>1</v>
      </c>
      <c r="H92" s="10">
        <v>1</v>
      </c>
      <c r="I92" s="10"/>
      <c r="J92" s="10"/>
      <c r="K92" s="10"/>
      <c r="L92" s="10">
        <v>1</v>
      </c>
      <c r="M92" s="10"/>
      <c r="N92" s="10"/>
      <c r="O92" s="10"/>
      <c r="P92" s="10"/>
      <c r="Q92" s="10"/>
      <c r="R92" s="9"/>
      <c r="S92" s="9"/>
      <c r="T92" s="10"/>
      <c r="U92" s="10"/>
      <c r="V92" s="10"/>
      <c r="W92" s="10"/>
    </row>
    <row r="93" spans="1:103" x14ac:dyDescent="0.25">
      <c r="A93" s="4" t="s">
        <v>40</v>
      </c>
      <c r="B93" s="2" t="str" cm="1">
        <f t="array" ref="B93">User3($C$11:$ZX$11,C93:ZX93)</f>
        <v>1D+1SDL+1BW+1COL+1SOIL+1WATER+1Wx+2</v>
      </c>
      <c r="C93" s="13">
        <v>1</v>
      </c>
      <c r="D93" s="13">
        <v>1</v>
      </c>
      <c r="E93" s="13">
        <v>1</v>
      </c>
      <c r="F93" s="13">
        <v>1</v>
      </c>
      <c r="G93" s="13">
        <v>1</v>
      </c>
      <c r="H93" s="13">
        <v>1</v>
      </c>
      <c r="I93" s="13"/>
      <c r="J93" s="13"/>
      <c r="K93" s="13"/>
      <c r="L93" s="13"/>
      <c r="M93" s="13">
        <v>1</v>
      </c>
      <c r="N93" s="13"/>
      <c r="O93" s="13"/>
      <c r="P93" s="13"/>
      <c r="Q93" s="13"/>
      <c r="R93" s="12"/>
      <c r="S93" s="12"/>
      <c r="T93" s="13"/>
      <c r="U93" s="13"/>
      <c r="V93" s="13"/>
      <c r="W93" s="13"/>
    </row>
    <row r="94" spans="1:103" x14ac:dyDescent="0.25">
      <c r="A94" s="4" t="s">
        <v>41</v>
      </c>
      <c r="B94" s="2" t="str" cm="1">
        <f t="array" ref="B94">User3($C$11:$ZX$11,C94:ZX94)</f>
        <v>1D+1SDL+1BW+1COL+1SOIL+1WATER+1Wx-1</v>
      </c>
      <c r="C94" s="13">
        <v>1</v>
      </c>
      <c r="D94" s="13">
        <v>1</v>
      </c>
      <c r="E94" s="13">
        <v>1</v>
      </c>
      <c r="F94" s="13">
        <v>1</v>
      </c>
      <c r="G94" s="13">
        <v>1</v>
      </c>
      <c r="H94" s="13">
        <v>1</v>
      </c>
      <c r="I94" s="13"/>
      <c r="J94" s="13"/>
      <c r="K94" s="13"/>
      <c r="L94" s="13"/>
      <c r="M94" s="13"/>
      <c r="N94" s="13">
        <v>1</v>
      </c>
      <c r="O94" s="13"/>
      <c r="P94" s="13"/>
      <c r="Q94" s="13"/>
      <c r="R94" s="12"/>
      <c r="S94" s="12"/>
      <c r="T94" s="13"/>
      <c r="U94" s="13"/>
      <c r="V94" s="13"/>
      <c r="W94" s="13"/>
    </row>
    <row r="95" spans="1:103" x14ac:dyDescent="0.25">
      <c r="A95" s="4" t="s">
        <v>42</v>
      </c>
      <c r="B95" s="2" t="str" cm="1">
        <f t="array" ref="B95">User3($C$11:$ZX$11,C95:ZX95)</f>
        <v>1D+1SDL+1BW+1COL+1SOIL+1WATER+1Wx-2</v>
      </c>
      <c r="C95" s="13">
        <v>1</v>
      </c>
      <c r="D95" s="13">
        <v>1</v>
      </c>
      <c r="E95" s="13">
        <v>1</v>
      </c>
      <c r="F95" s="13">
        <v>1</v>
      </c>
      <c r="G95" s="13">
        <v>1</v>
      </c>
      <c r="H95" s="13">
        <v>1</v>
      </c>
      <c r="I95" s="13"/>
      <c r="J95" s="13"/>
      <c r="K95" s="13"/>
      <c r="L95" s="13"/>
      <c r="M95" s="13"/>
      <c r="N95" s="13"/>
      <c r="O95" s="13">
        <v>1</v>
      </c>
      <c r="P95" s="13"/>
      <c r="Q95" s="13"/>
      <c r="R95" s="12"/>
      <c r="S95" s="12"/>
      <c r="T95" s="13"/>
      <c r="U95" s="13"/>
      <c r="V95" s="13"/>
      <c r="W95" s="13"/>
    </row>
    <row r="96" spans="1:103" x14ac:dyDescent="0.25">
      <c r="A96" s="4" t="s">
        <v>43</v>
      </c>
      <c r="B96" s="2" t="str" cm="1">
        <f t="array" ref="B96">User3($C$11:$ZX$11,C96:ZX96)</f>
        <v>1D+1SDL+1BW+1COL+1SOIL+1WATER+1Wy+1</v>
      </c>
      <c r="C96" s="13">
        <v>1</v>
      </c>
      <c r="D96" s="13">
        <v>1</v>
      </c>
      <c r="E96" s="13">
        <v>1</v>
      </c>
      <c r="F96" s="13">
        <v>1</v>
      </c>
      <c r="G96" s="13">
        <v>1</v>
      </c>
      <c r="H96" s="13">
        <v>1</v>
      </c>
      <c r="I96" s="13"/>
      <c r="J96" s="13"/>
      <c r="K96" s="13"/>
      <c r="L96" s="13"/>
      <c r="M96" s="13"/>
      <c r="N96" s="13"/>
      <c r="O96" s="13"/>
      <c r="P96" s="13">
        <v>1</v>
      </c>
      <c r="Q96" s="13"/>
      <c r="R96" s="12"/>
      <c r="S96" s="12"/>
      <c r="T96" s="13"/>
      <c r="U96" s="13"/>
      <c r="V96" s="13"/>
      <c r="W96" s="13"/>
    </row>
    <row r="97" spans="1:23" x14ac:dyDescent="0.25">
      <c r="A97" s="4" t="s">
        <v>44</v>
      </c>
      <c r="B97" s="2" t="str" cm="1">
        <f t="array" ref="B97">User3($C$11:$ZX$11,C97:ZX97)</f>
        <v>1D+1SDL+1BW+1COL+1SOIL+1WATER+1Wy+2</v>
      </c>
      <c r="C97" s="13">
        <v>1</v>
      </c>
      <c r="D97" s="13">
        <v>1</v>
      </c>
      <c r="E97" s="13">
        <v>1</v>
      </c>
      <c r="F97" s="13">
        <v>1</v>
      </c>
      <c r="G97" s="13">
        <v>1</v>
      </c>
      <c r="H97" s="13">
        <v>1</v>
      </c>
      <c r="I97" s="13"/>
      <c r="J97" s="13"/>
      <c r="K97" s="13"/>
      <c r="L97" s="13"/>
      <c r="M97" s="13"/>
      <c r="N97" s="13"/>
      <c r="O97" s="13"/>
      <c r="P97" s="13"/>
      <c r="Q97" s="13">
        <v>1</v>
      </c>
      <c r="R97" s="12"/>
      <c r="S97" s="12"/>
      <c r="T97" s="13"/>
      <c r="U97" s="13"/>
      <c r="V97" s="13"/>
      <c r="W97" s="13"/>
    </row>
    <row r="98" spans="1:23" x14ac:dyDescent="0.25">
      <c r="A98" s="4" t="s">
        <v>45</v>
      </c>
      <c r="B98" s="2" t="str" cm="1">
        <f t="array" ref="B98">User3($C$11:$ZX$11,C98:ZX98)</f>
        <v>1D+1SDL+1BW+1COL+1SOIL+1WATER+1Wy-1</v>
      </c>
      <c r="C98" s="13">
        <v>1</v>
      </c>
      <c r="D98" s="13">
        <v>1</v>
      </c>
      <c r="E98" s="13">
        <v>1</v>
      </c>
      <c r="F98" s="13">
        <v>1</v>
      </c>
      <c r="G98" s="13">
        <v>1</v>
      </c>
      <c r="H98" s="13">
        <v>1</v>
      </c>
      <c r="I98" s="13"/>
      <c r="J98" s="13"/>
      <c r="K98" s="13"/>
      <c r="L98" s="13"/>
      <c r="M98" s="13"/>
      <c r="N98" s="13"/>
      <c r="O98" s="13"/>
      <c r="P98" s="13"/>
      <c r="Q98" s="13"/>
      <c r="R98" s="12">
        <v>1</v>
      </c>
      <c r="S98" s="12"/>
      <c r="T98" s="13"/>
      <c r="U98" s="13"/>
      <c r="V98" s="13"/>
      <c r="W98" s="13"/>
    </row>
    <row r="99" spans="1:23" x14ac:dyDescent="0.25">
      <c r="A99" s="4" t="s">
        <v>46</v>
      </c>
      <c r="B99" s="2" t="str" cm="1">
        <f t="array" ref="B99">User3($C$11:$ZX$11,C99:ZX99)</f>
        <v>1D+1SDL+1BW+1COL+1SOIL+1WATER+1Wy-2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/>
      <c r="J99" s="16"/>
      <c r="K99" s="16"/>
      <c r="L99" s="16"/>
      <c r="M99" s="16"/>
      <c r="N99" s="16"/>
      <c r="O99" s="16"/>
      <c r="P99" s="16"/>
      <c r="Q99" s="16"/>
      <c r="R99" s="15"/>
      <c r="S99" s="15">
        <v>1</v>
      </c>
      <c r="T99" s="16"/>
      <c r="U99" s="16"/>
      <c r="V99" s="16"/>
      <c r="W99" s="16"/>
    </row>
    <row r="100" spans="1:23" x14ac:dyDescent="0.25">
      <c r="A100" s="4" t="s">
        <v>47</v>
      </c>
      <c r="B100" s="2" t="str" cm="1">
        <f t="array" ref="B100">User3($C$11:$ZX$11,C100:ZX100)</f>
        <v>1D+1SDL+1BW+1COL+1SOIL+1WATER+1CR1</v>
      </c>
      <c r="C100" s="10">
        <v>1</v>
      </c>
      <c r="D100" s="10">
        <v>1</v>
      </c>
      <c r="E100" s="10">
        <v>1</v>
      </c>
      <c r="F100" s="10">
        <v>1</v>
      </c>
      <c r="G100" s="10">
        <v>1</v>
      </c>
      <c r="H100" s="10">
        <v>1</v>
      </c>
      <c r="I100" s="10"/>
      <c r="J100" s="10"/>
      <c r="K100" s="10"/>
      <c r="L100" s="10"/>
      <c r="M100" s="10"/>
      <c r="N100" s="10"/>
      <c r="O100" s="10"/>
      <c r="P100" s="10"/>
      <c r="Q100" s="10"/>
      <c r="R100" s="9"/>
      <c r="S100" s="9"/>
      <c r="T100" s="10">
        <v>1</v>
      </c>
      <c r="U100" s="10"/>
      <c r="V100" s="10"/>
      <c r="W100" s="10"/>
    </row>
    <row r="101" spans="1:23" x14ac:dyDescent="0.25">
      <c r="A101" s="4" t="s">
        <v>48</v>
      </c>
      <c r="B101" s="2" t="str" cm="1">
        <f t="array" ref="B101">User3($C$11:$ZX$11,C101:ZX101)</f>
        <v>1D+1SDL+1BW+1COL+1SOIL+1WATER+1CR2</v>
      </c>
      <c r="C101" s="13">
        <v>1</v>
      </c>
      <c r="D101" s="13">
        <v>1</v>
      </c>
      <c r="E101" s="13">
        <v>1</v>
      </c>
      <c r="F101" s="13">
        <v>1</v>
      </c>
      <c r="G101" s="13">
        <v>1</v>
      </c>
      <c r="H101" s="13">
        <v>1</v>
      </c>
      <c r="I101" s="13"/>
      <c r="J101" s="13"/>
      <c r="K101" s="13"/>
      <c r="L101" s="13"/>
      <c r="M101" s="13"/>
      <c r="N101" s="13"/>
      <c r="O101" s="13"/>
      <c r="P101" s="13"/>
      <c r="Q101" s="13"/>
      <c r="R101" s="12"/>
      <c r="S101" s="12"/>
      <c r="T101" s="13"/>
      <c r="U101" s="13">
        <v>1</v>
      </c>
      <c r="V101" s="13"/>
      <c r="W101" s="13"/>
    </row>
    <row r="102" spans="1:23" x14ac:dyDescent="0.25">
      <c r="A102" s="4" t="s">
        <v>49</v>
      </c>
      <c r="B102" s="2" t="str" cm="1">
        <f t="array" ref="B102">User3($C$11:$ZX$11,C102:ZX102)</f>
        <v>1D+1SDL+1BW+1COL+1SOIL+1WATER+1CR3</v>
      </c>
      <c r="C102" s="13">
        <v>1</v>
      </c>
      <c r="D102" s="13">
        <v>1</v>
      </c>
      <c r="E102" s="13">
        <v>1</v>
      </c>
      <c r="F102" s="13">
        <v>1</v>
      </c>
      <c r="G102" s="13">
        <v>1</v>
      </c>
      <c r="H102" s="13">
        <v>1</v>
      </c>
      <c r="I102" s="13"/>
      <c r="J102" s="13"/>
      <c r="K102" s="13"/>
      <c r="L102" s="13"/>
      <c r="M102" s="13"/>
      <c r="N102" s="13"/>
      <c r="O102" s="13"/>
      <c r="P102" s="13"/>
      <c r="Q102" s="13"/>
      <c r="R102" s="12"/>
      <c r="S102" s="12"/>
      <c r="T102" s="13"/>
      <c r="U102" s="13"/>
      <c r="V102" s="13">
        <v>1</v>
      </c>
      <c r="W102" s="13"/>
    </row>
    <row r="103" spans="1:23" x14ac:dyDescent="0.25">
      <c r="A103" s="4" t="s">
        <v>50</v>
      </c>
      <c r="B103" s="2" t="str" cm="1">
        <f t="array" ref="B103">User3($C$11:$ZX$11,C103:ZX103)</f>
        <v>1D+1SDL+1BW+1COL+1SOIL+1WATER+1CR4</v>
      </c>
      <c r="C103" s="16">
        <v>1</v>
      </c>
      <c r="D103" s="16">
        <v>1</v>
      </c>
      <c r="E103" s="16">
        <v>1</v>
      </c>
      <c r="F103" s="16">
        <v>1</v>
      </c>
      <c r="G103" s="16">
        <v>1</v>
      </c>
      <c r="H103" s="16">
        <v>1</v>
      </c>
      <c r="I103" s="16"/>
      <c r="J103" s="16"/>
      <c r="K103" s="16"/>
      <c r="L103" s="16"/>
      <c r="M103" s="16"/>
      <c r="N103" s="16"/>
      <c r="O103" s="16"/>
      <c r="P103" s="16"/>
      <c r="Q103" s="16"/>
      <c r="R103" s="15"/>
      <c r="S103" s="15"/>
      <c r="T103" s="16"/>
      <c r="U103" s="16"/>
      <c r="V103" s="16"/>
      <c r="W103" s="16">
        <v>1</v>
      </c>
    </row>
    <row r="104" spans="1:23" x14ac:dyDescent="0.25">
      <c r="A104" s="4" t="s">
        <v>51</v>
      </c>
      <c r="B104" s="2" t="str" cm="1">
        <f t="array" ref="B104">User3($C$11:$ZX$11,C104:ZX104)</f>
        <v>1D+1SDL+1BW+1COL+1SOIL+1WATER+1Lr+1LLB+1LLE+0.9Wx+1+1CR1</v>
      </c>
      <c r="C104" s="13">
        <v>1</v>
      </c>
      <c r="D104" s="13">
        <v>1</v>
      </c>
      <c r="E104" s="13">
        <v>1</v>
      </c>
      <c r="F104" s="13">
        <v>1</v>
      </c>
      <c r="G104" s="13">
        <v>1</v>
      </c>
      <c r="H104" s="13">
        <v>1</v>
      </c>
      <c r="I104" s="10">
        <v>1</v>
      </c>
      <c r="J104" s="10">
        <v>1</v>
      </c>
      <c r="K104" s="10">
        <v>1</v>
      </c>
      <c r="L104" s="10">
        <v>0.9</v>
      </c>
      <c r="M104" s="10"/>
      <c r="N104" s="10"/>
      <c r="O104" s="10"/>
      <c r="P104" s="10"/>
      <c r="Q104" s="10"/>
      <c r="R104" s="9"/>
      <c r="S104" s="9"/>
      <c r="T104" s="10">
        <v>1</v>
      </c>
      <c r="U104" s="10"/>
      <c r="V104" s="10"/>
      <c r="W104" s="10"/>
    </row>
    <row r="105" spans="1:23" x14ac:dyDescent="0.25">
      <c r="A105" s="4" t="s">
        <v>52</v>
      </c>
      <c r="B105" s="2" t="str" cm="1">
        <f t="array" ref="B105">User3($C$11:$ZX$11,C105:ZX105)</f>
        <v>1D+1SDL+1BW+1COL+1SOIL+1WATER+1Lr+1LLB+1LLE+0.9Wx+2+1CR1</v>
      </c>
      <c r="C105" s="13">
        <v>1</v>
      </c>
      <c r="D105" s="13">
        <v>1</v>
      </c>
      <c r="E105" s="13">
        <v>1</v>
      </c>
      <c r="F105" s="13">
        <v>1</v>
      </c>
      <c r="G105" s="13">
        <v>1</v>
      </c>
      <c r="H105" s="13">
        <v>1</v>
      </c>
      <c r="I105" s="13">
        <v>1</v>
      </c>
      <c r="J105" s="13">
        <v>1</v>
      </c>
      <c r="K105" s="13">
        <v>1</v>
      </c>
      <c r="L105" s="13"/>
      <c r="M105" s="13">
        <v>0.9</v>
      </c>
      <c r="N105" s="13"/>
      <c r="O105" s="13"/>
      <c r="P105" s="13"/>
      <c r="Q105" s="13"/>
      <c r="R105" s="12"/>
      <c r="S105" s="12"/>
      <c r="T105" s="13">
        <v>1</v>
      </c>
      <c r="U105" s="13"/>
      <c r="V105" s="13"/>
      <c r="W105" s="13"/>
    </row>
    <row r="106" spans="1:23" x14ac:dyDescent="0.25">
      <c r="A106" s="4" t="s">
        <v>53</v>
      </c>
      <c r="B106" s="2" t="str" cm="1">
        <f t="array" ref="B106">User3($C$11:$ZX$11,C106:ZX106)</f>
        <v>1D+1SDL+1BW+1COL+1SOIL+1WATER+1Lr+1LLB+1LLE+0.9Wx-1+1CR1</v>
      </c>
      <c r="C106" s="13">
        <v>1</v>
      </c>
      <c r="D106" s="13">
        <v>1</v>
      </c>
      <c r="E106" s="13">
        <v>1</v>
      </c>
      <c r="F106" s="13">
        <v>1</v>
      </c>
      <c r="G106" s="13">
        <v>1</v>
      </c>
      <c r="H106" s="13">
        <v>1</v>
      </c>
      <c r="I106" s="13">
        <v>1</v>
      </c>
      <c r="J106" s="13">
        <v>1</v>
      </c>
      <c r="K106" s="13">
        <v>1</v>
      </c>
      <c r="L106" s="13"/>
      <c r="M106" s="13"/>
      <c r="N106" s="13">
        <v>0.9</v>
      </c>
      <c r="O106" s="13"/>
      <c r="P106" s="13"/>
      <c r="Q106" s="13"/>
      <c r="R106" s="12"/>
      <c r="S106" s="12"/>
      <c r="T106" s="13">
        <v>1</v>
      </c>
      <c r="U106" s="13"/>
      <c r="V106" s="13"/>
      <c r="W106" s="13"/>
    </row>
    <row r="107" spans="1:23" x14ac:dyDescent="0.25">
      <c r="A107" s="4" t="s">
        <v>54</v>
      </c>
      <c r="B107" s="2" t="str" cm="1">
        <f t="array" ref="B107">User3($C$11:$ZX$11,C107:ZX107)</f>
        <v>1D+1SDL+1BW+1COL+1SOIL+1WATER+1Lr+1LLB+1LLE+0.9Wx-2+1CR1</v>
      </c>
      <c r="C107" s="13">
        <v>1</v>
      </c>
      <c r="D107" s="13">
        <v>1</v>
      </c>
      <c r="E107" s="13">
        <v>1</v>
      </c>
      <c r="F107" s="13">
        <v>1</v>
      </c>
      <c r="G107" s="13">
        <v>1</v>
      </c>
      <c r="H107" s="13">
        <v>1</v>
      </c>
      <c r="I107" s="13">
        <v>1</v>
      </c>
      <c r="J107" s="13">
        <v>1</v>
      </c>
      <c r="K107" s="13">
        <v>1</v>
      </c>
      <c r="L107" s="13"/>
      <c r="M107" s="13"/>
      <c r="N107" s="13"/>
      <c r="O107" s="13">
        <v>0.9</v>
      </c>
      <c r="P107" s="13"/>
      <c r="Q107" s="13"/>
      <c r="R107" s="12"/>
      <c r="S107" s="12"/>
      <c r="T107" s="13">
        <v>1</v>
      </c>
      <c r="U107" s="13"/>
      <c r="V107" s="13"/>
      <c r="W107" s="13"/>
    </row>
    <row r="108" spans="1:23" x14ac:dyDescent="0.25">
      <c r="A108" s="4" t="s">
        <v>55</v>
      </c>
      <c r="B108" s="2" t="str" cm="1">
        <f t="array" ref="B108">User3($C$11:$ZX$11,C108:ZX108)</f>
        <v>1D+1SDL+1BW+1COL+1SOIL+1WATER+1Lr+1LLB+1LLE+0.9Wy+1+1CR1</v>
      </c>
      <c r="C108" s="13">
        <v>1</v>
      </c>
      <c r="D108" s="13">
        <v>1</v>
      </c>
      <c r="E108" s="13">
        <v>1</v>
      </c>
      <c r="F108" s="13">
        <v>1</v>
      </c>
      <c r="G108" s="13">
        <v>1</v>
      </c>
      <c r="H108" s="13">
        <v>1</v>
      </c>
      <c r="I108" s="13">
        <v>1</v>
      </c>
      <c r="J108" s="13">
        <v>1</v>
      </c>
      <c r="K108" s="13">
        <v>1</v>
      </c>
      <c r="L108" s="13"/>
      <c r="M108" s="13"/>
      <c r="N108" s="13"/>
      <c r="O108" s="13"/>
      <c r="P108" s="13">
        <v>0.9</v>
      </c>
      <c r="Q108" s="13"/>
      <c r="R108" s="12"/>
      <c r="S108" s="12"/>
      <c r="T108" s="13">
        <v>1</v>
      </c>
      <c r="U108" s="13"/>
      <c r="V108" s="13"/>
      <c r="W108" s="13"/>
    </row>
    <row r="109" spans="1:23" x14ac:dyDescent="0.25">
      <c r="A109" s="4" t="s">
        <v>56</v>
      </c>
      <c r="B109" s="2" t="str" cm="1">
        <f t="array" ref="B109">User3($C$11:$ZX$11,C109:ZX109)</f>
        <v>1D+1SDL+1BW+1COL+1SOIL+1WATER+1Lr+1LLB+1LLE+0.9Wy+2+1CR1</v>
      </c>
      <c r="C109" s="13">
        <v>1</v>
      </c>
      <c r="D109" s="13">
        <v>1</v>
      </c>
      <c r="E109" s="13">
        <v>1</v>
      </c>
      <c r="F109" s="13">
        <v>1</v>
      </c>
      <c r="G109" s="13">
        <v>1</v>
      </c>
      <c r="H109" s="13">
        <v>1</v>
      </c>
      <c r="I109" s="13">
        <v>1</v>
      </c>
      <c r="J109" s="13">
        <v>1</v>
      </c>
      <c r="K109" s="13">
        <v>1</v>
      </c>
      <c r="L109" s="13"/>
      <c r="M109" s="13"/>
      <c r="N109" s="13"/>
      <c r="O109" s="13"/>
      <c r="P109" s="13"/>
      <c r="Q109" s="13">
        <v>0.9</v>
      </c>
      <c r="R109" s="12"/>
      <c r="S109" s="12"/>
      <c r="T109" s="13">
        <v>1</v>
      </c>
      <c r="U109" s="13"/>
      <c r="V109" s="13"/>
      <c r="W109" s="13"/>
    </row>
    <row r="110" spans="1:23" x14ac:dyDescent="0.25">
      <c r="A110" s="4" t="s">
        <v>57</v>
      </c>
      <c r="B110" s="2" t="str" cm="1">
        <f t="array" ref="B110">User3($C$11:$ZX$11,C110:ZX110)</f>
        <v>1D+1SDL+1BW+1COL+1SOIL+1WATER+1Lr+1LLB+1LLE+0.9Wy-1+1CR1</v>
      </c>
      <c r="C110" s="13">
        <v>1</v>
      </c>
      <c r="D110" s="13">
        <v>1</v>
      </c>
      <c r="E110" s="13">
        <v>1</v>
      </c>
      <c r="F110" s="13">
        <v>1</v>
      </c>
      <c r="G110" s="13">
        <v>1</v>
      </c>
      <c r="H110" s="13">
        <v>1</v>
      </c>
      <c r="I110" s="13">
        <v>1</v>
      </c>
      <c r="J110" s="13">
        <v>1</v>
      </c>
      <c r="K110" s="13">
        <v>1</v>
      </c>
      <c r="L110" s="13"/>
      <c r="M110" s="13"/>
      <c r="N110" s="13"/>
      <c r="O110" s="13"/>
      <c r="P110" s="13"/>
      <c r="Q110" s="13"/>
      <c r="R110" s="12">
        <v>0.9</v>
      </c>
      <c r="S110" s="12"/>
      <c r="T110" s="13">
        <v>1</v>
      </c>
      <c r="U110" s="13"/>
      <c r="V110" s="13"/>
      <c r="W110" s="13"/>
    </row>
    <row r="111" spans="1:23" x14ac:dyDescent="0.25">
      <c r="A111" s="4" t="s">
        <v>58</v>
      </c>
      <c r="B111" s="2" t="str" cm="1">
        <f t="array" ref="B111">User3($C$11:$ZX$11,C111:ZX111)</f>
        <v>1D+1SDL+1BW+1COL+1SOIL+1WATER+1Lr+1LLB+1LLE+0.9Wy-2+1CR1</v>
      </c>
      <c r="C111" s="16">
        <v>1</v>
      </c>
      <c r="D111" s="16">
        <v>1</v>
      </c>
      <c r="E111" s="16">
        <v>1</v>
      </c>
      <c r="F111" s="16">
        <v>1</v>
      </c>
      <c r="G111" s="16">
        <v>1</v>
      </c>
      <c r="H111" s="16">
        <v>1</v>
      </c>
      <c r="I111" s="16">
        <v>1</v>
      </c>
      <c r="J111" s="16">
        <v>1</v>
      </c>
      <c r="K111" s="16">
        <v>1</v>
      </c>
      <c r="L111" s="16"/>
      <c r="M111" s="16"/>
      <c r="N111" s="16"/>
      <c r="O111" s="16"/>
      <c r="P111" s="16"/>
      <c r="Q111" s="16"/>
      <c r="R111" s="15"/>
      <c r="S111" s="15">
        <v>0.9</v>
      </c>
      <c r="T111" s="16">
        <v>1</v>
      </c>
      <c r="U111" s="16"/>
      <c r="V111" s="16"/>
      <c r="W111" s="16"/>
    </row>
    <row r="112" spans="1:23" x14ac:dyDescent="0.25">
      <c r="A112" s="4" t="s">
        <v>59</v>
      </c>
      <c r="B112" s="2" t="str" cm="1">
        <f t="array" ref="B112">User3($C$11:$ZX$11,C112:ZX112)</f>
        <v>1D+1SDL+1BW+1COL+1SOIL+1WATER+1Lr+1LLB+1LLE+0.9Wx+1+1CR2</v>
      </c>
      <c r="C112" s="13">
        <v>1</v>
      </c>
      <c r="D112" s="13">
        <v>1</v>
      </c>
      <c r="E112" s="13">
        <v>1</v>
      </c>
      <c r="F112" s="13">
        <v>1</v>
      </c>
      <c r="G112" s="13">
        <v>1</v>
      </c>
      <c r="H112" s="13">
        <v>1</v>
      </c>
      <c r="I112" s="10">
        <v>1</v>
      </c>
      <c r="J112" s="10">
        <v>1</v>
      </c>
      <c r="K112" s="10">
        <v>1</v>
      </c>
      <c r="L112" s="10">
        <v>0.9</v>
      </c>
      <c r="M112" s="10"/>
      <c r="N112" s="10"/>
      <c r="O112" s="10"/>
      <c r="P112" s="10"/>
      <c r="Q112" s="10"/>
      <c r="R112" s="9"/>
      <c r="S112" s="9"/>
      <c r="T112" s="10"/>
      <c r="U112" s="10">
        <v>1</v>
      </c>
      <c r="V112" s="10"/>
      <c r="W112" s="10"/>
    </row>
    <row r="113" spans="1:23" x14ac:dyDescent="0.25">
      <c r="A113" s="4" t="s">
        <v>60</v>
      </c>
      <c r="B113" s="2" t="str" cm="1">
        <f t="array" ref="B113">User3($C$11:$ZX$11,C113:ZX113)</f>
        <v>1D+1SDL+1BW+1COL+1SOIL+1WATER+1Lr+1LLB+1LLE+0.9Wx+2+1CR2</v>
      </c>
      <c r="C113" s="13">
        <v>1</v>
      </c>
      <c r="D113" s="13">
        <v>1</v>
      </c>
      <c r="E113" s="13">
        <v>1</v>
      </c>
      <c r="F113" s="13">
        <v>1</v>
      </c>
      <c r="G113" s="13">
        <v>1</v>
      </c>
      <c r="H113" s="13">
        <v>1</v>
      </c>
      <c r="I113" s="13">
        <v>1</v>
      </c>
      <c r="J113" s="13">
        <v>1</v>
      </c>
      <c r="K113" s="13">
        <v>1</v>
      </c>
      <c r="L113" s="13"/>
      <c r="M113" s="13">
        <v>0.9</v>
      </c>
      <c r="N113" s="13"/>
      <c r="O113" s="13"/>
      <c r="P113" s="13"/>
      <c r="Q113" s="13"/>
      <c r="R113" s="12"/>
      <c r="S113" s="12"/>
      <c r="T113" s="13"/>
      <c r="U113" s="13">
        <v>1</v>
      </c>
      <c r="V113" s="13"/>
      <c r="W113" s="13"/>
    </row>
    <row r="114" spans="1:23" x14ac:dyDescent="0.25">
      <c r="A114" s="4" t="s">
        <v>61</v>
      </c>
      <c r="B114" s="2" t="str" cm="1">
        <f t="array" ref="B114">User3($C$11:$ZX$11,C114:ZX114)</f>
        <v>1D+1SDL+1BW+1COL+1SOIL+1WATER+1Lr+1LLB+1LLE+0.9Wx-1+1CR2</v>
      </c>
      <c r="C114" s="13">
        <v>1</v>
      </c>
      <c r="D114" s="13">
        <v>1</v>
      </c>
      <c r="E114" s="13">
        <v>1</v>
      </c>
      <c r="F114" s="13">
        <v>1</v>
      </c>
      <c r="G114" s="13">
        <v>1</v>
      </c>
      <c r="H114" s="13">
        <v>1</v>
      </c>
      <c r="I114" s="13">
        <v>1</v>
      </c>
      <c r="J114" s="13">
        <v>1</v>
      </c>
      <c r="K114" s="13">
        <v>1</v>
      </c>
      <c r="L114" s="13"/>
      <c r="M114" s="13"/>
      <c r="N114" s="13">
        <v>0.9</v>
      </c>
      <c r="O114" s="13"/>
      <c r="P114" s="13"/>
      <c r="Q114" s="13"/>
      <c r="R114" s="12"/>
      <c r="S114" s="12"/>
      <c r="T114" s="13"/>
      <c r="U114" s="13">
        <v>1</v>
      </c>
      <c r="V114" s="13"/>
      <c r="W114" s="13"/>
    </row>
    <row r="115" spans="1:23" x14ac:dyDescent="0.25">
      <c r="A115" s="4" t="s">
        <v>62</v>
      </c>
      <c r="B115" s="2" t="str" cm="1">
        <f t="array" ref="B115">User3($C$11:$ZX$11,C115:ZX115)</f>
        <v>1D+1SDL+1BW+1COL+1SOIL+1WATER+1Lr+1LLB+1LLE+0.9Wx-2+1CR2</v>
      </c>
      <c r="C115" s="13">
        <v>1</v>
      </c>
      <c r="D115" s="13">
        <v>1</v>
      </c>
      <c r="E115" s="13">
        <v>1</v>
      </c>
      <c r="F115" s="13">
        <v>1</v>
      </c>
      <c r="G115" s="13">
        <v>1</v>
      </c>
      <c r="H115" s="13">
        <v>1</v>
      </c>
      <c r="I115" s="13">
        <v>1</v>
      </c>
      <c r="J115" s="13">
        <v>1</v>
      </c>
      <c r="K115" s="13">
        <v>1</v>
      </c>
      <c r="L115" s="13"/>
      <c r="M115" s="13"/>
      <c r="N115" s="13"/>
      <c r="O115" s="13">
        <v>0.9</v>
      </c>
      <c r="P115" s="13"/>
      <c r="Q115" s="13"/>
      <c r="R115" s="12"/>
      <c r="S115" s="12"/>
      <c r="T115" s="13"/>
      <c r="U115" s="13">
        <v>1</v>
      </c>
      <c r="V115" s="13"/>
      <c r="W115" s="13"/>
    </row>
    <row r="116" spans="1:23" x14ac:dyDescent="0.25">
      <c r="A116" s="4" t="s">
        <v>63</v>
      </c>
      <c r="B116" s="2" t="str" cm="1">
        <f t="array" ref="B116">User3($C$11:$ZX$11,C116:ZX116)</f>
        <v>1D+1SDL+1BW+1COL+1SOIL+1WATER+1Lr+1LLB+1LLE+0.9Wy+1+1CR2</v>
      </c>
      <c r="C116" s="13">
        <v>1</v>
      </c>
      <c r="D116" s="13">
        <v>1</v>
      </c>
      <c r="E116" s="13">
        <v>1</v>
      </c>
      <c r="F116" s="13">
        <v>1</v>
      </c>
      <c r="G116" s="13">
        <v>1</v>
      </c>
      <c r="H116" s="13">
        <v>1</v>
      </c>
      <c r="I116" s="13">
        <v>1</v>
      </c>
      <c r="J116" s="13">
        <v>1</v>
      </c>
      <c r="K116" s="13">
        <v>1</v>
      </c>
      <c r="L116" s="13"/>
      <c r="M116" s="13"/>
      <c r="N116" s="13"/>
      <c r="O116" s="13"/>
      <c r="P116" s="13">
        <v>0.9</v>
      </c>
      <c r="Q116" s="13"/>
      <c r="R116" s="12"/>
      <c r="S116" s="12"/>
      <c r="T116" s="13"/>
      <c r="U116" s="13">
        <v>1</v>
      </c>
      <c r="V116" s="13"/>
      <c r="W116" s="13"/>
    </row>
    <row r="117" spans="1:23" x14ac:dyDescent="0.25">
      <c r="A117" s="4" t="s">
        <v>64</v>
      </c>
      <c r="B117" s="2" t="str" cm="1">
        <f t="array" ref="B117">User3($C$11:$ZX$11,C117:ZX117)</f>
        <v>1D+1SDL+1BW+1COL+1SOIL+1WATER+1Lr+1LLB+1LLE+0.9Wy+2+1CR2</v>
      </c>
      <c r="C117" s="13">
        <v>1</v>
      </c>
      <c r="D117" s="13">
        <v>1</v>
      </c>
      <c r="E117" s="13">
        <v>1</v>
      </c>
      <c r="F117" s="13">
        <v>1</v>
      </c>
      <c r="G117" s="13">
        <v>1</v>
      </c>
      <c r="H117" s="13">
        <v>1</v>
      </c>
      <c r="I117" s="13">
        <v>1</v>
      </c>
      <c r="J117" s="13">
        <v>1</v>
      </c>
      <c r="K117" s="13">
        <v>1</v>
      </c>
      <c r="L117" s="13"/>
      <c r="M117" s="13"/>
      <c r="N117" s="13"/>
      <c r="O117" s="13"/>
      <c r="P117" s="13"/>
      <c r="Q117" s="13">
        <v>0.9</v>
      </c>
      <c r="R117" s="12"/>
      <c r="S117" s="12"/>
      <c r="T117" s="13"/>
      <c r="U117" s="13">
        <v>1</v>
      </c>
      <c r="V117" s="13"/>
      <c r="W117" s="13"/>
    </row>
    <row r="118" spans="1:23" x14ac:dyDescent="0.25">
      <c r="A118" s="4" t="s">
        <v>65</v>
      </c>
      <c r="B118" s="2" t="str" cm="1">
        <f t="array" ref="B118">User3($C$11:$ZX$11,C118:ZX118)</f>
        <v>1D+1SDL+1BW+1COL+1SOIL+1WATER+1Lr+1LLB+1LLE+0.9Wy-1+1CR2</v>
      </c>
      <c r="C118" s="13">
        <v>1</v>
      </c>
      <c r="D118" s="13">
        <v>1</v>
      </c>
      <c r="E118" s="13">
        <v>1</v>
      </c>
      <c r="F118" s="13">
        <v>1</v>
      </c>
      <c r="G118" s="13">
        <v>1</v>
      </c>
      <c r="H118" s="13">
        <v>1</v>
      </c>
      <c r="I118" s="13">
        <v>1</v>
      </c>
      <c r="J118" s="13">
        <v>1</v>
      </c>
      <c r="K118" s="13">
        <v>1</v>
      </c>
      <c r="L118" s="13"/>
      <c r="M118" s="13"/>
      <c r="N118" s="13"/>
      <c r="O118" s="13"/>
      <c r="P118" s="13"/>
      <c r="Q118" s="13"/>
      <c r="R118" s="12">
        <v>0.9</v>
      </c>
      <c r="S118" s="12"/>
      <c r="T118" s="13"/>
      <c r="U118" s="13">
        <v>1</v>
      </c>
      <c r="V118" s="13"/>
      <c r="W118" s="13"/>
    </row>
    <row r="119" spans="1:23" x14ac:dyDescent="0.25">
      <c r="A119" s="4" t="s">
        <v>66</v>
      </c>
      <c r="B119" s="2" t="str" cm="1">
        <f t="array" ref="B119">User3($C$11:$ZX$11,C119:ZX119)</f>
        <v>1D+1SDL+1BW+1COL+1SOIL+1WATER+1Lr+1LLB+1LLE+0.9Wy-2+1CR2</v>
      </c>
      <c r="C119" s="16">
        <v>1</v>
      </c>
      <c r="D119" s="16">
        <v>1</v>
      </c>
      <c r="E119" s="16">
        <v>1</v>
      </c>
      <c r="F119" s="16">
        <v>1</v>
      </c>
      <c r="G119" s="16">
        <v>1</v>
      </c>
      <c r="H119" s="16">
        <v>1</v>
      </c>
      <c r="I119" s="16">
        <v>1</v>
      </c>
      <c r="J119" s="16">
        <v>1</v>
      </c>
      <c r="K119" s="16">
        <v>1</v>
      </c>
      <c r="L119" s="16"/>
      <c r="M119" s="16"/>
      <c r="N119" s="16"/>
      <c r="O119" s="16"/>
      <c r="P119" s="16"/>
      <c r="Q119" s="16"/>
      <c r="R119" s="15"/>
      <c r="S119" s="15">
        <v>0.9</v>
      </c>
      <c r="T119" s="16"/>
      <c r="U119" s="16">
        <v>1</v>
      </c>
      <c r="V119" s="16"/>
      <c r="W119" s="16"/>
    </row>
    <row r="120" spans="1:23" x14ac:dyDescent="0.25">
      <c r="A120" s="4" t="s">
        <v>67</v>
      </c>
      <c r="B120" s="2" t="str" cm="1">
        <f t="array" ref="B120">User3($C$11:$ZX$11,C120:ZX120)</f>
        <v>1D+1SDL+1BW+1COL+1SOIL+1WATER+1Lr+1LLB+1LLE+0.9Wx+1+1CR3</v>
      </c>
      <c r="C120" s="13">
        <v>1</v>
      </c>
      <c r="D120" s="13">
        <v>1</v>
      </c>
      <c r="E120" s="13">
        <v>1</v>
      </c>
      <c r="F120" s="13">
        <v>1</v>
      </c>
      <c r="G120" s="13">
        <v>1</v>
      </c>
      <c r="H120" s="13">
        <v>1</v>
      </c>
      <c r="I120" s="10">
        <v>1</v>
      </c>
      <c r="J120" s="10">
        <v>1</v>
      </c>
      <c r="K120" s="10">
        <v>1</v>
      </c>
      <c r="L120" s="10">
        <v>0.9</v>
      </c>
      <c r="M120" s="10"/>
      <c r="N120" s="10"/>
      <c r="O120" s="10"/>
      <c r="P120" s="10"/>
      <c r="Q120" s="10"/>
      <c r="R120" s="9"/>
      <c r="S120" s="9"/>
      <c r="T120" s="10"/>
      <c r="U120" s="10"/>
      <c r="V120" s="10">
        <v>1</v>
      </c>
      <c r="W120" s="10"/>
    </row>
    <row r="121" spans="1:23" x14ac:dyDescent="0.25">
      <c r="A121" s="4" t="s">
        <v>68</v>
      </c>
      <c r="B121" s="2" t="str" cm="1">
        <f t="array" ref="B121">User3($C$11:$ZX$11,C121:ZX121)</f>
        <v>1D+1SDL+1BW+1COL+1SOIL+1WATER+1Lr+1LLB+1LLE+0.9Wx+2+1CR3</v>
      </c>
      <c r="C121" s="13">
        <v>1</v>
      </c>
      <c r="D121" s="13">
        <v>1</v>
      </c>
      <c r="E121" s="13">
        <v>1</v>
      </c>
      <c r="F121" s="13">
        <v>1</v>
      </c>
      <c r="G121" s="13">
        <v>1</v>
      </c>
      <c r="H121" s="13">
        <v>1</v>
      </c>
      <c r="I121" s="13">
        <v>1</v>
      </c>
      <c r="J121" s="13">
        <v>1</v>
      </c>
      <c r="K121" s="13">
        <v>1</v>
      </c>
      <c r="L121" s="13"/>
      <c r="M121" s="13">
        <v>0.9</v>
      </c>
      <c r="N121" s="13"/>
      <c r="O121" s="13"/>
      <c r="P121" s="13"/>
      <c r="Q121" s="13"/>
      <c r="R121" s="12"/>
      <c r="S121" s="12"/>
      <c r="T121" s="13"/>
      <c r="U121" s="13"/>
      <c r="V121" s="13">
        <v>1</v>
      </c>
      <c r="W121" s="13"/>
    </row>
    <row r="122" spans="1:23" x14ac:dyDescent="0.25">
      <c r="A122" s="4" t="s">
        <v>69</v>
      </c>
      <c r="B122" s="2" t="str" cm="1">
        <f t="array" ref="B122">User3($C$11:$ZX$11,C122:ZX122)</f>
        <v>1D+1SDL+1BW+1COL+1SOIL+1WATER+1Lr+1LLB+1LLE+0.9Wx-1+1CR3</v>
      </c>
      <c r="C122" s="13">
        <v>1</v>
      </c>
      <c r="D122" s="13">
        <v>1</v>
      </c>
      <c r="E122" s="13">
        <v>1</v>
      </c>
      <c r="F122" s="13">
        <v>1</v>
      </c>
      <c r="G122" s="13">
        <v>1</v>
      </c>
      <c r="H122" s="13">
        <v>1</v>
      </c>
      <c r="I122" s="13">
        <v>1</v>
      </c>
      <c r="J122" s="13">
        <v>1</v>
      </c>
      <c r="K122" s="13">
        <v>1</v>
      </c>
      <c r="L122" s="13"/>
      <c r="M122" s="13"/>
      <c r="N122" s="13">
        <v>0.9</v>
      </c>
      <c r="O122" s="13"/>
      <c r="P122" s="13"/>
      <c r="Q122" s="13"/>
      <c r="R122" s="12"/>
      <c r="S122" s="12"/>
      <c r="T122" s="13"/>
      <c r="U122" s="13"/>
      <c r="V122" s="13">
        <v>1</v>
      </c>
      <c r="W122" s="13"/>
    </row>
    <row r="123" spans="1:23" x14ac:dyDescent="0.25">
      <c r="A123" s="4" t="s">
        <v>70</v>
      </c>
      <c r="B123" s="2" t="str" cm="1">
        <f t="array" ref="B123">User3($C$11:$ZX$11,C123:ZX123)</f>
        <v>1D+1SDL+1BW+1COL+1SOIL+1WATER+1Lr+1LLB+1LLE+0.9Wx-2+1CR3</v>
      </c>
      <c r="C123" s="13">
        <v>1</v>
      </c>
      <c r="D123" s="13">
        <v>1</v>
      </c>
      <c r="E123" s="13">
        <v>1</v>
      </c>
      <c r="F123" s="13">
        <v>1</v>
      </c>
      <c r="G123" s="13">
        <v>1</v>
      </c>
      <c r="H123" s="13">
        <v>1</v>
      </c>
      <c r="I123" s="13">
        <v>1</v>
      </c>
      <c r="J123" s="13">
        <v>1</v>
      </c>
      <c r="K123" s="13">
        <v>1</v>
      </c>
      <c r="L123" s="13"/>
      <c r="M123" s="13"/>
      <c r="N123" s="13"/>
      <c r="O123" s="13">
        <v>0.9</v>
      </c>
      <c r="P123" s="13"/>
      <c r="Q123" s="13"/>
      <c r="R123" s="12"/>
      <c r="S123" s="12"/>
      <c r="T123" s="13"/>
      <c r="U123" s="13"/>
      <c r="V123" s="13">
        <v>1</v>
      </c>
      <c r="W123" s="13"/>
    </row>
    <row r="124" spans="1:23" x14ac:dyDescent="0.25">
      <c r="A124" s="4" t="s">
        <v>71</v>
      </c>
      <c r="B124" s="2" t="str" cm="1">
        <f t="array" ref="B124">User3($C$11:$ZX$11,C124:ZX124)</f>
        <v>1D+1SDL+1BW+1COL+1SOIL+1WATER+1Lr+1LLB+1LLE+0.9Wy+1+1CR3</v>
      </c>
      <c r="C124" s="13">
        <v>1</v>
      </c>
      <c r="D124" s="13">
        <v>1</v>
      </c>
      <c r="E124" s="13">
        <v>1</v>
      </c>
      <c r="F124" s="13">
        <v>1</v>
      </c>
      <c r="G124" s="13">
        <v>1</v>
      </c>
      <c r="H124" s="13">
        <v>1</v>
      </c>
      <c r="I124" s="13">
        <v>1</v>
      </c>
      <c r="J124" s="13">
        <v>1</v>
      </c>
      <c r="K124" s="13">
        <v>1</v>
      </c>
      <c r="L124" s="13"/>
      <c r="M124" s="13"/>
      <c r="N124" s="13"/>
      <c r="O124" s="13"/>
      <c r="P124" s="13">
        <v>0.9</v>
      </c>
      <c r="Q124" s="13"/>
      <c r="R124" s="12"/>
      <c r="S124" s="12"/>
      <c r="T124" s="13"/>
      <c r="U124" s="13"/>
      <c r="V124" s="13">
        <v>1</v>
      </c>
      <c r="W124" s="13"/>
    </row>
    <row r="125" spans="1:23" x14ac:dyDescent="0.25">
      <c r="A125" s="4" t="s">
        <v>72</v>
      </c>
      <c r="B125" s="2" t="str" cm="1">
        <f t="array" ref="B125">User3($C$11:$ZX$11,C125:ZX125)</f>
        <v>1D+1SDL+1BW+1COL+1SOIL+1WATER+1Lr+1LLB+1LLE+0.9Wy+2+1CR3</v>
      </c>
      <c r="C125" s="13">
        <v>1</v>
      </c>
      <c r="D125" s="13">
        <v>1</v>
      </c>
      <c r="E125" s="13">
        <v>1</v>
      </c>
      <c r="F125" s="13">
        <v>1</v>
      </c>
      <c r="G125" s="13">
        <v>1</v>
      </c>
      <c r="H125" s="13">
        <v>1</v>
      </c>
      <c r="I125" s="13">
        <v>1</v>
      </c>
      <c r="J125" s="13">
        <v>1</v>
      </c>
      <c r="K125" s="13">
        <v>1</v>
      </c>
      <c r="L125" s="13"/>
      <c r="M125" s="13"/>
      <c r="N125" s="13"/>
      <c r="O125" s="13"/>
      <c r="P125" s="13"/>
      <c r="Q125" s="13">
        <v>0.9</v>
      </c>
      <c r="R125" s="12"/>
      <c r="S125" s="12"/>
      <c r="T125" s="13"/>
      <c r="U125" s="13"/>
      <c r="V125" s="13">
        <v>1</v>
      </c>
      <c r="W125" s="13"/>
    </row>
    <row r="126" spans="1:23" x14ac:dyDescent="0.25">
      <c r="A126" s="4" t="s">
        <v>73</v>
      </c>
      <c r="B126" s="2" t="str" cm="1">
        <f t="array" ref="B126">User3($C$11:$ZX$11,C126:ZX126)</f>
        <v>1D+1SDL+1BW+1COL+1SOIL+1WATER+1Lr+1LLB+1LLE+0.9Wy-1+1CR3</v>
      </c>
      <c r="C126" s="13">
        <v>1</v>
      </c>
      <c r="D126" s="13">
        <v>1</v>
      </c>
      <c r="E126" s="13">
        <v>1</v>
      </c>
      <c r="F126" s="13">
        <v>1</v>
      </c>
      <c r="G126" s="13">
        <v>1</v>
      </c>
      <c r="H126" s="13">
        <v>1</v>
      </c>
      <c r="I126" s="13">
        <v>1</v>
      </c>
      <c r="J126" s="13">
        <v>1</v>
      </c>
      <c r="K126" s="13">
        <v>1</v>
      </c>
      <c r="L126" s="13"/>
      <c r="M126" s="13"/>
      <c r="N126" s="13"/>
      <c r="O126" s="13"/>
      <c r="P126" s="13"/>
      <c r="Q126" s="13"/>
      <c r="R126" s="12">
        <v>0.9</v>
      </c>
      <c r="S126" s="12"/>
      <c r="T126" s="13"/>
      <c r="U126" s="13"/>
      <c r="V126" s="13">
        <v>1</v>
      </c>
      <c r="W126" s="13"/>
    </row>
    <row r="127" spans="1:23" x14ac:dyDescent="0.25">
      <c r="A127" s="4" t="s">
        <v>74</v>
      </c>
      <c r="B127" s="2" t="str" cm="1">
        <f t="array" ref="B127">User3($C$11:$ZX$11,C127:ZX127)</f>
        <v>1D+1SDL+1BW+1COL+1SOIL+1WATER+1Lr+1LLB+1LLE+0.9Wy-2+1CR3</v>
      </c>
      <c r="C127" s="16">
        <v>1</v>
      </c>
      <c r="D127" s="16">
        <v>1</v>
      </c>
      <c r="E127" s="16">
        <v>1</v>
      </c>
      <c r="F127" s="16">
        <v>1</v>
      </c>
      <c r="G127" s="16">
        <v>1</v>
      </c>
      <c r="H127" s="16">
        <v>1</v>
      </c>
      <c r="I127" s="16">
        <v>1</v>
      </c>
      <c r="J127" s="16">
        <v>1</v>
      </c>
      <c r="K127" s="16">
        <v>1</v>
      </c>
      <c r="L127" s="16"/>
      <c r="M127" s="16"/>
      <c r="N127" s="16"/>
      <c r="O127" s="16"/>
      <c r="P127" s="16"/>
      <c r="Q127" s="16"/>
      <c r="R127" s="15"/>
      <c r="S127" s="15">
        <v>0.9</v>
      </c>
      <c r="T127" s="16"/>
      <c r="U127" s="16"/>
      <c r="V127" s="16">
        <v>1</v>
      </c>
      <c r="W127" s="16"/>
    </row>
    <row r="128" spans="1:23" x14ac:dyDescent="0.25">
      <c r="A128" s="4" t="s">
        <v>75</v>
      </c>
      <c r="B128" s="2" t="str" cm="1">
        <f t="array" ref="B128">User3($C$11:$ZX$11,C128:ZX128)</f>
        <v>1D+1SDL+1BW+1COL+1SOIL+1WATER+1Lr+1LLB+1LLE+0.9Wx+1+1CR4</v>
      </c>
      <c r="C128" s="13">
        <v>1</v>
      </c>
      <c r="D128" s="13">
        <v>1</v>
      </c>
      <c r="E128" s="13">
        <v>1</v>
      </c>
      <c r="F128" s="13">
        <v>1</v>
      </c>
      <c r="G128" s="13">
        <v>1</v>
      </c>
      <c r="H128" s="13">
        <v>1</v>
      </c>
      <c r="I128" s="10">
        <v>1</v>
      </c>
      <c r="J128" s="10">
        <v>1</v>
      </c>
      <c r="K128" s="10">
        <v>1</v>
      </c>
      <c r="L128" s="10">
        <v>0.9</v>
      </c>
      <c r="M128" s="10"/>
      <c r="N128" s="10"/>
      <c r="O128" s="10"/>
      <c r="P128" s="10"/>
      <c r="Q128" s="10"/>
      <c r="R128" s="9"/>
      <c r="S128" s="9"/>
      <c r="T128" s="10"/>
      <c r="U128" s="10"/>
      <c r="V128" s="10"/>
      <c r="W128" s="10">
        <v>1</v>
      </c>
    </row>
    <row r="129" spans="1:23" x14ac:dyDescent="0.25">
      <c r="A129" s="4" t="s">
        <v>76</v>
      </c>
      <c r="B129" s="2" t="str" cm="1">
        <f t="array" ref="B129">User3($C$11:$ZX$11,C129:ZX129)</f>
        <v>1D+1SDL+1BW+1COL+1SOIL+1WATER+1Lr+1LLB+1LLE+0.9Wx+2+1CR4</v>
      </c>
      <c r="C129" s="13">
        <v>1</v>
      </c>
      <c r="D129" s="13">
        <v>1</v>
      </c>
      <c r="E129" s="13">
        <v>1</v>
      </c>
      <c r="F129" s="13">
        <v>1</v>
      </c>
      <c r="G129" s="13">
        <v>1</v>
      </c>
      <c r="H129" s="13">
        <v>1</v>
      </c>
      <c r="I129" s="13">
        <v>1</v>
      </c>
      <c r="J129" s="13">
        <v>1</v>
      </c>
      <c r="K129" s="13">
        <v>1</v>
      </c>
      <c r="L129" s="13"/>
      <c r="M129" s="13">
        <v>0.9</v>
      </c>
      <c r="N129" s="13"/>
      <c r="O129" s="13"/>
      <c r="P129" s="13"/>
      <c r="Q129" s="13"/>
      <c r="R129" s="12"/>
      <c r="S129" s="12"/>
      <c r="T129" s="13"/>
      <c r="U129" s="13"/>
      <c r="V129" s="13"/>
      <c r="W129" s="13">
        <v>1</v>
      </c>
    </row>
    <row r="130" spans="1:23" x14ac:dyDescent="0.25">
      <c r="A130" s="4" t="s">
        <v>77</v>
      </c>
      <c r="B130" s="2" t="str" cm="1">
        <f t="array" ref="B130">User3($C$11:$ZX$11,C130:ZX130)</f>
        <v>1D+1SDL+1BW+1COL+1SOIL+1WATER+1Lr+1LLB+1LLE+0.9Wx-1+1CR4</v>
      </c>
      <c r="C130" s="13">
        <v>1</v>
      </c>
      <c r="D130" s="13">
        <v>1</v>
      </c>
      <c r="E130" s="13">
        <v>1</v>
      </c>
      <c r="F130" s="13">
        <v>1</v>
      </c>
      <c r="G130" s="13">
        <v>1</v>
      </c>
      <c r="H130" s="13">
        <v>1</v>
      </c>
      <c r="I130" s="13">
        <v>1</v>
      </c>
      <c r="J130" s="13">
        <v>1</v>
      </c>
      <c r="K130" s="13">
        <v>1</v>
      </c>
      <c r="L130" s="13"/>
      <c r="M130" s="13"/>
      <c r="N130" s="13">
        <v>0.9</v>
      </c>
      <c r="O130" s="13"/>
      <c r="P130" s="13"/>
      <c r="Q130" s="13"/>
      <c r="R130" s="12"/>
      <c r="S130" s="12"/>
      <c r="T130" s="13"/>
      <c r="U130" s="13"/>
      <c r="V130" s="13"/>
      <c r="W130" s="13">
        <v>1</v>
      </c>
    </row>
    <row r="131" spans="1:23" x14ac:dyDescent="0.25">
      <c r="A131" s="4" t="s">
        <v>78</v>
      </c>
      <c r="B131" s="2" t="str" cm="1">
        <f t="array" ref="B131">User3($C$11:$ZX$11,C131:ZX131)</f>
        <v>1D+1SDL+1BW+1COL+1SOIL+1WATER+1Lr+1LLB+1LLE+0.9Wx-2+1CR4</v>
      </c>
      <c r="C131" s="13">
        <v>1</v>
      </c>
      <c r="D131" s="13">
        <v>1</v>
      </c>
      <c r="E131" s="13">
        <v>1</v>
      </c>
      <c r="F131" s="13">
        <v>1</v>
      </c>
      <c r="G131" s="13">
        <v>1</v>
      </c>
      <c r="H131" s="13">
        <v>1</v>
      </c>
      <c r="I131" s="13">
        <v>1</v>
      </c>
      <c r="J131" s="13">
        <v>1</v>
      </c>
      <c r="K131" s="13">
        <v>1</v>
      </c>
      <c r="L131" s="13"/>
      <c r="M131" s="13"/>
      <c r="N131" s="13"/>
      <c r="O131" s="13">
        <v>0.9</v>
      </c>
      <c r="P131" s="13"/>
      <c r="Q131" s="13"/>
      <c r="R131" s="12"/>
      <c r="S131" s="12"/>
      <c r="T131" s="13"/>
      <c r="U131" s="13"/>
      <c r="V131" s="13"/>
      <c r="W131" s="13">
        <v>1</v>
      </c>
    </row>
    <row r="132" spans="1:23" x14ac:dyDescent="0.25">
      <c r="A132" s="4" t="s">
        <v>79</v>
      </c>
      <c r="B132" s="2" t="str" cm="1">
        <f t="array" ref="B132">User3($C$11:$ZX$11,C132:ZX132)</f>
        <v>1D+1SDL+1BW+1COL+1SOIL+1WATER+1Lr+1LLB+1LLE+0.9Wy+1+1CR4</v>
      </c>
      <c r="C132" s="13">
        <v>1</v>
      </c>
      <c r="D132" s="13">
        <v>1</v>
      </c>
      <c r="E132" s="13">
        <v>1</v>
      </c>
      <c r="F132" s="13">
        <v>1</v>
      </c>
      <c r="G132" s="13">
        <v>1</v>
      </c>
      <c r="H132" s="13">
        <v>1</v>
      </c>
      <c r="I132" s="13">
        <v>1</v>
      </c>
      <c r="J132" s="13">
        <v>1</v>
      </c>
      <c r="K132" s="13">
        <v>1</v>
      </c>
      <c r="L132" s="13"/>
      <c r="M132" s="13"/>
      <c r="N132" s="13"/>
      <c r="O132" s="13"/>
      <c r="P132" s="13">
        <v>0.9</v>
      </c>
      <c r="Q132" s="13"/>
      <c r="R132" s="12"/>
      <c r="S132" s="12"/>
      <c r="T132" s="13"/>
      <c r="U132" s="13"/>
      <c r="V132" s="13"/>
      <c r="W132" s="13">
        <v>1</v>
      </c>
    </row>
    <row r="133" spans="1:23" x14ac:dyDescent="0.25">
      <c r="A133" s="4" t="s">
        <v>80</v>
      </c>
      <c r="B133" s="2" t="str" cm="1">
        <f t="array" ref="B133">User3($C$11:$ZX$11,C133:ZX133)</f>
        <v>1D+1SDL+1BW+1COL+1SOIL+1WATER+1Lr+1LLB+1LLE+0.9Wy+2+1CR4</v>
      </c>
      <c r="C133" s="13">
        <v>1</v>
      </c>
      <c r="D133" s="13">
        <v>1</v>
      </c>
      <c r="E133" s="13">
        <v>1</v>
      </c>
      <c r="F133" s="13">
        <v>1</v>
      </c>
      <c r="G133" s="13">
        <v>1</v>
      </c>
      <c r="H133" s="13">
        <v>1</v>
      </c>
      <c r="I133" s="13">
        <v>1</v>
      </c>
      <c r="J133" s="13">
        <v>1</v>
      </c>
      <c r="K133" s="13">
        <v>1</v>
      </c>
      <c r="L133" s="13"/>
      <c r="M133" s="13"/>
      <c r="N133" s="13"/>
      <c r="O133" s="13"/>
      <c r="P133" s="13"/>
      <c r="Q133" s="13">
        <v>0.9</v>
      </c>
      <c r="R133" s="12"/>
      <c r="S133" s="12"/>
      <c r="T133" s="13"/>
      <c r="U133" s="13"/>
      <c r="V133" s="13"/>
      <c r="W133" s="13">
        <v>1</v>
      </c>
    </row>
    <row r="134" spans="1:23" x14ac:dyDescent="0.25">
      <c r="A134" s="4" t="s">
        <v>81</v>
      </c>
      <c r="B134" s="2" t="str" cm="1">
        <f t="array" ref="B134">User3($C$11:$ZX$11,C134:ZX134)</f>
        <v>1D+1SDL+1BW+1COL+1SOIL+1WATER+1Lr+1LLB+1LLE+0.9Wy-1+1CR4</v>
      </c>
      <c r="C134" s="13">
        <v>1</v>
      </c>
      <c r="D134" s="13">
        <v>1</v>
      </c>
      <c r="E134" s="13">
        <v>1</v>
      </c>
      <c r="F134" s="13">
        <v>1</v>
      </c>
      <c r="G134" s="13">
        <v>1</v>
      </c>
      <c r="H134" s="13">
        <v>1</v>
      </c>
      <c r="I134" s="13">
        <v>1</v>
      </c>
      <c r="J134" s="13">
        <v>1</v>
      </c>
      <c r="K134" s="13">
        <v>1</v>
      </c>
      <c r="L134" s="13"/>
      <c r="M134" s="13"/>
      <c r="N134" s="13"/>
      <c r="O134" s="13"/>
      <c r="P134" s="13"/>
      <c r="Q134" s="13"/>
      <c r="R134" s="12">
        <v>0.9</v>
      </c>
      <c r="S134" s="12"/>
      <c r="T134" s="13"/>
      <c r="U134" s="13"/>
      <c r="V134" s="13"/>
      <c r="W134" s="13">
        <v>1</v>
      </c>
    </row>
    <row r="135" spans="1:23" x14ac:dyDescent="0.25">
      <c r="A135" s="4" t="s">
        <v>82</v>
      </c>
      <c r="B135" s="2" t="str" cm="1">
        <f t="array" ref="B135">User3($C$11:$ZX$11,C135:ZX135)</f>
        <v>1D+1SDL+1BW+1COL+1SOIL+1WATER+1Lr+1LLB+1LLE+0.9Wy-2+1CR4</v>
      </c>
      <c r="C135" s="16">
        <v>1</v>
      </c>
      <c r="D135" s="16">
        <v>1</v>
      </c>
      <c r="E135" s="16">
        <v>1</v>
      </c>
      <c r="F135" s="16">
        <v>1</v>
      </c>
      <c r="G135" s="16">
        <v>1</v>
      </c>
      <c r="H135" s="16">
        <v>1</v>
      </c>
      <c r="I135" s="16">
        <v>1</v>
      </c>
      <c r="J135" s="16">
        <v>1</v>
      </c>
      <c r="K135" s="16">
        <v>1</v>
      </c>
      <c r="L135" s="16"/>
      <c r="M135" s="16"/>
      <c r="N135" s="16"/>
      <c r="O135" s="16"/>
      <c r="P135" s="16"/>
      <c r="Q135" s="16"/>
      <c r="R135" s="15"/>
      <c r="S135" s="15">
        <v>0.9</v>
      </c>
      <c r="T135" s="16"/>
      <c r="U135" s="16"/>
      <c r="V135" s="16"/>
      <c r="W135" s="16">
        <v>1</v>
      </c>
    </row>
    <row r="136" spans="1:23" x14ac:dyDescent="0.25">
      <c r="A136" s="4" t="s">
        <v>83</v>
      </c>
      <c r="B136" s="2" t="str" cm="1">
        <f t="array" ref="B136">User3($C$11:$ZX$11,C136:ZX136)</f>
        <v>1D+1SDL+1BW+1COL+1SOIL+1WATER+0.9Lr+0.9LLB+0.9LLE+1Wx+1+1CR1</v>
      </c>
      <c r="C136" s="13">
        <v>1</v>
      </c>
      <c r="D136" s="13">
        <v>1</v>
      </c>
      <c r="E136" s="13">
        <v>1</v>
      </c>
      <c r="F136" s="13">
        <v>1</v>
      </c>
      <c r="G136" s="13">
        <v>1</v>
      </c>
      <c r="H136" s="13">
        <v>1</v>
      </c>
      <c r="I136" s="10">
        <v>0.9</v>
      </c>
      <c r="J136" s="10">
        <v>0.9</v>
      </c>
      <c r="K136" s="10">
        <v>0.9</v>
      </c>
      <c r="L136" s="10">
        <v>1</v>
      </c>
      <c r="M136" s="10"/>
      <c r="N136" s="10"/>
      <c r="O136" s="10"/>
      <c r="P136" s="10"/>
      <c r="Q136" s="10"/>
      <c r="R136" s="9"/>
      <c r="S136" s="9"/>
      <c r="T136" s="10">
        <v>1</v>
      </c>
      <c r="U136" s="10"/>
      <c r="V136" s="10"/>
      <c r="W136" s="10"/>
    </row>
    <row r="137" spans="1:23" x14ac:dyDescent="0.25">
      <c r="A137" s="4" t="s">
        <v>84</v>
      </c>
      <c r="B137" s="2" t="str" cm="1">
        <f t="array" ref="B137">User3($C$11:$ZX$11,C137:ZX137)</f>
        <v>1D+1SDL+1BW+1COL+1SOIL+1WATER+0.9Lr+0.9LLB+0.9LLE+1Wx+2+1CR1</v>
      </c>
      <c r="C137" s="13">
        <v>1</v>
      </c>
      <c r="D137" s="13">
        <v>1</v>
      </c>
      <c r="E137" s="13">
        <v>1</v>
      </c>
      <c r="F137" s="13">
        <v>1</v>
      </c>
      <c r="G137" s="13">
        <v>1</v>
      </c>
      <c r="H137" s="13">
        <v>1</v>
      </c>
      <c r="I137" s="13">
        <v>0.9</v>
      </c>
      <c r="J137" s="13">
        <v>0.9</v>
      </c>
      <c r="K137" s="13">
        <v>0.9</v>
      </c>
      <c r="L137" s="13"/>
      <c r="M137" s="13">
        <v>1</v>
      </c>
      <c r="N137" s="13"/>
      <c r="O137" s="13"/>
      <c r="P137" s="13"/>
      <c r="Q137" s="13"/>
      <c r="R137" s="12"/>
      <c r="S137" s="12"/>
      <c r="T137" s="13">
        <v>1</v>
      </c>
      <c r="U137" s="13"/>
      <c r="V137" s="13"/>
      <c r="W137" s="13"/>
    </row>
    <row r="138" spans="1:23" x14ac:dyDescent="0.25">
      <c r="A138" s="4" t="s">
        <v>163</v>
      </c>
      <c r="B138" s="2" t="str" cm="1">
        <f t="array" ref="B138">User3($C$11:$ZX$11,C138:ZX138)</f>
        <v>1D+1SDL+1BW+1COL+1SOIL+1WATER+0.9Lr+0.9LLB+0.9LLE+1Wx-1+1CR1</v>
      </c>
      <c r="C138" s="13">
        <v>1</v>
      </c>
      <c r="D138" s="13">
        <v>1</v>
      </c>
      <c r="E138" s="13">
        <v>1</v>
      </c>
      <c r="F138" s="13">
        <v>1</v>
      </c>
      <c r="G138" s="13">
        <v>1</v>
      </c>
      <c r="H138" s="13">
        <v>1</v>
      </c>
      <c r="I138" s="13">
        <v>0.9</v>
      </c>
      <c r="J138" s="13">
        <v>0.9</v>
      </c>
      <c r="K138" s="13">
        <v>0.9</v>
      </c>
      <c r="L138" s="13"/>
      <c r="M138" s="13"/>
      <c r="N138" s="13">
        <v>1</v>
      </c>
      <c r="O138" s="13"/>
      <c r="P138" s="13"/>
      <c r="Q138" s="13"/>
      <c r="R138" s="12"/>
      <c r="S138" s="12"/>
      <c r="T138" s="13">
        <v>1</v>
      </c>
      <c r="U138" s="13"/>
      <c r="V138" s="13"/>
      <c r="W138" s="13"/>
    </row>
    <row r="139" spans="1:23" x14ac:dyDescent="0.25">
      <c r="A139" s="4" t="s">
        <v>164</v>
      </c>
      <c r="B139" s="2" t="str" cm="1">
        <f t="array" ref="B139">User3($C$11:$ZX$11,C139:ZX139)</f>
        <v>1D+1SDL+1BW+1COL+1SOIL+1WATER+0.9Lr+0.9LLB+0.9LLE+1Wx-2+1CR1</v>
      </c>
      <c r="C139" s="13">
        <v>1</v>
      </c>
      <c r="D139" s="13">
        <v>1</v>
      </c>
      <c r="E139" s="13">
        <v>1</v>
      </c>
      <c r="F139" s="13">
        <v>1</v>
      </c>
      <c r="G139" s="13">
        <v>1</v>
      </c>
      <c r="H139" s="13">
        <v>1</v>
      </c>
      <c r="I139" s="13">
        <v>0.9</v>
      </c>
      <c r="J139" s="13">
        <v>0.9</v>
      </c>
      <c r="K139" s="13">
        <v>0.9</v>
      </c>
      <c r="L139" s="13"/>
      <c r="M139" s="13"/>
      <c r="N139" s="13"/>
      <c r="O139" s="13">
        <v>1</v>
      </c>
      <c r="P139" s="13"/>
      <c r="Q139" s="13"/>
      <c r="R139" s="12"/>
      <c r="S139" s="12"/>
      <c r="T139" s="13">
        <v>1</v>
      </c>
      <c r="U139" s="13"/>
      <c r="V139" s="13"/>
      <c r="W139" s="13"/>
    </row>
    <row r="140" spans="1:23" x14ac:dyDescent="0.25">
      <c r="A140" s="4" t="s">
        <v>165</v>
      </c>
      <c r="B140" s="2" t="str" cm="1">
        <f t="array" ref="B140">User3($C$11:$ZX$11,C140:ZX140)</f>
        <v>1D+1SDL+1BW+1COL+1SOIL+1WATER+0.9Lr+0.9LLB+0.9LLE+1Wy+1+1CR1</v>
      </c>
      <c r="C140" s="13">
        <v>1</v>
      </c>
      <c r="D140" s="13">
        <v>1</v>
      </c>
      <c r="E140" s="13">
        <v>1</v>
      </c>
      <c r="F140" s="13">
        <v>1</v>
      </c>
      <c r="G140" s="13">
        <v>1</v>
      </c>
      <c r="H140" s="13">
        <v>1</v>
      </c>
      <c r="I140" s="13">
        <v>0.9</v>
      </c>
      <c r="J140" s="13">
        <v>0.9</v>
      </c>
      <c r="K140" s="13">
        <v>0.9</v>
      </c>
      <c r="L140" s="13"/>
      <c r="M140" s="13"/>
      <c r="N140" s="13"/>
      <c r="O140" s="13"/>
      <c r="P140" s="13">
        <v>1</v>
      </c>
      <c r="Q140" s="13"/>
      <c r="R140" s="12"/>
      <c r="S140" s="12"/>
      <c r="T140" s="13">
        <v>1</v>
      </c>
      <c r="U140" s="13"/>
      <c r="V140" s="13"/>
      <c r="W140" s="13"/>
    </row>
    <row r="141" spans="1:23" x14ac:dyDescent="0.25">
      <c r="A141" s="4" t="s">
        <v>166</v>
      </c>
      <c r="B141" s="2" t="str" cm="1">
        <f t="array" ref="B141">User3($C$11:$ZX$11,C141:ZX141)</f>
        <v>1D+1SDL+1BW+1COL+1SOIL+1WATER+0.9Lr+0.9LLB+0.9LLE+1Wy+2+1CR1</v>
      </c>
      <c r="C141" s="13">
        <v>1</v>
      </c>
      <c r="D141" s="13">
        <v>1</v>
      </c>
      <c r="E141" s="13">
        <v>1</v>
      </c>
      <c r="F141" s="13">
        <v>1</v>
      </c>
      <c r="G141" s="13">
        <v>1</v>
      </c>
      <c r="H141" s="13">
        <v>1</v>
      </c>
      <c r="I141" s="13">
        <v>0.9</v>
      </c>
      <c r="J141" s="13">
        <v>0.9</v>
      </c>
      <c r="K141" s="13">
        <v>0.9</v>
      </c>
      <c r="L141" s="13"/>
      <c r="M141" s="13"/>
      <c r="N141" s="13"/>
      <c r="O141" s="13"/>
      <c r="P141" s="13"/>
      <c r="Q141" s="13">
        <v>1</v>
      </c>
      <c r="R141" s="12"/>
      <c r="S141" s="12"/>
      <c r="T141" s="13">
        <v>1</v>
      </c>
      <c r="U141" s="13"/>
      <c r="V141" s="13"/>
      <c r="W141" s="13"/>
    </row>
    <row r="142" spans="1:23" x14ac:dyDescent="0.25">
      <c r="A142" s="4" t="s">
        <v>167</v>
      </c>
      <c r="B142" s="2" t="str" cm="1">
        <f t="array" ref="B142">User3($C$11:$ZX$11,C142:ZX142)</f>
        <v>1D+1SDL+1BW+1COL+1SOIL+1WATER+0.9Lr+0.9LLB+0.9LLE+1Wy-1+1CR1</v>
      </c>
      <c r="C142" s="13">
        <v>1</v>
      </c>
      <c r="D142" s="13">
        <v>1</v>
      </c>
      <c r="E142" s="13">
        <v>1</v>
      </c>
      <c r="F142" s="13">
        <v>1</v>
      </c>
      <c r="G142" s="13">
        <v>1</v>
      </c>
      <c r="H142" s="13">
        <v>1</v>
      </c>
      <c r="I142" s="13">
        <v>0.9</v>
      </c>
      <c r="J142" s="13">
        <v>0.9</v>
      </c>
      <c r="K142" s="13">
        <v>0.9</v>
      </c>
      <c r="L142" s="13"/>
      <c r="M142" s="13"/>
      <c r="N142" s="13"/>
      <c r="O142" s="13"/>
      <c r="P142" s="13"/>
      <c r="Q142" s="13"/>
      <c r="R142" s="12">
        <v>1</v>
      </c>
      <c r="S142" s="12"/>
      <c r="T142" s="13">
        <v>1</v>
      </c>
      <c r="U142" s="13"/>
      <c r="V142" s="13"/>
      <c r="W142" s="13"/>
    </row>
    <row r="143" spans="1:23" x14ac:dyDescent="0.25">
      <c r="A143" s="4" t="s">
        <v>168</v>
      </c>
      <c r="B143" s="2" t="str" cm="1">
        <f t="array" ref="B143">User3($C$11:$ZX$11,C143:ZX143)</f>
        <v>1D+1SDL+1BW+1COL+1SOIL+1WATER+0.9Lr+0.9LLB+0.9LLE+1Wy-2+1CR1</v>
      </c>
      <c r="C143" s="16">
        <v>1</v>
      </c>
      <c r="D143" s="16">
        <v>1</v>
      </c>
      <c r="E143" s="16">
        <v>1</v>
      </c>
      <c r="F143" s="16">
        <v>1</v>
      </c>
      <c r="G143" s="16">
        <v>1</v>
      </c>
      <c r="H143" s="16">
        <v>1</v>
      </c>
      <c r="I143" s="16">
        <v>0.9</v>
      </c>
      <c r="J143" s="16">
        <v>0.9</v>
      </c>
      <c r="K143" s="16">
        <v>0.9</v>
      </c>
      <c r="L143" s="16"/>
      <c r="M143" s="16"/>
      <c r="N143" s="16"/>
      <c r="O143" s="16"/>
      <c r="P143" s="16"/>
      <c r="Q143" s="16"/>
      <c r="R143" s="15"/>
      <c r="S143" s="15">
        <v>1</v>
      </c>
      <c r="T143" s="16">
        <v>1</v>
      </c>
      <c r="U143" s="16"/>
      <c r="V143" s="16"/>
      <c r="W143" s="16"/>
    </row>
    <row r="144" spans="1:23" x14ac:dyDescent="0.25">
      <c r="A144" s="4" t="s">
        <v>169</v>
      </c>
      <c r="B144" s="2" t="str" cm="1">
        <f t="array" ref="B144">User3($C$11:$ZX$11,C144:ZX144)</f>
        <v>1D+1SDL+1BW+1COL+1SOIL+1WATER+0.9Lr+0.9LLB+0.9LLE+1Wx+1+1CR2</v>
      </c>
      <c r="C144" s="13">
        <v>1</v>
      </c>
      <c r="D144" s="13">
        <v>1</v>
      </c>
      <c r="E144" s="13">
        <v>1</v>
      </c>
      <c r="F144" s="13">
        <v>1</v>
      </c>
      <c r="G144" s="13">
        <v>1</v>
      </c>
      <c r="H144" s="13">
        <v>1</v>
      </c>
      <c r="I144" s="10">
        <v>0.9</v>
      </c>
      <c r="J144" s="10">
        <v>0.9</v>
      </c>
      <c r="K144" s="10">
        <v>0.9</v>
      </c>
      <c r="L144" s="10">
        <v>1</v>
      </c>
      <c r="M144" s="10"/>
      <c r="N144" s="10"/>
      <c r="O144" s="10"/>
      <c r="P144" s="10"/>
      <c r="Q144" s="10"/>
      <c r="R144" s="9"/>
      <c r="S144" s="9"/>
      <c r="T144" s="10"/>
      <c r="U144" s="10">
        <v>1</v>
      </c>
      <c r="V144" s="10"/>
      <c r="W144" s="10"/>
    </row>
    <row r="145" spans="1:23" x14ac:dyDescent="0.25">
      <c r="A145" s="4" t="s">
        <v>170</v>
      </c>
      <c r="B145" s="2" t="str" cm="1">
        <f t="array" ref="B145">User3($C$11:$ZX$11,C145:ZX145)</f>
        <v>1D+1SDL+1BW+1COL+1SOIL+1WATER+0.9Lr+0.9LLB+0.9LLE+1Wx+2+1CR2</v>
      </c>
      <c r="C145" s="13">
        <v>1</v>
      </c>
      <c r="D145" s="13">
        <v>1</v>
      </c>
      <c r="E145" s="13">
        <v>1</v>
      </c>
      <c r="F145" s="13">
        <v>1</v>
      </c>
      <c r="G145" s="13">
        <v>1</v>
      </c>
      <c r="H145" s="13">
        <v>1</v>
      </c>
      <c r="I145" s="13">
        <v>0.9</v>
      </c>
      <c r="J145" s="13">
        <v>0.9</v>
      </c>
      <c r="K145" s="13">
        <v>0.9</v>
      </c>
      <c r="L145" s="13"/>
      <c r="M145" s="13">
        <v>1</v>
      </c>
      <c r="N145" s="13"/>
      <c r="O145" s="13"/>
      <c r="P145" s="13"/>
      <c r="Q145" s="13"/>
      <c r="R145" s="12"/>
      <c r="S145" s="12"/>
      <c r="T145" s="13"/>
      <c r="U145" s="13">
        <v>1</v>
      </c>
      <c r="V145" s="13"/>
      <c r="W145" s="13"/>
    </row>
    <row r="146" spans="1:23" x14ac:dyDescent="0.25">
      <c r="A146" s="4" t="s">
        <v>171</v>
      </c>
      <c r="B146" s="2" t="str" cm="1">
        <f t="array" ref="B146">User3($C$11:$ZX$11,C146:ZX146)</f>
        <v>1D+1SDL+1BW+1COL+1SOIL+1WATER+0.9Lr+0.9LLB+0.9LLE+1Wx-1+1CR2</v>
      </c>
      <c r="C146" s="13">
        <v>1</v>
      </c>
      <c r="D146" s="13">
        <v>1</v>
      </c>
      <c r="E146" s="13">
        <v>1</v>
      </c>
      <c r="F146" s="13">
        <v>1</v>
      </c>
      <c r="G146" s="13">
        <v>1</v>
      </c>
      <c r="H146" s="13">
        <v>1</v>
      </c>
      <c r="I146" s="13">
        <v>0.9</v>
      </c>
      <c r="J146" s="13">
        <v>0.9</v>
      </c>
      <c r="K146" s="13">
        <v>0.9</v>
      </c>
      <c r="L146" s="13"/>
      <c r="M146" s="13"/>
      <c r="N146" s="13">
        <v>1</v>
      </c>
      <c r="O146" s="13"/>
      <c r="P146" s="13"/>
      <c r="Q146" s="13"/>
      <c r="R146" s="12"/>
      <c r="S146" s="12"/>
      <c r="T146" s="13"/>
      <c r="U146" s="13">
        <v>1</v>
      </c>
      <c r="V146" s="13"/>
      <c r="W146" s="13"/>
    </row>
    <row r="147" spans="1:23" x14ac:dyDescent="0.25">
      <c r="A147" s="4" t="s">
        <v>172</v>
      </c>
      <c r="B147" s="2" t="str" cm="1">
        <f t="array" ref="B147">User3($C$11:$ZX$11,C147:ZX147)</f>
        <v>1D+1SDL+1BW+1COL+1SOIL+1WATER+0.9Lr+0.9LLB+0.9LLE+1Wx-2+1CR2</v>
      </c>
      <c r="C147" s="13">
        <v>1</v>
      </c>
      <c r="D147" s="13">
        <v>1</v>
      </c>
      <c r="E147" s="13">
        <v>1</v>
      </c>
      <c r="F147" s="13">
        <v>1</v>
      </c>
      <c r="G147" s="13">
        <v>1</v>
      </c>
      <c r="H147" s="13">
        <v>1</v>
      </c>
      <c r="I147" s="13">
        <v>0.9</v>
      </c>
      <c r="J147" s="13">
        <v>0.9</v>
      </c>
      <c r="K147" s="13">
        <v>0.9</v>
      </c>
      <c r="L147" s="13"/>
      <c r="M147" s="13"/>
      <c r="N147" s="13"/>
      <c r="O147" s="13">
        <v>1</v>
      </c>
      <c r="P147" s="13"/>
      <c r="Q147" s="13"/>
      <c r="R147" s="12"/>
      <c r="S147" s="12"/>
      <c r="T147" s="13"/>
      <c r="U147" s="13">
        <v>1</v>
      </c>
      <c r="V147" s="13"/>
      <c r="W147" s="13"/>
    </row>
    <row r="148" spans="1:23" x14ac:dyDescent="0.25">
      <c r="A148" s="4" t="s">
        <v>173</v>
      </c>
      <c r="B148" s="2" t="str" cm="1">
        <f t="array" ref="B148">User3($C$11:$ZX$11,C148:ZX148)</f>
        <v>1D+1SDL+1BW+1COL+1SOIL+1WATER+0.9Lr+0.9LLB+0.9LLE+1Wy+1+1CR2</v>
      </c>
      <c r="C148" s="13">
        <v>1</v>
      </c>
      <c r="D148" s="13">
        <v>1</v>
      </c>
      <c r="E148" s="13">
        <v>1</v>
      </c>
      <c r="F148" s="13">
        <v>1</v>
      </c>
      <c r="G148" s="13">
        <v>1</v>
      </c>
      <c r="H148" s="13">
        <v>1</v>
      </c>
      <c r="I148" s="13">
        <v>0.9</v>
      </c>
      <c r="J148" s="13">
        <v>0.9</v>
      </c>
      <c r="K148" s="13">
        <v>0.9</v>
      </c>
      <c r="L148" s="13"/>
      <c r="M148" s="13"/>
      <c r="N148" s="13"/>
      <c r="O148" s="13"/>
      <c r="P148" s="13">
        <v>1</v>
      </c>
      <c r="Q148" s="13"/>
      <c r="R148" s="12"/>
      <c r="S148" s="12"/>
      <c r="T148" s="13"/>
      <c r="U148" s="13">
        <v>1</v>
      </c>
      <c r="V148" s="13"/>
      <c r="W148" s="13"/>
    </row>
    <row r="149" spans="1:23" x14ac:dyDescent="0.25">
      <c r="A149" s="4" t="s">
        <v>174</v>
      </c>
      <c r="B149" s="2" t="str" cm="1">
        <f t="array" ref="B149">User3($C$11:$ZX$11,C149:ZX149)</f>
        <v>1D+1SDL+1BW+1COL+1SOIL+1WATER+0.9Lr+0.9LLB+0.9LLE+1Wy+2+1CR2</v>
      </c>
      <c r="C149" s="13">
        <v>1</v>
      </c>
      <c r="D149" s="13">
        <v>1</v>
      </c>
      <c r="E149" s="13">
        <v>1</v>
      </c>
      <c r="F149" s="13">
        <v>1</v>
      </c>
      <c r="G149" s="13">
        <v>1</v>
      </c>
      <c r="H149" s="13">
        <v>1</v>
      </c>
      <c r="I149" s="13">
        <v>0.9</v>
      </c>
      <c r="J149" s="13">
        <v>0.9</v>
      </c>
      <c r="K149" s="13">
        <v>0.9</v>
      </c>
      <c r="L149" s="13"/>
      <c r="M149" s="13"/>
      <c r="N149" s="13"/>
      <c r="O149" s="13"/>
      <c r="P149" s="13"/>
      <c r="Q149" s="13">
        <v>1</v>
      </c>
      <c r="R149" s="12"/>
      <c r="S149" s="12"/>
      <c r="T149" s="13"/>
      <c r="U149" s="13">
        <v>1</v>
      </c>
      <c r="V149" s="13"/>
      <c r="W149" s="13"/>
    </row>
    <row r="150" spans="1:23" x14ac:dyDescent="0.25">
      <c r="A150" s="4" t="s">
        <v>175</v>
      </c>
      <c r="B150" s="2" t="str" cm="1">
        <f t="array" ref="B150">User3($C$11:$ZX$11,C150:ZX150)</f>
        <v>1D+1SDL+1BW+1COL+1SOIL+1WATER+0.9Lr+0.9LLB+0.9LLE+1Wy-1+1CR2</v>
      </c>
      <c r="C150" s="13">
        <v>1</v>
      </c>
      <c r="D150" s="13">
        <v>1</v>
      </c>
      <c r="E150" s="13">
        <v>1</v>
      </c>
      <c r="F150" s="13">
        <v>1</v>
      </c>
      <c r="G150" s="13">
        <v>1</v>
      </c>
      <c r="H150" s="13">
        <v>1</v>
      </c>
      <c r="I150" s="13">
        <v>0.9</v>
      </c>
      <c r="J150" s="13">
        <v>0.9</v>
      </c>
      <c r="K150" s="13">
        <v>0.9</v>
      </c>
      <c r="L150" s="13"/>
      <c r="M150" s="13"/>
      <c r="N150" s="13"/>
      <c r="O150" s="13"/>
      <c r="P150" s="13"/>
      <c r="Q150" s="13"/>
      <c r="R150" s="12">
        <v>1</v>
      </c>
      <c r="S150" s="12"/>
      <c r="T150" s="13"/>
      <c r="U150" s="13">
        <v>1</v>
      </c>
      <c r="V150" s="13"/>
      <c r="W150" s="13"/>
    </row>
    <row r="151" spans="1:23" x14ac:dyDescent="0.25">
      <c r="A151" s="4" t="s">
        <v>176</v>
      </c>
      <c r="B151" s="2" t="str" cm="1">
        <f t="array" ref="B151">User3($C$11:$ZX$11,C151:ZX151)</f>
        <v>1D+1SDL+1BW+1COL+1SOIL+1WATER+0.9Lr+0.9LLB+0.9LLE+1Wy-2+1CR2</v>
      </c>
      <c r="C151" s="16">
        <v>1</v>
      </c>
      <c r="D151" s="16">
        <v>1</v>
      </c>
      <c r="E151" s="16">
        <v>1</v>
      </c>
      <c r="F151" s="16">
        <v>1</v>
      </c>
      <c r="G151" s="16">
        <v>1</v>
      </c>
      <c r="H151" s="16">
        <v>1</v>
      </c>
      <c r="I151" s="16">
        <v>0.9</v>
      </c>
      <c r="J151" s="16">
        <v>0.9</v>
      </c>
      <c r="K151" s="16">
        <v>0.9</v>
      </c>
      <c r="L151" s="16"/>
      <c r="M151" s="16"/>
      <c r="N151" s="16"/>
      <c r="O151" s="16"/>
      <c r="P151" s="16"/>
      <c r="Q151" s="16"/>
      <c r="R151" s="15"/>
      <c r="S151" s="15">
        <v>1</v>
      </c>
      <c r="T151" s="16"/>
      <c r="U151" s="16">
        <v>1</v>
      </c>
      <c r="V151" s="16"/>
      <c r="W151" s="16"/>
    </row>
    <row r="152" spans="1:23" x14ac:dyDescent="0.25">
      <c r="A152" s="4" t="s">
        <v>177</v>
      </c>
      <c r="B152" s="2" t="str" cm="1">
        <f t="array" ref="B152">User3($C$11:$ZX$11,C152:ZX152)</f>
        <v>1D+1SDL+1BW+1COL+1SOIL+1WATER+0.9Lr+0.9LLB+0.9LLE+1Wx+1+1CR3</v>
      </c>
      <c r="C152" s="13">
        <v>1</v>
      </c>
      <c r="D152" s="13">
        <v>1</v>
      </c>
      <c r="E152" s="13">
        <v>1</v>
      </c>
      <c r="F152" s="13">
        <v>1</v>
      </c>
      <c r="G152" s="13">
        <v>1</v>
      </c>
      <c r="H152" s="13">
        <v>1</v>
      </c>
      <c r="I152" s="10">
        <v>0.9</v>
      </c>
      <c r="J152" s="10">
        <v>0.9</v>
      </c>
      <c r="K152" s="10">
        <v>0.9</v>
      </c>
      <c r="L152" s="10">
        <v>1</v>
      </c>
      <c r="M152" s="10"/>
      <c r="N152" s="10"/>
      <c r="O152" s="10"/>
      <c r="P152" s="10"/>
      <c r="Q152" s="10"/>
      <c r="R152" s="9"/>
      <c r="S152" s="9"/>
      <c r="T152" s="10"/>
      <c r="U152" s="10"/>
      <c r="V152" s="10">
        <v>1</v>
      </c>
      <c r="W152" s="10"/>
    </row>
    <row r="153" spans="1:23" x14ac:dyDescent="0.25">
      <c r="A153" s="4" t="s">
        <v>178</v>
      </c>
      <c r="B153" s="2" t="str" cm="1">
        <f t="array" ref="B153">User3($C$11:$ZX$11,C153:ZX153)</f>
        <v>1D+1SDL+1BW+1COL+1SOIL+1WATER+0.9Lr+0.9LLB+0.9LLE+1Wx+2+1CR3</v>
      </c>
      <c r="C153" s="13">
        <v>1</v>
      </c>
      <c r="D153" s="13">
        <v>1</v>
      </c>
      <c r="E153" s="13">
        <v>1</v>
      </c>
      <c r="F153" s="13">
        <v>1</v>
      </c>
      <c r="G153" s="13">
        <v>1</v>
      </c>
      <c r="H153" s="13">
        <v>1</v>
      </c>
      <c r="I153" s="13">
        <v>0.9</v>
      </c>
      <c r="J153" s="13">
        <v>0.9</v>
      </c>
      <c r="K153" s="13">
        <v>0.9</v>
      </c>
      <c r="L153" s="13"/>
      <c r="M153" s="13">
        <v>1</v>
      </c>
      <c r="N153" s="13"/>
      <c r="O153" s="13"/>
      <c r="P153" s="13"/>
      <c r="Q153" s="13"/>
      <c r="R153" s="12"/>
      <c r="S153" s="12"/>
      <c r="T153" s="13"/>
      <c r="U153" s="13"/>
      <c r="V153" s="13">
        <v>1</v>
      </c>
      <c r="W153" s="13"/>
    </row>
    <row r="154" spans="1:23" x14ac:dyDescent="0.25">
      <c r="A154" s="4" t="s">
        <v>179</v>
      </c>
      <c r="B154" s="2" t="str" cm="1">
        <f t="array" ref="B154">User3($C$11:$ZX$11,C154:ZX154)</f>
        <v>1D+1SDL+1BW+1COL+1SOIL+1WATER+0.9Lr+0.9LLB+0.9LLE+1Wx-1+1CR3</v>
      </c>
      <c r="C154" s="13">
        <v>1</v>
      </c>
      <c r="D154" s="13">
        <v>1</v>
      </c>
      <c r="E154" s="13">
        <v>1</v>
      </c>
      <c r="F154" s="13">
        <v>1</v>
      </c>
      <c r="G154" s="13">
        <v>1</v>
      </c>
      <c r="H154" s="13">
        <v>1</v>
      </c>
      <c r="I154" s="13">
        <v>0.9</v>
      </c>
      <c r="J154" s="13">
        <v>0.9</v>
      </c>
      <c r="K154" s="13">
        <v>0.9</v>
      </c>
      <c r="L154" s="13"/>
      <c r="M154" s="13"/>
      <c r="N154" s="13">
        <v>1</v>
      </c>
      <c r="O154" s="13"/>
      <c r="P154" s="13"/>
      <c r="Q154" s="13"/>
      <c r="R154" s="12"/>
      <c r="S154" s="12"/>
      <c r="T154" s="13"/>
      <c r="U154" s="13"/>
      <c r="V154" s="13">
        <v>1</v>
      </c>
      <c r="W154" s="13"/>
    </row>
    <row r="155" spans="1:23" x14ac:dyDescent="0.25">
      <c r="A155" s="4" t="s">
        <v>180</v>
      </c>
      <c r="B155" s="2" t="str" cm="1">
        <f t="array" ref="B155">User3($C$11:$ZX$11,C155:ZX155)</f>
        <v>1D+1SDL+1BW+1COL+1SOIL+1WATER+0.9Lr+0.9LLB+0.9LLE+1Wx-2+1CR3</v>
      </c>
      <c r="C155" s="13">
        <v>1</v>
      </c>
      <c r="D155" s="13">
        <v>1</v>
      </c>
      <c r="E155" s="13">
        <v>1</v>
      </c>
      <c r="F155" s="13">
        <v>1</v>
      </c>
      <c r="G155" s="13">
        <v>1</v>
      </c>
      <c r="H155" s="13">
        <v>1</v>
      </c>
      <c r="I155" s="13">
        <v>0.9</v>
      </c>
      <c r="J155" s="13">
        <v>0.9</v>
      </c>
      <c r="K155" s="13">
        <v>0.9</v>
      </c>
      <c r="L155" s="13"/>
      <c r="M155" s="13"/>
      <c r="N155" s="13"/>
      <c r="O155" s="13">
        <v>1</v>
      </c>
      <c r="P155" s="13"/>
      <c r="Q155" s="13"/>
      <c r="R155" s="12"/>
      <c r="S155" s="12"/>
      <c r="T155" s="13"/>
      <c r="U155" s="13"/>
      <c r="V155" s="13">
        <v>1</v>
      </c>
      <c r="W155" s="13"/>
    </row>
    <row r="156" spans="1:23" x14ac:dyDescent="0.25">
      <c r="A156" s="4" t="s">
        <v>181</v>
      </c>
      <c r="B156" s="2" t="str" cm="1">
        <f t="array" ref="B156">User3($C$11:$ZX$11,C156:ZX156)</f>
        <v>1D+1SDL+1BW+1COL+1SOIL+1WATER+0.9Lr+0.9LLB+0.9LLE+1Wy+1+1CR3</v>
      </c>
      <c r="C156" s="13">
        <v>1</v>
      </c>
      <c r="D156" s="13">
        <v>1</v>
      </c>
      <c r="E156" s="13">
        <v>1</v>
      </c>
      <c r="F156" s="13">
        <v>1</v>
      </c>
      <c r="G156" s="13">
        <v>1</v>
      </c>
      <c r="H156" s="13">
        <v>1</v>
      </c>
      <c r="I156" s="13">
        <v>0.9</v>
      </c>
      <c r="J156" s="13">
        <v>0.9</v>
      </c>
      <c r="K156" s="13">
        <v>0.9</v>
      </c>
      <c r="L156" s="13"/>
      <c r="M156" s="13"/>
      <c r="N156" s="13"/>
      <c r="O156" s="13"/>
      <c r="P156" s="13">
        <v>1</v>
      </c>
      <c r="Q156" s="13"/>
      <c r="R156" s="12"/>
      <c r="S156" s="12"/>
      <c r="T156" s="13"/>
      <c r="U156" s="13"/>
      <c r="V156" s="13">
        <v>1</v>
      </c>
      <c r="W156" s="13"/>
    </row>
    <row r="157" spans="1:23" x14ac:dyDescent="0.25">
      <c r="A157" s="4" t="s">
        <v>182</v>
      </c>
      <c r="B157" s="2" t="str" cm="1">
        <f t="array" ref="B157">User3($C$11:$ZX$11,C157:ZX157)</f>
        <v>1D+1SDL+1BW+1COL+1SOIL+1WATER+0.9Lr+0.9LLB+0.9LLE+1Wy+2+1CR3</v>
      </c>
      <c r="C157" s="13">
        <v>1</v>
      </c>
      <c r="D157" s="13">
        <v>1</v>
      </c>
      <c r="E157" s="13">
        <v>1</v>
      </c>
      <c r="F157" s="13">
        <v>1</v>
      </c>
      <c r="G157" s="13">
        <v>1</v>
      </c>
      <c r="H157" s="13">
        <v>1</v>
      </c>
      <c r="I157" s="13">
        <v>0.9</v>
      </c>
      <c r="J157" s="13">
        <v>0.9</v>
      </c>
      <c r="K157" s="13">
        <v>0.9</v>
      </c>
      <c r="L157" s="13"/>
      <c r="M157" s="13"/>
      <c r="N157" s="13"/>
      <c r="O157" s="13"/>
      <c r="P157" s="13"/>
      <c r="Q157" s="13">
        <v>1</v>
      </c>
      <c r="R157" s="12"/>
      <c r="S157" s="12"/>
      <c r="T157" s="13"/>
      <c r="U157" s="13"/>
      <c r="V157" s="13">
        <v>1</v>
      </c>
      <c r="W157" s="13"/>
    </row>
    <row r="158" spans="1:23" x14ac:dyDescent="0.25">
      <c r="A158" s="4" t="s">
        <v>183</v>
      </c>
      <c r="B158" s="2" t="str" cm="1">
        <f t="array" ref="B158">User3($C$11:$ZX$11,C158:ZX158)</f>
        <v>1D+1SDL+1BW+1COL+1SOIL+1WATER+0.9Lr+0.9LLB+0.9LLE+1Wy-1+1CR3</v>
      </c>
      <c r="C158" s="13">
        <v>1</v>
      </c>
      <c r="D158" s="13">
        <v>1</v>
      </c>
      <c r="E158" s="13">
        <v>1</v>
      </c>
      <c r="F158" s="13">
        <v>1</v>
      </c>
      <c r="G158" s="13">
        <v>1</v>
      </c>
      <c r="H158" s="13">
        <v>1</v>
      </c>
      <c r="I158" s="13">
        <v>0.9</v>
      </c>
      <c r="J158" s="13">
        <v>0.9</v>
      </c>
      <c r="K158" s="13">
        <v>0.9</v>
      </c>
      <c r="L158" s="13"/>
      <c r="M158" s="13"/>
      <c r="N158" s="13"/>
      <c r="O158" s="13"/>
      <c r="P158" s="13"/>
      <c r="Q158" s="13"/>
      <c r="R158" s="12">
        <v>1</v>
      </c>
      <c r="S158" s="12"/>
      <c r="T158" s="13"/>
      <c r="U158" s="13"/>
      <c r="V158" s="13">
        <v>1</v>
      </c>
      <c r="W158" s="13"/>
    </row>
    <row r="159" spans="1:23" x14ac:dyDescent="0.25">
      <c r="A159" s="4" t="s">
        <v>184</v>
      </c>
      <c r="B159" s="2" t="str" cm="1">
        <f t="array" ref="B159">User3($C$11:$ZX$11,C159:ZX159)</f>
        <v>1D+1SDL+1BW+1COL+1SOIL+1WATER+0.9Lr+0.9LLB+0.9LLE+1Wy-2+1CR3</v>
      </c>
      <c r="C159" s="16">
        <v>1</v>
      </c>
      <c r="D159" s="16">
        <v>1</v>
      </c>
      <c r="E159" s="16">
        <v>1</v>
      </c>
      <c r="F159" s="16">
        <v>1</v>
      </c>
      <c r="G159" s="16">
        <v>1</v>
      </c>
      <c r="H159" s="16">
        <v>1</v>
      </c>
      <c r="I159" s="16">
        <v>0.9</v>
      </c>
      <c r="J159" s="16">
        <v>0.9</v>
      </c>
      <c r="K159" s="16">
        <v>0.9</v>
      </c>
      <c r="L159" s="16"/>
      <c r="M159" s="16"/>
      <c r="N159" s="16"/>
      <c r="O159" s="16"/>
      <c r="P159" s="16"/>
      <c r="Q159" s="16"/>
      <c r="R159" s="15"/>
      <c r="S159" s="15">
        <v>1</v>
      </c>
      <c r="T159" s="16"/>
      <c r="U159" s="16"/>
      <c r="V159" s="16">
        <v>1</v>
      </c>
      <c r="W159" s="16"/>
    </row>
    <row r="160" spans="1:23" x14ac:dyDescent="0.25">
      <c r="A160" s="4" t="s">
        <v>185</v>
      </c>
      <c r="B160" s="2" t="str" cm="1">
        <f t="array" ref="B160">User3($C$11:$ZX$11,C160:ZX160)</f>
        <v>1D+1SDL+1BW+1COL+1SOIL+1WATER+0.9Lr+0.9LLB+0.9LLE+1Wx+1+1CR4</v>
      </c>
      <c r="C160" s="13">
        <v>1</v>
      </c>
      <c r="D160" s="13">
        <v>1</v>
      </c>
      <c r="E160" s="13">
        <v>1</v>
      </c>
      <c r="F160" s="13">
        <v>1</v>
      </c>
      <c r="G160" s="13">
        <v>1</v>
      </c>
      <c r="H160" s="13">
        <v>1</v>
      </c>
      <c r="I160" s="10">
        <v>0.9</v>
      </c>
      <c r="J160" s="10">
        <v>0.9</v>
      </c>
      <c r="K160" s="10">
        <v>0.9</v>
      </c>
      <c r="L160" s="10">
        <v>1</v>
      </c>
      <c r="M160" s="10"/>
      <c r="N160" s="10"/>
      <c r="O160" s="10"/>
      <c r="P160" s="10"/>
      <c r="Q160" s="10"/>
      <c r="R160" s="9"/>
      <c r="S160" s="9"/>
      <c r="T160" s="10"/>
      <c r="U160" s="10"/>
      <c r="V160" s="10"/>
      <c r="W160" s="10">
        <v>1</v>
      </c>
    </row>
    <row r="161" spans="1:23" x14ac:dyDescent="0.25">
      <c r="A161" s="4" t="s">
        <v>186</v>
      </c>
      <c r="B161" s="2" t="str" cm="1">
        <f t="array" ref="B161">User3($C$11:$ZX$11,C161:ZX161)</f>
        <v>1D+1SDL+1BW+1COL+1SOIL+1WATER+0.9Lr+0.9LLB+0.9LLE+1Wx+2+1CR4</v>
      </c>
      <c r="C161" s="13">
        <v>1</v>
      </c>
      <c r="D161" s="13">
        <v>1</v>
      </c>
      <c r="E161" s="13">
        <v>1</v>
      </c>
      <c r="F161" s="13">
        <v>1</v>
      </c>
      <c r="G161" s="13">
        <v>1</v>
      </c>
      <c r="H161" s="13">
        <v>1</v>
      </c>
      <c r="I161" s="13">
        <v>0.9</v>
      </c>
      <c r="J161" s="13">
        <v>0.9</v>
      </c>
      <c r="K161" s="13">
        <v>0.9</v>
      </c>
      <c r="L161" s="13"/>
      <c r="M161" s="13">
        <v>1</v>
      </c>
      <c r="N161" s="13"/>
      <c r="O161" s="13"/>
      <c r="P161" s="13"/>
      <c r="Q161" s="13"/>
      <c r="R161" s="12"/>
      <c r="S161" s="12"/>
      <c r="T161" s="13"/>
      <c r="U161" s="13"/>
      <c r="V161" s="13"/>
      <c r="W161" s="13">
        <v>1</v>
      </c>
    </row>
    <row r="162" spans="1:23" x14ac:dyDescent="0.25">
      <c r="A162" s="4" t="s">
        <v>187</v>
      </c>
      <c r="B162" s="2" t="str" cm="1">
        <f t="array" ref="B162">User3($C$11:$ZX$11,C162:ZX162)</f>
        <v>1D+1SDL+1BW+1COL+1SOIL+1WATER+0.9Lr+0.9LLB+0.9LLE+1Wx-1+1CR4</v>
      </c>
      <c r="C162" s="13">
        <v>1</v>
      </c>
      <c r="D162" s="13">
        <v>1</v>
      </c>
      <c r="E162" s="13">
        <v>1</v>
      </c>
      <c r="F162" s="13">
        <v>1</v>
      </c>
      <c r="G162" s="13">
        <v>1</v>
      </c>
      <c r="H162" s="13">
        <v>1</v>
      </c>
      <c r="I162" s="13">
        <v>0.9</v>
      </c>
      <c r="J162" s="13">
        <v>0.9</v>
      </c>
      <c r="K162" s="13">
        <v>0.9</v>
      </c>
      <c r="L162" s="13"/>
      <c r="M162" s="13"/>
      <c r="N162" s="13">
        <v>1</v>
      </c>
      <c r="O162" s="13"/>
      <c r="P162" s="13"/>
      <c r="Q162" s="13"/>
      <c r="R162" s="12"/>
      <c r="S162" s="12"/>
      <c r="T162" s="13"/>
      <c r="U162" s="13"/>
      <c r="V162" s="13"/>
      <c r="W162" s="13">
        <v>1</v>
      </c>
    </row>
    <row r="163" spans="1:23" x14ac:dyDescent="0.25">
      <c r="A163" s="4" t="s">
        <v>188</v>
      </c>
      <c r="B163" s="2" t="str" cm="1">
        <f t="array" ref="B163">User3($C$11:$ZX$11,C163:ZX163)</f>
        <v>1D+1SDL+1BW+1COL+1SOIL+1WATER+0.9Lr+0.9LLB+0.9LLE+1Wx-2+1CR4</v>
      </c>
      <c r="C163" s="13">
        <v>1</v>
      </c>
      <c r="D163" s="13">
        <v>1</v>
      </c>
      <c r="E163" s="13">
        <v>1</v>
      </c>
      <c r="F163" s="13">
        <v>1</v>
      </c>
      <c r="G163" s="13">
        <v>1</v>
      </c>
      <c r="H163" s="13">
        <v>1</v>
      </c>
      <c r="I163" s="13">
        <v>0.9</v>
      </c>
      <c r="J163" s="13">
        <v>0.9</v>
      </c>
      <c r="K163" s="13">
        <v>0.9</v>
      </c>
      <c r="L163" s="13"/>
      <c r="M163" s="13"/>
      <c r="N163" s="13"/>
      <c r="O163" s="13">
        <v>1</v>
      </c>
      <c r="P163" s="13"/>
      <c r="Q163" s="13"/>
      <c r="R163" s="12"/>
      <c r="S163" s="12"/>
      <c r="T163" s="13"/>
      <c r="U163" s="13"/>
      <c r="V163" s="13"/>
      <c r="W163" s="13">
        <v>1</v>
      </c>
    </row>
    <row r="164" spans="1:23" x14ac:dyDescent="0.25">
      <c r="A164" s="4" t="s">
        <v>189</v>
      </c>
      <c r="B164" s="2" t="str" cm="1">
        <f t="array" ref="B164">User3($C$11:$ZX$11,C164:ZX164)</f>
        <v>1D+1SDL+1BW+1COL+1SOIL+1WATER+0.9Lr+0.9LLB+0.9LLE+1Wy+1+1CR4</v>
      </c>
      <c r="C164" s="13">
        <v>1</v>
      </c>
      <c r="D164" s="13">
        <v>1</v>
      </c>
      <c r="E164" s="13">
        <v>1</v>
      </c>
      <c r="F164" s="13">
        <v>1</v>
      </c>
      <c r="G164" s="13">
        <v>1</v>
      </c>
      <c r="H164" s="13">
        <v>1</v>
      </c>
      <c r="I164" s="13">
        <v>0.9</v>
      </c>
      <c r="J164" s="13">
        <v>0.9</v>
      </c>
      <c r="K164" s="13">
        <v>0.9</v>
      </c>
      <c r="L164" s="13"/>
      <c r="M164" s="13"/>
      <c r="N164" s="13"/>
      <c r="O164" s="13"/>
      <c r="P164" s="13">
        <v>1</v>
      </c>
      <c r="Q164" s="13"/>
      <c r="R164" s="12"/>
      <c r="S164" s="12"/>
      <c r="T164" s="13"/>
      <c r="U164" s="13"/>
      <c r="V164" s="13"/>
      <c r="W164" s="13">
        <v>1</v>
      </c>
    </row>
    <row r="165" spans="1:23" x14ac:dyDescent="0.25">
      <c r="A165" s="4" t="s">
        <v>190</v>
      </c>
      <c r="B165" s="2" t="str" cm="1">
        <f t="array" ref="B165">User3($C$11:$ZX$11,C165:ZX165)</f>
        <v>1D+1SDL+1BW+1COL+1SOIL+1WATER+0.9Lr+0.9LLB+0.9LLE+1Wy+2+1CR4</v>
      </c>
      <c r="C165" s="13">
        <v>1</v>
      </c>
      <c r="D165" s="13">
        <v>1</v>
      </c>
      <c r="E165" s="13">
        <v>1</v>
      </c>
      <c r="F165" s="13">
        <v>1</v>
      </c>
      <c r="G165" s="13">
        <v>1</v>
      </c>
      <c r="H165" s="13">
        <v>1</v>
      </c>
      <c r="I165" s="13">
        <v>0.9</v>
      </c>
      <c r="J165" s="13">
        <v>0.9</v>
      </c>
      <c r="K165" s="13">
        <v>0.9</v>
      </c>
      <c r="L165" s="13"/>
      <c r="M165" s="13"/>
      <c r="N165" s="13"/>
      <c r="O165" s="13"/>
      <c r="P165" s="13"/>
      <c r="Q165" s="13">
        <v>1</v>
      </c>
      <c r="R165" s="12"/>
      <c r="S165" s="12"/>
      <c r="T165" s="13"/>
      <c r="U165" s="13"/>
      <c r="V165" s="13"/>
      <c r="W165" s="13">
        <v>1</v>
      </c>
    </row>
    <row r="166" spans="1:23" x14ac:dyDescent="0.25">
      <c r="A166" s="4" t="s">
        <v>191</v>
      </c>
      <c r="B166" s="2" t="str" cm="1">
        <f t="array" ref="B166">User3($C$11:$ZX$11,C166:ZX166)</f>
        <v>1D+1SDL+1BW+1COL+1SOIL+1WATER+0.9Lr+0.9LLB+0.9LLE+1Wy-1+1CR4</v>
      </c>
      <c r="C166" s="13">
        <v>1</v>
      </c>
      <c r="D166" s="13">
        <v>1</v>
      </c>
      <c r="E166" s="13">
        <v>1</v>
      </c>
      <c r="F166" s="13">
        <v>1</v>
      </c>
      <c r="G166" s="13">
        <v>1</v>
      </c>
      <c r="H166" s="13">
        <v>1</v>
      </c>
      <c r="I166" s="13">
        <v>0.9</v>
      </c>
      <c r="J166" s="13">
        <v>0.9</v>
      </c>
      <c r="K166" s="13">
        <v>0.9</v>
      </c>
      <c r="L166" s="13"/>
      <c r="M166" s="13"/>
      <c r="N166" s="13"/>
      <c r="O166" s="13"/>
      <c r="P166" s="13"/>
      <c r="Q166" s="13"/>
      <c r="R166" s="12">
        <v>1</v>
      </c>
      <c r="S166" s="12"/>
      <c r="T166" s="13"/>
      <c r="U166" s="13"/>
      <c r="V166" s="13"/>
      <c r="W166" s="13">
        <v>1</v>
      </c>
    </row>
    <row r="167" spans="1:23" x14ac:dyDescent="0.25">
      <c r="A167" s="4" t="s">
        <v>192</v>
      </c>
      <c r="B167" s="2" t="str" cm="1">
        <f t="array" ref="B167">User3($C$11:$ZX$11,C167:ZX167)</f>
        <v>1D+1SDL+1BW+1COL+1SOIL+1WATER+0.9Lr+0.9LLB+0.9LLE+1Wy-2+1CR4</v>
      </c>
      <c r="C167" s="16">
        <v>1</v>
      </c>
      <c r="D167" s="16">
        <v>1</v>
      </c>
      <c r="E167" s="16">
        <v>1</v>
      </c>
      <c r="F167" s="16">
        <v>1</v>
      </c>
      <c r="G167" s="16">
        <v>1</v>
      </c>
      <c r="H167" s="16">
        <v>1</v>
      </c>
      <c r="I167" s="16">
        <v>0.9</v>
      </c>
      <c r="J167" s="16">
        <v>0.9</v>
      </c>
      <c r="K167" s="16">
        <v>0.9</v>
      </c>
      <c r="L167" s="16"/>
      <c r="M167" s="16"/>
      <c r="N167" s="16"/>
      <c r="O167" s="16"/>
      <c r="P167" s="16"/>
      <c r="Q167" s="16"/>
      <c r="R167" s="15"/>
      <c r="S167" s="15">
        <v>1</v>
      </c>
      <c r="T167" s="16"/>
      <c r="U167" s="16"/>
      <c r="V167" s="16"/>
      <c r="W167" s="16">
        <v>1</v>
      </c>
    </row>
  </sheetData>
  <mergeCells count="1">
    <mergeCell ref="A10:B10"/>
  </mergeCells>
  <phoneticPr fontId="2" type="noConversion"/>
  <conditionalFormatting sqref="C168:DA1048576 C12:DA20 I21:DA49 I50:U57 W50:DA57 I58:DA81 I82:U89 W82:DA89 X90:DA167 C90:W98 W160:W167 I128:U135 I99:W127 W128:W135 I136:W159 I160:U167">
    <cfRule type="cellIs" dxfId="97" priority="99" operator="lessThan">
      <formula>0</formula>
    </cfRule>
    <cfRule type="cellIs" dxfId="96" priority="100" operator="greaterThan">
      <formula>0</formula>
    </cfRule>
  </conditionalFormatting>
  <conditionalFormatting sqref="C21:H21">
    <cfRule type="cellIs" dxfId="95" priority="95" operator="lessThan">
      <formula>0</formula>
    </cfRule>
    <cfRule type="cellIs" dxfId="94" priority="96" operator="greaterThan">
      <formula>0</formula>
    </cfRule>
  </conditionalFormatting>
  <conditionalFormatting sqref="C22:H22">
    <cfRule type="cellIs" dxfId="93" priority="93" operator="lessThan">
      <formula>0</formula>
    </cfRule>
    <cfRule type="cellIs" dxfId="92" priority="94" operator="greaterThan">
      <formula>0</formula>
    </cfRule>
  </conditionalFormatting>
  <conditionalFormatting sqref="C23:H25">
    <cfRule type="cellIs" dxfId="91" priority="91" operator="lessThan">
      <formula>0</formula>
    </cfRule>
    <cfRule type="cellIs" dxfId="90" priority="92" operator="greaterThan">
      <formula>0</formula>
    </cfRule>
  </conditionalFormatting>
  <conditionalFormatting sqref="C26:H26">
    <cfRule type="cellIs" dxfId="89" priority="89" operator="lessThan">
      <formula>0</formula>
    </cfRule>
    <cfRule type="cellIs" dxfId="88" priority="90" operator="greaterThan">
      <formula>0</formula>
    </cfRule>
  </conditionalFormatting>
  <conditionalFormatting sqref="C27:H33">
    <cfRule type="cellIs" dxfId="87" priority="87" operator="lessThan">
      <formula>0</formula>
    </cfRule>
    <cfRule type="cellIs" dxfId="86" priority="88" operator="greaterThan">
      <formula>0</formula>
    </cfRule>
  </conditionalFormatting>
  <conditionalFormatting sqref="C34:H34">
    <cfRule type="cellIs" dxfId="85" priority="85" operator="lessThan">
      <formula>0</formula>
    </cfRule>
    <cfRule type="cellIs" dxfId="84" priority="86" operator="greaterThan">
      <formula>0</formula>
    </cfRule>
  </conditionalFormatting>
  <conditionalFormatting sqref="C35:H41">
    <cfRule type="cellIs" dxfId="83" priority="83" operator="lessThan">
      <formula>0</formula>
    </cfRule>
    <cfRule type="cellIs" dxfId="82" priority="84" operator="greaterThan">
      <formula>0</formula>
    </cfRule>
  </conditionalFormatting>
  <conditionalFormatting sqref="F42:H42">
    <cfRule type="cellIs" dxfId="81" priority="81" operator="lessThan">
      <formula>0</formula>
    </cfRule>
    <cfRule type="cellIs" dxfId="80" priority="82" operator="greaterThan">
      <formula>0</formula>
    </cfRule>
  </conditionalFormatting>
  <conditionalFormatting sqref="F43:H49">
    <cfRule type="cellIs" dxfId="79" priority="79" operator="lessThan">
      <formula>0</formula>
    </cfRule>
    <cfRule type="cellIs" dxfId="78" priority="80" operator="greaterThan">
      <formula>0</formula>
    </cfRule>
  </conditionalFormatting>
  <conditionalFormatting sqref="F50:H50">
    <cfRule type="cellIs" dxfId="77" priority="77" operator="lessThan">
      <formula>0</formula>
    </cfRule>
    <cfRule type="cellIs" dxfId="76" priority="78" operator="greaterThan">
      <formula>0</formula>
    </cfRule>
  </conditionalFormatting>
  <conditionalFormatting sqref="F51:H57">
    <cfRule type="cellIs" dxfId="75" priority="75" operator="lessThan">
      <formula>0</formula>
    </cfRule>
    <cfRule type="cellIs" dxfId="74" priority="76" operator="greaterThan">
      <formula>0</formula>
    </cfRule>
  </conditionalFormatting>
  <conditionalFormatting sqref="C42:E57">
    <cfRule type="cellIs" dxfId="73" priority="73" operator="lessThan">
      <formula>0</formula>
    </cfRule>
    <cfRule type="cellIs" dxfId="72" priority="74" operator="greaterThan">
      <formula>0</formula>
    </cfRule>
  </conditionalFormatting>
  <conditionalFormatting sqref="F58:H58">
    <cfRule type="cellIs" dxfId="71" priority="71" operator="lessThan">
      <formula>0</formula>
    </cfRule>
    <cfRule type="cellIs" dxfId="70" priority="72" operator="greaterThan">
      <formula>0</formula>
    </cfRule>
  </conditionalFormatting>
  <conditionalFormatting sqref="F59:H65">
    <cfRule type="cellIs" dxfId="69" priority="69" operator="lessThan">
      <formula>0</formula>
    </cfRule>
    <cfRule type="cellIs" dxfId="68" priority="70" operator="greaterThan">
      <formula>0</formula>
    </cfRule>
  </conditionalFormatting>
  <conditionalFormatting sqref="C58:E65">
    <cfRule type="cellIs" dxfId="67" priority="67" operator="lessThan">
      <formula>0</formula>
    </cfRule>
    <cfRule type="cellIs" dxfId="66" priority="68" operator="greaterThan">
      <formula>0</formula>
    </cfRule>
  </conditionalFormatting>
  <conditionalFormatting sqref="F66:H66">
    <cfRule type="cellIs" dxfId="65" priority="65" operator="lessThan">
      <formula>0</formula>
    </cfRule>
    <cfRule type="cellIs" dxfId="64" priority="66" operator="greaterThan">
      <formula>0</formula>
    </cfRule>
  </conditionalFormatting>
  <conditionalFormatting sqref="F67:H73">
    <cfRule type="cellIs" dxfId="63" priority="63" operator="lessThan">
      <formula>0</formula>
    </cfRule>
    <cfRule type="cellIs" dxfId="62" priority="64" operator="greaterThan">
      <formula>0</formula>
    </cfRule>
  </conditionalFormatting>
  <conditionalFormatting sqref="C66:E73">
    <cfRule type="cellIs" dxfId="61" priority="61" operator="lessThan">
      <formula>0</formula>
    </cfRule>
    <cfRule type="cellIs" dxfId="60" priority="62" operator="greaterThan">
      <formula>0</formula>
    </cfRule>
  </conditionalFormatting>
  <conditionalFormatting sqref="F74:H74">
    <cfRule type="cellIs" dxfId="59" priority="59" operator="lessThan">
      <formula>0</formula>
    </cfRule>
    <cfRule type="cellIs" dxfId="58" priority="60" operator="greaterThan">
      <formula>0</formula>
    </cfRule>
  </conditionalFormatting>
  <conditionalFormatting sqref="F75:H81">
    <cfRule type="cellIs" dxfId="57" priority="57" operator="lessThan">
      <formula>0</formula>
    </cfRule>
    <cfRule type="cellIs" dxfId="56" priority="58" operator="greaterThan">
      <formula>0</formula>
    </cfRule>
  </conditionalFormatting>
  <conditionalFormatting sqref="C74:E81">
    <cfRule type="cellIs" dxfId="55" priority="55" operator="lessThan">
      <formula>0</formula>
    </cfRule>
    <cfRule type="cellIs" dxfId="54" priority="56" operator="greaterThan">
      <formula>0</formula>
    </cfRule>
  </conditionalFormatting>
  <conditionalFormatting sqref="F82:H82">
    <cfRule type="cellIs" dxfId="53" priority="53" operator="lessThan">
      <formula>0</formula>
    </cfRule>
    <cfRule type="cellIs" dxfId="52" priority="54" operator="greaterThan">
      <formula>0</formula>
    </cfRule>
  </conditionalFormatting>
  <conditionalFormatting sqref="F83:H89">
    <cfRule type="cellIs" dxfId="51" priority="51" operator="lessThan">
      <formula>0</formula>
    </cfRule>
    <cfRule type="cellIs" dxfId="50" priority="52" operator="greaterThan">
      <formula>0</formula>
    </cfRule>
  </conditionalFormatting>
  <conditionalFormatting sqref="C82:E89">
    <cfRule type="cellIs" dxfId="49" priority="49" operator="lessThan">
      <formula>0</formula>
    </cfRule>
    <cfRule type="cellIs" dxfId="48" priority="50" operator="greaterThan">
      <formula>0</formula>
    </cfRule>
  </conditionalFormatting>
  <conditionalFormatting sqref="C99:H99">
    <cfRule type="cellIs" dxfId="47" priority="47" operator="lessThan">
      <formula>0</formula>
    </cfRule>
    <cfRule type="cellIs" dxfId="46" priority="48" operator="greaterThan">
      <formula>0</formula>
    </cfRule>
  </conditionalFormatting>
  <conditionalFormatting sqref="C100:H100">
    <cfRule type="cellIs" dxfId="45" priority="45" operator="lessThan">
      <formula>0</formula>
    </cfRule>
    <cfRule type="cellIs" dxfId="44" priority="46" operator="greaterThan">
      <formula>0</formula>
    </cfRule>
  </conditionalFormatting>
  <conditionalFormatting sqref="C101:H103">
    <cfRule type="cellIs" dxfId="43" priority="43" operator="lessThan">
      <formula>0</formula>
    </cfRule>
    <cfRule type="cellIs" dxfId="42" priority="44" operator="greaterThan">
      <formula>0</formula>
    </cfRule>
  </conditionalFormatting>
  <conditionalFormatting sqref="C104:H104">
    <cfRule type="cellIs" dxfId="41" priority="41" operator="lessThan">
      <formula>0</formula>
    </cfRule>
    <cfRule type="cellIs" dxfId="40" priority="42" operator="greaterThan">
      <formula>0</formula>
    </cfRule>
  </conditionalFormatting>
  <conditionalFormatting sqref="C105:H111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C112:H112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C113:H119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F120:H120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F121:H127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F128:H128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F129:H135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C120:E135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F136:H136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137:H143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C136:E143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144:H144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F145:H151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C144:E151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F152:H15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153:H159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C152:E159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160:H16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F161:H167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160:E16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C5E872C-3754-4FAA-9F2A-96625DFF8EC3}">
          <x14:formula1>
            <xm:f>Data!$A:$A</xm:f>
          </x14:formula1>
          <xm:sqref>C10:CY10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User3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2025-09-26T15:17:17Z</dcterms:modified>
</cp:coreProperties>
</file>