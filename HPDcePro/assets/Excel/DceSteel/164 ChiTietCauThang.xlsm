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/>
  <workbookPr/>
  <mc:AlternateContent xmlns:mc="http://schemas.openxmlformats.org/markup-compatibility/2006">
    <mc:Choice Requires="x15">
      <x15ac:absPath xmlns:x15ac="http://schemas.microsoft.com/office/spreadsheetml/2010/11/ac" url="C:\Dce Pro\Excel\DceSteel\00 Back up\"/>
    </mc:Choice>
  </mc:AlternateContent>
  <xr:revisionPtr revIDLastSave="0" documentId="13_ncr:1_{80431F13-0CE3-4010-968B-6769A2ABD586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Loai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" l="1"/>
  <c r="E22" i="1"/>
  <c r="D22" i="1"/>
  <c r="E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Toan</author>
  </authors>
  <commentList>
    <comment ref="A1" authorId="0" shapeId="0" xr:uid="{7A7A9866-B903-4AED-9B5E-EB12528D3485}">
      <text>
        <r>
          <rPr>
            <sz val="9"/>
            <color indexed="81"/>
            <rFont val="Tahoma"/>
            <family val="2"/>
          </rPr>
          <t xml:space="preserve">Toàn:
CTT1: Cầu thang thép 1
</t>
        </r>
      </text>
    </comment>
    <comment ref="B2" authorId="1" shapeId="0" xr:uid="{2DC73EAF-7CDE-441B-A1C9-B8B0499719A3}">
      <text/>
    </comment>
    <comment ref="C55" authorId="0" shapeId="0" xr:uid="{506816F6-5553-48CE-B665-C41AED68D22D}">
      <text>
        <r>
          <rPr>
            <b/>
            <sz val="9"/>
            <color indexed="81"/>
            <rFont val="Tahoma"/>
            <family val="2"/>
          </rPr>
          <t>- Không có xóa
- Số đầu tiên là chiều cao, số thứ 2 là chiều dày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<sst xmlns="http://schemas.openxmlformats.org/spreadsheetml/2006/main" count="84" uniqueCount="72">
  <si>
    <t>CTT1</t>
  </si>
  <si>
    <t>Kích thước hình học</t>
  </si>
  <si>
    <t>B1</t>
  </si>
  <si>
    <t>Chiều cao chiếu nghỉ</t>
  </si>
  <si>
    <t>Chiều cao tầng</t>
  </si>
  <si>
    <t>Kích thước cột</t>
  </si>
  <si>
    <t>Dầm phụ đỡ chiếu nghỉ</t>
  </si>
  <si>
    <t>300 150 6.5 9</t>
  </si>
  <si>
    <t>250 125 6 9</t>
  </si>
  <si>
    <t>Số lượng bậc thang chiếu đi</t>
  </si>
  <si>
    <t>Số lượng bậc thang chiếu tới</t>
  </si>
  <si>
    <t>Chiều dày bản đế</t>
  </si>
  <si>
    <t>Đường kính bu lông</t>
  </si>
  <si>
    <t>Bu lông phương cánh</t>
  </si>
  <si>
    <t>Bu lông phương dọc</t>
  </si>
  <si>
    <t>MẶT BẰNG CỘT</t>
  </si>
  <si>
    <t>MẶT BẰNG THANG 1</t>
  </si>
  <si>
    <t>MẶT CẮT THANG</t>
  </si>
  <si>
    <t>X1</t>
  </si>
  <si>
    <t>Y1</t>
  </si>
  <si>
    <t>X2</t>
  </si>
  <si>
    <t>Y2</t>
  </si>
  <si>
    <t>C1</t>
  </si>
  <si>
    <t>35 80 35</t>
  </si>
  <si>
    <t>85 150 85</t>
  </si>
  <si>
    <t>Gân tăng cứng bụng</t>
  </si>
  <si>
    <t>100 10</t>
  </si>
  <si>
    <t>200 80 7.5 11</t>
  </si>
  <si>
    <t>U1</t>
  </si>
  <si>
    <t>Dầm chiếu nghỉ (DCN)</t>
  </si>
  <si>
    <t>Dầm thang (DT)</t>
  </si>
  <si>
    <t>Liên kết nút dầm thang U và móng</t>
  </si>
  <si>
    <t>Liên kết nút dầm chiếu nghỉ và cột</t>
  </si>
  <si>
    <t>Chiều dày bản bích</t>
  </si>
  <si>
    <t>40 80 40</t>
  </si>
  <si>
    <t>U2</t>
  </si>
  <si>
    <t>Liên kết dầm phụ đỡ chiếu nghỉ</t>
  </si>
  <si>
    <t>Số lượng dầm phụ chiếu nghỉ</t>
  </si>
  <si>
    <t>Số lượng dầm phụ chiếu tới</t>
  </si>
  <si>
    <t>Chiều dày chiếu nghỉ</t>
  </si>
  <si>
    <t>Chiều dày</t>
  </si>
  <si>
    <t>Thép V</t>
  </si>
  <si>
    <t>Bu lông</t>
  </si>
  <si>
    <t>Bậc
thang</t>
  </si>
  <si>
    <t>Tên trục</t>
  </si>
  <si>
    <t>Phương X</t>
  </si>
  <si>
    <t>Phương Y</t>
  </si>
  <si>
    <t>Bố trí Bu lông</t>
  </si>
  <si>
    <t>40 120 40</t>
  </si>
  <si>
    <t>63 6</t>
  </si>
  <si>
    <t>Bu lông khoan cấy</t>
  </si>
  <si>
    <t>Bu lông liên kết</t>
  </si>
  <si>
    <t>Bu lông neo L</t>
  </si>
  <si>
    <t>Loại thang</t>
  </si>
  <si>
    <t>Thang tầng 1</t>
  </si>
  <si>
    <t>Thang tầng trên</t>
  </si>
  <si>
    <t>Khoảng cách bố trí bu lông</t>
  </si>
  <si>
    <t>Liên kết dầm thanh U và cột</t>
  </si>
  <si>
    <t>LK1: Liên kết nút chân cột và móng</t>
  </si>
  <si>
    <t>Bề rộng chiếu tới, L1</t>
  </si>
  <si>
    <t>Chiều dài bản thang tới, L2</t>
  </si>
  <si>
    <t>Chiều dài bản thang đi, L2a</t>
  </si>
  <si>
    <t>Bề rộng chiều nghỉ, L3</t>
  </si>
  <si>
    <t>Bề rộng vế thang chiếu đi, B1</t>
  </si>
  <si>
    <t>Khoảng hở 2 vế thang, B2</t>
  </si>
  <si>
    <t>Bề rộng vế thang chiếu tới, B3</t>
  </si>
  <si>
    <t>Lệnh tắt Autocad</t>
  </si>
  <si>
    <t>Tỉ lệ bản vẽ</t>
  </si>
  <si>
    <t>(Cầu thang thép, loại 1)</t>
  </si>
  <si>
    <t>Thép U</t>
  </si>
  <si>
    <t>Thép hộp</t>
  </si>
  <si>
    <t>40 80 2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</si>
</sst>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CC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left" vertical="center" indent="1"/>
    </xf>
    <xf numFmtId="0" fontId="0" fillId="0" borderId="4" xfId="0" applyBorder="1" applyAlignment="1">
      <alignment horizontal="left" vertical="center" indent="1"/>
    </xf>
    <xf numFmtId="0" fontId="0" fillId="0" borderId="1" xfId="0" applyBorder="1" applyAlignment="1">
      <alignment horizontal="left" indent="1"/>
    </xf>
    <xf numFmtId="0" fontId="5" fillId="6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2" xfId="0" applyBorder="1" applyAlignment="1">
      <alignment horizontal="right" indent="1"/>
    </xf>
    <xf numFmtId="0" fontId="0" fillId="0" borderId="4" xfId="0" applyBorder="1" applyAlignment="1">
      <alignment horizontal="right" indent="1"/>
    </xf>
    <xf numFmtId="0" fontId="5" fillId="5" borderId="1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6" fillId="8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  <color rgb="FF00CCFF"/>
      <color rgb="FF0099CC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276226</xdr:colOff>
      <xdr:row>4</xdr:row>
      <xdr:rowOff>47625</xdr:rowOff>
    </xdr:from>
    <xdr:to>
      <xdr:col>13</xdr:col>
      <xdr:colOff>267084</xdr:colOff>
      <xdr:row>23</xdr:row>
      <xdr:rowOff>172325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8C338E1-1FDD-08DD-5137-5D93B8342ACD}"/>
            </a:ext>
          </a:extLst>
        </xdr:cNvPr>
        <xdr:cNvGrpSpPr/>
      </xdr:nvGrpSpPr>
      <xdr:grpSpPr>
        <a:xfrm>
          <a:off x="4229101" y="809625"/>
          <a:ext cx="5172458" cy="3744200"/>
          <a:chOff x="4095751" y="57150"/>
          <a:chExt cx="5172458" cy="3744200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EF81CAC8-200F-5F21-9528-DD58D83AE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095751" y="57150"/>
            <a:ext cx="5172458" cy="3744200"/>
          </a:xfrm>
          <a:prstGeom prst="rect">
            <a:avLst/>
          </a:prstGeom>
        </xdr:spPr>
      </xdr:pic>
      <xdr:sp macro="" textlink="C7">
        <xdr:nvSpPr>
          <xdr:cNvPr id="7" name="TextBox 6">
            <a:extLst>
              <a:ext uri="{FF2B5EF4-FFF2-40B4-BE49-F238E27FC236}">
                <a16:creationId xmlns:a16="http://schemas.microsoft.com/office/drawing/2014/main" id="{EAA4C3BE-08E0-C6BF-A607-1DDB0A9D2BC1}"/>
              </a:ext>
            </a:extLst>
          </xdr:cNvPr>
          <xdr:cNvSpPr txBox="1"/>
        </xdr:nvSpPr>
        <xdr:spPr>
          <a:xfrm>
            <a:off x="4406072" y="450879"/>
            <a:ext cx="651703" cy="2713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F37B95C-1FD6-4B3B-AD12-A625093CDF17}" type="TxLink">
              <a:rPr lang="en-US" sz="1600" b="0" i="0" u="none" strike="noStrike">
                <a:solidFill>
                  <a:srgbClr val="0000CC"/>
                </a:solidFill>
                <a:latin typeface="Calibri"/>
                <a:ea typeface="Calibri"/>
                <a:cs typeface="Calibri"/>
              </a:rPr>
              <a:pPr/>
              <a:t>1000</a:t>
            </a:fld>
            <a:endParaRPr lang="en-US" sz="1600"/>
          </a:p>
        </xdr:txBody>
      </xdr:sp>
      <xdr:sp macro="" textlink="C8">
        <xdr:nvSpPr>
          <xdr:cNvPr id="8" name="TextBox 7">
            <a:extLst>
              <a:ext uri="{FF2B5EF4-FFF2-40B4-BE49-F238E27FC236}">
                <a16:creationId xmlns:a16="http://schemas.microsoft.com/office/drawing/2014/main" id="{D625FB1E-A66F-488A-9ECD-B4B591ECD439}"/>
              </a:ext>
            </a:extLst>
          </xdr:cNvPr>
          <xdr:cNvSpPr txBox="1"/>
        </xdr:nvSpPr>
        <xdr:spPr>
          <a:xfrm>
            <a:off x="5851439" y="437934"/>
            <a:ext cx="730336" cy="2713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5268F54-3E36-4936-824B-F6729F960F3F}" type="TxLink">
              <a:rPr lang="en-US" sz="1600" b="0" i="0" u="none" strike="noStrike">
                <a:solidFill>
                  <a:srgbClr val="0000CC"/>
                </a:solidFill>
                <a:latin typeface="Calibri"/>
                <a:ea typeface="Calibri"/>
                <a:cs typeface="Calibri"/>
              </a:rPr>
              <a:pPr/>
              <a:t>3300</a:t>
            </a:fld>
            <a:endParaRPr lang="en-US" sz="1600"/>
          </a:p>
        </xdr:txBody>
      </xdr:sp>
      <xdr:sp macro="" textlink="C10">
        <xdr:nvSpPr>
          <xdr:cNvPr id="9" name="TextBox 8">
            <a:extLst>
              <a:ext uri="{FF2B5EF4-FFF2-40B4-BE49-F238E27FC236}">
                <a16:creationId xmlns:a16="http://schemas.microsoft.com/office/drawing/2014/main" id="{EABD9B24-3D48-42BC-A259-CDEC000DDB3D}"/>
              </a:ext>
            </a:extLst>
          </xdr:cNvPr>
          <xdr:cNvSpPr txBox="1"/>
        </xdr:nvSpPr>
        <xdr:spPr>
          <a:xfrm>
            <a:off x="7087347" y="466522"/>
            <a:ext cx="694578" cy="2713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6D98A1FC-1909-4A1E-8AE0-617A7D1449CF}" type="TxLink">
              <a:rPr lang="en-US" sz="1600" b="0" i="0" u="none" strike="noStrike">
                <a:solidFill>
                  <a:srgbClr val="0000CC"/>
                </a:solidFill>
                <a:latin typeface="Calibri"/>
                <a:ea typeface="Calibri"/>
                <a:cs typeface="Calibri"/>
              </a:rPr>
              <a:pPr/>
              <a:t>1200</a:t>
            </a:fld>
            <a:endParaRPr lang="en-US" sz="1600"/>
          </a:p>
        </xdr:txBody>
      </xdr:sp>
      <xdr:sp macro="" textlink="C9">
        <xdr:nvSpPr>
          <xdr:cNvPr id="10" name="TextBox 9">
            <a:extLst>
              <a:ext uri="{FF2B5EF4-FFF2-40B4-BE49-F238E27FC236}">
                <a16:creationId xmlns:a16="http://schemas.microsoft.com/office/drawing/2014/main" id="{6CDCFDE3-0670-4680-84E4-E43042E7F9E9}"/>
              </a:ext>
            </a:extLst>
          </xdr:cNvPr>
          <xdr:cNvSpPr txBox="1"/>
        </xdr:nvSpPr>
        <xdr:spPr>
          <a:xfrm>
            <a:off x="6022211" y="3285916"/>
            <a:ext cx="731014" cy="2713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0AEC7D8-9D97-432B-8021-426085BECB92}" type="TxLink">
              <a:rPr lang="en-US" sz="1600" b="0" i="0" u="none" strike="noStrike">
                <a:solidFill>
                  <a:srgbClr val="0000CC"/>
                </a:solidFill>
                <a:latin typeface="Calibri"/>
                <a:ea typeface="Calibri"/>
                <a:cs typeface="Calibri"/>
              </a:rPr>
              <a:pPr/>
              <a:t>3300</a:t>
            </a:fld>
            <a:endParaRPr lang="en-US" sz="1600"/>
          </a:p>
        </xdr:txBody>
      </xdr:sp>
      <xdr:sp macro="" textlink="C11">
        <xdr:nvSpPr>
          <xdr:cNvPr id="11" name="TextBox 10">
            <a:extLst>
              <a:ext uri="{FF2B5EF4-FFF2-40B4-BE49-F238E27FC236}">
                <a16:creationId xmlns:a16="http://schemas.microsoft.com/office/drawing/2014/main" id="{137B0374-34C9-4473-B2C2-7EDEE943FAFF}"/>
              </a:ext>
            </a:extLst>
          </xdr:cNvPr>
          <xdr:cNvSpPr txBox="1"/>
        </xdr:nvSpPr>
        <xdr:spPr>
          <a:xfrm rot="16200000">
            <a:off x="7726932" y="2312497"/>
            <a:ext cx="629687" cy="2909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3B6C516-7684-4590-BB16-81E2F262E078}" type="TxLink">
              <a:rPr lang="en-US" sz="1600" b="0" i="0" u="none" strike="noStrike">
                <a:solidFill>
                  <a:srgbClr val="0000CC"/>
                </a:solidFill>
                <a:latin typeface="Calibri"/>
                <a:ea typeface="Calibri"/>
                <a:cs typeface="Calibri"/>
              </a:rPr>
              <a:pPr/>
              <a:t>1200</a:t>
            </a:fld>
            <a:endParaRPr lang="en-US" sz="1600"/>
          </a:p>
        </xdr:txBody>
      </xdr:sp>
      <xdr:sp macro="" textlink="C12">
        <xdr:nvSpPr>
          <xdr:cNvPr id="12" name="TextBox 11">
            <a:extLst>
              <a:ext uri="{FF2B5EF4-FFF2-40B4-BE49-F238E27FC236}">
                <a16:creationId xmlns:a16="http://schemas.microsoft.com/office/drawing/2014/main" id="{D3612B34-E883-4513-B35F-C10C47159437}"/>
              </a:ext>
            </a:extLst>
          </xdr:cNvPr>
          <xdr:cNvSpPr txBox="1"/>
        </xdr:nvSpPr>
        <xdr:spPr>
          <a:xfrm rot="16200000">
            <a:off x="7769626" y="1758632"/>
            <a:ext cx="552121" cy="2909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6D6F80D-CAB5-4BBE-BBA3-5552B44D5167}" type="TxLink">
              <a:rPr lang="en-US" sz="1400" b="0" i="0" u="none" strike="noStrike">
                <a:solidFill>
                  <a:srgbClr val="0000CC"/>
                </a:solidFill>
                <a:latin typeface="Calibri"/>
                <a:ea typeface="Calibri"/>
                <a:cs typeface="Calibri"/>
              </a:rPr>
              <a:pPr/>
              <a:t>200</a:t>
            </a:fld>
            <a:endParaRPr lang="en-US" sz="1400"/>
          </a:p>
        </xdr:txBody>
      </xdr:sp>
      <xdr:sp macro="" textlink="C13">
        <xdr:nvSpPr>
          <xdr:cNvPr id="13" name="TextBox 12">
            <a:extLst>
              <a:ext uri="{FF2B5EF4-FFF2-40B4-BE49-F238E27FC236}">
                <a16:creationId xmlns:a16="http://schemas.microsoft.com/office/drawing/2014/main" id="{314BB2DC-D499-410C-92AD-38F0E5F01D03}"/>
              </a:ext>
            </a:extLst>
          </xdr:cNvPr>
          <xdr:cNvSpPr txBox="1"/>
        </xdr:nvSpPr>
        <xdr:spPr>
          <a:xfrm rot="16200000">
            <a:off x="7782800" y="1278106"/>
            <a:ext cx="618304" cy="2909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ED4AFD4-5CE4-482B-B686-4DFFE0F5B1F8}" type="TxLink">
              <a:rPr lang="en-US" sz="1600" b="0" i="0" u="none" strike="noStrike">
                <a:solidFill>
                  <a:srgbClr val="0000CC"/>
                </a:solidFill>
                <a:latin typeface="Calibri"/>
                <a:ea typeface="Calibri"/>
                <a:cs typeface="Calibri"/>
              </a:rPr>
              <a:pPr/>
              <a:t>1200</a:t>
            </a:fld>
            <a:endParaRPr lang="en-US" sz="1600"/>
          </a:p>
        </xdr:txBody>
      </xdr:sp>
    </xdr:grpSp>
    <xdr:clientData/>
  </xdr:twoCellAnchor>
  <xdr:twoCellAnchor editAs="oneCell">
    <xdr:from>
      <xdr:col>5</xdr:col>
      <xdr:colOff>209550</xdr:colOff>
      <xdr:row>27</xdr:row>
      <xdr:rowOff>154194</xdr:rowOff>
    </xdr:from>
    <xdr:to>
      <xdr:col>13</xdr:col>
      <xdr:colOff>83361</xdr:colOff>
      <xdr:row>90</xdr:row>
      <xdr:rowOff>180975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E8019BD-BCDA-0612-5C91-6779A46F4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2425" y="5297694"/>
          <a:ext cx="5055411" cy="38367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92"/>
  <sheetViews>
    <sheetView showGridLines="0" tabSelected="1" zoomScaleNormal="100" workbookViewId="0">
      <selection activeCell="P16" sqref="P16"/>
    </sheetView>
  </sheetViews>
  <sheetFormatPr defaultRowHeight="15" x14ac:dyDescent="0.25"/>
  <cols>
    <col min="1" max="1" width="15.7109375" customWidth="1"/>
    <col min="2" max="2" width="13.42578125" customWidth="1"/>
    <col min="3" max="3" width="11.85546875" bestFit="1" customWidth="1"/>
    <col min="7" max="7" width="13.28515625" bestFit="1" customWidth="1"/>
    <col min="9" max="9" width="9.5703125" bestFit="1" customWidth="1"/>
  </cols>
  <sheetData>
    <row r="1" spans="1:28" x14ac:dyDescent="0.25">
      <c r="A1" s="8" t="s">
        <v>67</v>
      </c>
      <c r="B1" s="9"/>
      <c r="C1" s="1">
        <v>20</v>
      </c>
      <c r="E1" s="30" t="s">
        <v>66</v>
      </c>
      <c r="F1" s="30"/>
      <c r="G1" s="30"/>
      <c r="H1" s="31" t="s">
        <v>0</v>
      </c>
      <c r="I1" s="31"/>
      <c r="J1" s="29" t="s">
        <v>68</v>
      </c>
      <c r="K1" s="29"/>
      <c r="L1" s="29"/>
      <c r="M1" s="29"/>
      <c r="N1" s="29"/>
      <c r="O1" s="29"/>
      <c r="P1" s="29"/>
      <c r="Z1" t="s">
        <v>69</v>
      </c>
      <c r="AA1" t="s">
        <v>51</v>
      </c>
      <c r="AB1" t="s">
        <v>54</v>
      </c>
    </row>
    <row r="2" spans="1:28" x14ac:dyDescent="0.25">
      <c r="A2" s="6" t="s">
        <v>53</v>
      </c>
      <c r="B2" s="16" t="s">
        <v>54</v>
      </c>
      <c r="C2" s="17"/>
      <c r="E2" s="30"/>
      <c r="F2" s="30"/>
      <c r="G2" s="30"/>
      <c r="H2" s="31"/>
      <c r="I2" s="31"/>
      <c r="J2" s="29"/>
      <c r="K2" s="29"/>
      <c r="L2" s="29"/>
      <c r="M2" s="29"/>
      <c r="N2" s="29"/>
      <c r="O2" s="29"/>
      <c r="P2" s="29"/>
      <c r="Z2" t="s">
        <v>70</v>
      </c>
      <c r="AA2" t="s">
        <v>52</v>
      </c>
      <c r="AB2" t="s">
        <v>55</v>
      </c>
    </row>
    <row r="3" spans="1:28" x14ac:dyDescent="0.25">
      <c r="A3" s="15" t="s">
        <v>15</v>
      </c>
      <c r="B3" s="16"/>
      <c r="C3" s="17"/>
      <c r="AA3" t="s">
        <v>50</v>
      </c>
    </row>
    <row r="4" spans="1:28" x14ac:dyDescent="0.25">
      <c r="A4" s="15" t="s">
        <v>16</v>
      </c>
      <c r="B4" s="16"/>
      <c r="C4" s="17"/>
    </row>
    <row r="5" spans="1:28" x14ac:dyDescent="0.25">
      <c r="A5" s="15" t="s">
        <v>17</v>
      </c>
      <c r="B5" s="16"/>
      <c r="C5" s="17"/>
    </row>
    <row r="6" spans="1:28" x14ac:dyDescent="0.25">
      <c r="A6" s="18" t="s">
        <v>1</v>
      </c>
      <c r="B6" s="19"/>
      <c r="C6" s="20"/>
    </row>
    <row r="7" spans="1:28" x14ac:dyDescent="0.25">
      <c r="A7" s="21" t="s">
        <v>59</v>
      </c>
      <c r="B7" s="22"/>
      <c r="C7" s="1">
        <v>1000</v>
      </c>
    </row>
    <row r="8" spans="1:28" x14ac:dyDescent="0.25">
      <c r="A8" s="21" t="s">
        <v>60</v>
      </c>
      <c r="B8" s="22"/>
      <c r="C8" s="1">
        <v>3300</v>
      </c>
    </row>
    <row r="9" spans="1:28" x14ac:dyDescent="0.25">
      <c r="A9" s="21" t="s">
        <v>61</v>
      </c>
      <c r="B9" s="22"/>
      <c r="C9" s="1">
        <v>3300</v>
      </c>
    </row>
    <row r="10" spans="1:28" x14ac:dyDescent="0.25">
      <c r="A10" s="21" t="s">
        <v>62</v>
      </c>
      <c r="B10" s="22"/>
      <c r="C10" s="1">
        <v>1200</v>
      </c>
    </row>
    <row r="11" spans="1:28" x14ac:dyDescent="0.25">
      <c r="A11" s="21" t="s">
        <v>63</v>
      </c>
      <c r="B11" s="22"/>
      <c r="C11" s="1">
        <v>1200</v>
      </c>
    </row>
    <row r="12" spans="1:28" x14ac:dyDescent="0.25">
      <c r="A12" s="21" t="s">
        <v>64</v>
      </c>
      <c r="B12" s="22"/>
      <c r="C12" s="1">
        <v>200</v>
      </c>
    </row>
    <row r="13" spans="1:28" x14ac:dyDescent="0.25">
      <c r="A13" s="21" t="s">
        <v>65</v>
      </c>
      <c r="B13" s="22"/>
      <c r="C13" s="1">
        <v>1200</v>
      </c>
    </row>
    <row r="14" spans="1:28" x14ac:dyDescent="0.25">
      <c r="A14" s="10" t="s">
        <v>3</v>
      </c>
      <c r="B14" s="10"/>
      <c r="C14" s="1">
        <v>1850</v>
      </c>
    </row>
    <row r="15" spans="1:28" x14ac:dyDescent="0.25">
      <c r="A15" s="10" t="s">
        <v>4</v>
      </c>
      <c r="B15" s="10"/>
      <c r="C15" s="1">
        <v>3900</v>
      </c>
    </row>
    <row r="16" spans="1:28" x14ac:dyDescent="0.25">
      <c r="A16" s="10" t="s">
        <v>5</v>
      </c>
      <c r="B16" s="10"/>
      <c r="C16" s="1" t="s">
        <v>7</v>
      </c>
      <c r="D16" s="1" t="s">
        <v>22</v>
      </c>
    </row>
    <row r="17" spans="1:5" x14ac:dyDescent="0.25">
      <c r="A17" s="10" t="s">
        <v>29</v>
      </c>
      <c r="B17" s="10"/>
      <c r="C17" s="1" t="s">
        <v>8</v>
      </c>
      <c r="D17" s="1" t="s">
        <v>2</v>
      </c>
    </row>
    <row r="18" spans="1:5" x14ac:dyDescent="0.25">
      <c r="A18" s="10" t="s">
        <v>30</v>
      </c>
      <c r="B18" s="10"/>
      <c r="C18" s="1" t="s">
        <v>27</v>
      </c>
      <c r="D18" s="1" t="s">
        <v>28</v>
      </c>
    </row>
    <row r="19" spans="1:5" x14ac:dyDescent="0.25">
      <c r="A19" s="10" t="s">
        <v>6</v>
      </c>
      <c r="B19" s="10"/>
      <c r="C19" s="1" t="s">
        <v>71</v>
      </c>
      <c r="D19" s="1" t="s">
        <v>35</v>
      </c>
      <c r="E19" s="1" t="s">
        <v>70</v>
      </c>
    </row>
    <row r="20" spans="1:5" x14ac:dyDescent="0.25">
      <c r="A20" s="10" t="s">
        <v>37</v>
      </c>
      <c r="B20" s="10"/>
      <c r="C20" s="1">
        <v>3</v>
      </c>
    </row>
    <row r="21" spans="1:5" x14ac:dyDescent="0.25">
      <c r="A21" s="10" t="s">
        <v>38</v>
      </c>
      <c r="B21" s="10"/>
      <c r="C21" s="1">
        <v>3</v>
      </c>
    </row>
    <row r="22" spans="1:5" x14ac:dyDescent="0.25">
      <c r="A22" s="10" t="s">
        <v>9</v>
      </c>
      <c r="B22" s="10"/>
      <c r="C22" s="1">
        <v>11</v>
      </c>
      <c r="D22" s="5">
        <f>C9/C22</f>
        <v>300</v>
      </c>
      <c r="E22" s="5">
        <f>C14/(C22+1)</f>
        <v>154.16666666666666</v>
      </c>
    </row>
    <row r="23" spans="1:5" x14ac:dyDescent="0.25">
      <c r="A23" s="10" t="s">
        <v>10</v>
      </c>
      <c r="B23" s="10"/>
      <c r="C23" s="1">
        <v>11</v>
      </c>
      <c r="D23" s="3">
        <f>C8/C23</f>
        <v>300</v>
      </c>
      <c r="E23" s="5">
        <f>(C15-C14)/(C23+1)</f>
        <v>170.83333333333334</v>
      </c>
    </row>
    <row r="24" spans="1:5" x14ac:dyDescent="0.25">
      <c r="A24" s="24" t="s">
        <v>44</v>
      </c>
      <c r="B24" s="4" t="s">
        <v>45</v>
      </c>
      <c r="C24" s="1" t="s">
        <v>18</v>
      </c>
      <c r="D24" s="1" t="s">
        <v>20</v>
      </c>
    </row>
    <row r="25" spans="1:5" x14ac:dyDescent="0.25">
      <c r="A25" s="25"/>
      <c r="B25" s="4" t="s">
        <v>46</v>
      </c>
      <c r="C25" s="1" t="s">
        <v>19</v>
      </c>
      <c r="D25" s="1" t="s">
        <v>21</v>
      </c>
    </row>
    <row r="26" spans="1:5" x14ac:dyDescent="0.25">
      <c r="A26" s="10" t="s">
        <v>39</v>
      </c>
      <c r="B26" s="10"/>
      <c r="C26" s="1">
        <v>5</v>
      </c>
    </row>
    <row r="27" spans="1:5" ht="15" customHeight="1" x14ac:dyDescent="0.25">
      <c r="A27" s="26" t="s">
        <v>43</v>
      </c>
      <c r="B27" s="2" t="s">
        <v>40</v>
      </c>
      <c r="C27" s="1">
        <v>5</v>
      </c>
    </row>
    <row r="28" spans="1:5" x14ac:dyDescent="0.25">
      <c r="A28" s="27"/>
      <c r="B28" s="2" t="s">
        <v>41</v>
      </c>
      <c r="C28" s="1" t="s">
        <v>49</v>
      </c>
    </row>
    <row r="29" spans="1:5" x14ac:dyDescent="0.25">
      <c r="A29" s="27"/>
      <c r="B29" s="2" t="s">
        <v>42</v>
      </c>
      <c r="C29" s="1">
        <v>12</v>
      </c>
    </row>
    <row r="30" spans="1:5" x14ac:dyDescent="0.25">
      <c r="A30" s="28"/>
      <c r="B30" s="2" t="s">
        <v>47</v>
      </c>
      <c r="C30" s="1" t="s">
        <v>48</v>
      </c>
    </row>
    <row r="31" spans="1:5" hidden="1" x14ac:dyDescent="0.25">
      <c r="A31" s="2"/>
      <c r="B31" s="2"/>
      <c r="C31" s="1"/>
    </row>
    <row r="32" spans="1:5" hidden="1" x14ac:dyDescent="0.25">
      <c r="A32" s="2"/>
      <c r="B32" s="2"/>
      <c r="C32" s="1"/>
    </row>
    <row r="33" spans="1:3" hidden="1" x14ac:dyDescent="0.25">
      <c r="A33" s="2"/>
      <c r="B33" s="2"/>
      <c r="C33" s="1"/>
    </row>
    <row r="34" spans="1:3" hidden="1" x14ac:dyDescent="0.25">
      <c r="A34" s="2"/>
      <c r="B34" s="2"/>
      <c r="C34" s="1"/>
    </row>
    <row r="35" spans="1:3" hidden="1" x14ac:dyDescent="0.25">
      <c r="A35" s="2"/>
      <c r="B35" s="2"/>
      <c r="C35" s="1"/>
    </row>
    <row r="36" spans="1:3" hidden="1" x14ac:dyDescent="0.25">
      <c r="A36" s="2"/>
      <c r="B36" s="2"/>
      <c r="C36" s="1"/>
    </row>
    <row r="37" spans="1:3" hidden="1" x14ac:dyDescent="0.25">
      <c r="A37" s="2"/>
      <c r="B37" s="2"/>
      <c r="C37" s="1"/>
    </row>
    <row r="38" spans="1:3" hidden="1" x14ac:dyDescent="0.25">
      <c r="A38" s="2"/>
      <c r="B38" s="2"/>
      <c r="C38" s="1"/>
    </row>
    <row r="39" spans="1:3" hidden="1" x14ac:dyDescent="0.25">
      <c r="A39" s="2"/>
      <c r="B39" s="2"/>
      <c r="C39" s="1"/>
    </row>
    <row r="40" spans="1:3" hidden="1" x14ac:dyDescent="0.25">
      <c r="A40" s="2"/>
      <c r="B40" s="2"/>
      <c r="C40" s="1"/>
    </row>
    <row r="41" spans="1:3" hidden="1" x14ac:dyDescent="0.25">
      <c r="A41" s="2"/>
      <c r="B41" s="2"/>
      <c r="C41" s="1"/>
    </row>
    <row r="42" spans="1:3" hidden="1" x14ac:dyDescent="0.25">
      <c r="A42" s="2"/>
      <c r="B42" s="2"/>
      <c r="C42" s="1"/>
    </row>
    <row r="43" spans="1:3" hidden="1" x14ac:dyDescent="0.25">
      <c r="A43" s="2"/>
      <c r="B43" s="2"/>
      <c r="C43" s="1"/>
    </row>
    <row r="44" spans="1:3" hidden="1" x14ac:dyDescent="0.25">
      <c r="A44" s="2"/>
      <c r="B44" s="2"/>
      <c r="C44" s="1"/>
    </row>
    <row r="45" spans="1:3" hidden="1" x14ac:dyDescent="0.25">
      <c r="A45" s="2"/>
      <c r="B45" s="2"/>
      <c r="C45" s="1"/>
    </row>
    <row r="46" spans="1:3" hidden="1" x14ac:dyDescent="0.25">
      <c r="A46" s="2"/>
      <c r="B46" s="2"/>
      <c r="C46" s="1"/>
    </row>
    <row r="47" spans="1:3" hidden="1" x14ac:dyDescent="0.25">
      <c r="A47" s="2"/>
      <c r="B47" s="2"/>
      <c r="C47" s="1"/>
    </row>
    <row r="48" spans="1:3" hidden="1" x14ac:dyDescent="0.25">
      <c r="A48" s="2"/>
      <c r="B48" s="2"/>
      <c r="C48" s="1"/>
    </row>
    <row r="49" spans="1:5" hidden="1" x14ac:dyDescent="0.25">
      <c r="A49" s="2"/>
      <c r="B49" s="2"/>
      <c r="C49" s="1"/>
    </row>
    <row r="50" spans="1:5" x14ac:dyDescent="0.25">
      <c r="A50" s="13" t="s">
        <v>58</v>
      </c>
      <c r="B50" s="13"/>
      <c r="C50" s="13"/>
    </row>
    <row r="51" spans="1:5" x14ac:dyDescent="0.25">
      <c r="A51" s="8" t="s">
        <v>11</v>
      </c>
      <c r="B51" s="9"/>
      <c r="C51" s="1">
        <v>16</v>
      </c>
    </row>
    <row r="52" spans="1:5" x14ac:dyDescent="0.25">
      <c r="A52" s="8" t="s">
        <v>12</v>
      </c>
      <c r="B52" s="9"/>
      <c r="C52" s="1">
        <v>16</v>
      </c>
      <c r="D52" s="7" t="s">
        <v>50</v>
      </c>
      <c r="E52" s="7"/>
    </row>
    <row r="53" spans="1:5" x14ac:dyDescent="0.25">
      <c r="A53" s="8" t="s">
        <v>13</v>
      </c>
      <c r="B53" s="9"/>
      <c r="C53" s="1" t="s">
        <v>23</v>
      </c>
    </row>
    <row r="54" spans="1:5" x14ac:dyDescent="0.25">
      <c r="A54" s="8" t="s">
        <v>14</v>
      </c>
      <c r="B54" s="9"/>
      <c r="C54" s="1" t="s">
        <v>24</v>
      </c>
    </row>
    <row r="55" spans="1:5" x14ac:dyDescent="0.25">
      <c r="A55" s="8" t="s">
        <v>25</v>
      </c>
      <c r="B55" s="9"/>
      <c r="C55" s="1" t="s">
        <v>26</v>
      </c>
    </row>
    <row r="56" spans="1:5" hidden="1" x14ac:dyDescent="0.25"/>
    <row r="57" spans="1:5" hidden="1" x14ac:dyDescent="0.25"/>
    <row r="58" spans="1:5" hidden="1" x14ac:dyDescent="0.25"/>
    <row r="59" spans="1:5" hidden="1" x14ac:dyDescent="0.25"/>
    <row r="60" spans="1:5" x14ac:dyDescent="0.25">
      <c r="A60" s="14" t="s">
        <v>31</v>
      </c>
      <c r="B60" s="14"/>
      <c r="C60" s="14"/>
    </row>
    <row r="61" spans="1:5" x14ac:dyDescent="0.25">
      <c r="A61" s="8" t="s">
        <v>11</v>
      </c>
      <c r="B61" s="9"/>
      <c r="C61" s="1">
        <v>8</v>
      </c>
    </row>
    <row r="62" spans="1:5" x14ac:dyDescent="0.25">
      <c r="A62" s="8" t="s">
        <v>12</v>
      </c>
      <c r="B62" s="9"/>
      <c r="C62" s="1">
        <v>16</v>
      </c>
      <c r="D62" s="7" t="s">
        <v>50</v>
      </c>
      <c r="E62" s="7"/>
    </row>
    <row r="63" spans="1:5" hidden="1" x14ac:dyDescent="0.25">
      <c r="A63" s="8"/>
      <c r="B63" s="9"/>
      <c r="C63" s="1"/>
    </row>
    <row r="64" spans="1:5" hidden="1" x14ac:dyDescent="0.25">
      <c r="A64" s="8"/>
      <c r="B64" s="9"/>
      <c r="C64" s="1"/>
    </row>
    <row r="65" spans="1:3" hidden="1" x14ac:dyDescent="0.25"/>
    <row r="66" spans="1:3" hidden="1" x14ac:dyDescent="0.25"/>
    <row r="67" spans="1:3" hidden="1" x14ac:dyDescent="0.25"/>
    <row r="68" spans="1:3" hidden="1" x14ac:dyDescent="0.25"/>
    <row r="69" spans="1:3" hidden="1" x14ac:dyDescent="0.25"/>
    <row r="70" spans="1:3" x14ac:dyDescent="0.25">
      <c r="A70" s="23" t="s">
        <v>32</v>
      </c>
      <c r="B70" s="23"/>
      <c r="C70" s="23"/>
    </row>
    <row r="71" spans="1:3" x14ac:dyDescent="0.25">
      <c r="A71" s="8" t="s">
        <v>33</v>
      </c>
      <c r="B71" s="9"/>
      <c r="C71" s="1">
        <v>12</v>
      </c>
    </row>
    <row r="72" spans="1:3" x14ac:dyDescent="0.25">
      <c r="A72" s="8" t="s">
        <v>12</v>
      </c>
      <c r="B72" s="9"/>
      <c r="C72" s="1">
        <v>16</v>
      </c>
    </row>
    <row r="73" spans="1:3" x14ac:dyDescent="0.25">
      <c r="A73" s="8" t="s">
        <v>56</v>
      </c>
      <c r="B73" s="9"/>
      <c r="C73" s="1" t="s">
        <v>34</v>
      </c>
    </row>
    <row r="74" spans="1:3" hidden="1" x14ac:dyDescent="0.25">
      <c r="A74" s="8" t="s">
        <v>14</v>
      </c>
      <c r="B74" s="9"/>
      <c r="C74" s="1"/>
    </row>
    <row r="75" spans="1:3" hidden="1" x14ac:dyDescent="0.25"/>
    <row r="76" spans="1:3" hidden="1" x14ac:dyDescent="0.25"/>
    <row r="77" spans="1:3" hidden="1" x14ac:dyDescent="0.25"/>
    <row r="78" spans="1:3" hidden="1" x14ac:dyDescent="0.25"/>
    <row r="79" spans="1:3" hidden="1" x14ac:dyDescent="0.25"/>
    <row r="80" spans="1:3" x14ac:dyDescent="0.25">
      <c r="A80" s="11" t="s">
        <v>57</v>
      </c>
      <c r="B80" s="11"/>
      <c r="C80" s="11"/>
    </row>
    <row r="81" spans="1:3" x14ac:dyDescent="0.25">
      <c r="A81" s="8" t="s">
        <v>33</v>
      </c>
      <c r="B81" s="9"/>
      <c r="C81" s="1">
        <v>12</v>
      </c>
    </row>
    <row r="82" spans="1:3" x14ac:dyDescent="0.25">
      <c r="A82" s="8" t="s">
        <v>12</v>
      </c>
      <c r="B82" s="9"/>
      <c r="C82" s="1">
        <v>16</v>
      </c>
    </row>
    <row r="83" spans="1:3" hidden="1" x14ac:dyDescent="0.25"/>
    <row r="84" spans="1:3" hidden="1" x14ac:dyDescent="0.25"/>
    <row r="85" spans="1:3" hidden="1" x14ac:dyDescent="0.25"/>
    <row r="86" spans="1:3" hidden="1" x14ac:dyDescent="0.25"/>
    <row r="87" spans="1:3" hidden="1" x14ac:dyDescent="0.25"/>
    <row r="88" spans="1:3" hidden="1" x14ac:dyDescent="0.25"/>
    <row r="89" spans="1:3" hidden="1" x14ac:dyDescent="0.25"/>
    <row r="90" spans="1:3" x14ac:dyDescent="0.25">
      <c r="A90" s="12" t="s">
        <v>36</v>
      </c>
      <c r="B90" s="12"/>
      <c r="C90" s="12"/>
    </row>
    <row r="91" spans="1:3" x14ac:dyDescent="0.25">
      <c r="A91" s="8" t="s">
        <v>33</v>
      </c>
      <c r="B91" s="9"/>
      <c r="C91" s="1">
        <v>10</v>
      </c>
    </row>
    <row r="92" spans="1:3" x14ac:dyDescent="0.25">
      <c r="A92" s="8" t="s">
        <v>12</v>
      </c>
      <c r="B92" s="9"/>
      <c r="C92" s="1">
        <v>12</v>
      </c>
    </row>
  </sheetData>
  <mergeCells count="53">
    <mergeCell ref="J1:P2"/>
    <mergeCell ref="B2:C2"/>
    <mergeCell ref="E1:G2"/>
    <mergeCell ref="H1:I2"/>
    <mergeCell ref="A1:B1"/>
    <mergeCell ref="A62:B62"/>
    <mergeCell ref="A61:B61"/>
    <mergeCell ref="A26:B26"/>
    <mergeCell ref="A27:A30"/>
    <mergeCell ref="A55:B55"/>
    <mergeCell ref="A70:C70"/>
    <mergeCell ref="A14:B14"/>
    <mergeCell ref="A15:B15"/>
    <mergeCell ref="A16:B16"/>
    <mergeCell ref="A17:B17"/>
    <mergeCell ref="A54:B54"/>
    <mergeCell ref="A53:B53"/>
    <mergeCell ref="A52:B52"/>
    <mergeCell ref="A51:B51"/>
    <mergeCell ref="A20:B20"/>
    <mergeCell ref="A22:B22"/>
    <mergeCell ref="A18:B18"/>
    <mergeCell ref="A19:B19"/>
    <mergeCell ref="A24:A25"/>
    <mergeCell ref="A64:B64"/>
    <mergeCell ref="A63:B63"/>
    <mergeCell ref="A3:C3"/>
    <mergeCell ref="A6:C6"/>
    <mergeCell ref="A5:C5"/>
    <mergeCell ref="A13:B13"/>
    <mergeCell ref="A12:B12"/>
    <mergeCell ref="A11:B11"/>
    <mergeCell ref="A4:C4"/>
    <mergeCell ref="A9:B9"/>
    <mergeCell ref="A10:B10"/>
    <mergeCell ref="A8:B8"/>
    <mergeCell ref="A7:B7"/>
    <mergeCell ref="D52:E52"/>
    <mergeCell ref="D62:E62"/>
    <mergeCell ref="A92:B92"/>
    <mergeCell ref="A21:B21"/>
    <mergeCell ref="A80:C80"/>
    <mergeCell ref="A81:B81"/>
    <mergeCell ref="A82:B82"/>
    <mergeCell ref="A90:C90"/>
    <mergeCell ref="A91:B91"/>
    <mergeCell ref="A23:B23"/>
    <mergeCell ref="A50:C50"/>
    <mergeCell ref="A60:C60"/>
    <mergeCell ref="A71:B71"/>
    <mergeCell ref="A72:B72"/>
    <mergeCell ref="A73:B73"/>
    <mergeCell ref="A74:B74"/>
  </mergeCells>
  <dataValidations count="3">
    <dataValidation type="list" allowBlank="1" showInputMessage="1" showErrorMessage="1" sqref="D52:E52 D62:E62" xr:uid="{E0509C6C-3017-4761-9284-431E24F512F6}">
      <formula1>$AA$1:$AA$3</formula1>
    </dataValidation>
    <dataValidation type="list" allowBlank="1" showInputMessage="1" showErrorMessage="1" sqref="B2" xr:uid="{83C2B80E-50F0-4739-81CE-F81BB5759EA7}">
      <formula1>$AB$1:$AB$2</formula1>
    </dataValidation>
    <dataValidation type="list" allowBlank="1" showInputMessage="1" showErrorMessage="1" sqref="E19" xr:uid="{61106FD0-3C31-4E46-B285-DE591EFE5DC3}">
      <formula1>$Z$1:$Z$99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Loai1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toan huynh vu minh</cp:lastModifiedBy>
  <dcterms:created xsi:type="dcterms:W3CDTF">2015-06-05T18:17:20Z</dcterms:created>
  <dcterms:modified xsi:type="dcterms:W3CDTF">2026-08-22T14:00:05Z</dcterms:modified>
</cp:coreProperties>
</file>