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Dce Pro\Excel\DceSteel\"/>
    </mc:Choice>
  </mc:AlternateContent>
  <xr:revisionPtr revIDLastSave="0" documentId="13_ncr:1_{26F6FC4F-A79E-4A97-A617-C94335F340D2}" xr6:coauthVersionLast="47" xr6:coauthVersionMax="47" xr10:uidLastSave="{00000000-0000-0000-0000-000000000000}"/>
  <bookViews>
    <workbookView xWindow="-120" yWindow="-120" windowWidth="29040" windowHeight="15720" xr2:uid="{0713E3CE-4A1C-4D33-855C-CD664633FFE1}"/>
  </bookViews>
  <sheets>
    <sheet name="Input" sheetId="6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K9" i="6" l="1" a="1"/>
  <c r="BK9" i="6" s="1"/>
  <c r="BK8" i="6" a="1"/>
  <c r="BK8" i="6" s="1"/>
  <c r="BK7" i="6" a="1"/>
  <c r="BK7" i="6" s="1"/>
  <c r="AE10" i="6"/>
  <c r="X40" i="6"/>
  <c r="X30" i="6"/>
  <c r="CG6" i="6" a="1"/>
  <c r="X27" i="6"/>
  <c r="X21" i="6"/>
  <c r="X16" i="6"/>
  <c r="X20" i="6"/>
  <c r="X31" i="6"/>
  <c r="BK6" i="6" a="1"/>
  <c r="X24" i="6"/>
  <c r="X19" i="6"/>
  <c r="X42" i="6"/>
  <c r="BK5" i="6" a="1"/>
  <c r="X8" i="6"/>
  <c r="X7" i="6"/>
  <c r="AE11" i="6"/>
  <c r="X18" i="6"/>
  <c r="X37" i="6"/>
  <c r="X34" i="6"/>
  <c r="AE5" i="6"/>
  <c r="X15" i="6"/>
  <c r="X36" i="6"/>
  <c r="CG5" i="6" a="1"/>
  <c r="AE9" i="6"/>
  <c r="X12" i="6"/>
  <c r="X29" i="6"/>
  <c r="X41" i="6"/>
  <c r="AE8" i="6"/>
  <c r="X39" i="6"/>
  <c r="X35" i="6"/>
  <c r="AE7" i="6"/>
  <c r="X23" i="6"/>
  <c r="X26" i="6"/>
  <c r="AE6" i="6"/>
  <c r="X33" i="6"/>
  <c r="X13" i="6"/>
  <c r="X4" i="6"/>
  <c r="X25" i="6"/>
  <c r="X28" i="6"/>
  <c r="X11" i="6"/>
  <c r="AE4" i="6"/>
  <c r="X9" i="6"/>
  <c r="X10" i="6"/>
  <c r="X32" i="6"/>
  <c r="X5" i="6"/>
  <c r="X38" i="6"/>
  <c r="BK4" i="6" a="1"/>
  <c r="CG4" i="6" a="1"/>
  <c r="X17" i="6"/>
  <c r="X22" i="6"/>
  <c r="X14" i="6"/>
  <c r="X6" i="6"/>
  <c r="CG6" i="6" l="1"/>
  <c r="CG5" i="6"/>
  <c r="BK5" i="6"/>
  <c r="BK6" i="6"/>
  <c r="BK4" i="6"/>
  <c r="CG4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<sst xmlns="http://schemas.openxmlformats.org/spreadsheetml/2006/main" count="317" uniqueCount="118">
  <si>
    <t/>
  </si>
  <si>
    <t>m</t>
  </si>
  <si>
    <t>Type</t>
  </si>
  <si>
    <t>Steel</t>
  </si>
  <si>
    <t>Story Definitions</t>
  </si>
  <si>
    <t>Name</t>
  </si>
  <si>
    <t>Height</t>
  </si>
  <si>
    <t>Elevation</t>
  </si>
  <si>
    <t>Weight</t>
  </si>
  <si>
    <t>E</t>
  </si>
  <si>
    <t>MPa</t>
  </si>
  <si>
    <r>
      <t>kN/m</t>
    </r>
    <r>
      <rPr>
        <b/>
        <vertAlign val="superscript"/>
        <sz val="11"/>
        <color rgb="FF0070C0"/>
        <rFont val="Aptos Narrow"/>
        <family val="2"/>
        <scheme val="minor"/>
      </rPr>
      <t>3</t>
    </r>
  </si>
  <si>
    <r>
      <t>f</t>
    </r>
    <r>
      <rPr>
        <b/>
        <vertAlign val="subscript"/>
        <sz val="11"/>
        <color rgb="FF0070C0"/>
        <rFont val="Aptos Narrow"/>
        <family val="2"/>
        <scheme val="minor"/>
      </rPr>
      <t>c</t>
    </r>
  </si>
  <si>
    <t>Material</t>
  </si>
  <si>
    <r>
      <t>f</t>
    </r>
    <r>
      <rPr>
        <b/>
        <vertAlign val="subscript"/>
        <sz val="11"/>
        <color rgb="FF0070C0"/>
        <rFont val="Aptos Narrow"/>
        <family val="2"/>
        <scheme val="minor"/>
      </rPr>
      <t>y</t>
    </r>
  </si>
  <si>
    <r>
      <t>f</t>
    </r>
    <r>
      <rPr>
        <b/>
        <vertAlign val="subscript"/>
        <sz val="11"/>
        <color rgb="FF0070C0"/>
        <rFont val="Aptos Narrow"/>
        <family val="2"/>
        <scheme val="minor"/>
      </rPr>
      <t>u</t>
    </r>
  </si>
  <si>
    <t>Width</t>
  </si>
  <si>
    <t>Depth</t>
  </si>
  <si>
    <t>Conc.</t>
  </si>
  <si>
    <t>Rebar Material</t>
  </si>
  <si>
    <t>Cover (mm)</t>
  </si>
  <si>
    <t>Check
Size</t>
  </si>
  <si>
    <t>mm</t>
  </si>
  <si>
    <t>Long.</t>
  </si>
  <si>
    <t>Ties</t>
  </si>
  <si>
    <t xml:space="preserve">Top </t>
  </si>
  <si>
    <t>Bottom</t>
  </si>
  <si>
    <t>Thick.</t>
  </si>
  <si>
    <t>H</t>
  </si>
  <si>
    <r>
      <t>B</t>
    </r>
    <r>
      <rPr>
        <b/>
        <vertAlign val="subscript"/>
        <sz val="11"/>
        <color rgb="FF0070C0"/>
        <rFont val="Aptos Narrow"/>
        <family val="2"/>
        <scheme val="minor"/>
      </rPr>
      <t>f,top</t>
    </r>
  </si>
  <si>
    <r>
      <t>B</t>
    </r>
    <r>
      <rPr>
        <b/>
        <vertAlign val="subscript"/>
        <sz val="11"/>
        <color rgb="FF0070C0"/>
        <rFont val="Aptos Narrow"/>
        <family val="2"/>
        <scheme val="minor"/>
      </rPr>
      <t>f,bot</t>
    </r>
  </si>
  <si>
    <r>
      <t>t</t>
    </r>
    <r>
      <rPr>
        <b/>
        <vertAlign val="subscript"/>
        <sz val="11"/>
        <color rgb="FF0070C0"/>
        <rFont val="Aptos Narrow"/>
        <family val="2"/>
        <scheme val="minor"/>
      </rPr>
      <t>w</t>
    </r>
  </si>
  <si>
    <r>
      <t>t</t>
    </r>
    <r>
      <rPr>
        <b/>
        <vertAlign val="subscript"/>
        <sz val="11"/>
        <color rgb="FF0070C0"/>
        <rFont val="Aptos Narrow"/>
        <family val="2"/>
        <scheme val="minor"/>
      </rPr>
      <t>f,top</t>
    </r>
    <r>
      <rPr>
        <b/>
        <sz val="11"/>
        <color rgb="FF0070C0"/>
        <rFont val="Aptos Narrow"/>
        <family val="2"/>
        <scheme val="minor"/>
      </rPr>
      <t xml:space="preserve">
mm</t>
    </r>
  </si>
  <si>
    <r>
      <t>t</t>
    </r>
    <r>
      <rPr>
        <b/>
        <vertAlign val="subscript"/>
        <sz val="11"/>
        <color rgb="FF0070C0"/>
        <rFont val="Aptos Narrow"/>
        <family val="2"/>
        <scheme val="minor"/>
      </rPr>
      <t>f,bot</t>
    </r>
    <r>
      <rPr>
        <b/>
        <sz val="11"/>
        <color rgb="FF0070C0"/>
        <rFont val="Aptos Narrow"/>
        <family val="2"/>
        <scheme val="minor"/>
      </rPr>
      <t xml:space="preserve">
mm</t>
    </r>
  </si>
  <si>
    <t>Concrete Section (Frame)</t>
  </si>
  <si>
    <t>Concrete  Section (Shell)</t>
  </si>
  <si>
    <t>Beam</t>
  </si>
  <si>
    <t>Slab</t>
  </si>
  <si>
    <t>Mat</t>
  </si>
  <si>
    <t>I</t>
  </si>
  <si>
    <t>B</t>
  </si>
  <si>
    <t>t</t>
  </si>
  <si>
    <t>Steel Section I, Taper</t>
  </si>
  <si>
    <t>Box section, Pipe section</t>
  </si>
  <si>
    <t>RHS</t>
  </si>
  <si>
    <t>RHS 60x120x10</t>
  </si>
  <si>
    <t>Dinh</t>
  </si>
  <si>
    <t>Cote +7.5</t>
  </si>
  <si>
    <t>Cote +3.9</t>
  </si>
  <si>
    <t>GM</t>
  </si>
  <si>
    <t>MONG</t>
  </si>
  <si>
    <t>Base</t>
  </si>
  <si>
    <t>CT42</t>
  </si>
  <si>
    <t>Concrete</t>
  </si>
  <si>
    <t>M250 (B20)</t>
  </si>
  <si>
    <t>Rebar</t>
  </si>
  <si>
    <t>CB300V</t>
  </si>
  <si>
    <t>CB240</t>
  </si>
  <si>
    <t>GM20X30</t>
  </si>
  <si>
    <t>B10X55</t>
  </si>
  <si>
    <t>B20X60</t>
  </si>
  <si>
    <t>B20X40</t>
  </si>
  <si>
    <t>BM20X20</t>
  </si>
  <si>
    <t>B30X85</t>
  </si>
  <si>
    <t>GT20X10</t>
  </si>
  <si>
    <t>B20X12</t>
  </si>
  <si>
    <t>B40x60</t>
  </si>
  <si>
    <t>B20X30</t>
  </si>
  <si>
    <t>GT10X20</t>
  </si>
  <si>
    <t>B20X20</t>
  </si>
  <si>
    <t>B20X45</t>
  </si>
  <si>
    <t>GM30X35</t>
  </si>
  <si>
    <t>GM20X40</t>
  </si>
  <si>
    <t>GM20X20</t>
  </si>
  <si>
    <t>B30X40</t>
  </si>
  <si>
    <t>B80X50</t>
  </si>
  <si>
    <t>B30X50</t>
  </si>
  <si>
    <t>A DVE</t>
  </si>
  <si>
    <t>B60X50</t>
  </si>
  <si>
    <t>B30X80</t>
  </si>
  <si>
    <t>GM30x40</t>
  </si>
  <si>
    <t>GM40x50</t>
  </si>
  <si>
    <t>B25x40</t>
  </si>
  <si>
    <t>B10x50</t>
  </si>
  <si>
    <t>Column</t>
  </si>
  <si>
    <t>C30X20</t>
  </si>
  <si>
    <t>C20X30</t>
  </si>
  <si>
    <t>C20X20</t>
  </si>
  <si>
    <t>C20X60</t>
  </si>
  <si>
    <t>C40X20</t>
  </si>
  <si>
    <t>C60X20</t>
  </si>
  <si>
    <t>C30x50</t>
  </si>
  <si>
    <t>C20X40</t>
  </si>
  <si>
    <t>C30x30</t>
  </si>
  <si>
    <t>Circle Col</t>
  </si>
  <si>
    <t>D12</t>
  </si>
  <si>
    <t>S120</t>
  </si>
  <si>
    <t>BT120</t>
  </si>
  <si>
    <t>SX120</t>
  </si>
  <si>
    <t>SNN</t>
  </si>
  <si>
    <t>SN120</t>
  </si>
  <si>
    <t>Tole</t>
  </si>
  <si>
    <t>Other</t>
  </si>
  <si>
    <t>Wall</t>
  </si>
  <si>
    <t>V20</t>
  </si>
  <si>
    <t>I600X200X10X12</t>
  </si>
  <si>
    <t>I450X200X10X12</t>
  </si>
  <si>
    <t>I250x125x6x9</t>
  </si>
  <si>
    <t>Taper</t>
  </si>
  <si>
    <t>K1</t>
  </si>
  <si>
    <t>H600-450x200x10x12</t>
  </si>
  <si>
    <t>Pipe</t>
  </si>
  <si>
    <t>D114</t>
  </si>
  <si>
    <t>O90x4</t>
  </si>
  <si>
    <t xml:space="preserve">3-Dir </t>
  </si>
  <si>
    <t xml:space="preserve">2-Dir </t>
  </si>
  <si>
    <t>Num. of Bar</t>
  </si>
  <si>
    <t>D500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</si>
</sst>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7" formatCode="_(* #,##0_);_(* \(#,##0\);_(* &quot;-&quot;??_);_(@_)"/>
  </numFmts>
  <fonts count="7" x14ac:knownFonts="1">
    <font>
      <sz val="11"/>
      <color theme="1"/>
      <name val="Aptos Narrow"/>
      <family val="2"/>
      <scheme val="minor"/>
    </font>
    <font>
      <b/>
      <i/>
      <sz val="11"/>
      <color indexed="8"/>
      <name val="Arial"/>
      <family val="2"/>
    </font>
    <font>
      <b/>
      <sz val="11"/>
      <color rgb="FF0070C0"/>
      <name val="Aptos Narrow"/>
      <family val="2"/>
      <scheme val="minor"/>
    </font>
    <font>
      <b/>
      <vertAlign val="superscript"/>
      <sz val="11"/>
      <color rgb="FF0070C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vertAlign val="subscript"/>
      <sz val="11"/>
      <color rgb="FF0070C0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9" fontId="1" fillId="0" borderId="0">
      <alignment horizontal="left" vertical="center"/>
    </xf>
    <xf numFmtId="43" fontId="6" fillId="0" borderId="0" applyFont="0" applyFill="0" applyBorder="0" applyAlignment="0" applyProtection="0"/>
  </cellStyleXfs>
  <cellXfs count="18">
    <xf numFmtId="0" fontId="0" fillId="0" borderId="0" xfId="0"/>
    <xf numFmtId="49" fontId="2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center" vertical="center"/>
    </xf>
    <xf numFmtId="49" fontId="2" fillId="2" borderId="0" xfId="0" applyNumberFormat="1" applyFont="1" applyFill="1" applyAlignment="1">
      <alignment horizontal="center" vertical="center"/>
    </xf>
    <xf numFmtId="0" fontId="0" fillId="4" borderId="0" xfId="0" applyFill="1"/>
    <xf numFmtId="49" fontId="2" fillId="2" borderId="0" xfId="0" applyNumberFormat="1" applyFont="1" applyFill="1" applyAlignment="1">
      <alignment horizontal="center" vertical="center" wrapText="1"/>
    </xf>
    <xf numFmtId="167" fontId="2" fillId="2" borderId="0" xfId="2" applyNumberFormat="1" applyFont="1" applyFill="1" applyAlignment="1">
      <alignment horizontal="center"/>
    </xf>
    <xf numFmtId="167" fontId="0" fillId="0" borderId="0" xfId="2" applyNumberFormat="1" applyFont="1"/>
    <xf numFmtId="0" fontId="0" fillId="0" borderId="0" xfId="0" applyAlignment="1">
      <alignment horizontal="center" vertical="center"/>
    </xf>
    <xf numFmtId="49" fontId="2" fillId="2" borderId="0" xfId="0" applyNumberFormat="1" applyFont="1" applyFill="1" applyAlignment="1">
      <alignment horizontal="center" vertical="top" wrapText="1"/>
    </xf>
    <xf numFmtId="0" fontId="0" fillId="0" borderId="0" xfId="0" applyAlignment="1">
      <alignment horizontal="center" vertical="top"/>
    </xf>
    <xf numFmtId="49" fontId="2" fillId="2" borderId="0" xfId="0" applyNumberFormat="1" applyFont="1" applyFill="1" applyAlignment="1">
      <alignment horizontal="left" vertical="top" wrapText="1"/>
    </xf>
    <xf numFmtId="0" fontId="0" fillId="0" borderId="0" xfId="0" applyAlignment="1">
      <alignment horizontal="left" vertical="top"/>
    </xf>
    <xf numFmtId="49" fontId="4" fillId="3" borderId="0" xfId="0" applyNumberFormat="1" applyFont="1" applyFill="1" applyAlignment="1">
      <alignment horizontal="center" vertical="center"/>
    </xf>
    <xf numFmtId="49" fontId="2" fillId="2" borderId="0" xfId="0" applyNumberFormat="1" applyFont="1" applyFill="1" applyAlignment="1">
      <alignment horizontal="center" vertical="center" wrapText="1"/>
    </xf>
    <xf numFmtId="49" fontId="2" fillId="2" borderId="0" xfId="0" applyNumberFormat="1" applyFont="1" applyFill="1" applyAlignment="1">
      <alignment horizontal="center" vertical="top" wrapText="1"/>
    </xf>
    <xf numFmtId="49" fontId="2" fillId="2" borderId="0" xfId="0" applyNumberFormat="1" applyFont="1" applyFill="1" applyAlignment="1">
      <alignment horizontal="center" vertical="top"/>
    </xf>
    <xf numFmtId="49" fontId="2" fillId="2" borderId="0" xfId="0" applyNumberFormat="1" applyFont="1" applyFill="1" applyAlignment="1">
      <alignment horizontal="center" vertical="center"/>
    </xf>
  </cellXfs>
  <cellStyles count="3">
    <cellStyle name="Comma" xfId="2" builtinId="3"/>
    <cellStyle name="Normal" xfId="0" builtinId="0"/>
    <cellStyle name="Tieu de phu" xfId="1" xr:uid="{DAD77BA9-135B-4B66-B28C-5E66DF612368}"/>
  </cellStyles>
  <dxfs count="2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00B0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00FF"/>
      </font>
      <fill>
        <patternFill>
          <bgColor theme="7" tint="0.39994506668294322"/>
        </patternFill>
      </fill>
      <border>
        <left/>
        <right/>
        <top/>
        <bottom/>
      </border>
    </dxf>
  </dxfs>
  <tableStyles count="0" defaultTableStyle="TableStyleMedium2" defaultPivotStyle="PivotStyleLight16"/>
  <colors>
    <mruColors>
      <color rgb="FF0000FF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1ECE7-E233-4369-BF88-A5601B0530EB}">
  <sheetPr codeName="Sheet3">
    <tabColor rgb="FF0070C0"/>
  </sheetPr>
  <dimension ref="A1:CH45"/>
  <sheetViews>
    <sheetView showGridLines="0" tabSelected="1" zoomScaleNormal="100" workbookViewId="0">
      <pane ySplit="3" topLeftCell="A4" activePane="bottomLeft" state="frozen"/>
      <selection pane="bottomLeft" activeCell="J22" sqref="J22"/>
    </sheetView>
  </sheetViews>
  <sheetFormatPr defaultRowHeight="15" x14ac:dyDescent="0.25"/>
  <cols>
    <col min="4" max="4" width="2.42578125" style="4" customWidth="1"/>
    <col min="8" max="8" width="11.7109375" style="7" bestFit="1" customWidth="1"/>
    <col min="12" max="12" width="2.42578125" style="4" customWidth="1"/>
    <col min="13" max="13" width="9.85546875" bestFit="1" customWidth="1"/>
    <col min="14" max="14" width="10.140625" bestFit="1" customWidth="1"/>
    <col min="15" max="21" width="9.140625" style="8"/>
    <col min="22" max="22" width="5.85546875" style="8" bestFit="1" customWidth="1"/>
    <col min="23" max="23" width="5.85546875" bestFit="1" customWidth="1"/>
    <col min="24" max="24" width="7.7109375" customWidth="1"/>
    <col min="25" max="25" width="2.42578125" hidden="1" customWidth="1"/>
    <col min="26" max="26" width="2.42578125" style="4" customWidth="1"/>
    <col min="29" max="29" width="9.140625" style="8"/>
    <col min="30" max="30" width="9.7109375" style="8" bestFit="1" customWidth="1"/>
    <col min="32" max="32" width="0" hidden="1" customWidth="1"/>
    <col min="33" max="51" width="9.140625" hidden="1" customWidth="1"/>
    <col min="52" max="52" width="2.42578125" style="4" customWidth="1"/>
    <col min="53" max="53" width="9.140625" style="10"/>
    <col min="54" max="54" width="19" style="12" bestFit="1" customWidth="1"/>
    <col min="55" max="55" width="9.140625" style="10"/>
    <col min="56" max="62" width="9.140625" style="8"/>
    <col min="64" max="77" width="0" hidden="1" customWidth="1"/>
    <col min="78" max="78" width="2.42578125" style="4" customWidth="1"/>
    <col min="79" max="79" width="9.140625" style="8"/>
    <col min="80" max="80" width="13.42578125" style="8" customWidth="1"/>
    <col min="81" max="85" width="9.140625" style="8"/>
    <col min="86" max="86" width="2.42578125" style="4" customWidth="1"/>
  </cols>
  <sheetData>
    <row r="1" spans="1:85" x14ac:dyDescent="0.25">
      <c r="A1" s="13" t="s">
        <v>4</v>
      </c>
      <c r="B1" s="13"/>
      <c r="C1" s="13"/>
      <c r="E1" s="13" t="s">
        <v>13</v>
      </c>
      <c r="F1" s="13"/>
      <c r="G1" s="13"/>
      <c r="H1" s="13"/>
      <c r="I1" s="13"/>
      <c r="J1" s="13"/>
      <c r="K1" s="13"/>
      <c r="M1" s="13" t="s">
        <v>34</v>
      </c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AA1" s="13" t="s">
        <v>35</v>
      </c>
      <c r="AB1" s="13"/>
      <c r="AC1" s="13"/>
      <c r="AD1" s="13"/>
      <c r="AE1" s="13"/>
      <c r="BA1" s="13" t="s">
        <v>42</v>
      </c>
      <c r="BB1" s="13"/>
      <c r="BC1" s="13"/>
      <c r="BD1" s="13"/>
      <c r="BE1" s="13"/>
      <c r="BF1" s="13"/>
      <c r="BG1" s="13"/>
      <c r="BH1" s="13"/>
      <c r="BI1" s="13"/>
      <c r="BJ1" s="13"/>
      <c r="BK1" s="13"/>
      <c r="CA1" s="13" t="s">
        <v>43</v>
      </c>
      <c r="CB1" s="13"/>
      <c r="CC1" s="13"/>
      <c r="CD1" s="13"/>
      <c r="CE1" s="13"/>
      <c r="CF1" s="13"/>
      <c r="CG1" s="13"/>
    </row>
    <row r="2" spans="1:85" ht="18" customHeight="1" x14ac:dyDescent="0.35">
      <c r="A2" s="1" t="s">
        <v>5</v>
      </c>
      <c r="B2" s="2" t="s">
        <v>6</v>
      </c>
      <c r="C2" s="3" t="s">
        <v>7</v>
      </c>
      <c r="E2" s="16" t="s">
        <v>2</v>
      </c>
      <c r="F2" s="16" t="s">
        <v>5</v>
      </c>
      <c r="G2" s="1" t="s">
        <v>8</v>
      </c>
      <c r="H2" s="6" t="s">
        <v>9</v>
      </c>
      <c r="I2" s="1" t="s">
        <v>12</v>
      </c>
      <c r="J2" s="1" t="s">
        <v>14</v>
      </c>
      <c r="K2" s="1" t="s">
        <v>15</v>
      </c>
      <c r="M2" s="16" t="s">
        <v>2</v>
      </c>
      <c r="N2" s="16" t="s">
        <v>5</v>
      </c>
      <c r="O2" s="3" t="s">
        <v>16</v>
      </c>
      <c r="P2" s="3" t="s">
        <v>17</v>
      </c>
      <c r="Q2" s="17" t="s">
        <v>18</v>
      </c>
      <c r="R2" s="17" t="s">
        <v>19</v>
      </c>
      <c r="S2" s="17"/>
      <c r="T2" s="17" t="s">
        <v>20</v>
      </c>
      <c r="U2" s="17"/>
      <c r="V2" s="17" t="s">
        <v>116</v>
      </c>
      <c r="W2" s="17"/>
      <c r="X2" s="14" t="s">
        <v>21</v>
      </c>
      <c r="AA2" s="16" t="s">
        <v>2</v>
      </c>
      <c r="AB2" s="16" t="s">
        <v>5</v>
      </c>
      <c r="AC2" s="5" t="s">
        <v>27</v>
      </c>
      <c r="AD2" s="5" t="s">
        <v>18</v>
      </c>
      <c r="AE2" s="15" t="s">
        <v>21</v>
      </c>
      <c r="BA2" s="9" t="s">
        <v>2</v>
      </c>
      <c r="BB2" s="11" t="s">
        <v>5</v>
      </c>
      <c r="BC2" s="9" t="s">
        <v>38</v>
      </c>
      <c r="BD2" s="5" t="s">
        <v>28</v>
      </c>
      <c r="BE2" s="5" t="s">
        <v>28</v>
      </c>
      <c r="BF2" s="5" t="s">
        <v>31</v>
      </c>
      <c r="BG2" s="5" t="s">
        <v>29</v>
      </c>
      <c r="BH2" s="14" t="s">
        <v>32</v>
      </c>
      <c r="BI2" s="5" t="s">
        <v>30</v>
      </c>
      <c r="BJ2" s="14" t="s">
        <v>33</v>
      </c>
      <c r="BK2" s="15" t="s">
        <v>21</v>
      </c>
      <c r="CA2" s="5" t="s">
        <v>2</v>
      </c>
      <c r="CB2" s="5" t="s">
        <v>5</v>
      </c>
      <c r="CC2" s="5" t="s">
        <v>38</v>
      </c>
      <c r="CD2" s="5" t="s">
        <v>40</v>
      </c>
      <c r="CE2" s="5" t="s">
        <v>28</v>
      </c>
      <c r="CF2" s="5" t="s">
        <v>41</v>
      </c>
      <c r="CG2" s="14" t="s">
        <v>21</v>
      </c>
    </row>
    <row r="3" spans="1:85" ht="16.5" x14ac:dyDescent="0.25">
      <c r="A3" s="1" t="s">
        <v>0</v>
      </c>
      <c r="B3" s="2" t="s">
        <v>1</v>
      </c>
      <c r="C3" s="3" t="s">
        <v>1</v>
      </c>
      <c r="E3" s="16"/>
      <c r="F3" s="16"/>
      <c r="G3" s="1" t="s">
        <v>11</v>
      </c>
      <c r="H3" s="6" t="s">
        <v>10</v>
      </c>
      <c r="I3" s="1" t="s">
        <v>10</v>
      </c>
      <c r="J3" s="1" t="s">
        <v>10</v>
      </c>
      <c r="K3" s="1" t="s">
        <v>10</v>
      </c>
      <c r="M3" s="16"/>
      <c r="N3" s="16"/>
      <c r="O3" s="3" t="s">
        <v>22</v>
      </c>
      <c r="P3" s="3" t="s">
        <v>22</v>
      </c>
      <c r="Q3" s="17"/>
      <c r="R3" s="3" t="s">
        <v>23</v>
      </c>
      <c r="S3" s="3" t="s">
        <v>24</v>
      </c>
      <c r="T3" s="3" t="s">
        <v>25</v>
      </c>
      <c r="U3" s="3" t="s">
        <v>26</v>
      </c>
      <c r="V3" s="3" t="s">
        <v>114</v>
      </c>
      <c r="W3" s="3" t="s">
        <v>115</v>
      </c>
      <c r="X3" s="14"/>
      <c r="AA3" s="16"/>
      <c r="AB3" s="16"/>
      <c r="AC3" s="5" t="s">
        <v>22</v>
      </c>
      <c r="AD3" s="5"/>
      <c r="AE3" s="15"/>
      <c r="BA3" s="9" t="s">
        <v>0</v>
      </c>
      <c r="BB3" s="11"/>
      <c r="BC3" s="9"/>
      <c r="BD3" s="5" t="s">
        <v>22</v>
      </c>
      <c r="BE3" s="5" t="s">
        <v>22</v>
      </c>
      <c r="BF3" s="5" t="s">
        <v>22</v>
      </c>
      <c r="BG3" s="5" t="s">
        <v>22</v>
      </c>
      <c r="BH3" s="14"/>
      <c r="BI3" s="5" t="s">
        <v>22</v>
      </c>
      <c r="BJ3" s="14"/>
      <c r="BK3" s="15"/>
      <c r="CA3" s="5" t="s">
        <v>0</v>
      </c>
      <c r="CB3" s="5"/>
      <c r="CC3" s="5"/>
      <c r="CD3" s="5" t="s">
        <v>22</v>
      </c>
      <c r="CE3" s="5" t="s">
        <v>22</v>
      </c>
      <c r="CF3" s="5" t="s">
        <v>22</v>
      </c>
      <c r="CG3" s="14"/>
    </row>
    <row r="4" spans="1:85" x14ac:dyDescent="0.25">
      <c r="A4" t="s">
        <v>46</v>
      </c>
      <c r="B4">
        <v>2</v>
      </c>
      <c r="C4">
        <v>9.4500000000000011</v>
      </c>
      <c r="E4" t="s">
        <v>3</v>
      </c>
      <c r="F4" t="s">
        <v>52</v>
      </c>
      <c r="G4">
        <v>76.98</v>
      </c>
      <c r="H4" s="7">
        <v>205940</v>
      </c>
      <c r="J4">
        <v>240</v>
      </c>
      <c r="K4">
        <v>412</v>
      </c>
      <c r="M4" t="s">
        <v>36</v>
      </c>
      <c r="N4" t="s">
        <v>58</v>
      </c>
      <c r="O4" s="8">
        <v>20</v>
      </c>
      <c r="P4" s="8">
        <v>30</v>
      </c>
      <c r="Q4" s="8" t="s">
        <v>54</v>
      </c>
      <c r="R4" s="8" t="s">
        <v>56</v>
      </c>
      <c r="S4" s="8" t="s">
        <v>56</v>
      </c>
      <c r="T4" s="8">
        <v>6</v>
      </c>
      <c r="U4" s="8">
        <v>6</v>
      </c>
      <c r="X4" s="8" t="str">
        <f>IF(M4="","",IFERROR(CheckConcMember(N4, M4, O4, P4),"Check"))</f>
        <v>OK</v>
      </c>
      <c r="AA4" t="s">
        <v>37</v>
      </c>
      <c r="AB4" t="s">
        <v>96</v>
      </c>
      <c r="AC4" s="8">
        <v>12</v>
      </c>
      <c r="AD4" s="8" t="s">
        <v>54</v>
      </c>
      <c r="AE4" t="str">
        <f>IF(AA4="","",IFERROR(CheckConcMember(AB4, AA4, AC4, 0),"Check"))</f>
        <v>Check</v>
      </c>
      <c r="BA4" s="10" t="s">
        <v>39</v>
      </c>
      <c r="BB4" s="12" t="s">
        <v>105</v>
      </c>
      <c r="BC4" s="10" t="s">
        <v>52</v>
      </c>
      <c r="BE4" s="8">
        <v>600</v>
      </c>
      <c r="BF4" s="8">
        <v>10</v>
      </c>
      <c r="BG4" s="8">
        <v>200</v>
      </c>
      <c r="BH4" s="8">
        <v>12</v>
      </c>
      <c r="BI4" s="8">
        <v>200</v>
      </c>
      <c r="BJ4" s="8">
        <v>12</v>
      </c>
      <c r="BK4" t="str" cm="1">
        <f t="array" ref="BK4">IF(OR(BA4="",BA4="Taper"),"",CheckSectI(BB4, BA4, BE4, BF4, BG4, BH4, BI4, BJ4))</f>
        <v>OK</v>
      </c>
      <c r="CA4" s="8" t="s">
        <v>44</v>
      </c>
      <c r="CB4" s="8" t="s">
        <v>45</v>
      </c>
      <c r="CC4" s="8" t="s">
        <v>3</v>
      </c>
      <c r="CD4" s="8">
        <v>60</v>
      </c>
      <c r="CE4" s="8">
        <v>120</v>
      </c>
      <c r="CF4" s="8">
        <v>10</v>
      </c>
      <c r="CG4" s="8" t="str" cm="1">
        <f t="array" ref="CG4">IF(CA4="","",IFERROR(CheckHollow(CB4, CA4, CD4, CE4, CF4),"Check"))</f>
        <v>OK</v>
      </c>
    </row>
    <row r="5" spans="1:85" x14ac:dyDescent="0.25">
      <c r="A5" t="s">
        <v>47</v>
      </c>
      <c r="B5">
        <v>3.6</v>
      </c>
      <c r="C5">
        <v>7.45</v>
      </c>
      <c r="M5" t="s">
        <v>36</v>
      </c>
      <c r="N5" t="s">
        <v>59</v>
      </c>
      <c r="O5" s="8">
        <v>10</v>
      </c>
      <c r="P5" s="8">
        <v>55</v>
      </c>
      <c r="Q5" s="8" t="s">
        <v>54</v>
      </c>
      <c r="R5" s="8" t="s">
        <v>56</v>
      </c>
      <c r="S5" s="8" t="s">
        <v>56</v>
      </c>
      <c r="T5" s="8">
        <v>6</v>
      </c>
      <c r="U5" s="8">
        <v>6</v>
      </c>
      <c r="X5" s="8" t="str">
        <f>IF(M5="","",IFERROR(CheckConcMember(N5, M5, O5, P5),"Check"))</f>
        <v>OK</v>
      </c>
      <c r="AA5" t="s">
        <v>37</v>
      </c>
      <c r="AB5" t="s">
        <v>97</v>
      </c>
      <c r="AC5" s="8">
        <v>12</v>
      </c>
      <c r="AD5" s="8" t="s">
        <v>54</v>
      </c>
      <c r="AE5" t="str">
        <f>IF(AA5="","",IFERROR(CheckConcMember(AB5, AA5, AC5, 0),"Check"))</f>
        <v>Check</v>
      </c>
      <c r="BA5" s="10" t="s">
        <v>39</v>
      </c>
      <c r="BB5" s="12" t="s">
        <v>106</v>
      </c>
      <c r="BC5" s="10" t="s">
        <v>52</v>
      </c>
      <c r="BE5" s="8">
        <v>450</v>
      </c>
      <c r="BF5" s="8">
        <v>10</v>
      </c>
      <c r="BG5" s="8">
        <v>200</v>
      </c>
      <c r="BH5" s="8">
        <v>12</v>
      </c>
      <c r="BI5" s="8">
        <v>200</v>
      </c>
      <c r="BJ5" s="8">
        <v>12</v>
      </c>
      <c r="BK5" t="str" cm="1">
        <f t="array" ref="BK5">IF(OR(BA5="",BA5="Taper"),"",CheckSectI(BB5, BA5, BE5, BF5, BG5, BH5, BI5, BJ5))</f>
        <v>OK</v>
      </c>
      <c r="CA5" s="8" t="s">
        <v>111</v>
      </c>
      <c r="CB5" s="8" t="s">
        <v>112</v>
      </c>
      <c r="CC5" s="8" t="s">
        <v>52</v>
      </c>
      <c r="CE5" s="8">
        <v>114</v>
      </c>
      <c r="CF5" s="8">
        <v>3</v>
      </c>
      <c r="CG5" s="8" t="str" cm="1">
        <f t="array" ref="CG5">IF(CA5="","",IFERROR(CheckHollow(CB5, CA5, CD5, CE5, CF5),"Check"))</f>
        <v>Check</v>
      </c>
    </row>
    <row r="6" spans="1:85" x14ac:dyDescent="0.25">
      <c r="A6" t="s">
        <v>48</v>
      </c>
      <c r="B6">
        <v>3.9</v>
      </c>
      <c r="C6">
        <v>3.85</v>
      </c>
      <c r="E6" t="s">
        <v>53</v>
      </c>
      <c r="F6" t="s">
        <v>54</v>
      </c>
      <c r="G6">
        <v>24.52</v>
      </c>
      <c r="H6" s="7">
        <v>26478</v>
      </c>
      <c r="I6">
        <v>22.01</v>
      </c>
      <c r="M6" t="s">
        <v>36</v>
      </c>
      <c r="N6" t="s">
        <v>60</v>
      </c>
      <c r="O6" s="8">
        <v>20</v>
      </c>
      <c r="P6" s="8">
        <v>60</v>
      </c>
      <c r="Q6" s="8" t="s">
        <v>54</v>
      </c>
      <c r="R6" s="8" t="s">
        <v>56</v>
      </c>
      <c r="S6" s="8" t="s">
        <v>56</v>
      </c>
      <c r="T6" s="8">
        <v>6</v>
      </c>
      <c r="U6" s="8">
        <v>6</v>
      </c>
      <c r="X6" s="8" t="str">
        <f>IF(M6="","",IFERROR(CheckConcMember(N6, M6, O6, P6),"Check"))</f>
        <v>OK</v>
      </c>
      <c r="AA6" t="s">
        <v>37</v>
      </c>
      <c r="AB6" t="s">
        <v>98</v>
      </c>
      <c r="AC6" s="8">
        <v>12</v>
      </c>
      <c r="AD6" s="8" t="s">
        <v>54</v>
      </c>
      <c r="AE6" t="str">
        <f>IF(AA6="","",IFERROR(CheckConcMember(AB6, AA6, AC6, 0),"Check"))</f>
        <v>Check</v>
      </c>
      <c r="BA6" s="10" t="s">
        <v>39</v>
      </c>
      <c r="BB6" s="12" t="s">
        <v>107</v>
      </c>
      <c r="BC6" s="10" t="s">
        <v>52</v>
      </c>
      <c r="BE6" s="8">
        <v>250</v>
      </c>
      <c r="BF6" s="8">
        <v>6</v>
      </c>
      <c r="BG6" s="8">
        <v>125</v>
      </c>
      <c r="BH6" s="8">
        <v>9</v>
      </c>
      <c r="BI6" s="8">
        <v>125</v>
      </c>
      <c r="BJ6" s="8">
        <v>9</v>
      </c>
      <c r="BK6" t="str" cm="1">
        <f t="array" ref="BK6">IF(OR(BA6="",BA6="Taper"),"",CheckSectI(BB6, BA6, BE6, BF6, BG6, BH6, BI6, BJ6))</f>
        <v>OK</v>
      </c>
      <c r="CA6" s="8" t="s">
        <v>111</v>
      </c>
      <c r="CB6" s="8" t="s">
        <v>113</v>
      </c>
      <c r="CC6" s="8" t="s">
        <v>52</v>
      </c>
      <c r="CE6" s="8">
        <v>90</v>
      </c>
      <c r="CF6" s="8">
        <v>4</v>
      </c>
      <c r="CG6" s="8" t="str" cm="1">
        <f t="array" ref="CG6">IF(CA6="","",IFERROR(CheckHollow(CB6, CA6, CD6, CE6, CF6),"Check"))</f>
        <v>OK</v>
      </c>
    </row>
    <row r="7" spans="1:85" x14ac:dyDescent="0.25">
      <c r="A7" t="s">
        <v>49</v>
      </c>
      <c r="B7">
        <v>1.5</v>
      </c>
      <c r="C7">
        <v>-0.05</v>
      </c>
      <c r="M7" t="s">
        <v>36</v>
      </c>
      <c r="N7" t="s">
        <v>61</v>
      </c>
      <c r="O7" s="8">
        <v>20</v>
      </c>
      <c r="P7" s="8">
        <v>40</v>
      </c>
      <c r="Q7" s="8" t="s">
        <v>54</v>
      </c>
      <c r="R7" s="8" t="s">
        <v>56</v>
      </c>
      <c r="S7" s="8" t="s">
        <v>56</v>
      </c>
      <c r="T7" s="8">
        <v>6</v>
      </c>
      <c r="U7" s="8">
        <v>6</v>
      </c>
      <c r="X7" s="8" t="str">
        <f>IF(M7="","",IFERROR(CheckConcMember(N7, M7, O7, P7),"Check"))</f>
        <v>OK</v>
      </c>
      <c r="AA7" t="s">
        <v>37</v>
      </c>
      <c r="AB7" t="s">
        <v>99</v>
      </c>
      <c r="AC7" s="8">
        <v>10</v>
      </c>
      <c r="AD7" s="8" t="s">
        <v>54</v>
      </c>
      <c r="AE7" t="str">
        <f>IF(AA7="","",IFERROR(CheckConcMember(AB7, AA7, AC7, 0),"Check"))</f>
        <v>Check</v>
      </c>
      <c r="BK7" t="str" cm="1">
        <f t="array" ref="BK7">IF(OR(BA7="",BA7="Taper"),"",CheckSectI(BB7, BA7, BE7, BF7, BG7, BH7, BI7, BJ7))</f>
        <v/>
      </c>
    </row>
    <row r="8" spans="1:85" x14ac:dyDescent="0.25">
      <c r="A8" t="s">
        <v>50</v>
      </c>
      <c r="B8">
        <v>0.5</v>
      </c>
      <c r="C8">
        <v>-1.55</v>
      </c>
      <c r="E8" t="s">
        <v>55</v>
      </c>
      <c r="F8" t="s">
        <v>56</v>
      </c>
      <c r="G8">
        <v>76.98</v>
      </c>
      <c r="H8" s="7">
        <v>196133</v>
      </c>
      <c r="J8">
        <v>312</v>
      </c>
      <c r="K8">
        <v>467</v>
      </c>
      <c r="M8" t="s">
        <v>36</v>
      </c>
      <c r="N8" t="s">
        <v>62</v>
      </c>
      <c r="O8" s="8">
        <v>20</v>
      </c>
      <c r="P8" s="8">
        <v>20</v>
      </c>
      <c r="Q8" s="8" t="s">
        <v>54</v>
      </c>
      <c r="R8" s="8" t="s">
        <v>56</v>
      </c>
      <c r="S8" s="8" t="s">
        <v>56</v>
      </c>
      <c r="T8" s="8">
        <v>6</v>
      </c>
      <c r="U8" s="8">
        <v>6</v>
      </c>
      <c r="X8" s="8" t="str">
        <f>IF(M8="","",IFERROR(CheckConcMember(N8, M8, O8, P8),"Check"))</f>
        <v>OK</v>
      </c>
      <c r="AA8" t="s">
        <v>37</v>
      </c>
      <c r="AB8" t="s">
        <v>100</v>
      </c>
      <c r="AC8" s="8">
        <v>12</v>
      </c>
      <c r="AD8" s="8" t="s">
        <v>54</v>
      </c>
      <c r="AE8" t="str">
        <f>IF(AA8="","",IFERROR(CheckConcMember(AB8, AA8, AC8, 0),"Check"))</f>
        <v>Check</v>
      </c>
      <c r="BA8" s="10" t="s">
        <v>108</v>
      </c>
      <c r="BB8" s="12" t="s">
        <v>109</v>
      </c>
      <c r="BD8" s="8">
        <v>450</v>
      </c>
      <c r="BE8" s="8">
        <v>600</v>
      </c>
      <c r="BF8" s="8">
        <v>10</v>
      </c>
      <c r="BG8" s="8">
        <v>200</v>
      </c>
      <c r="BH8" s="8">
        <v>12</v>
      </c>
      <c r="BI8" s="8">
        <v>200</v>
      </c>
      <c r="BJ8" s="8">
        <v>12</v>
      </c>
      <c r="BK8" t="str" cm="1">
        <f t="array" ref="BK8">IF(OR(BA8="",BA8="Taper"),"",CheckSectI(BB8, BA8, BE8, BF8, BG8, BH8, BI8, BJ8))</f>
        <v/>
      </c>
    </row>
    <row r="9" spans="1:85" x14ac:dyDescent="0.25">
      <c r="A9" t="s">
        <v>51</v>
      </c>
      <c r="C9">
        <v>-2.0499999999999998</v>
      </c>
      <c r="E9" t="s">
        <v>55</v>
      </c>
      <c r="F9" t="s">
        <v>57</v>
      </c>
      <c r="G9">
        <v>76.98</v>
      </c>
      <c r="H9" s="7">
        <v>205940</v>
      </c>
      <c r="J9">
        <v>242</v>
      </c>
      <c r="K9">
        <v>363</v>
      </c>
      <c r="M9" t="s">
        <v>36</v>
      </c>
      <c r="N9" t="s">
        <v>63</v>
      </c>
      <c r="O9" s="8">
        <v>30</v>
      </c>
      <c r="P9" s="8">
        <v>85</v>
      </c>
      <c r="Q9" s="8" t="s">
        <v>54</v>
      </c>
      <c r="R9" s="8" t="s">
        <v>56</v>
      </c>
      <c r="S9" s="8" t="s">
        <v>56</v>
      </c>
      <c r="T9" s="8">
        <v>6</v>
      </c>
      <c r="U9" s="8">
        <v>6</v>
      </c>
      <c r="X9" s="8" t="str">
        <f>IF(M9="","",IFERROR(CheckConcMember(N9, M9, O9, P9),"Check"))</f>
        <v>OK</v>
      </c>
      <c r="AA9" t="s">
        <v>37</v>
      </c>
      <c r="AB9" t="s">
        <v>101</v>
      </c>
      <c r="AC9" s="8">
        <v>0.45</v>
      </c>
      <c r="AD9" s="8" t="s">
        <v>102</v>
      </c>
      <c r="AE9" t="str">
        <f>IF(AA9="","",IFERROR(CheckConcMember(AB9, AA9, AC9, 0),"Check"))</f>
        <v>Check</v>
      </c>
      <c r="BA9" s="10" t="s">
        <v>108</v>
      </c>
      <c r="BB9" s="12" t="s">
        <v>110</v>
      </c>
      <c r="BD9" s="8">
        <v>600</v>
      </c>
      <c r="BE9" s="8">
        <v>450</v>
      </c>
      <c r="BF9" s="8">
        <v>10</v>
      </c>
      <c r="BG9" s="8">
        <v>200</v>
      </c>
      <c r="BH9" s="8">
        <v>12</v>
      </c>
      <c r="BI9" s="8">
        <v>200</v>
      </c>
      <c r="BJ9" s="8">
        <v>12</v>
      </c>
      <c r="BK9" t="str" cm="1">
        <f t="array" ref="BK9">IF(OR(BA9="",BA9="Taper"),"",CheckSectI(BB9, BA9, BE9, BF9, BG9, BH9, BI9, BJ9))</f>
        <v/>
      </c>
    </row>
    <row r="10" spans="1:85" x14ac:dyDescent="0.25">
      <c r="M10" t="s">
        <v>36</v>
      </c>
      <c r="N10" t="s">
        <v>64</v>
      </c>
      <c r="O10" s="8">
        <v>20</v>
      </c>
      <c r="P10" s="8">
        <v>10</v>
      </c>
      <c r="Q10" s="8" t="s">
        <v>54</v>
      </c>
      <c r="R10" s="8" t="s">
        <v>56</v>
      </c>
      <c r="S10" s="8" t="s">
        <v>56</v>
      </c>
      <c r="T10" s="8">
        <v>6</v>
      </c>
      <c r="U10" s="8">
        <v>6</v>
      </c>
      <c r="X10" s="8" t="str">
        <f>IF(M10="","",IFERROR(CheckConcMember(N10, M10, O10, P10),"Check"))</f>
        <v>OK</v>
      </c>
      <c r="AE10" t="str">
        <f>IF(AA10="","",IFERROR(CheckConcMember(AB10, AA10, AC10, 0),"Check"))</f>
        <v/>
      </c>
    </row>
    <row r="11" spans="1:85" x14ac:dyDescent="0.25">
      <c r="M11" t="s">
        <v>36</v>
      </c>
      <c r="N11" t="s">
        <v>65</v>
      </c>
      <c r="O11" s="8">
        <v>20</v>
      </c>
      <c r="P11" s="8">
        <v>12</v>
      </c>
      <c r="Q11" s="8" t="s">
        <v>54</v>
      </c>
      <c r="R11" s="8" t="s">
        <v>56</v>
      </c>
      <c r="S11" s="8" t="s">
        <v>56</v>
      </c>
      <c r="T11" s="8">
        <v>6</v>
      </c>
      <c r="U11" s="8">
        <v>6</v>
      </c>
      <c r="X11" s="8" t="str">
        <f>IF(M11="","",IFERROR(CheckConcMember(N11, M11, O11, P11),"Check"))</f>
        <v>OK</v>
      </c>
      <c r="AA11" t="s">
        <v>103</v>
      </c>
      <c r="AB11" t="s">
        <v>104</v>
      </c>
      <c r="AC11" s="8">
        <v>20</v>
      </c>
      <c r="AD11" s="8" t="s">
        <v>54</v>
      </c>
      <c r="AE11" t="str">
        <f>IF(AA11="","",IFERROR(CheckConcMember(AB11, AA11, AC11, 0),"Check"))</f>
        <v>OK</v>
      </c>
    </row>
    <row r="12" spans="1:85" x14ac:dyDescent="0.25">
      <c r="M12" t="s">
        <v>36</v>
      </c>
      <c r="N12" t="s">
        <v>66</v>
      </c>
      <c r="O12" s="8">
        <v>40</v>
      </c>
      <c r="P12" s="8">
        <v>60</v>
      </c>
      <c r="Q12" s="8" t="s">
        <v>54</v>
      </c>
      <c r="R12" s="8" t="s">
        <v>56</v>
      </c>
      <c r="S12" s="8" t="s">
        <v>56</v>
      </c>
      <c r="T12" s="8">
        <v>6</v>
      </c>
      <c r="U12" s="8">
        <v>6</v>
      </c>
      <c r="X12" s="8" t="str">
        <f>IF(M12="","",IFERROR(CheckConcMember(N12, M12, O12, P12),"Check"))</f>
        <v>OK</v>
      </c>
    </row>
    <row r="13" spans="1:85" x14ac:dyDescent="0.25">
      <c r="M13" t="s">
        <v>36</v>
      </c>
      <c r="N13" t="s">
        <v>67</v>
      </c>
      <c r="O13" s="8">
        <v>20</v>
      </c>
      <c r="P13" s="8">
        <v>30</v>
      </c>
      <c r="Q13" s="8" t="s">
        <v>54</v>
      </c>
      <c r="R13" s="8" t="s">
        <v>56</v>
      </c>
      <c r="S13" s="8" t="s">
        <v>56</v>
      </c>
      <c r="T13" s="8">
        <v>6</v>
      </c>
      <c r="U13" s="8">
        <v>6</v>
      </c>
      <c r="X13" s="8" t="str">
        <f>IF(M13="","",IFERROR(CheckConcMember(N13, M13, O13, P13),"Check"))</f>
        <v>OK</v>
      </c>
    </row>
    <row r="14" spans="1:85" x14ac:dyDescent="0.25">
      <c r="M14" t="s">
        <v>36</v>
      </c>
      <c r="N14" t="s">
        <v>68</v>
      </c>
      <c r="O14" s="8">
        <v>10</v>
      </c>
      <c r="P14" s="8">
        <v>20</v>
      </c>
      <c r="Q14" s="8" t="s">
        <v>54</v>
      </c>
      <c r="R14" s="8" t="s">
        <v>56</v>
      </c>
      <c r="S14" s="8" t="s">
        <v>56</v>
      </c>
      <c r="T14" s="8">
        <v>6</v>
      </c>
      <c r="U14" s="8">
        <v>6</v>
      </c>
      <c r="X14" s="8" t="str">
        <f>IF(M14="","",IFERROR(CheckConcMember(N14, M14, O14, P14),"Check"))</f>
        <v>OK</v>
      </c>
    </row>
    <row r="15" spans="1:85" x14ac:dyDescent="0.25">
      <c r="M15" t="s">
        <v>36</v>
      </c>
      <c r="N15" t="s">
        <v>69</v>
      </c>
      <c r="O15" s="8">
        <v>20</v>
      </c>
      <c r="P15" s="8">
        <v>20</v>
      </c>
      <c r="Q15" s="8" t="s">
        <v>54</v>
      </c>
      <c r="R15" s="8" t="s">
        <v>56</v>
      </c>
      <c r="S15" s="8" t="s">
        <v>56</v>
      </c>
      <c r="T15" s="8">
        <v>3</v>
      </c>
      <c r="U15" s="8">
        <v>3</v>
      </c>
      <c r="X15" s="8" t="str">
        <f>IF(M15="","",IFERROR(CheckConcMember(N15, M15, O15, P15),"Check"))</f>
        <v>OK</v>
      </c>
    </row>
    <row r="16" spans="1:85" x14ac:dyDescent="0.25">
      <c r="M16" t="s">
        <v>36</v>
      </c>
      <c r="N16" t="s">
        <v>70</v>
      </c>
      <c r="O16" s="8">
        <v>20</v>
      </c>
      <c r="P16" s="8">
        <v>45</v>
      </c>
      <c r="Q16" s="8" t="s">
        <v>54</v>
      </c>
      <c r="R16" s="8" t="s">
        <v>56</v>
      </c>
      <c r="S16" s="8" t="s">
        <v>56</v>
      </c>
      <c r="T16" s="8">
        <v>6</v>
      </c>
      <c r="U16" s="8">
        <v>6</v>
      </c>
      <c r="X16" s="8" t="str">
        <f>IF(M16="","",IFERROR(CheckConcMember(N16, M16, O16, P16),"Check"))</f>
        <v>OK</v>
      </c>
    </row>
    <row r="17" spans="13:24" x14ac:dyDescent="0.25">
      <c r="M17" t="s">
        <v>36</v>
      </c>
      <c r="N17" t="s">
        <v>71</v>
      </c>
      <c r="O17" s="8">
        <v>30</v>
      </c>
      <c r="P17" s="8">
        <v>35</v>
      </c>
      <c r="Q17" s="8" t="s">
        <v>54</v>
      </c>
      <c r="R17" s="8" t="s">
        <v>56</v>
      </c>
      <c r="S17" s="8" t="s">
        <v>56</v>
      </c>
      <c r="T17" s="8">
        <v>6</v>
      </c>
      <c r="U17" s="8">
        <v>6</v>
      </c>
      <c r="X17" s="8" t="str">
        <f>IF(M17="","",IFERROR(CheckConcMember(N17, M17, O17, P17),"Check"))</f>
        <v>OK</v>
      </c>
    </row>
    <row r="18" spans="13:24" x14ac:dyDescent="0.25">
      <c r="M18" t="s">
        <v>36</v>
      </c>
      <c r="N18" t="s">
        <v>72</v>
      </c>
      <c r="O18" s="8">
        <v>20</v>
      </c>
      <c r="P18" s="8">
        <v>40</v>
      </c>
      <c r="Q18" s="8" t="s">
        <v>54</v>
      </c>
      <c r="R18" s="8" t="s">
        <v>56</v>
      </c>
      <c r="S18" s="8" t="s">
        <v>56</v>
      </c>
      <c r="T18" s="8">
        <v>6</v>
      </c>
      <c r="U18" s="8">
        <v>6</v>
      </c>
      <c r="X18" s="8" t="str">
        <f>IF(M18="","",IFERROR(CheckConcMember(N18, M18, O18, P18),"Check"))</f>
        <v>OK</v>
      </c>
    </row>
    <row r="19" spans="13:24" x14ac:dyDescent="0.25">
      <c r="M19" t="s">
        <v>36</v>
      </c>
      <c r="N19" t="s">
        <v>73</v>
      </c>
      <c r="O19" s="8">
        <v>20</v>
      </c>
      <c r="P19" s="8">
        <v>20</v>
      </c>
      <c r="Q19" s="8" t="s">
        <v>54</v>
      </c>
      <c r="R19" s="8" t="s">
        <v>56</v>
      </c>
      <c r="S19" s="8" t="s">
        <v>56</v>
      </c>
      <c r="T19" s="8">
        <v>6</v>
      </c>
      <c r="U19" s="8">
        <v>6</v>
      </c>
      <c r="X19" s="8" t="str">
        <f>IF(M19="","",IFERROR(CheckConcMember(N19, M19, O19, P19),"Check"))</f>
        <v>OK</v>
      </c>
    </row>
    <row r="20" spans="13:24" x14ac:dyDescent="0.25">
      <c r="M20" t="s">
        <v>36</v>
      </c>
      <c r="N20" t="s">
        <v>74</v>
      </c>
      <c r="O20" s="8">
        <v>30</v>
      </c>
      <c r="P20" s="8">
        <v>40</v>
      </c>
      <c r="Q20" s="8" t="s">
        <v>54</v>
      </c>
      <c r="R20" s="8" t="s">
        <v>56</v>
      </c>
      <c r="S20" s="8" t="s">
        <v>56</v>
      </c>
      <c r="T20" s="8">
        <v>6</v>
      </c>
      <c r="U20" s="8">
        <v>6</v>
      </c>
      <c r="X20" s="8" t="str">
        <f>IF(M20="","",IFERROR(CheckConcMember(N20, M20, O20, P20),"Check"))</f>
        <v>OK</v>
      </c>
    </row>
    <row r="21" spans="13:24" x14ac:dyDescent="0.25">
      <c r="M21" t="s">
        <v>36</v>
      </c>
      <c r="N21" t="s">
        <v>75</v>
      </c>
      <c r="O21" s="8">
        <v>80</v>
      </c>
      <c r="P21" s="8">
        <v>50</v>
      </c>
      <c r="Q21" s="8" t="s">
        <v>54</v>
      </c>
      <c r="R21" s="8" t="s">
        <v>56</v>
      </c>
      <c r="S21" s="8" t="s">
        <v>56</v>
      </c>
      <c r="T21" s="8">
        <v>6</v>
      </c>
      <c r="U21" s="8">
        <v>6</v>
      </c>
      <c r="X21" s="8" t="str">
        <f>IF(M21="","",IFERROR(CheckConcMember(N21, M21, O21, P21),"Check"))</f>
        <v>OK</v>
      </c>
    </row>
    <row r="22" spans="13:24" x14ac:dyDescent="0.25">
      <c r="M22" t="s">
        <v>36</v>
      </c>
      <c r="N22" t="s">
        <v>76</v>
      </c>
      <c r="O22" s="8">
        <v>30</v>
      </c>
      <c r="P22" s="8">
        <v>50</v>
      </c>
      <c r="Q22" s="8" t="s">
        <v>54</v>
      </c>
      <c r="R22" s="8" t="s">
        <v>56</v>
      </c>
      <c r="S22" s="8" t="s">
        <v>56</v>
      </c>
      <c r="T22" s="8">
        <v>6</v>
      </c>
      <c r="U22" s="8">
        <v>6</v>
      </c>
      <c r="X22" s="8" t="str">
        <f>IF(M22="","",IFERROR(CheckConcMember(N22, M22, O22, P22),"Check"))</f>
        <v>OK</v>
      </c>
    </row>
    <row r="23" spans="13:24" x14ac:dyDescent="0.25">
      <c r="M23" t="s">
        <v>36</v>
      </c>
      <c r="N23" t="s">
        <v>77</v>
      </c>
      <c r="O23" s="8">
        <v>10</v>
      </c>
      <c r="P23" s="8">
        <v>10</v>
      </c>
      <c r="Q23" s="8" t="s">
        <v>54</v>
      </c>
      <c r="R23" s="8" t="s">
        <v>56</v>
      </c>
      <c r="S23" s="8" t="s">
        <v>56</v>
      </c>
      <c r="T23" s="8">
        <v>6</v>
      </c>
      <c r="U23" s="8">
        <v>6</v>
      </c>
      <c r="X23" s="8" t="str">
        <f>IF(M23="","",IFERROR(CheckConcMember(N23, M23, O23, P23),"Check"))</f>
        <v>Check</v>
      </c>
    </row>
    <row r="24" spans="13:24" x14ac:dyDescent="0.25">
      <c r="M24" t="s">
        <v>36</v>
      </c>
      <c r="N24" t="s">
        <v>78</v>
      </c>
      <c r="O24" s="8">
        <v>60</v>
      </c>
      <c r="P24" s="8">
        <v>50</v>
      </c>
      <c r="Q24" s="8" t="s">
        <v>54</v>
      </c>
      <c r="R24" s="8" t="s">
        <v>56</v>
      </c>
      <c r="S24" s="8" t="s">
        <v>56</v>
      </c>
      <c r="T24" s="8">
        <v>6</v>
      </c>
      <c r="U24" s="8">
        <v>6</v>
      </c>
      <c r="X24" s="8" t="str">
        <f>IF(M24="","",IFERROR(CheckConcMember(N24, M24, O24, P24),"Check"))</f>
        <v>OK</v>
      </c>
    </row>
    <row r="25" spans="13:24" x14ac:dyDescent="0.25">
      <c r="M25" t="s">
        <v>36</v>
      </c>
      <c r="N25" t="s">
        <v>79</v>
      </c>
      <c r="O25" s="8">
        <v>30</v>
      </c>
      <c r="P25" s="8">
        <v>80</v>
      </c>
      <c r="Q25" s="8" t="s">
        <v>54</v>
      </c>
      <c r="R25" s="8" t="s">
        <v>56</v>
      </c>
      <c r="S25" s="8" t="s">
        <v>56</v>
      </c>
      <c r="T25" s="8">
        <v>6</v>
      </c>
      <c r="U25" s="8">
        <v>6</v>
      </c>
      <c r="X25" s="8" t="str">
        <f>IF(M25="","",IFERROR(CheckConcMember(N25, M25, O25, P25),"Check"))</f>
        <v>OK</v>
      </c>
    </row>
    <row r="26" spans="13:24" x14ac:dyDescent="0.25">
      <c r="M26" t="s">
        <v>36</v>
      </c>
      <c r="N26" t="s">
        <v>80</v>
      </c>
      <c r="O26" s="8">
        <v>30</v>
      </c>
      <c r="P26" s="8">
        <v>40</v>
      </c>
      <c r="Q26" s="8" t="s">
        <v>54</v>
      </c>
      <c r="R26" s="8" t="s">
        <v>56</v>
      </c>
      <c r="S26" s="8" t="s">
        <v>56</v>
      </c>
      <c r="T26" s="8">
        <v>6</v>
      </c>
      <c r="U26" s="8">
        <v>6</v>
      </c>
      <c r="X26" s="8" t="str">
        <f>IF(M26="","",IFERROR(CheckConcMember(N26, M26, O26, P26),"Check"))</f>
        <v>OK</v>
      </c>
    </row>
    <row r="27" spans="13:24" x14ac:dyDescent="0.25">
      <c r="M27" t="s">
        <v>36</v>
      </c>
      <c r="N27" t="s">
        <v>81</v>
      </c>
      <c r="O27" s="8">
        <v>40</v>
      </c>
      <c r="P27" s="8">
        <v>50</v>
      </c>
      <c r="Q27" s="8" t="s">
        <v>54</v>
      </c>
      <c r="R27" s="8" t="s">
        <v>56</v>
      </c>
      <c r="S27" s="8" t="s">
        <v>56</v>
      </c>
      <c r="T27" s="8">
        <v>6</v>
      </c>
      <c r="U27" s="8">
        <v>6</v>
      </c>
      <c r="X27" s="8" t="str">
        <f>IF(M27="","",IFERROR(CheckConcMember(N27, M27, O27, P27),"Check"))</f>
        <v>OK</v>
      </c>
    </row>
    <row r="28" spans="13:24" x14ac:dyDescent="0.25">
      <c r="M28" t="s">
        <v>36</v>
      </c>
      <c r="N28" t="s">
        <v>82</v>
      </c>
      <c r="O28" s="8">
        <v>25</v>
      </c>
      <c r="P28" s="8">
        <v>40</v>
      </c>
      <c r="Q28" s="8" t="s">
        <v>54</v>
      </c>
      <c r="R28" s="8" t="s">
        <v>56</v>
      </c>
      <c r="S28" s="8" t="s">
        <v>56</v>
      </c>
      <c r="T28" s="8">
        <v>6</v>
      </c>
      <c r="U28" s="8">
        <v>6</v>
      </c>
      <c r="X28" s="8" t="str">
        <f>IF(M28="","",IFERROR(CheckConcMember(N28, M28, O28, P28),"Check"))</f>
        <v>OK</v>
      </c>
    </row>
    <row r="29" spans="13:24" x14ac:dyDescent="0.25">
      <c r="M29" t="s">
        <v>36</v>
      </c>
      <c r="N29" t="s">
        <v>83</v>
      </c>
      <c r="O29" s="8">
        <v>10</v>
      </c>
      <c r="P29" s="8">
        <v>50</v>
      </c>
      <c r="Q29" s="8" t="s">
        <v>54</v>
      </c>
      <c r="R29" s="8" t="s">
        <v>56</v>
      </c>
      <c r="S29" s="8" t="s">
        <v>56</v>
      </c>
      <c r="T29" s="8">
        <v>6</v>
      </c>
      <c r="U29" s="8">
        <v>6</v>
      </c>
      <c r="X29" s="8" t="str">
        <f>IF(M29="","",IFERROR(CheckConcMember(N29, M29, O29, P29),"Check"))</f>
        <v>OK</v>
      </c>
    </row>
    <row r="30" spans="13:24" x14ac:dyDescent="0.25">
      <c r="X30" s="8" t="str">
        <f>IF(M30="","",IFERROR(CheckConcMember(N30, M30, O30, P30),"Check"))</f>
        <v/>
      </c>
    </row>
    <row r="31" spans="13:24" x14ac:dyDescent="0.25">
      <c r="M31" t="s">
        <v>84</v>
      </c>
      <c r="N31" t="s">
        <v>85</v>
      </c>
      <c r="O31" s="8">
        <v>20</v>
      </c>
      <c r="P31" s="8">
        <v>30</v>
      </c>
      <c r="Q31" s="8" t="s">
        <v>54</v>
      </c>
      <c r="R31" s="8" t="s">
        <v>56</v>
      </c>
      <c r="S31" s="8" t="s">
        <v>56</v>
      </c>
      <c r="T31" s="8">
        <v>4</v>
      </c>
      <c r="V31" s="8">
        <v>2</v>
      </c>
      <c r="W31">
        <v>3</v>
      </c>
      <c r="X31" s="8" t="str">
        <f>IF(M31="","",IFERROR(CheckConcMember(N31, M31, O31, P31),"Check"))</f>
        <v>OK</v>
      </c>
    </row>
    <row r="32" spans="13:24" x14ac:dyDescent="0.25">
      <c r="M32" t="s">
        <v>84</v>
      </c>
      <c r="N32" t="s">
        <v>86</v>
      </c>
      <c r="O32" s="8">
        <v>30</v>
      </c>
      <c r="P32" s="8">
        <v>20</v>
      </c>
      <c r="Q32" s="8" t="s">
        <v>54</v>
      </c>
      <c r="R32" s="8" t="s">
        <v>56</v>
      </c>
      <c r="S32" s="8" t="s">
        <v>56</v>
      </c>
      <c r="T32" s="8">
        <v>4</v>
      </c>
      <c r="V32" s="8">
        <v>2</v>
      </c>
      <c r="W32">
        <v>3</v>
      </c>
      <c r="X32" s="8" t="str">
        <f>IF(M32="","",IFERROR(CheckConcMember(N32, M32, O32, P32),"Check"))</f>
        <v>OK</v>
      </c>
    </row>
    <row r="33" spans="13:24" x14ac:dyDescent="0.25">
      <c r="M33" t="s">
        <v>84</v>
      </c>
      <c r="N33" t="s">
        <v>87</v>
      </c>
      <c r="O33" s="8">
        <v>20</v>
      </c>
      <c r="P33" s="8">
        <v>20</v>
      </c>
      <c r="Q33" s="8" t="s">
        <v>54</v>
      </c>
      <c r="R33" s="8" t="s">
        <v>56</v>
      </c>
      <c r="S33" s="8" t="s">
        <v>56</v>
      </c>
      <c r="T33" s="8">
        <v>4</v>
      </c>
      <c r="V33" s="8">
        <v>2</v>
      </c>
      <c r="W33">
        <v>2</v>
      </c>
      <c r="X33" s="8" t="str">
        <f>IF(M33="","",IFERROR(CheckConcMember(N33, M33, O33, P33),"Check"))</f>
        <v>OK</v>
      </c>
    </row>
    <row r="34" spans="13:24" x14ac:dyDescent="0.25">
      <c r="M34" t="s">
        <v>84</v>
      </c>
      <c r="N34" t="s">
        <v>88</v>
      </c>
      <c r="O34" s="8">
        <v>60</v>
      </c>
      <c r="P34" s="8">
        <v>20</v>
      </c>
      <c r="Q34" s="8" t="s">
        <v>54</v>
      </c>
      <c r="R34" s="8" t="s">
        <v>56</v>
      </c>
      <c r="S34" s="8" t="s">
        <v>56</v>
      </c>
      <c r="T34" s="8">
        <v>4</v>
      </c>
      <c r="V34" s="8">
        <v>2</v>
      </c>
      <c r="W34">
        <v>3</v>
      </c>
      <c r="X34" s="8" t="str">
        <f>IF(M34="","",IFERROR(CheckConcMember(N34, M34, O34, P34),"Check"))</f>
        <v>OK</v>
      </c>
    </row>
    <row r="35" spans="13:24" x14ac:dyDescent="0.25">
      <c r="M35" t="s">
        <v>84</v>
      </c>
      <c r="N35" t="s">
        <v>89</v>
      </c>
      <c r="O35" s="8">
        <v>20</v>
      </c>
      <c r="P35" s="8">
        <v>40</v>
      </c>
      <c r="Q35" s="8" t="s">
        <v>54</v>
      </c>
      <c r="R35" s="8" t="s">
        <v>56</v>
      </c>
      <c r="S35" s="8" t="s">
        <v>57</v>
      </c>
      <c r="T35" s="8">
        <v>4</v>
      </c>
      <c r="V35" s="8">
        <v>2</v>
      </c>
      <c r="W35">
        <v>3</v>
      </c>
      <c r="X35" s="8" t="str">
        <f>IF(M35="","",IFERROR(CheckConcMember(N35, M35, O35, P35),"Check"))</f>
        <v>OK</v>
      </c>
    </row>
    <row r="36" spans="13:24" x14ac:dyDescent="0.25">
      <c r="M36" t="s">
        <v>84</v>
      </c>
      <c r="N36" t="s">
        <v>90</v>
      </c>
      <c r="O36" s="8">
        <v>20</v>
      </c>
      <c r="P36" s="8">
        <v>60</v>
      </c>
      <c r="Q36" s="8" t="s">
        <v>54</v>
      </c>
      <c r="R36" s="8" t="s">
        <v>56</v>
      </c>
      <c r="S36" s="8" t="s">
        <v>56</v>
      </c>
      <c r="T36" s="8">
        <v>4</v>
      </c>
      <c r="V36" s="8">
        <v>2</v>
      </c>
      <c r="W36">
        <v>3</v>
      </c>
      <c r="X36" s="8" t="str">
        <f>IF(M36="","",IFERROR(CheckConcMember(N36, M36, O36, P36),"Check"))</f>
        <v>OK</v>
      </c>
    </row>
    <row r="37" spans="13:24" x14ac:dyDescent="0.25">
      <c r="M37" t="s">
        <v>84</v>
      </c>
      <c r="N37" t="s">
        <v>91</v>
      </c>
      <c r="O37" s="8">
        <v>50</v>
      </c>
      <c r="P37" s="8">
        <v>30</v>
      </c>
      <c r="Q37" s="8" t="s">
        <v>54</v>
      </c>
      <c r="R37" s="8" t="s">
        <v>56</v>
      </c>
      <c r="S37" s="8" t="s">
        <v>56</v>
      </c>
      <c r="T37" s="8">
        <v>4</v>
      </c>
      <c r="V37" s="8">
        <v>2</v>
      </c>
      <c r="W37">
        <v>2</v>
      </c>
      <c r="X37" s="8" t="str">
        <f>IF(M37="","",IFERROR(CheckConcMember(N37, M37, O37, P37),"Check"))</f>
        <v>OK</v>
      </c>
    </row>
    <row r="38" spans="13:24" x14ac:dyDescent="0.25">
      <c r="M38" t="s">
        <v>84</v>
      </c>
      <c r="N38" t="s">
        <v>92</v>
      </c>
      <c r="O38" s="8">
        <v>40</v>
      </c>
      <c r="P38" s="8">
        <v>20</v>
      </c>
      <c r="Q38" s="8" t="s">
        <v>54</v>
      </c>
      <c r="R38" s="8" t="s">
        <v>56</v>
      </c>
      <c r="S38" s="8" t="s">
        <v>56</v>
      </c>
      <c r="T38" s="8">
        <v>4</v>
      </c>
      <c r="V38" s="8">
        <v>2</v>
      </c>
      <c r="W38">
        <v>3</v>
      </c>
      <c r="X38" s="8" t="str">
        <f>IF(M38="","",IFERROR(CheckConcMember(N38, M38, O38, P38),"Check"))</f>
        <v>OK</v>
      </c>
    </row>
    <row r="39" spans="13:24" x14ac:dyDescent="0.25">
      <c r="M39" t="s">
        <v>84</v>
      </c>
      <c r="N39" t="s">
        <v>93</v>
      </c>
      <c r="O39" s="8">
        <v>30</v>
      </c>
      <c r="P39" s="8">
        <v>30</v>
      </c>
      <c r="Q39" s="8" t="s">
        <v>54</v>
      </c>
      <c r="R39" s="8" t="s">
        <v>56</v>
      </c>
      <c r="S39" s="8" t="s">
        <v>56</v>
      </c>
      <c r="T39" s="8">
        <v>4</v>
      </c>
      <c r="V39" s="8">
        <v>3</v>
      </c>
      <c r="W39">
        <v>3</v>
      </c>
      <c r="X39" s="8" t="str">
        <f>IF(M39="","",IFERROR(CheckConcMember(N39, M39, O39, P39),"Check"))</f>
        <v>OK</v>
      </c>
    </row>
    <row r="40" spans="13:24" x14ac:dyDescent="0.25">
      <c r="X40" s="8" t="str">
        <f>IF(M40="","",IFERROR(CheckConcMember(N40, M40, O40, P40),"Check"))</f>
        <v/>
      </c>
    </row>
    <row r="41" spans="13:24" x14ac:dyDescent="0.25">
      <c r="M41" t="s">
        <v>94</v>
      </c>
      <c r="N41" t="s">
        <v>95</v>
      </c>
      <c r="O41" s="8">
        <v>1.2</v>
      </c>
      <c r="Q41" s="8" t="s">
        <v>52</v>
      </c>
      <c r="R41" s="8" t="s">
        <v>56</v>
      </c>
      <c r="S41" s="8" t="s">
        <v>56</v>
      </c>
      <c r="T41" s="8">
        <v>4</v>
      </c>
      <c r="X41" s="8" t="str">
        <f>IF(M41="","",IFERROR(CheckConcMember(N41, M41, O41, P41),"Check"))</f>
        <v>Check</v>
      </c>
    </row>
    <row r="42" spans="13:24" x14ac:dyDescent="0.25">
      <c r="M42" t="s">
        <v>94</v>
      </c>
      <c r="N42" t="s">
        <v>117</v>
      </c>
      <c r="O42" s="8">
        <v>50</v>
      </c>
      <c r="Q42" s="8" t="s">
        <v>54</v>
      </c>
      <c r="R42" s="8" t="s">
        <v>56</v>
      </c>
      <c r="S42" s="8" t="s">
        <v>56</v>
      </c>
      <c r="T42" s="8">
        <v>4</v>
      </c>
      <c r="X42" s="8" t="str">
        <f>IF(M42="","",IFERROR(CheckConcMember(N42, M42, O42, P42),"Check"))</f>
        <v>Check</v>
      </c>
    </row>
    <row r="43" spans="13:24" x14ac:dyDescent="0.25">
      <c r="X43" s="8"/>
    </row>
    <row r="44" spans="13:24" x14ac:dyDescent="0.25">
      <c r="X44" s="8"/>
    </row>
    <row r="45" spans="13:24" x14ac:dyDescent="0.25">
      <c r="X45" s="8"/>
    </row>
  </sheetData>
  <mergeCells count="22">
    <mergeCell ref="A1:C1"/>
    <mergeCell ref="F2:F3"/>
    <mergeCell ref="E2:E3"/>
    <mergeCell ref="E1:K1"/>
    <mergeCell ref="R2:S2"/>
    <mergeCell ref="M1:X1"/>
    <mergeCell ref="T2:U2"/>
    <mergeCell ref="X2:X3"/>
    <mergeCell ref="N2:N3"/>
    <mergeCell ref="Q2:Q3"/>
    <mergeCell ref="M2:M3"/>
    <mergeCell ref="V2:W2"/>
    <mergeCell ref="AE2:AE3"/>
    <mergeCell ref="AA1:AE1"/>
    <mergeCell ref="AA2:AA3"/>
    <mergeCell ref="BJ2:BJ3"/>
    <mergeCell ref="AB2:AB3"/>
    <mergeCell ref="CA1:CG1"/>
    <mergeCell ref="CG2:CG3"/>
    <mergeCell ref="BK2:BK3"/>
    <mergeCell ref="BA1:BK1"/>
    <mergeCell ref="BH2:BH3"/>
  </mergeCells>
  <conditionalFormatting sqref="E1:E1048576">
    <cfRule type="containsText" dxfId="19" priority="22" operator="containsText" text="Rebar">
      <formula>NOT(ISERROR(SEARCH("Rebar",E1)))</formula>
    </cfRule>
    <cfRule type="containsText" dxfId="18" priority="23" operator="containsText" text="Concrete">
      <formula>NOT(ISERROR(SEARCH("Concrete",E1)))</formula>
    </cfRule>
    <cfRule type="containsText" dxfId="17" priority="24" operator="containsText" text="Steel">
      <formula>NOT(ISERROR(SEARCH("Steel",E1)))</formula>
    </cfRule>
  </conditionalFormatting>
  <conditionalFormatting sqref="M1:M1048576">
    <cfRule type="containsText" dxfId="16" priority="19" operator="containsText" text="Circle Col">
      <formula>NOT(ISERROR(SEARCH("Circle Col",M1)))</formula>
    </cfRule>
    <cfRule type="containsText" dxfId="15" priority="20" operator="containsText" text="Column">
      <formula>NOT(ISERROR(SEARCH("Column",M1)))</formula>
    </cfRule>
    <cfRule type="containsText" dxfId="14" priority="21" operator="containsText" text="Beam">
      <formula>NOT(ISERROR(SEARCH("Beam",M1)))</formula>
    </cfRule>
  </conditionalFormatting>
  <conditionalFormatting sqref="AA1:AA1048576">
    <cfRule type="containsText" dxfId="13" priority="14" operator="containsText" text="Wall">
      <formula>NOT(ISERROR(SEARCH("Wall",AA1)))</formula>
    </cfRule>
    <cfRule type="containsText" dxfId="12" priority="15" operator="containsText" text="Slab">
      <formula>NOT(ISERROR(SEARCH("Slab",AA1)))</formula>
    </cfRule>
  </conditionalFormatting>
  <conditionalFormatting sqref="AA2:AA3">
    <cfRule type="containsText" dxfId="11" priority="16" operator="containsText" text="Circle Col">
      <formula>NOT(ISERROR(SEARCH("Circle Col",AA2)))</formula>
    </cfRule>
    <cfRule type="containsText" dxfId="10" priority="17" operator="containsText" text="Column">
      <formula>NOT(ISERROR(SEARCH("Column",AA2)))</formula>
    </cfRule>
    <cfRule type="containsText" dxfId="9" priority="18" operator="containsText" text="Beam">
      <formula>NOT(ISERROR(SEARCH("Beam",AA2)))</formula>
    </cfRule>
  </conditionalFormatting>
  <conditionalFormatting sqref="BA4:BA9999">
    <cfRule type="containsText" dxfId="8" priority="12" operator="containsText" text="Taper">
      <formula>NOT(ISERROR(SEARCH("Taper",BA4)))</formula>
    </cfRule>
    <cfRule type="containsText" dxfId="7" priority="13" operator="containsText" text="I">
      <formula>NOT(ISERROR(SEARCH("I",BA4)))</formula>
    </cfRule>
  </conditionalFormatting>
  <conditionalFormatting sqref="CA4:CA9999">
    <cfRule type="containsText" dxfId="6" priority="4" operator="containsText" text="RHS">
      <formula>NOT(ISERROR(SEARCH("RHS",CA4)))</formula>
    </cfRule>
    <cfRule type="containsText" dxfId="5" priority="8" operator="containsText" text="Pipe">
      <formula>NOT(ISERROR(SEARCH("Pipe",CA4)))</formula>
    </cfRule>
    <cfRule type="containsText" dxfId="4" priority="9" operator="containsText" text="SHS">
      <formula>NOT(ISERROR(SEARCH("SHS",CA4)))</formula>
    </cfRule>
  </conditionalFormatting>
  <conditionalFormatting sqref="V46:V999 X4:X45">
    <cfRule type="containsText" dxfId="3" priority="6" operator="containsText" text="Check">
      <formula>NOT(ISERROR(SEARCH("Check",V4)))</formula>
    </cfRule>
  </conditionalFormatting>
  <conditionalFormatting sqref="AE4:AE999">
    <cfRule type="containsText" dxfId="2" priority="5" operator="containsText" text="Check">
      <formula>NOT(ISERROR(SEARCH("Check",AE4)))</formula>
    </cfRule>
  </conditionalFormatting>
  <conditionalFormatting sqref="CG4:CG999">
    <cfRule type="containsText" dxfId="1" priority="2" operator="containsText" text="Check">
      <formula>NOT(ISERROR(SEARCH("Check",CG4)))</formula>
    </cfRule>
  </conditionalFormatting>
  <conditionalFormatting sqref="BK4:BK9999">
    <cfRule type="containsText" dxfId="0" priority="1" operator="containsText" text="Check">
      <formula>NOT(ISERROR(SEARCH("Check",BK4)))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toan huynh vu minh</dc:creator>
  <cp:lastModifiedBy>toan huynh vu minh</cp:lastModifiedBy>
  <dcterms:created xsi:type="dcterms:W3CDTF">2024-03-20T13:50:53Z</dcterms:created>
  <dcterms:modified xsi:type="dcterms:W3CDTF">2024-07-08T01:04:23Z</dcterms:modified>
</cp:coreProperties>
</file>