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897e0139b14c7e2/03 Spreadsheet/01 CALCULATION REPORT/00 UPDATED SEND DUY/2025.11.30 Send Duy/"/>
    </mc:Choice>
  </mc:AlternateContent>
  <xr:revisionPtr revIDLastSave="1" documentId="13_ncr:1_{9F1034E5-5B3E-4322-8384-4F5FB780CA7C}" xr6:coauthVersionLast="47" xr6:coauthVersionMax="47" xr10:uidLastSave="{F878D503-C65C-4BB1-AD7D-BEA464E15823}"/>
  <bookViews>
    <workbookView minimized="1" xWindow="5760" yWindow="1872" windowWidth="17280" windowHeight="8880" tabRatio="808" xr2:uid="{5EFD5A8A-D9C0-475C-897C-38F83BDF0EC7}"/>
  </bookViews>
  <sheets>
    <sheet name="CT" sheetId="21" r:id="rId1"/>
  </sheets>
  <functionGroups builtInGroupCount="19"/>
  <definedNames>
    <definedName name="_xleta.COT" hidden="1" xlm="1">#NAME?</definedName>
    <definedName name="_xleta.OR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21" l="1"/>
  <c r="G19" i="21"/>
  <c r="G21" i="21" s="1"/>
  <c r="F19" i="21"/>
  <c r="F21" i="21" s="1"/>
  <c r="E45" i="21"/>
  <c r="D45" i="21"/>
  <c r="E3" i="21"/>
  <c r="D43" i="21"/>
  <c r="D44" i="21"/>
  <c r="D42" i="21"/>
  <c r="E5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Toan</author>
  </authors>
  <commentList>
    <comment ref="D22" authorId="0" shapeId="0" xr:uid="{E371DA73-814F-4512-9A0A-776C3EA36A57}">
      <text>
        <r>
          <rPr>
            <b/>
            <sz val="9"/>
            <color indexed="81"/>
            <rFont val="Tahoma"/>
            <charset val="1"/>
          </rPr>
          <t>Toàn
Bỏ qua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E23" authorId="1" shapeId="0" xr:uid="{792427BB-8CD8-4BAF-9480-2E9A937D20C0}">
      <text>
        <r>
          <rPr>
            <b/>
            <sz val="9"/>
            <color indexed="81"/>
            <rFont val="Tahoma"/>
            <charset val="1"/>
          </rPr>
          <t>Toan:</t>
        </r>
        <r>
          <rPr>
            <sz val="9"/>
            <color indexed="81"/>
            <rFont val="Tahoma"/>
            <charset val="1"/>
          </rPr>
          <t xml:space="preserve">
Nếu vát thì nhập số lớn/số nhỏ.
Ví dụ: 600/400</t>
        </r>
      </text>
    </comment>
    <comment ref="F42" authorId="0" shapeId="0" xr:uid="{46203C86-2550-427E-BE94-AE834EBBEDF4}">
      <text>
        <r>
          <rPr>
            <b/>
            <sz val="9"/>
            <color indexed="81"/>
            <rFont val="Tahoma"/>
            <charset val="1"/>
          </rPr>
          <t>Toàn
Bỏ qua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F43" authorId="0" shapeId="0" xr:uid="{2E491D8E-F86B-4AA1-83CD-7FFE888A99D4}">
      <text>
        <r>
          <rPr>
            <b/>
            <sz val="9"/>
            <color indexed="81"/>
            <rFont val="Tahoma"/>
            <charset val="1"/>
          </rPr>
          <t>Toàn
Bỏ qua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G43" authorId="0" shapeId="0" xr:uid="{A2F65CD7-8C70-4126-8E48-C9C2FCD50818}">
      <text>
        <r>
          <rPr>
            <b/>
            <sz val="9"/>
            <color indexed="81"/>
            <rFont val="Tahoma"/>
            <charset val="1"/>
          </rPr>
          <t>Toàn
Bỏ qua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F45" authorId="0" shapeId="0" xr:uid="{36F2CDF3-1139-47F8-9852-84430925DF93}">
      <text>
        <r>
          <rPr>
            <b/>
            <sz val="9"/>
            <color indexed="81"/>
            <rFont val="Tahoma"/>
            <charset val="1"/>
          </rPr>
          <t>Toàn
Bỏ qua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G45" authorId="0" shapeId="0" xr:uid="{34A144D6-BF4B-4FA0-8778-588964A54D45}">
      <text>
        <r>
          <rPr>
            <b/>
            <sz val="9"/>
            <color indexed="81"/>
            <rFont val="Tahoma"/>
            <charset val="1"/>
          </rPr>
          <t>Toàn
Bỏ qua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<sst xmlns="http://schemas.openxmlformats.org/spreadsheetml/2006/main" count="60" uniqueCount="49">
  <si>
    <t>mm</t>
  </si>
  <si>
    <t>Chiều dày bụng</t>
  </si>
  <si>
    <t>Tỉ lệ bản vẽ</t>
  </si>
  <si>
    <t>Bề rộng cánh</t>
  </si>
  <si>
    <t>Bf</t>
  </si>
  <si>
    <t>Tf</t>
  </si>
  <si>
    <t>Y</t>
  </si>
  <si>
    <t>Chiều dày</t>
  </si>
  <si>
    <t>Tên lệnh trong autocad</t>
  </si>
  <si>
    <t>Sườn tăng cứng</t>
  </si>
  <si>
    <t>Chiều cao tổng</t>
  </si>
  <si>
    <t>CẦU TRỤC</t>
  </si>
  <si>
    <t>CT</t>
  </si>
  <si>
    <t>Vị trí cột liên kết cầu trục</t>
  </si>
  <si>
    <t>Chiều
cao</t>
  </si>
  <si>
    <t>Dày
cánh</t>
  </si>
  <si>
    <t>Loại cấu kiện</t>
  </si>
  <si>
    <t>Cột nhà chính</t>
  </si>
  <si>
    <t>Vai cột</t>
  </si>
  <si>
    <t>Dầm cầu trục</t>
  </si>
  <si>
    <t>Tên cấu kiện</t>
  </si>
  <si>
    <t>Chiều dài vai cột, L (mm)</t>
  </si>
  <si>
    <t>-</t>
  </si>
  <si>
    <t>VC</t>
  </si>
  <si>
    <t>DCT</t>
  </si>
  <si>
    <t>Lx
(m)</t>
  </si>
  <si>
    <t>Ly
(m)</t>
  </si>
  <si>
    <t>Vẽ chi tiết (Dim, text….)</t>
  </si>
  <si>
    <t>Ghi chú</t>
  </si>
  <si>
    <t>DCT: Dầm cầu trục</t>
  </si>
  <si>
    <t>Bolt dầm hãm &amp; DCT</t>
  </si>
  <si>
    <t>Bolt nối vai &amp; DCT</t>
  </si>
  <si>
    <t>DH</t>
  </si>
  <si>
    <t>(Áp dụng cho vai cột không vát)</t>
  </si>
  <si>
    <t>Vai cột - Bản cánh dưới</t>
  </si>
  <si>
    <t xml:space="preserve">Vai cột - Bản bụng </t>
  </si>
  <si>
    <t>Vai cột - Bản cánh trên</t>
  </si>
  <si>
    <t>Cột chính - Bản bụng</t>
  </si>
  <si>
    <t>Cách thức nhập dữ liệu</t>
  </si>
  <si>
    <t>Chiều cao bụng</t>
  </si>
  <si>
    <t>Tw</t>
  </si>
  <si>
    <t>(Nếu không có, nhập chiều dày = 0)</t>
  </si>
  <si>
    <t>Thép góc V liên kết</t>
  </si>
  <si>
    <t>V</t>
  </si>
  <si>
    <t>(Áp dụng vai cột biên)</t>
  </si>
  <si>
    <t xml:space="preserve">Dầm hãm </t>
  </si>
  <si>
    <t>Thép Hộp</t>
  </si>
  <si>
    <t>Tâm dầm hãm cách mép biên</t>
  </si>
  <si>
    <t>Giữa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</si>
</sst>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M&quot;0"/>
  </numFmts>
  <fonts count="7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8" xfId="0" applyFont="1" applyFill="1" applyBorder="1"/>
    <xf numFmtId="0" fontId="0" fillId="3" borderId="1" xfId="0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2" borderId="7" xfId="0" applyFont="1" applyFill="1" applyBorder="1" applyAlignment="1">
      <alignment horizontal="center" vertical="center"/>
    </xf>
    <xf numFmtId="0" fontId="0" fillId="5" borderId="15" xfId="0" applyFill="1" applyBorder="1" applyAlignment="1">
      <alignment horizontal="center"/>
    </xf>
    <xf numFmtId="0" fontId="0" fillId="5" borderId="15" xfId="0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1" xfId="0" applyBorder="1" applyAlignment="1">
      <alignment horizontal="center"/>
    </xf>
    <xf numFmtId="0" fontId="0" fillId="3" borderId="6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indent="1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2" borderId="7" xfId="0" applyFill="1" applyBorder="1" applyAlignment="1">
      <alignment horizontal="right" vertical="center"/>
    </xf>
    <xf numFmtId="0" fontId="0" fillId="0" borderId="11" xfId="0" applyBorder="1" applyAlignment="1">
      <alignment horizontal="left" vertical="center" indent="1"/>
    </xf>
    <xf numFmtId="0" fontId="0" fillId="3" borderId="13" xfId="0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  <color rgb="FF0000FF"/>
      <color rgb="FFFF00FF"/>
      <color rgb="FFCC00CC"/>
      <color rgb="FF00FFFF"/>
      <color rgb="FFD5D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C6A7A-8A5F-4BFC-9E18-FF811C4B129D}">
  <sheetPr codeName="Sheet5"/>
  <dimension ref="A1:Q45"/>
  <sheetViews>
    <sheetView showGridLines="0" tabSelected="1" zoomScale="130" zoomScaleNormal="130" workbookViewId="0">
      <selection activeCell="H8" sqref="H8"/>
    </sheetView>
  </sheetViews>
  <sheetFormatPr defaultRowHeight="14.4" x14ac:dyDescent="0.3"/>
  <sheetData>
    <row r="1" spans="1:17" x14ac:dyDescent="0.3">
      <c r="A1" s="25" t="s">
        <v>11</v>
      </c>
      <c r="B1" s="26"/>
      <c r="C1" s="26"/>
      <c r="D1" s="26"/>
      <c r="E1" s="27" t="s">
        <v>8</v>
      </c>
      <c r="F1" s="27"/>
      <c r="G1" s="27"/>
      <c r="H1" s="27"/>
      <c r="I1" s="8" t="s">
        <v>12</v>
      </c>
      <c r="J1" s="4"/>
      <c r="L1" t="s">
        <v>28</v>
      </c>
      <c r="O1" t="s">
        <v>10</v>
      </c>
      <c r="P1" t="s">
        <v>3</v>
      </c>
      <c r="Q1" t="s">
        <v>4</v>
      </c>
    </row>
    <row r="2" spans="1:17" x14ac:dyDescent="0.3">
      <c r="L2" t="s">
        <v>29</v>
      </c>
      <c r="O2" t="s">
        <v>39</v>
      </c>
      <c r="P2" t="s">
        <v>1</v>
      </c>
      <c r="Q2" t="s">
        <v>40</v>
      </c>
    </row>
    <row r="3" spans="1:17" x14ac:dyDescent="0.3">
      <c r="A3" s="12" t="s">
        <v>27</v>
      </c>
      <c r="B3" s="28"/>
      <c r="C3" s="13"/>
      <c r="D3" s="2" t="s">
        <v>6</v>
      </c>
      <c r="E3" s="7" t="str">
        <f>IF(D3="Y","Sử dụng để vẽ chi tiết bản vẽ","Sử dụng để vẽ lên khung")</f>
        <v>Sử dụng để vẽ chi tiết bản vẽ</v>
      </c>
    </row>
    <row r="4" spans="1:17" x14ac:dyDescent="0.3">
      <c r="A4" s="12" t="s">
        <v>2</v>
      </c>
      <c r="B4" s="28"/>
      <c r="C4" s="13"/>
      <c r="D4" s="2">
        <v>10</v>
      </c>
      <c r="E4" s="6"/>
    </row>
    <row r="5" spans="1:17" x14ac:dyDescent="0.3">
      <c r="A5" s="12" t="s">
        <v>13</v>
      </c>
      <c r="B5" s="28"/>
      <c r="C5" s="13"/>
      <c r="D5" s="2" t="s">
        <v>48</v>
      </c>
      <c r="E5" s="1" t="str">
        <f>IF(D5="Trái","L",IF(D5="Giữa","M","R"))</f>
        <v>M</v>
      </c>
    </row>
    <row r="6" spans="1:17" x14ac:dyDescent="0.3">
      <c r="A6" s="12" t="s">
        <v>21</v>
      </c>
      <c r="B6" s="28"/>
      <c r="C6" s="13"/>
      <c r="D6" s="2">
        <v>700</v>
      </c>
      <c r="E6" s="1" t="s">
        <v>0</v>
      </c>
    </row>
    <row r="7" spans="1:17" x14ac:dyDescent="0.3">
      <c r="A7" s="12" t="s">
        <v>31</v>
      </c>
      <c r="B7" s="28"/>
      <c r="C7" s="13"/>
      <c r="D7" s="11">
        <v>24</v>
      </c>
      <c r="E7" s="1" t="s">
        <v>0</v>
      </c>
    </row>
    <row r="8" spans="1:17" x14ac:dyDescent="0.3">
      <c r="A8" s="12" t="s">
        <v>30</v>
      </c>
      <c r="B8" s="28"/>
      <c r="C8" s="13"/>
      <c r="D8" s="11">
        <v>16</v>
      </c>
      <c r="E8" s="1" t="s">
        <v>0</v>
      </c>
    </row>
    <row r="9" spans="1:17" x14ac:dyDescent="0.3">
      <c r="A9" s="12" t="s">
        <v>47</v>
      </c>
      <c r="B9" s="28"/>
      <c r="C9" s="13"/>
      <c r="D9" s="2">
        <v>200</v>
      </c>
      <c r="E9" s="1" t="s">
        <v>0</v>
      </c>
      <c r="F9" t="s">
        <v>44</v>
      </c>
    </row>
    <row r="11" spans="1:17" hidden="1" x14ac:dyDescent="0.3"/>
    <row r="12" spans="1:17" hidden="1" x14ac:dyDescent="0.3"/>
    <row r="13" spans="1:17" hidden="1" x14ac:dyDescent="0.3"/>
    <row r="14" spans="1:17" hidden="1" x14ac:dyDescent="0.3"/>
    <row r="15" spans="1:17" hidden="1" x14ac:dyDescent="0.3"/>
    <row r="16" spans="1:17" hidden="1" x14ac:dyDescent="0.3"/>
    <row r="17" spans="1:11" hidden="1" x14ac:dyDescent="0.3"/>
    <row r="18" spans="1:11" x14ac:dyDescent="0.3">
      <c r="A18" s="31" t="s">
        <v>38</v>
      </c>
      <c r="B18" s="32"/>
      <c r="C18" s="32"/>
      <c r="D18" s="33"/>
      <c r="E18" s="34" t="s">
        <v>10</v>
      </c>
      <c r="F18" s="35"/>
      <c r="G18" s="35"/>
      <c r="H18" s="36"/>
      <c r="I18" s="15" t="s">
        <v>28</v>
      </c>
      <c r="J18" s="16"/>
      <c r="K18" s="17"/>
    </row>
    <row r="19" spans="1:11" ht="15" customHeight="1" x14ac:dyDescent="0.3">
      <c r="A19" s="16" t="s">
        <v>16</v>
      </c>
      <c r="B19" s="16"/>
      <c r="C19" s="16"/>
      <c r="D19" s="16" t="s">
        <v>20</v>
      </c>
      <c r="E19" s="29" t="s">
        <v>14</v>
      </c>
      <c r="F19" s="29" t="str">
        <f>IF(E18=$O$1,P1,P2)</f>
        <v>Bề rộng cánh</v>
      </c>
      <c r="G19" s="29" t="str">
        <f>IF(E18=$O$1,P2,P1)</f>
        <v>Chiều dày bụng</v>
      </c>
      <c r="H19" s="29" t="s">
        <v>15</v>
      </c>
      <c r="I19" s="18"/>
      <c r="J19" s="19"/>
      <c r="K19" s="20"/>
    </row>
    <row r="20" spans="1:11" ht="15" customHeight="1" x14ac:dyDescent="0.3">
      <c r="A20" s="19"/>
      <c r="B20" s="19"/>
      <c r="C20" s="19"/>
      <c r="D20" s="19"/>
      <c r="E20" s="30"/>
      <c r="F20" s="30"/>
      <c r="G20" s="30"/>
      <c r="H20" s="30"/>
      <c r="I20" s="18"/>
      <c r="J20" s="19"/>
      <c r="K20" s="20"/>
    </row>
    <row r="21" spans="1:11" x14ac:dyDescent="0.3">
      <c r="A21" s="22"/>
      <c r="B21" s="22"/>
      <c r="C21" s="22"/>
      <c r="D21" s="22"/>
      <c r="E21" s="9" t="str">
        <f>IF(E18=$O$1,"H","Hw")</f>
        <v>H</v>
      </c>
      <c r="F21" s="10" t="str">
        <f>VLOOKUP(F19,$P$1:$Q$2,2,FALSE)</f>
        <v>Bf</v>
      </c>
      <c r="G21" s="10" t="str">
        <f>VLOOKUP(G19,$P$1:$Q$2,2,FALSE)</f>
        <v>Tw</v>
      </c>
      <c r="H21" s="10" t="s">
        <v>5</v>
      </c>
      <c r="I21" s="21"/>
      <c r="J21" s="22"/>
      <c r="K21" s="23"/>
    </row>
    <row r="22" spans="1:11" x14ac:dyDescent="0.3">
      <c r="A22" s="24" t="s">
        <v>17</v>
      </c>
      <c r="B22" s="24"/>
      <c r="C22" s="24"/>
      <c r="D22" s="5" t="s">
        <v>22</v>
      </c>
      <c r="E22" s="2">
        <v>400</v>
      </c>
      <c r="F22" s="2">
        <v>250</v>
      </c>
      <c r="G22" s="2">
        <v>5</v>
      </c>
      <c r="H22" s="2">
        <v>8</v>
      </c>
      <c r="I22" s="14"/>
      <c r="J22" s="14"/>
      <c r="K22" s="14"/>
    </row>
    <row r="23" spans="1:11" x14ac:dyDescent="0.3">
      <c r="A23" s="24" t="s">
        <v>18</v>
      </c>
      <c r="B23" s="24"/>
      <c r="C23" s="24"/>
      <c r="D23" s="2" t="s">
        <v>23</v>
      </c>
      <c r="E23" s="2">
        <v>600</v>
      </c>
      <c r="F23" s="2">
        <v>250</v>
      </c>
      <c r="G23" s="2">
        <v>8</v>
      </c>
      <c r="H23" s="2">
        <v>12</v>
      </c>
      <c r="I23" s="14"/>
      <c r="J23" s="14"/>
      <c r="K23" s="14"/>
    </row>
    <row r="24" spans="1:11" x14ac:dyDescent="0.3">
      <c r="A24" s="24" t="s">
        <v>19</v>
      </c>
      <c r="B24" s="24"/>
      <c r="C24" s="24"/>
      <c r="D24" s="2" t="s">
        <v>24</v>
      </c>
      <c r="E24" s="2">
        <v>500</v>
      </c>
      <c r="F24" s="2">
        <v>250</v>
      </c>
      <c r="G24" s="2">
        <v>8</v>
      </c>
      <c r="H24" s="2">
        <v>12</v>
      </c>
      <c r="I24" s="14"/>
      <c r="J24" s="14"/>
      <c r="K24" s="14"/>
    </row>
    <row r="25" spans="1:11" x14ac:dyDescent="0.3">
      <c r="A25" s="12" t="s">
        <v>45</v>
      </c>
      <c r="B25" s="13"/>
      <c r="C25" s="2" t="s">
        <v>46</v>
      </c>
      <c r="D25" s="2" t="s">
        <v>32</v>
      </c>
      <c r="E25" s="2">
        <v>200</v>
      </c>
      <c r="F25" s="2">
        <v>150</v>
      </c>
      <c r="G25" s="2">
        <v>5</v>
      </c>
      <c r="H25" s="2">
        <v>8</v>
      </c>
      <c r="I25" s="14"/>
      <c r="J25" s="14"/>
      <c r="K25" s="14"/>
    </row>
    <row r="26" spans="1:11" x14ac:dyDescent="0.3">
      <c r="A26" s="24" t="s">
        <v>42</v>
      </c>
      <c r="B26" s="24"/>
      <c r="C26" s="24"/>
      <c r="D26" s="2" t="s">
        <v>43</v>
      </c>
      <c r="E26" s="2">
        <v>63</v>
      </c>
      <c r="F26" s="5"/>
      <c r="G26" s="5"/>
      <c r="H26" s="2">
        <v>5</v>
      </c>
      <c r="I26" s="14"/>
      <c r="J26" s="14"/>
      <c r="K26" s="14"/>
    </row>
    <row r="27" spans="1:11" hidden="1" x14ac:dyDescent="0.3"/>
    <row r="28" spans="1:11" hidden="1" x14ac:dyDescent="0.3"/>
    <row r="29" spans="1:11" hidden="1" x14ac:dyDescent="0.3"/>
    <row r="30" spans="1:11" hidden="1" x14ac:dyDescent="0.3"/>
    <row r="31" spans="1:11" hidden="1" x14ac:dyDescent="0.3"/>
    <row r="32" spans="1:11" hidden="1" x14ac:dyDescent="0.3"/>
    <row r="33" spans="1:8" hidden="1" x14ac:dyDescent="0.3"/>
    <row r="34" spans="1:8" hidden="1" x14ac:dyDescent="0.3"/>
    <row r="35" spans="1:8" hidden="1" x14ac:dyDescent="0.3"/>
    <row r="36" spans="1:8" hidden="1" x14ac:dyDescent="0.3"/>
    <row r="37" spans="1:8" hidden="1" x14ac:dyDescent="0.3"/>
    <row r="38" spans="1:8" hidden="1" x14ac:dyDescent="0.3"/>
    <row r="40" spans="1:8" ht="15" customHeight="1" x14ac:dyDescent="0.3">
      <c r="A40" s="37" t="s">
        <v>9</v>
      </c>
      <c r="B40" s="37"/>
      <c r="C40" s="37"/>
      <c r="D40" s="37" t="s">
        <v>20</v>
      </c>
      <c r="E40" s="37" t="s">
        <v>7</v>
      </c>
      <c r="F40" s="37" t="s">
        <v>25</v>
      </c>
      <c r="G40" s="37" t="s">
        <v>26</v>
      </c>
    </row>
    <row r="41" spans="1:8" x14ac:dyDescent="0.3">
      <c r="A41" s="37"/>
      <c r="B41" s="37"/>
      <c r="C41" s="37"/>
      <c r="D41" s="38"/>
      <c r="E41" s="38"/>
      <c r="F41" s="38"/>
      <c r="G41" s="38"/>
    </row>
    <row r="42" spans="1:8" x14ac:dyDescent="0.3">
      <c r="A42" s="24" t="s">
        <v>34</v>
      </c>
      <c r="B42" s="24"/>
      <c r="C42" s="24"/>
      <c r="D42" s="3" t="str">
        <f>"PL"&amp;E42</f>
        <v>PL10</v>
      </c>
      <c r="E42" s="2">
        <v>10</v>
      </c>
      <c r="F42" s="5" t="s">
        <v>22</v>
      </c>
      <c r="G42" s="2">
        <v>250</v>
      </c>
      <c r="H42" t="s">
        <v>33</v>
      </c>
    </row>
    <row r="43" spans="1:8" x14ac:dyDescent="0.3">
      <c r="A43" s="24" t="s">
        <v>35</v>
      </c>
      <c r="B43" s="24"/>
      <c r="C43" s="24"/>
      <c r="D43" s="3" t="str">
        <f t="shared" ref="D43:D44" si="0">"PL"&amp;E43</f>
        <v>PL8</v>
      </c>
      <c r="E43" s="2">
        <v>8</v>
      </c>
      <c r="F43" s="5" t="s">
        <v>22</v>
      </c>
      <c r="G43" s="5" t="s">
        <v>22</v>
      </c>
    </row>
    <row r="44" spans="1:8" x14ac:dyDescent="0.3">
      <c r="A44" s="24" t="s">
        <v>36</v>
      </c>
      <c r="B44" s="24"/>
      <c r="C44" s="24"/>
      <c r="D44" s="3" t="str">
        <f t="shared" si="0"/>
        <v>PL0</v>
      </c>
      <c r="E44" s="2">
        <v>0</v>
      </c>
      <c r="F44" s="2">
        <v>150</v>
      </c>
      <c r="G44" s="2">
        <v>150</v>
      </c>
      <c r="H44" t="s">
        <v>41</v>
      </c>
    </row>
    <row r="45" spans="1:8" x14ac:dyDescent="0.3">
      <c r="A45" s="24" t="s">
        <v>37</v>
      </c>
      <c r="B45" s="24"/>
      <c r="C45" s="24"/>
      <c r="D45" s="3" t="str">
        <f t="shared" ref="D45" si="1">"PL"&amp;E45</f>
        <v>PL12</v>
      </c>
      <c r="E45" s="2">
        <f>H23</f>
        <v>12</v>
      </c>
      <c r="F45" s="5" t="s">
        <v>22</v>
      </c>
      <c r="G45" s="5" t="s">
        <v>22</v>
      </c>
    </row>
  </sheetData>
  <mergeCells count="37">
    <mergeCell ref="A45:C45"/>
    <mergeCell ref="G40:G41"/>
    <mergeCell ref="A40:C41"/>
    <mergeCell ref="D40:D41"/>
    <mergeCell ref="E40:E41"/>
    <mergeCell ref="F40:F41"/>
    <mergeCell ref="A42:C42"/>
    <mergeCell ref="A43:C43"/>
    <mergeCell ref="A44:C44"/>
    <mergeCell ref="A1:D1"/>
    <mergeCell ref="E1:H1"/>
    <mergeCell ref="A5:C5"/>
    <mergeCell ref="E19:E20"/>
    <mergeCell ref="F19:F20"/>
    <mergeCell ref="G19:G20"/>
    <mergeCell ref="H19:H20"/>
    <mergeCell ref="A7:C7"/>
    <mergeCell ref="A6:C6"/>
    <mergeCell ref="A3:C3"/>
    <mergeCell ref="A4:C4"/>
    <mergeCell ref="A8:C8"/>
    <mergeCell ref="A9:C9"/>
    <mergeCell ref="A18:D18"/>
    <mergeCell ref="E18:H18"/>
    <mergeCell ref="A19:C21"/>
    <mergeCell ref="A25:B25"/>
    <mergeCell ref="I24:K24"/>
    <mergeCell ref="I25:K25"/>
    <mergeCell ref="I26:K26"/>
    <mergeCell ref="I18:K21"/>
    <mergeCell ref="I22:K22"/>
    <mergeCell ref="I23:K23"/>
    <mergeCell ref="A23:C23"/>
    <mergeCell ref="D19:D21"/>
    <mergeCell ref="A24:C24"/>
    <mergeCell ref="A22:C22"/>
    <mergeCell ref="A26:C26"/>
  </mergeCells>
  <dataValidations count="4">
    <dataValidation type="list" allowBlank="1" showInputMessage="1" showErrorMessage="1" sqref="D5" xr:uid="{3926F7E4-8F31-405F-A680-9EC1AEC2F52F}">
      <formula1>"Trái,Phải,Giữa"</formula1>
    </dataValidation>
    <dataValidation type="list" allowBlank="1" showInputMessage="1" showErrorMessage="1" sqref="D3" xr:uid="{F75D8F3B-28E6-43FA-A252-6B3B31CF9A6E}">
      <formula1>"Y,N"</formula1>
    </dataValidation>
    <dataValidation type="list" allowBlank="1" showInputMessage="1" showErrorMessage="1" sqref="E18" xr:uid="{CF7E0EE4-8769-4474-B9A7-F4ED72EDBE99}">
      <formula1>$O$1:$O$2</formula1>
    </dataValidation>
    <dataValidation type="list" allowBlank="1" showInputMessage="1" showErrorMessage="1" sqref="C25" xr:uid="{AD029976-FD7E-4338-8FB7-1243E0600347}">
      <formula1>"Thép I,Thép Hộp"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2024-08-13T00:30:03Z</dcterms:created>
  <dcterms:modified xsi:type="dcterms:W3CDTF">2025-11-23T08:54:09Z</dcterms:modified>
</cp:coreProperties>
</file>