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C5A652AA-C819-4898-8202-AB622EB455E8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Data" sheetId="1" r:id="rId1"/>
    <sheet name="LT" sheetId="9" r:id="rId2"/>
    <sheet name="Cal" sheetId="7" r:id="rId3"/>
    <sheet name="Cal2V" sheetId="10" r:id="rId4"/>
  </sheets>
  <definedNames>
    <definedName name="_xlnm._FilterDatabase" localSheetId="2" hidden="1">Cal!#REF!</definedName>
    <definedName name="_xlnm._FilterDatabase" localSheetId="3" hidden="1">Cal2V!#REF!</definedName>
    <definedName name="_xleta.T" hidden="1" xlm="1">#NAME?</definedName>
    <definedName name="_xlnm.Print_Area" localSheetId="2">Cal!$A$10:$U$37</definedName>
    <definedName name="_xlnm.Print_Area" localSheetId="3">Cal2V!$A$10:$V$37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0" l="1"/>
  <c r="K16" i="10"/>
  <c r="K15" i="10"/>
  <c r="J18" i="7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AV27" i="10" a="1"/>
  <c r="AV27" i="10" s="1"/>
  <c r="AV28" i="10" a="1"/>
  <c r="AV28" i="10" s="1"/>
  <c r="AV29" i="10" a="1"/>
  <c r="AV29" i="10" s="1"/>
  <c r="AV30" i="10" a="1"/>
  <c r="AV30" i="10" s="1"/>
  <c r="AV31" i="10" a="1"/>
  <c r="AV31" i="10" s="1"/>
  <c r="AV32" i="10" a="1"/>
  <c r="AV32" i="10" s="1"/>
  <c r="AV33" i="10" a="1"/>
  <c r="AV33" i="10" s="1"/>
  <c r="AV34" i="10" a="1"/>
  <c r="AV34" i="10" s="1"/>
  <c r="AV35" i="10" a="1"/>
  <c r="AV35" i="10" s="1"/>
  <c r="AV36" i="10" a="1"/>
  <c r="AV36" i="10"/>
  <c r="AV37" i="10" a="1"/>
  <c r="AV37" i="10" s="1"/>
  <c r="AV38" i="10" a="1"/>
  <c r="AV38" i="10" s="1"/>
  <c r="AV39" i="10" a="1"/>
  <c r="AV39" i="10" s="1"/>
  <c r="AV40" i="10" a="1"/>
  <c r="AV40" i="10" s="1"/>
  <c r="AV56" i="10" a="1"/>
  <c r="AV56" i="10" s="1"/>
  <c r="AV57" i="10" a="1"/>
  <c r="AV57" i="10" s="1"/>
  <c r="AV58" i="10" a="1"/>
  <c r="AV58" i="10" s="1"/>
  <c r="AV59" i="10" a="1"/>
  <c r="AV59" i="10" s="1"/>
  <c r="AV60" i="10" a="1"/>
  <c r="AV60" i="10"/>
  <c r="AV61" i="10" a="1"/>
  <c r="AV61" i="10" s="1"/>
  <c r="AV62" i="10" a="1"/>
  <c r="AV62" i="10" s="1"/>
  <c r="AV63" i="10" a="1"/>
  <c r="AV63" i="10" s="1"/>
  <c r="AV64" i="10" a="1"/>
  <c r="AV64" i="10" s="1"/>
  <c r="AV65" i="10" a="1"/>
  <c r="AV65" i="10" s="1"/>
  <c r="AV66" i="10" a="1"/>
  <c r="AV66" i="10" s="1"/>
  <c r="AV67" i="10" a="1"/>
  <c r="AV67" i="10" s="1"/>
  <c r="AU12" i="10"/>
  <c r="AU13" i="10"/>
  <c r="AU14" i="10"/>
  <c r="AU15" i="10"/>
  <c r="AU16" i="10"/>
  <c r="AU17" i="10"/>
  <c r="AU18" i="10"/>
  <c r="AU19" i="10"/>
  <c r="AU20" i="10"/>
  <c r="AU21" i="10"/>
  <c r="AU22" i="10"/>
  <c r="AU23" i="10"/>
  <c r="AU24" i="10"/>
  <c r="AU25" i="10"/>
  <c r="AU26" i="10"/>
  <c r="AU27" i="10"/>
  <c r="AU28" i="10"/>
  <c r="AU29" i="10"/>
  <c r="AU30" i="10"/>
  <c r="AU31" i="10"/>
  <c r="AU32" i="10"/>
  <c r="AU33" i="10"/>
  <c r="AU34" i="10"/>
  <c r="AU35" i="10"/>
  <c r="AU36" i="10"/>
  <c r="AU37" i="10"/>
  <c r="AU38" i="10"/>
  <c r="AU39" i="10"/>
  <c r="AU40" i="10"/>
  <c r="AU41" i="10"/>
  <c r="AU42" i="10"/>
  <c r="AU43" i="10"/>
  <c r="AU44" i="10"/>
  <c r="AU45" i="10"/>
  <c r="AU46" i="10"/>
  <c r="AU47" i="10"/>
  <c r="AU48" i="10"/>
  <c r="AU49" i="10"/>
  <c r="AU50" i="10"/>
  <c r="AU51" i="10"/>
  <c r="AU52" i="10"/>
  <c r="AU53" i="10"/>
  <c r="AU54" i="10"/>
  <c r="AU55" i="10"/>
  <c r="AU56" i="10"/>
  <c r="AU57" i="10"/>
  <c r="AU58" i="10"/>
  <c r="AU59" i="10"/>
  <c r="AU60" i="10"/>
  <c r="AU61" i="10"/>
  <c r="AU62" i="10"/>
  <c r="AU63" i="10"/>
  <c r="AU64" i="10"/>
  <c r="AU65" i="10"/>
  <c r="AU66" i="10"/>
  <c r="AU67" i="10"/>
  <c r="AU68" i="10"/>
  <c r="AU69" i="10"/>
  <c r="AU70" i="10"/>
  <c r="AU71" i="10"/>
  <c r="AU72" i="10"/>
  <c r="AU73" i="10"/>
  <c r="AU74" i="10"/>
  <c r="AU75" i="10"/>
  <c r="AU76" i="10"/>
  <c r="AU77" i="10"/>
  <c r="AU78" i="10"/>
  <c r="AU79" i="10"/>
  <c r="U26" i="10"/>
  <c r="AO79" i="10"/>
  <c r="AM79" i="10"/>
  <c r="AO78" i="10"/>
  <c r="AM78" i="10"/>
  <c r="AO77" i="10"/>
  <c r="AM77" i="10"/>
  <c r="AO76" i="10"/>
  <c r="AM76" i="10"/>
  <c r="AO75" i="10"/>
  <c r="AM75" i="10"/>
  <c r="AO74" i="10"/>
  <c r="AM74" i="10"/>
  <c r="AO73" i="10"/>
  <c r="AM73" i="10"/>
  <c r="AO72" i="10"/>
  <c r="AM72" i="10"/>
  <c r="AO71" i="10"/>
  <c r="AM71" i="10"/>
  <c r="AO70" i="10"/>
  <c r="AM70" i="10"/>
  <c r="AO69" i="10"/>
  <c r="AM69" i="10"/>
  <c r="AO68" i="10"/>
  <c r="AM68" i="10"/>
  <c r="AO67" i="10"/>
  <c r="AM67" i="10"/>
  <c r="AO66" i="10"/>
  <c r="AM66" i="10"/>
  <c r="AO65" i="10"/>
  <c r="AM65" i="10"/>
  <c r="AO64" i="10"/>
  <c r="AM64" i="10"/>
  <c r="AO63" i="10"/>
  <c r="AM63" i="10"/>
  <c r="AO62" i="10"/>
  <c r="AM62" i="10"/>
  <c r="AO61" i="10"/>
  <c r="AM61" i="10"/>
  <c r="AO60" i="10"/>
  <c r="AM60" i="10"/>
  <c r="AO59" i="10"/>
  <c r="AM59" i="10"/>
  <c r="AO58" i="10"/>
  <c r="AM58" i="10"/>
  <c r="AO57" i="10"/>
  <c r="AM57" i="10"/>
  <c r="AO56" i="10"/>
  <c r="AM56" i="10"/>
  <c r="AO55" i="10"/>
  <c r="AM55" i="10"/>
  <c r="AO54" i="10"/>
  <c r="AM54" i="10"/>
  <c r="AO53" i="10"/>
  <c r="AM53" i="10"/>
  <c r="AO52" i="10"/>
  <c r="AM52" i="10"/>
  <c r="AO51" i="10"/>
  <c r="AM51" i="10"/>
  <c r="AO50" i="10"/>
  <c r="AM50" i="10"/>
  <c r="AO49" i="10"/>
  <c r="AM49" i="10"/>
  <c r="AO48" i="10"/>
  <c r="AM48" i="10"/>
  <c r="AO47" i="10"/>
  <c r="AM47" i="10"/>
  <c r="AO46" i="10"/>
  <c r="AM46" i="10"/>
  <c r="AO45" i="10"/>
  <c r="AM45" i="10"/>
  <c r="AO44" i="10"/>
  <c r="AM44" i="10"/>
  <c r="AO43" i="10"/>
  <c r="AM43" i="10"/>
  <c r="AO42" i="10"/>
  <c r="AM42" i="10"/>
  <c r="AO41" i="10"/>
  <c r="AM41" i="10"/>
  <c r="AO40" i="10"/>
  <c r="AM40" i="10"/>
  <c r="AO39" i="10"/>
  <c r="AM39" i="10"/>
  <c r="AO38" i="10"/>
  <c r="AM38" i="10"/>
  <c r="AO37" i="10"/>
  <c r="AM37" i="10"/>
  <c r="AO36" i="10"/>
  <c r="AM36" i="10"/>
  <c r="AO35" i="10"/>
  <c r="AM35" i="10"/>
  <c r="AO34" i="10"/>
  <c r="AM34" i="10"/>
  <c r="AO33" i="10"/>
  <c r="AM33" i="10"/>
  <c r="AO32" i="10"/>
  <c r="AM32" i="10"/>
  <c r="AO31" i="10"/>
  <c r="AM31" i="10"/>
  <c r="AO30" i="10"/>
  <c r="AM30" i="10"/>
  <c r="AO29" i="10"/>
  <c r="AM29" i="10"/>
  <c r="AO28" i="10"/>
  <c r="AM28" i="10"/>
  <c r="AO27" i="10"/>
  <c r="AM27" i="10"/>
  <c r="AO26" i="10"/>
  <c r="AM26" i="10"/>
  <c r="O26" i="10"/>
  <c r="AO25" i="10"/>
  <c r="AM25" i="10"/>
  <c r="AO24" i="10"/>
  <c r="AM24" i="10"/>
  <c r="AO23" i="10"/>
  <c r="AM23" i="10"/>
  <c r="AO22" i="10"/>
  <c r="AM22" i="10"/>
  <c r="AO21" i="10"/>
  <c r="AM21" i="10"/>
  <c r="AO20" i="10"/>
  <c r="AM20" i="10"/>
  <c r="AO19" i="10"/>
  <c r="AM19" i="10"/>
  <c r="AO18" i="10"/>
  <c r="AM18" i="10"/>
  <c r="AO17" i="10"/>
  <c r="AM17" i="10"/>
  <c r="AO16" i="10"/>
  <c r="AM16" i="10"/>
  <c r="AO15" i="10"/>
  <c r="AM15" i="10"/>
  <c r="K17" i="10"/>
  <c r="AO14" i="10"/>
  <c r="AM14" i="10"/>
  <c r="AO13" i="10"/>
  <c r="AM13" i="10"/>
  <c r="AO12" i="10"/>
  <c r="AM12" i="10"/>
  <c r="AQ71" i="10" a="1"/>
  <c r="AP69" i="10" a="1"/>
  <c r="AI65" i="10" a="1"/>
  <c r="AQ55" i="10" a="1"/>
  <c r="AP53" i="10" a="1"/>
  <c r="AI49" i="10" a="1"/>
  <c r="AQ39" i="10" a="1"/>
  <c r="AP37" i="10" a="1"/>
  <c r="AI33" i="10" a="1"/>
  <c r="AP25" i="10" a="1"/>
  <c r="AI21" i="10" a="1"/>
  <c r="AP54" i="10" a="1"/>
  <c r="AI50" i="10" a="1"/>
  <c r="AQ40" i="10" a="1"/>
  <c r="AP38" i="10" a="1"/>
  <c r="AI34" i="10" a="1"/>
  <c r="AI22" i="10" a="1"/>
  <c r="AQ72" i="10" a="1"/>
  <c r="AP70" i="10" a="1"/>
  <c r="AI66" i="10" a="1"/>
  <c r="AQ56" i="10" a="1"/>
  <c r="AQ73" i="10" a="1"/>
  <c r="AP71" i="10" a="1"/>
  <c r="AI67" i="10" a="1"/>
  <c r="AQ57" i="10" a="1"/>
  <c r="AP55" i="10" a="1"/>
  <c r="AI51" i="10" a="1"/>
  <c r="AQ41" i="10" a="1"/>
  <c r="AP39" i="10" a="1"/>
  <c r="AI35" i="10" a="1"/>
  <c r="AQ29" i="10" a="1"/>
  <c r="Q26" i="10" a="1"/>
  <c r="AI23" i="10" a="1"/>
  <c r="AP60" i="10" a="1"/>
  <c r="AQ18" i="10" a="1"/>
  <c r="AP28" i="10" a="1"/>
  <c r="AQ74" i="10" a="1"/>
  <c r="AP72" i="10" a="1"/>
  <c r="AI68" i="10" a="1"/>
  <c r="AQ58" i="10" a="1"/>
  <c r="AP56" i="10" a="1"/>
  <c r="AI52" i="10" a="1"/>
  <c r="AQ42" i="10" a="1"/>
  <c r="AP40" i="10" a="1"/>
  <c r="AI36" i="10" a="1"/>
  <c r="AI28" i="10" a="1"/>
  <c r="AQ26" i="10" a="1"/>
  <c r="AI24" i="10" a="1"/>
  <c r="AI56" i="10" a="1"/>
  <c r="AI32" i="10" a="1"/>
  <c r="AQ75" i="10" a="1"/>
  <c r="AP73" i="10" a="1"/>
  <c r="AI69" i="10" a="1"/>
  <c r="AQ59" i="10" a="1"/>
  <c r="AP57" i="10" a="1"/>
  <c r="AI53" i="10" a="1"/>
  <c r="AQ43" i="10" a="1"/>
  <c r="AP41" i="10" a="1"/>
  <c r="AI37" i="10" a="1"/>
  <c r="AP29" i="10" a="1"/>
  <c r="P26" i="10" a="1"/>
  <c r="AI25" i="10" a="1"/>
  <c r="AQ12" i="10" a="1"/>
  <c r="AI40" i="10" a="1"/>
  <c r="AP13" i="10" a="1"/>
  <c r="AQ76" i="10" a="1"/>
  <c r="AP74" i="10" a="1"/>
  <c r="AI70" i="10" a="1"/>
  <c r="AQ60" i="10" a="1"/>
  <c r="AP58" i="10" a="1"/>
  <c r="AI54" i="10" a="1"/>
  <c r="AQ44" i="10" a="1"/>
  <c r="AP42" i="10" a="1"/>
  <c r="AI38" i="10" a="1"/>
  <c r="AP26" i="10" a="1"/>
  <c r="AQ13" i="10" a="1"/>
  <c r="AQ46" i="10" a="1"/>
  <c r="AQ30" i="10" a="1"/>
  <c r="AQ77" i="10" a="1"/>
  <c r="AP75" i="10" a="1"/>
  <c r="AI71" i="10" a="1"/>
  <c r="AQ61" i="10" a="1"/>
  <c r="AP59" i="10" a="1"/>
  <c r="AI55" i="10" a="1"/>
  <c r="AQ45" i="10" a="1"/>
  <c r="AP43" i="10" a="1"/>
  <c r="AI39" i="10" a="1"/>
  <c r="AQ17" i="10" a="1"/>
  <c r="AQ16" i="10" a="1"/>
  <c r="AQ15" i="10" a="1"/>
  <c r="AQ14" i="10" a="1"/>
  <c r="AP12" i="10" a="1"/>
  <c r="AI48" i="10" a="1"/>
  <c r="AP24" i="10" a="1"/>
  <c r="AQ78" i="10" a="1"/>
  <c r="AP76" i="10" a="1"/>
  <c r="AI72" i="10" a="1"/>
  <c r="AQ62" i="10" a="1"/>
  <c r="AP44" i="10" a="1"/>
  <c r="AQ79" i="10" a="1"/>
  <c r="AP77" i="10" a="1"/>
  <c r="AI73" i="10" a="1"/>
  <c r="AQ63" i="10" a="1"/>
  <c r="AP61" i="10" a="1"/>
  <c r="AI57" i="10" a="1"/>
  <c r="AQ47" i="10" a="1"/>
  <c r="AP45" i="10" a="1"/>
  <c r="AI41" i="10" a="1"/>
  <c r="AQ31" i="10" a="1"/>
  <c r="AI29" i="10" a="1"/>
  <c r="AQ27" i="10" a="1"/>
  <c r="AQ19" i="10" a="1"/>
  <c r="AP17" i="10" a="1"/>
  <c r="AP16" i="10" a="1"/>
  <c r="AP15" i="10" a="1"/>
  <c r="AP14" i="10" a="1"/>
  <c r="AP18" i="10" a="1"/>
  <c r="AP68" i="10" a="1"/>
  <c r="AQ54" i="10" a="1"/>
  <c r="AP78" i="10" a="1"/>
  <c r="AI74" i="10" a="1"/>
  <c r="AQ64" i="10" a="1"/>
  <c r="AP62" i="10" a="1"/>
  <c r="AI58" i="10" a="1"/>
  <c r="AQ48" i="10" a="1"/>
  <c r="AP46" i="10" a="1"/>
  <c r="AI42" i="10" a="1"/>
  <c r="AQ32" i="10" a="1"/>
  <c r="AP30" i="10" a="1"/>
  <c r="AI26" i="10" a="1"/>
  <c r="AQ20" i="10" a="1"/>
  <c r="AP52" i="10" a="1"/>
  <c r="AP36" i="10" a="1"/>
  <c r="AP79" i="10" a="1"/>
  <c r="AI75" i="10" a="1"/>
  <c r="AQ65" i="10" a="1"/>
  <c r="AP63" i="10" a="1"/>
  <c r="AI59" i="10" a="1"/>
  <c r="AQ49" i="10" a="1"/>
  <c r="AP47" i="10" a="1"/>
  <c r="AI43" i="10" a="1"/>
  <c r="AQ33" i="10" a="1"/>
  <c r="AP31" i="10" a="1"/>
  <c r="AP27" i="10" a="1"/>
  <c r="AQ21" i="10" a="1"/>
  <c r="AP19" i="10" a="1"/>
  <c r="AI12" i="10" a="1"/>
  <c r="AP20" i="10" a="1"/>
  <c r="AI76" i="10" a="1"/>
  <c r="AQ66" i="10" a="1"/>
  <c r="AP64" i="10" a="1"/>
  <c r="AI60" i="10" a="1"/>
  <c r="AQ50" i="10" a="1"/>
  <c r="AP48" i="10" a="1"/>
  <c r="AI44" i="10" a="1"/>
  <c r="AQ34" i="10" a="1"/>
  <c r="AP32" i="10" a="1"/>
  <c r="AQ22" i="10" a="1"/>
  <c r="AI13" i="10" a="1"/>
  <c r="AI77" i="10" a="1"/>
  <c r="AQ67" i="10" a="1"/>
  <c r="AP65" i="10" a="1"/>
  <c r="AI61" i="10" a="1"/>
  <c r="AQ51" i="10" a="1"/>
  <c r="AP49" i="10" a="1"/>
  <c r="AI45" i="10" a="1"/>
  <c r="AQ35" i="10" a="1"/>
  <c r="AP33" i="10" a="1"/>
  <c r="AQ23" i="10" a="1"/>
  <c r="AP21" i="10" a="1"/>
  <c r="AI17" i="10" a="1"/>
  <c r="AI16" i="10" a="1"/>
  <c r="AI15" i="10" a="1"/>
  <c r="AI14" i="10" a="1"/>
  <c r="AI78" i="10" a="1"/>
  <c r="AQ68" i="10" a="1"/>
  <c r="AP66" i="10" a="1"/>
  <c r="AI62" i="10" a="1"/>
  <c r="AQ52" i="10" a="1"/>
  <c r="AP50" i="10" a="1"/>
  <c r="AI46" i="10" a="1"/>
  <c r="AQ36" i="10" a="1"/>
  <c r="AP34" i="10" a="1"/>
  <c r="AI30" i="10" a="1"/>
  <c r="AQ28" i="10" a="1"/>
  <c r="AQ24" i="10" a="1"/>
  <c r="AP22" i="10" a="1"/>
  <c r="AI18" i="10" a="1"/>
  <c r="AI79" i="10" a="1"/>
  <c r="AQ69" i="10" a="1"/>
  <c r="AP67" i="10" a="1"/>
  <c r="AI63" i="10" a="1"/>
  <c r="AQ53" i="10" a="1"/>
  <c r="AP51" i="10" a="1"/>
  <c r="AI47" i="10" a="1"/>
  <c r="AQ37" i="10" a="1"/>
  <c r="AP35" i="10" a="1"/>
  <c r="AI31" i="10" a="1"/>
  <c r="AI27" i="10" a="1"/>
  <c r="AQ25" i="10" a="1"/>
  <c r="AP23" i="10" a="1"/>
  <c r="AI19" i="10" a="1"/>
  <c r="AQ70" i="10" a="1"/>
  <c r="AI64" i="10" a="1"/>
  <c r="AQ38" i="10" a="1"/>
  <c r="AI20" i="10" a="1"/>
  <c r="I26" i="10" a="1"/>
  <c r="V26" i="10" a="1"/>
  <c r="AV53" i="10" a="1"/>
  <c r="AV75" i="10" a="1"/>
  <c r="AV74" i="10" a="1"/>
  <c r="AV20" i="10" a="1"/>
  <c r="AV69" i="10" a="1"/>
  <c r="AV16" i="10" a="1"/>
  <c r="AV77" i="10" a="1"/>
  <c r="AV24" i="10" a="1"/>
  <c r="AV44" i="10" a="1"/>
  <c r="AV48" i="10" a="1"/>
  <c r="AV52" i="10" a="1"/>
  <c r="AV51" i="10" a="1"/>
  <c r="AV14" i="10" a="1"/>
  <c r="AV72" i="10" a="1"/>
  <c r="AV68" i="10" a="1"/>
  <c r="AV45" i="10" a="1"/>
  <c r="AV22" i="10" a="1"/>
  <c r="AV43" i="10" a="1"/>
  <c r="AV76" i="10" a="1"/>
  <c r="AV46" i="10" a="1"/>
  <c r="AV17" i="10" a="1"/>
  <c r="AV12" i="10" a="1"/>
  <c r="AV50" i="10" a="1"/>
  <c r="AV54" i="10" a="1"/>
  <c r="AV25" i="10" a="1"/>
  <c r="AV19" i="10" a="1"/>
  <c r="AV55" i="10" a="1"/>
  <c r="AV70" i="10" a="1"/>
  <c r="AV41" i="10" a="1"/>
  <c r="AV79" i="10" a="1"/>
  <c r="AV78" i="10" a="1"/>
  <c r="AV49" i="10" a="1"/>
  <c r="AV13" i="10" a="1"/>
  <c r="AV15" i="10" a="1"/>
  <c r="AV73" i="10" a="1"/>
  <c r="AV23" i="10" a="1"/>
  <c r="AV47" i="10" a="1"/>
  <c r="AV18" i="10" a="1"/>
  <c r="AV26" i="10" a="1"/>
  <c r="AV21" i="10" a="1"/>
  <c r="AV71" i="10" a="1"/>
  <c r="AV42" i="10" a="1"/>
  <c r="AV76" i="10" l="1"/>
  <c r="AV68" i="10"/>
  <c r="AV52" i="10"/>
  <c r="AV44" i="10"/>
  <c r="AV20" i="10"/>
  <c r="AV74" i="10"/>
  <c r="AV50" i="10"/>
  <c r="AV42" i="10"/>
  <c r="AV26" i="10"/>
  <c r="AV18" i="10"/>
  <c r="AV19" i="10"/>
  <c r="AV73" i="10"/>
  <c r="AV49" i="10"/>
  <c r="AV41" i="10"/>
  <c r="AV25" i="10"/>
  <c r="AV17" i="10"/>
  <c r="AV43" i="10"/>
  <c r="AV72" i="10"/>
  <c r="AV48" i="10"/>
  <c r="AV24" i="10"/>
  <c r="AV16" i="10"/>
  <c r="AV75" i="10"/>
  <c r="AV79" i="10"/>
  <c r="AV71" i="10"/>
  <c r="AV55" i="10"/>
  <c r="AV47" i="10"/>
  <c r="AV23" i="10"/>
  <c r="AV15" i="10"/>
  <c r="AV78" i="10"/>
  <c r="AV70" i="10"/>
  <c r="AV54" i="10"/>
  <c r="AV46" i="10"/>
  <c r="AV22" i="10"/>
  <c r="AV14" i="10"/>
  <c r="AV51" i="10"/>
  <c r="AV77" i="10"/>
  <c r="AV69" i="10"/>
  <c r="AV53" i="10"/>
  <c r="AV45" i="10"/>
  <c r="AV21" i="10"/>
  <c r="AV13" i="10"/>
  <c r="AV12" i="10"/>
  <c r="V26" i="10"/>
  <c r="I26" i="10"/>
  <c r="AI20" i="10"/>
  <c r="AQ38" i="10"/>
  <c r="AI64" i="10"/>
  <c r="AQ70" i="10"/>
  <c r="AS70" i="10" s="1"/>
  <c r="AI19" i="10"/>
  <c r="AP23" i="10"/>
  <c r="AQ25" i="10"/>
  <c r="AI27" i="10"/>
  <c r="AI31" i="10"/>
  <c r="AP35" i="10"/>
  <c r="AR35" i="10" s="1"/>
  <c r="AQ37" i="10"/>
  <c r="AS37" i="10" s="1"/>
  <c r="AI47" i="10"/>
  <c r="AP51" i="10"/>
  <c r="AR51" i="10" s="1"/>
  <c r="AQ53" i="10"/>
  <c r="AS53" i="10" s="1"/>
  <c r="AI63" i="10"/>
  <c r="AP67" i="10"/>
  <c r="AR67" i="10" s="1"/>
  <c r="AQ69" i="10"/>
  <c r="AS69" i="10" s="1"/>
  <c r="AI79" i="10"/>
  <c r="AI18" i="10"/>
  <c r="AP22" i="10"/>
  <c r="AQ24" i="10"/>
  <c r="AQ28" i="10"/>
  <c r="AS28" i="10" s="1"/>
  <c r="AI30" i="10"/>
  <c r="AP34" i="10"/>
  <c r="AQ36" i="10"/>
  <c r="AS36" i="10" s="1"/>
  <c r="AI46" i="10"/>
  <c r="AP50" i="10"/>
  <c r="AQ52" i="10"/>
  <c r="AS52" i="10" s="1"/>
  <c r="AI62" i="10"/>
  <c r="AP66" i="10"/>
  <c r="AQ68" i="10"/>
  <c r="AS68" i="10" s="1"/>
  <c r="AI78" i="10"/>
  <c r="AI14" i="10"/>
  <c r="AI15" i="10"/>
  <c r="AI16" i="10"/>
  <c r="AI17" i="10"/>
  <c r="AP21" i="10"/>
  <c r="AQ23" i="10"/>
  <c r="AS23" i="10" s="1"/>
  <c r="AP33" i="10"/>
  <c r="AR33" i="10" s="1"/>
  <c r="AT33" i="10" s="1"/>
  <c r="AQ35" i="10"/>
  <c r="AI45" i="10"/>
  <c r="AP49" i="10"/>
  <c r="AR49" i="10" s="1"/>
  <c r="AT49" i="10" s="1"/>
  <c r="AQ51" i="10"/>
  <c r="AS51" i="10" s="1"/>
  <c r="AI61" i="10"/>
  <c r="AP65" i="10"/>
  <c r="AR65" i="10" s="1"/>
  <c r="AT65" i="10" s="1"/>
  <c r="AQ67" i="10"/>
  <c r="AS67" i="10" s="1"/>
  <c r="AI77" i="10"/>
  <c r="AI13" i="10"/>
  <c r="AQ22" i="10"/>
  <c r="AP32" i="10"/>
  <c r="AR32" i="10" s="1"/>
  <c r="AQ34" i="10"/>
  <c r="AI44" i="10"/>
  <c r="AP48" i="10"/>
  <c r="AR48" i="10" s="1"/>
  <c r="AT48" i="10" s="1"/>
  <c r="AQ50" i="10"/>
  <c r="AI60" i="10"/>
  <c r="AP64" i="10"/>
  <c r="AR64" i="10" s="1"/>
  <c r="AT64" i="10" s="1"/>
  <c r="AQ66" i="10"/>
  <c r="AS66" i="10" s="1"/>
  <c r="AI76" i="10"/>
  <c r="AP20" i="10"/>
  <c r="AR20" i="10" s="1"/>
  <c r="AI12" i="10"/>
  <c r="AP19" i="10"/>
  <c r="AQ21" i="10"/>
  <c r="AS21" i="10" s="1"/>
  <c r="AP27" i="10"/>
  <c r="AP31" i="10"/>
  <c r="AQ33" i="10"/>
  <c r="AS33" i="10" s="1"/>
  <c r="AI43" i="10"/>
  <c r="AP47" i="10"/>
  <c r="AQ49" i="10"/>
  <c r="AS49" i="10" s="1"/>
  <c r="AI59" i="10"/>
  <c r="AP63" i="10"/>
  <c r="AQ65" i="10"/>
  <c r="AI75" i="10"/>
  <c r="AP79" i="10"/>
  <c r="AP36" i="10"/>
  <c r="AR36" i="10" s="1"/>
  <c r="AT36" i="10" s="1"/>
  <c r="AP52" i="10"/>
  <c r="AR52" i="10" s="1"/>
  <c r="AT52" i="10" s="1"/>
  <c r="AQ20" i="10"/>
  <c r="AI26" i="10"/>
  <c r="AP30" i="10"/>
  <c r="AQ32" i="10"/>
  <c r="AI42" i="10"/>
  <c r="AP46" i="10"/>
  <c r="AQ48" i="10"/>
  <c r="AI58" i="10"/>
  <c r="AP62" i="10"/>
  <c r="AR62" i="10" s="1"/>
  <c r="AT62" i="10" s="1"/>
  <c r="AQ64" i="10"/>
  <c r="AI74" i="10"/>
  <c r="AP78" i="10"/>
  <c r="AQ54" i="10"/>
  <c r="AS54" i="10" s="1"/>
  <c r="AP68" i="10"/>
  <c r="AR68" i="10" s="1"/>
  <c r="AP18" i="10"/>
  <c r="AR18" i="10" s="1"/>
  <c r="AT18" i="10" s="1"/>
  <c r="AP14" i="10"/>
  <c r="AP15" i="10"/>
  <c r="AR15" i="10" s="1"/>
  <c r="AT15" i="10" s="1"/>
  <c r="AP16" i="10"/>
  <c r="AR16" i="10" s="1"/>
  <c r="AT16" i="10" s="1"/>
  <c r="AP17" i="10"/>
  <c r="AQ19" i="10"/>
  <c r="AQ27" i="10"/>
  <c r="AI29" i="10"/>
  <c r="AQ31" i="10"/>
  <c r="AI41" i="10"/>
  <c r="AP45" i="10"/>
  <c r="AQ47" i="10"/>
  <c r="AI57" i="10"/>
  <c r="AP61" i="10"/>
  <c r="AR61" i="10" s="1"/>
  <c r="AT61" i="10" s="1"/>
  <c r="AQ63" i="10"/>
  <c r="AS63" i="10" s="1"/>
  <c r="AI73" i="10"/>
  <c r="AP77" i="10"/>
  <c r="AR77" i="10" s="1"/>
  <c r="AT77" i="10" s="1"/>
  <c r="AQ79" i="10"/>
  <c r="AS79" i="10" s="1"/>
  <c r="AP44" i="10"/>
  <c r="AR44" i="10" s="1"/>
  <c r="AT44" i="10" s="1"/>
  <c r="AQ62" i="10"/>
  <c r="AI72" i="10"/>
  <c r="AP76" i="10"/>
  <c r="AR76" i="10" s="1"/>
  <c r="AT76" i="10" s="1"/>
  <c r="AQ78" i="10"/>
  <c r="AP24" i="10"/>
  <c r="AR24" i="10" s="1"/>
  <c r="AT24" i="10" s="1"/>
  <c r="AI48" i="10"/>
  <c r="AP12" i="10"/>
  <c r="AR12" i="10" s="1"/>
  <c r="AT12" i="10" s="1"/>
  <c r="AQ14" i="10"/>
  <c r="AQ15" i="10"/>
  <c r="AQ16" i="10"/>
  <c r="AQ17" i="10"/>
  <c r="AI39" i="10"/>
  <c r="AP43" i="10"/>
  <c r="AR43" i="10" s="1"/>
  <c r="AT43" i="10" s="1"/>
  <c r="AQ45" i="10"/>
  <c r="AS45" i="10" s="1"/>
  <c r="AI55" i="10"/>
  <c r="AP59" i="10"/>
  <c r="AQ61" i="10"/>
  <c r="AI71" i="10"/>
  <c r="AP75" i="10"/>
  <c r="AQ77" i="10"/>
  <c r="AQ30" i="10"/>
  <c r="AQ46" i="10"/>
  <c r="AQ13" i="10"/>
  <c r="AS13" i="10" s="1"/>
  <c r="AP26" i="10"/>
  <c r="AR26" i="10" s="1"/>
  <c r="AT26" i="10" s="1"/>
  <c r="AI38" i="10"/>
  <c r="AP42" i="10"/>
  <c r="AR42" i="10" s="1"/>
  <c r="AQ44" i="10"/>
  <c r="AS44" i="10" s="1"/>
  <c r="AI54" i="10"/>
  <c r="AP58" i="10"/>
  <c r="AR58" i="10" s="1"/>
  <c r="AT58" i="10" s="1"/>
  <c r="AQ60" i="10"/>
  <c r="AS60" i="10" s="1"/>
  <c r="AI70" i="10"/>
  <c r="AP74" i="10"/>
  <c r="AQ76" i="10"/>
  <c r="AP13" i="10"/>
  <c r="AI40" i="10"/>
  <c r="AQ12" i="10"/>
  <c r="AS12" i="10" s="1"/>
  <c r="AI25" i="10"/>
  <c r="P26" i="10"/>
  <c r="R26" i="10" s="1"/>
  <c r="AP29" i="10"/>
  <c r="AR29" i="10" s="1"/>
  <c r="AT29" i="10" s="1"/>
  <c r="AI37" i="10"/>
  <c r="AP41" i="10"/>
  <c r="AQ43" i="10"/>
  <c r="AS43" i="10" s="1"/>
  <c r="AI53" i="10"/>
  <c r="AP57" i="10"/>
  <c r="AR57" i="10" s="1"/>
  <c r="AT57" i="10" s="1"/>
  <c r="AQ59" i="10"/>
  <c r="AS59" i="10" s="1"/>
  <c r="AI69" i="10"/>
  <c r="AP73" i="10"/>
  <c r="AQ75" i="10"/>
  <c r="AI32" i="10"/>
  <c r="AI56" i="10"/>
  <c r="AI24" i="10"/>
  <c r="AQ26" i="10"/>
  <c r="AI28" i="10"/>
  <c r="AI36" i="10"/>
  <c r="AP40" i="10"/>
  <c r="AR40" i="10" s="1"/>
  <c r="AQ42" i="10"/>
  <c r="AS42" i="10" s="1"/>
  <c r="AI52" i="10"/>
  <c r="AP56" i="10"/>
  <c r="AR56" i="10" s="1"/>
  <c r="AT56" i="10" s="1"/>
  <c r="AQ58" i="10"/>
  <c r="AS58" i="10" s="1"/>
  <c r="AI68" i="10"/>
  <c r="AP72" i="10"/>
  <c r="AR72" i="10" s="1"/>
  <c r="AT72" i="10" s="1"/>
  <c r="AQ74" i="10"/>
  <c r="AP28" i="10"/>
  <c r="AQ18" i="10"/>
  <c r="AP60" i="10"/>
  <c r="AI23" i="10"/>
  <c r="Q26" i="10"/>
  <c r="S26" i="10" s="1"/>
  <c r="AQ29" i="10"/>
  <c r="AS29" i="10" s="1"/>
  <c r="AI35" i="10"/>
  <c r="AP39" i="10"/>
  <c r="AR39" i="10" s="1"/>
  <c r="AQ41" i="10"/>
  <c r="AS41" i="10" s="1"/>
  <c r="AI51" i="10"/>
  <c r="AP55" i="10"/>
  <c r="AR55" i="10" s="1"/>
  <c r="AT55" i="10" s="1"/>
  <c r="AQ57" i="10"/>
  <c r="AS57" i="10" s="1"/>
  <c r="AI67" i="10"/>
  <c r="AP71" i="10"/>
  <c r="AR71" i="10" s="1"/>
  <c r="AT71" i="10" s="1"/>
  <c r="AQ73" i="10"/>
  <c r="AS73" i="10" s="1"/>
  <c r="AQ56" i="10"/>
  <c r="AS56" i="10" s="1"/>
  <c r="AI66" i="10"/>
  <c r="AP70" i="10"/>
  <c r="AR70" i="10" s="1"/>
  <c r="AT70" i="10" s="1"/>
  <c r="AQ72" i="10"/>
  <c r="AS72" i="10" s="1"/>
  <c r="AI22" i="10"/>
  <c r="AI34" i="10"/>
  <c r="AP38" i="10"/>
  <c r="AR38" i="10" s="1"/>
  <c r="AT38" i="10" s="1"/>
  <c r="AQ40" i="10"/>
  <c r="AS40" i="10" s="1"/>
  <c r="AI50" i="10"/>
  <c r="AP54" i="10"/>
  <c r="AR54" i="10" s="1"/>
  <c r="AT54" i="10" s="1"/>
  <c r="AI21" i="10"/>
  <c r="AP25" i="10"/>
  <c r="AR25" i="10" s="1"/>
  <c r="AI33" i="10"/>
  <c r="AP37" i="10"/>
  <c r="AR37" i="10" s="1"/>
  <c r="AT37" i="10" s="1"/>
  <c r="AQ39" i="10"/>
  <c r="AS39" i="10" s="1"/>
  <c r="AI49" i="10"/>
  <c r="AP53" i="10"/>
  <c r="AR53" i="10" s="1"/>
  <c r="AQ55" i="10"/>
  <c r="AS55" i="10" s="1"/>
  <c r="AI65" i="10"/>
  <c r="AP69" i="10"/>
  <c r="AR69" i="10" s="1"/>
  <c r="AT69" i="10" s="1"/>
  <c r="AQ71" i="10"/>
  <c r="AS71" i="10" s="1"/>
  <c r="AS19" i="10"/>
  <c r="AS32" i="10"/>
  <c r="AS48" i="10"/>
  <c r="AR59" i="10"/>
  <c r="AS64" i="10"/>
  <c r="AR75" i="10"/>
  <c r="AT75" i="10" s="1"/>
  <c r="AS25" i="10"/>
  <c r="AS15" i="10"/>
  <c r="AS20" i="10"/>
  <c r="AS38" i="10"/>
  <c r="AR21" i="10"/>
  <c r="AS76" i="10"/>
  <c r="AS75" i="10"/>
  <c r="AR34" i="10"/>
  <c r="AT34" i="10" s="1"/>
  <c r="AR50" i="10"/>
  <c r="AT50" i="10" s="1"/>
  <c r="AR66" i="10"/>
  <c r="AS16" i="10"/>
  <c r="AS26" i="10"/>
  <c r="AS34" i="10"/>
  <c r="AR45" i="10"/>
  <c r="AS50" i="10"/>
  <c r="AR22" i="10"/>
  <c r="AS61" i="10"/>
  <c r="AS77" i="10"/>
  <c r="AR17" i="10"/>
  <c r="AT17" i="10" s="1"/>
  <c r="AS22" i="10"/>
  <c r="AS17" i="10"/>
  <c r="AR30" i="10"/>
  <c r="AS35" i="10"/>
  <c r="AR46" i="10"/>
  <c r="AR78" i="10"/>
  <c r="AT78" i="10" s="1"/>
  <c r="AR23" i="10"/>
  <c r="AS30" i="10"/>
  <c r="AR41" i="10"/>
  <c r="AT41" i="10" s="1"/>
  <c r="AS46" i="10"/>
  <c r="AS62" i="10"/>
  <c r="AR73" i="10"/>
  <c r="AS78" i="10"/>
  <c r="AR60" i="10"/>
  <c r="AR13" i="10"/>
  <c r="AT13" i="10" s="1"/>
  <c r="AR27" i="10"/>
  <c r="AT27" i="10" s="1"/>
  <c r="AS27" i="10"/>
  <c r="AS65" i="10"/>
  <c r="AR47" i="10"/>
  <c r="AT47" i="10" s="1"/>
  <c r="AR63" i="10"/>
  <c r="AR14" i="10"/>
  <c r="AT14" i="10" s="1"/>
  <c r="AS31" i="10"/>
  <c r="AS47" i="10"/>
  <c r="AR74" i="10"/>
  <c r="AT74" i="10" s="1"/>
  <c r="AR28" i="10"/>
  <c r="AS18" i="10"/>
  <c r="AR31" i="10"/>
  <c r="AT31" i="10" s="1"/>
  <c r="AR79" i="10"/>
  <c r="AS14" i="10"/>
  <c r="AR19" i="10"/>
  <c r="AT19" i="10" s="1"/>
  <c r="AS24" i="10"/>
  <c r="AS74" i="10"/>
  <c r="AT23" i="10" l="1"/>
  <c r="AT68" i="10"/>
  <c r="AT66" i="10"/>
  <c r="AT79" i="10"/>
  <c r="AT59" i="10"/>
  <c r="AT42" i="10"/>
  <c r="AT35" i="10"/>
  <c r="AT63" i="10"/>
  <c r="AT20" i="10"/>
  <c r="AT22" i="10"/>
  <c r="AT40" i="10"/>
  <c r="AT39" i="10"/>
  <c r="AT28" i="10"/>
  <c r="T26" i="10"/>
  <c r="AT46" i="10"/>
  <c r="AT45" i="10"/>
  <c r="AT51" i="10"/>
  <c r="AT60" i="10"/>
  <c r="AT30" i="10"/>
  <c r="AT32" i="10"/>
  <c r="AT21" i="10"/>
  <c r="AT73" i="10"/>
  <c r="AT53" i="10"/>
  <c r="AT25" i="10"/>
  <c r="AT67" i="10"/>
  <c r="AW55" i="10" l="1"/>
  <c r="AX55" i="10" s="1"/>
  <c r="AW47" i="10"/>
  <c r="AX47" i="10" s="1"/>
  <c r="AW65" i="10"/>
  <c r="AX65" i="10" s="1"/>
  <c r="AW18" i="10"/>
  <c r="AX18" i="10" s="1"/>
  <c r="AW69" i="10"/>
  <c r="AX69" i="10" s="1"/>
  <c r="AW34" i="10"/>
  <c r="AX34" i="10" s="1"/>
  <c r="AW77" i="10"/>
  <c r="AX77" i="10" s="1"/>
  <c r="AW71" i="10"/>
  <c r="AX71" i="10" s="1"/>
  <c r="AW48" i="10"/>
  <c r="AX48" i="10" s="1"/>
  <c r="AW50" i="10"/>
  <c r="AX50" i="10" s="1"/>
  <c r="AW64" i="10"/>
  <c r="AX64" i="10" s="1"/>
  <c r="AW16" i="10"/>
  <c r="AX16" i="10" s="1"/>
  <c r="AW17" i="10"/>
  <c r="AX17" i="10" s="1"/>
  <c r="AW24" i="10"/>
  <c r="AX24" i="10" s="1"/>
  <c r="AW70" i="10"/>
  <c r="AX70" i="10" s="1"/>
  <c r="AW78" i="10"/>
  <c r="AX78" i="10" s="1"/>
  <c r="AW57" i="10"/>
  <c r="AX57" i="10" s="1"/>
  <c r="AW33" i="10"/>
  <c r="AX33" i="10" s="1"/>
  <c r="AW14" i="10"/>
  <c r="AX14" i="10" s="1"/>
  <c r="AW36" i="10"/>
  <c r="AX36" i="10" s="1"/>
  <c r="AW61" i="10"/>
  <c r="AX61" i="10" s="1"/>
  <c r="AW37" i="10"/>
  <c r="AX37" i="10" s="1"/>
  <c r="AW52" i="10"/>
  <c r="AX52" i="10" s="1"/>
  <c r="AW31" i="10"/>
  <c r="AX31" i="10" s="1"/>
  <c r="AW74" i="10"/>
  <c r="AX74" i="10" s="1"/>
  <c r="AW15" i="10"/>
  <c r="AX15" i="10" s="1"/>
  <c r="AW12" i="10"/>
  <c r="AX12" i="10" s="1"/>
  <c r="AW27" i="10"/>
  <c r="AX27" i="10" s="1"/>
  <c r="AW13" i="10"/>
  <c r="AX13" i="10" s="1"/>
  <c r="AW26" i="10"/>
  <c r="AX26" i="10" s="1"/>
  <c r="AW58" i="10"/>
  <c r="AX58" i="10" s="1"/>
  <c r="AW19" i="10"/>
  <c r="AX19" i="10" s="1"/>
  <c r="AW72" i="10"/>
  <c r="AX72" i="10" s="1"/>
  <c r="AW54" i="10"/>
  <c r="AX54" i="10" s="1"/>
  <c r="AW76" i="10"/>
  <c r="AX76" i="10" s="1"/>
  <c r="AW62" i="10"/>
  <c r="AX62" i="10" s="1"/>
  <c r="AW43" i="10"/>
  <c r="AX43" i="10" s="1"/>
  <c r="AW41" i="10"/>
  <c r="AX41" i="10" s="1"/>
  <c r="AW56" i="10"/>
  <c r="AX56" i="10" s="1"/>
  <c r="AW29" i="10"/>
  <c r="AX29" i="10" s="1"/>
  <c r="AW49" i="10"/>
  <c r="AX49" i="10" s="1"/>
  <c r="AW38" i="10"/>
  <c r="AX38" i="10" s="1"/>
  <c r="AW75" i="10"/>
  <c r="AX75" i="10" s="1"/>
  <c r="AW44" i="10"/>
  <c r="AX44" i="10" s="1"/>
  <c r="AW63" i="10" l="1"/>
  <c r="AX63" i="10" s="1"/>
  <c r="AW39" i="10"/>
  <c r="AX39" i="10" s="1"/>
  <c r="AW46" i="10"/>
  <c r="AX46" i="10" s="1"/>
  <c r="AW60" i="10"/>
  <c r="AX60" i="10" s="1"/>
  <c r="AW53" i="10"/>
  <c r="AX53" i="10" s="1"/>
  <c r="AW32" i="10"/>
  <c r="AX32" i="10" s="1"/>
  <c r="AW25" i="10"/>
  <c r="AX25" i="10" s="1"/>
  <c r="AW67" i="10"/>
  <c r="AX67" i="10" s="1"/>
  <c r="W26" i="10"/>
  <c r="X26" i="10" s="1"/>
  <c r="AW51" i="10"/>
  <c r="AX51" i="10" s="1"/>
  <c r="AW21" i="10"/>
  <c r="AX21" i="10" s="1"/>
  <c r="AW22" i="10"/>
  <c r="AX22" i="10" s="1"/>
  <c r="AW45" i="10"/>
  <c r="AX45" i="10" s="1"/>
  <c r="AW79" i="10"/>
  <c r="AX79" i="10" s="1"/>
  <c r="AW68" i="10"/>
  <c r="AX68" i="10" s="1"/>
  <c r="AW73" i="10"/>
  <c r="AX73" i="10" s="1"/>
  <c r="AW28" i="10"/>
  <c r="AX28" i="10" s="1"/>
  <c r="AW35" i="10"/>
  <c r="AX35" i="10" s="1"/>
  <c r="AW20" i="10"/>
  <c r="AX20" i="10" s="1"/>
  <c r="AW23" i="10"/>
  <c r="AX23" i="10" s="1"/>
  <c r="AW30" i="10"/>
  <c r="AX30" i="10" s="1"/>
  <c r="AW59" i="10"/>
  <c r="AX59" i="10" s="1"/>
  <c r="AW42" i="10"/>
  <c r="AX42" i="10" s="1"/>
  <c r="AW66" i="10"/>
  <c r="AX66" i="10" s="1"/>
  <c r="AW40" i="10"/>
  <c r="AX40" i="10" s="1"/>
  <c r="AT12" i="7" l="1"/>
  <c r="T26" i="7"/>
  <c r="AR12" i="7"/>
  <c r="AQ12" i="7"/>
  <c r="R26" i="7"/>
  <c r="O26" i="7"/>
  <c r="Q26" i="7" l="1"/>
  <c r="N26" i="7"/>
  <c r="L26" i="7"/>
  <c r="AH12" i="7"/>
  <c r="H26" i="7"/>
  <c r="AN12" i="7" l="1"/>
  <c r="AL12" i="7"/>
  <c r="J16" i="7"/>
  <c r="J15" i="7"/>
  <c r="J17" i="7" s="1"/>
  <c r="DD6" i="1"/>
  <c r="DE6" i="1"/>
  <c r="DF6" i="1" s="1"/>
  <c r="DD7" i="1"/>
  <c r="DE7" i="1"/>
  <c r="DF7" i="1" s="1"/>
  <c r="DD8" i="1"/>
  <c r="DE8" i="1"/>
  <c r="DF8" i="1" s="1"/>
  <c r="DD9" i="1"/>
  <c r="DE9" i="1"/>
  <c r="DD10" i="1"/>
  <c r="DE10" i="1"/>
  <c r="DD11" i="1"/>
  <c r="DE11" i="1"/>
  <c r="DD12" i="1"/>
  <c r="DE12" i="1"/>
  <c r="DF12" i="1" s="1"/>
  <c r="DD13" i="1"/>
  <c r="DE13" i="1"/>
  <c r="DF13" i="1" s="1"/>
  <c r="DD14" i="1"/>
  <c r="DE14" i="1"/>
  <c r="DF14" i="1" s="1"/>
  <c r="DD15" i="1"/>
  <c r="DE15" i="1"/>
  <c r="DF15" i="1" s="1"/>
  <c r="DA6" i="1"/>
  <c r="DA7" i="1"/>
  <c r="DA8" i="1"/>
  <c r="DA9" i="1"/>
  <c r="DA10" i="1"/>
  <c r="DA11" i="1"/>
  <c r="DA12" i="1"/>
  <c r="DA13" i="1"/>
  <c r="DA14" i="1"/>
  <c r="DA15" i="1"/>
  <c r="DE5" i="1"/>
  <c r="DD5" i="1"/>
  <c r="DA5" i="1"/>
  <c r="EI9" i="1"/>
  <c r="EY4" i="1"/>
  <c r="FA5" i="1"/>
  <c r="EZ5" i="1"/>
  <c r="EX5" i="1"/>
  <c r="EW5" i="1"/>
  <c r="P26" i="7"/>
  <c r="AP12" i="7"/>
  <c r="AO12" i="7"/>
  <c r="DF5" i="1" l="1"/>
  <c r="S26" i="7"/>
  <c r="DF11" i="1"/>
  <c r="DF10" i="1"/>
  <c r="DF9" i="1"/>
  <c r="CI15" i="1"/>
  <c r="CI16" i="1"/>
  <c r="CI17" i="1"/>
  <c r="CI18" i="1"/>
  <c r="CI19" i="1"/>
  <c r="CI5" i="1"/>
  <c r="CI6" i="1"/>
  <c r="CI7" i="1"/>
  <c r="CI8" i="1"/>
  <c r="CI9" i="1"/>
  <c r="CI4" i="1"/>
  <c r="CF5" i="1"/>
  <c r="CG5" i="1" s="1"/>
  <c r="CF6" i="1"/>
  <c r="CG6" i="1" s="1"/>
  <c r="CF7" i="1"/>
  <c r="CG7" i="1" s="1"/>
  <c r="CF8" i="1"/>
  <c r="CG8" i="1" s="1"/>
  <c r="CF9" i="1"/>
  <c r="CG9" i="1" s="1"/>
  <c r="CF10" i="1"/>
  <c r="CH10" i="1" s="1"/>
  <c r="CF11" i="1"/>
  <c r="CH11" i="1" s="1"/>
  <c r="CF12" i="1"/>
  <c r="CH12" i="1" s="1"/>
  <c r="CF13" i="1"/>
  <c r="CH13" i="1" s="1"/>
  <c r="CF14" i="1"/>
  <c r="CH14" i="1" s="1"/>
  <c r="CF15" i="1"/>
  <c r="CH15" i="1" s="1"/>
  <c r="CF16" i="1"/>
  <c r="CH16" i="1" s="1"/>
  <c r="CF17" i="1"/>
  <c r="CH17" i="1" s="1"/>
  <c r="CF18" i="1"/>
  <c r="CH18" i="1" s="1"/>
  <c r="CF19" i="1"/>
  <c r="CG19" i="1" s="1"/>
  <c r="CF4" i="1"/>
  <c r="CG4" i="1" s="1"/>
  <c r="AU12" i="7" a="1"/>
  <c r="U26" i="7" a="1"/>
  <c r="U26" i="7" l="1"/>
  <c r="AU12" i="7"/>
  <c r="CG15" i="1"/>
  <c r="CG16" i="1"/>
  <c r="V26" i="7"/>
  <c r="W26" i="7" s="1"/>
  <c r="AS12" i="7"/>
  <c r="CG17" i="1"/>
  <c r="CG18" i="1"/>
  <c r="CH19" i="1"/>
  <c r="CH9" i="1"/>
  <c r="CH8" i="1"/>
  <c r="CH4" i="1"/>
  <c r="CH7" i="1"/>
  <c r="CH6" i="1"/>
  <c r="CH5" i="1"/>
  <c r="BQ7" i="1"/>
  <c r="BQ8" i="1"/>
  <c r="BQ9" i="1"/>
  <c r="BQ10" i="1"/>
  <c r="BQ11" i="1"/>
  <c r="BQ12" i="1"/>
  <c r="BQ13" i="1"/>
  <c r="BQ14" i="1"/>
  <c r="BQ15" i="1"/>
  <c r="BQ6" i="1"/>
  <c r="AV12" i="7" l="1"/>
  <c r="AW12" i="7" s="1"/>
  <c r="X15" i="1"/>
  <c r="X14" i="1"/>
  <c r="X13" i="1"/>
  <c r="X12" i="1"/>
  <c r="X11" i="1"/>
  <c r="X10" i="1"/>
  <c r="X9" i="1"/>
  <c r="X8" i="1"/>
  <c r="X7" i="1"/>
  <c r="X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TEEL_BOX" description="Connection to the 'STEEL_BOX' query in the workbook." type="5" refreshedVersion="0" background="1" saveData="1">
    <dbPr connection="Provider=Microsoft.Mashup.OleDb.1;Data Source=$Workbook$;Location=STEEL_BOX;Extended Properties=&quot;&quot;" command="SELECT * FROM [STEEL_BOX]"/>
  </connection>
  <connection id="2" xr16:uid="{00000000-0015-0000-FFFF-FFFF01000000}" keepAlive="1" name="Query - STEEL_CHANNEL" description="Connection to the 'STEEL_CHANNEL' query in the workbook." type="5" refreshedVersion="8" background="1" saveData="1">
    <dbPr connection="Provider=Microsoft.Mashup.OleDb.1;Data Source=$Workbook$;Location=STEEL_CHANNEL;Extended Properties=&quot;&quot;" command="SELECT * FROM [STEEL_CHANNE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<sst xmlns="http://schemas.openxmlformats.org/spreadsheetml/2006/main" count="601" uniqueCount="239">
  <si>
    <t>A. THÔNG TIN THIẾT KẾ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</si>
  <si>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</si>
  <si>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</si>
  <si>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</si>
  <si>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</si>
  <si>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</si>
  <si>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</si>
  <si>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</si>
  <si>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</si>
  <si>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</si>
  <si>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</si>
  <si>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</si>
  <si>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</si>
  <si>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</si>
  <si>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</si>
  <si>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</si>
  <si>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</si>
  <si>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</si>
  <si>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</si>
  <si>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A</t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</si>
  <si>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</si>
  <si>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t>N</t>
  </si>
  <si>
    <t>MPa</t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</si>
  <si>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</si>
  <si>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</si>
  <si>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</si>
  <si>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</si>
  <si>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</si>
  <si>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</si>
  <si>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</si>
  <si>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t>B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</si>
  <si>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</si>
  <si>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</si>
  <si>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</si>
  <si>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</si>
  <si>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</si>
  <si>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</si>
  <si>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</si>
  <si>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</si>
  <si>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D</t>
  </si>
  <si>
    <t>Bảng C.4 Cường độ tiêu chuẩn
 của thép làm bu lông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</si>
  <si>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</si>
  <si>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</si>
  <si>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</si>
  <si>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</si>
  <si>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</si>
  <si>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</si>
  <si>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</si>
  <si>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</si>
  <si>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</si>
  <si>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Bảng C.6 Diện tích tiết diện bu lông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</si>
  <si>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</si>
  <si>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</si>
  <si>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</si>
  <si>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</si>
  <si>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</si>
  <si>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</si>
  <si>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N42</t>
  </si>
  <si>
    <t>N46</t>
  </si>
  <si>
    <t>N50</t>
  </si>
  <si>
    <t>Cường độ
Bê tông</t>
  </si>
  <si>
    <t>TCVN 5574 - 2018</t>
  </si>
  <si>
    <t>NÉN</t>
  </si>
  <si>
    <t>KÉO</t>
  </si>
  <si>
    <t>M150</t>
  </si>
  <si>
    <t>B10</t>
  </si>
  <si>
    <t>M200</t>
  </si>
  <si>
    <t>B15</t>
  </si>
  <si>
    <t>M250</t>
  </si>
  <si>
    <t>B20</t>
  </si>
  <si>
    <t>M350</t>
  </si>
  <si>
    <t>B25</t>
  </si>
  <si>
    <t>M400</t>
  </si>
  <si>
    <t>B30</t>
  </si>
  <si>
    <t>M450</t>
  </si>
  <si>
    <t>B35</t>
  </si>
  <si>
    <t>M500</t>
  </si>
  <si>
    <t>B40</t>
  </si>
  <si>
    <t>M600</t>
  </si>
  <si>
    <t>B45</t>
  </si>
  <si>
    <t>M700</t>
  </si>
  <si>
    <t>B50</t>
  </si>
  <si>
    <t>B55</t>
  </si>
  <si>
    <t>M800</t>
  </si>
  <si>
    <t>B60</t>
  </si>
  <si>
    <r>
      <t>E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</si>
  <si>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</si>
  <si>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</si>
  <si>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</si>
  <si>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</si>
  <si>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EC</t>
  </si>
  <si>
    <t>C12/15</t>
  </si>
  <si>
    <t>C16/20</t>
  </si>
  <si>
    <t>C20/25</t>
  </si>
  <si>
    <t>C25/30</t>
  </si>
  <si>
    <t>C28/35</t>
  </si>
  <si>
    <t>C32/40</t>
  </si>
  <si>
    <t>C35/45</t>
  </si>
  <si>
    <t>C40/50</t>
  </si>
  <si>
    <t>C45/55</t>
  </si>
  <si>
    <t>C50/60</t>
  </si>
  <si>
    <t>Tên</t>
  </si>
  <si>
    <t>fck</t>
  </si>
  <si>
    <t>Bảng C5: Cường độ ép mặt</t>
  </si>
  <si>
    <t>fu</t>
  </si>
  <si>
    <t>Loại thép</t>
  </si>
  <si>
    <t>CI</t>
  </si>
  <si>
    <t>CII</t>
  </si>
  <si>
    <t>CIII</t>
  </si>
  <si>
    <t>AI</t>
  </si>
  <si>
    <t>AII</t>
  </si>
  <si>
    <t>AIII</t>
  </si>
  <si>
    <t>SD295</t>
  </si>
  <si>
    <t>SD390</t>
  </si>
  <si>
    <t>SD490</t>
  </si>
  <si>
    <t>fy</t>
  </si>
  <si>
    <t>SR235</t>
  </si>
  <si>
    <t>SR295</t>
  </si>
  <si>
    <t>CB240-T</t>
  </si>
  <si>
    <t>CB300-T</t>
  </si>
  <si>
    <t>CB300-V</t>
  </si>
  <si>
    <t>CB400-V</t>
  </si>
  <si>
    <t>CB500-V</t>
  </si>
  <si>
    <t>Cx</t>
  </si>
  <si>
    <t>Cy</t>
  </si>
  <si>
    <t>Ix</t>
  </si>
  <si>
    <t>Iy</t>
  </si>
  <si>
    <t>Zx</t>
  </si>
  <si>
    <t>Zy</t>
  </si>
  <si>
    <t>2L50x4</t>
  </si>
  <si>
    <t>L50x50</t>
  </si>
  <si>
    <t>Ký hiệu</t>
  </si>
  <si>
    <t>AxB</t>
  </si>
  <si>
    <t>t</t>
  </si>
  <si>
    <t>r1</t>
  </si>
  <si>
    <t>r2</t>
  </si>
  <si>
    <t>mo</t>
  </si>
  <si>
    <t>MaxIx0</t>
  </si>
  <si>
    <t>MinIx</t>
  </si>
  <si>
    <t>rx</t>
  </si>
  <si>
    <t>ry</t>
  </si>
  <si>
    <t>Max rx</t>
  </si>
  <si>
    <t>Min ry</t>
  </si>
  <si>
    <t>Tan a</t>
  </si>
  <si>
    <t>2L90x75x9</t>
  </si>
  <si>
    <t>L90x75</t>
  </si>
  <si>
    <t xml:space="preserve">Bản mã liên kết </t>
  </si>
  <si>
    <t>cm</t>
  </si>
  <si>
    <t>Lx</t>
  </si>
  <si>
    <t>Ly</t>
  </si>
  <si>
    <t>lamdax</t>
  </si>
  <si>
    <t>lamday</t>
  </si>
  <si>
    <t>lamdagh</t>
  </si>
  <si>
    <t>check</t>
  </si>
  <si>
    <t>phi</t>
  </si>
  <si>
    <t>xichma</t>
  </si>
  <si>
    <t>gamcf</t>
  </si>
  <si>
    <t>Đều</t>
  </si>
  <si>
    <t>Ghép ngắn</t>
  </si>
  <si>
    <t>Ghép dài</t>
  </si>
  <si>
    <t>Thép ống</t>
  </si>
  <si>
    <r>
      <t>R</t>
    </r>
    <r>
      <rPr>
        <b/>
        <vertAlign val="subscript"/>
        <sz val="10"/>
        <color rgb="FF0070C0"/>
        <rFont val="Arial"/>
        <family val="2"/>
      </rPr>
      <t>sn</t>
    </r>
  </si>
  <si>
    <r>
      <t>R</t>
    </r>
    <r>
      <rPr>
        <b/>
        <vertAlign val="subscript"/>
        <sz val="10"/>
        <color rgb="FF0070C0"/>
        <rFont val="Arial"/>
        <family val="2"/>
      </rPr>
      <t>s</t>
    </r>
  </si>
  <si>
    <r>
      <t>R</t>
    </r>
    <r>
      <rPr>
        <b/>
        <vertAlign val="subscript"/>
        <sz val="10"/>
        <color rgb="FF0070C0"/>
        <rFont val="Arial"/>
        <family val="2"/>
      </rPr>
      <t>sc</t>
    </r>
  </si>
  <si>
    <r>
      <t>R</t>
    </r>
    <r>
      <rPr>
        <b/>
        <vertAlign val="subscript"/>
        <sz val="10"/>
        <color rgb="FF0070C0"/>
        <rFont val="Arial"/>
        <family val="2"/>
      </rPr>
      <t>sw</t>
    </r>
  </si>
  <si>
    <r>
      <t>E</t>
    </r>
    <r>
      <rPr>
        <b/>
        <vertAlign val="subscript"/>
        <sz val="10"/>
        <color rgb="FF0070C0"/>
        <rFont val="Arial"/>
        <family val="2"/>
      </rPr>
      <t>s</t>
    </r>
  </si>
  <si>
    <t>Kích thước</t>
  </si>
  <si>
    <t>I</t>
  </si>
  <si>
    <t>1. Vật Liệu</t>
  </si>
  <si>
    <t>Cường độ tiêu chuẩn của thép</t>
  </si>
  <si>
    <t>Cường độ tiêu chuẩn kéo đứt của thép</t>
  </si>
  <si>
    <t>Cường độ tính toán của thép</t>
  </si>
  <si>
    <t>Hệ số điều kiện làm việc của kết cấu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</si>
  <si>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</si>
  <si>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</si>
  <si>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</si>
  <si>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 xml:space="preserve"> =</t>
    </r>
  </si>
  <si>
    <t>Hệ số độ tin cậy về vật liệu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</si>
  <si>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m</t>
    </r>
    <r>
      <rPr>
        <sz val="10"/>
        <color theme="1"/>
        <rFont val="Calibri"/>
        <family val="2"/>
      </rPr>
      <t xml:space="preserve"> =</t>
    </r>
  </si>
  <si>
    <t>2. Tính toán</t>
  </si>
  <si>
    <t>kN</t>
  </si>
  <si>
    <r>
      <t>L</t>
    </r>
    <r>
      <rPr>
        <vertAlign val="subscript"/>
        <sz val="10"/>
        <rFont val="Calibri"/>
        <family val="2"/>
        <scheme val="minor"/>
      </rPr>
      <t>x</t>
    </r>
  </si>
  <si>
    <t>m</t>
  </si>
  <si>
    <r>
      <t>L</t>
    </r>
    <r>
      <rPr>
        <vertAlign val="subscript"/>
        <sz val="10"/>
        <rFont val="Calibri"/>
        <family val="2"/>
        <scheme val="minor"/>
      </rPr>
      <t>y</t>
    </r>
  </si>
  <si>
    <r>
      <t>cm</t>
    </r>
    <r>
      <rPr>
        <vertAlign val="superscript"/>
        <sz val="10"/>
        <rFont val="Calibri"/>
        <family val="2"/>
        <scheme val="minor"/>
      </rPr>
      <t>2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</si>
  <si>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x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</si>
  <si>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y</t>
    </r>
  </si>
  <si>
    <t>j</t>
  </si>
  <si>
    <t>Kiểm tra</t>
  </si>
  <si>
    <t>THIẾT KẾ CẤU KIỆN CHỊU KÉO, NÉN ĐÚNG TÂM</t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</si>
  <si>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max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</si>
  <si>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u</t>
    </r>
  </si>
  <si>
    <t>Kiểm tra ổn định của cấu kiện theo 7.1.2.1</t>
  </si>
  <si>
    <t>FS</t>
  </si>
  <si>
    <t>H</t>
  </si>
  <si>
    <r>
      <t>i</t>
    </r>
    <r>
      <rPr>
        <vertAlign val="subscript"/>
        <sz val="10"/>
        <rFont val="Calibri"/>
        <family val="2"/>
        <scheme val="minor"/>
      </rPr>
      <t>x</t>
    </r>
  </si>
  <si>
    <r>
      <t>i</t>
    </r>
    <r>
      <rPr>
        <vertAlign val="subscript"/>
        <sz val="10"/>
        <rFont val="Calibri"/>
        <family val="2"/>
        <scheme val="minor"/>
      </rPr>
      <t>y</t>
    </r>
  </si>
  <si>
    <t>Phần tử</t>
  </si>
  <si>
    <t>vị trí</t>
  </si>
  <si>
    <t>L</t>
  </si>
  <si>
    <t>Combo</t>
  </si>
  <si>
    <r>
      <rPr>
        <sz val="10"/>
        <rFont val="Symbol"/>
        <family val="1"/>
        <charset val="2"/>
      </rPr>
      <t>m</t>
    </r>
    <r>
      <rPr>
        <vertAlign val="subscript"/>
        <sz val="10"/>
        <rFont val="Calibri"/>
        <family val="2"/>
        <scheme val="minor"/>
      </rPr>
      <t>x</t>
    </r>
  </si>
  <si>
    <r>
      <rPr>
        <sz val="10"/>
        <rFont val="Symbol"/>
        <family val="1"/>
        <charset val="2"/>
      </rPr>
      <t>m</t>
    </r>
    <r>
      <rPr>
        <vertAlign val="subscript"/>
        <sz val="10"/>
        <rFont val="Calibri"/>
        <family val="2"/>
        <scheme val="minor"/>
      </rPr>
      <t>y</t>
    </r>
  </si>
  <si>
    <t>(m)</t>
  </si>
  <si>
    <t>273</t>
  </si>
  <si>
    <t>ULS02</t>
  </si>
  <si>
    <t>ULS01</t>
  </si>
  <si>
    <r>
      <rPr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x</t>
    </r>
  </si>
  <si>
    <r>
      <t>L</t>
    </r>
    <r>
      <rPr>
        <vertAlign val="subscript"/>
        <sz val="10"/>
        <color theme="1"/>
        <rFont val="Calibri"/>
        <family val="2"/>
        <scheme val="minor"/>
      </rPr>
      <t>x</t>
    </r>
  </si>
  <si>
    <r>
      <rPr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y</t>
    </r>
  </si>
  <si>
    <r>
      <t>L</t>
    </r>
    <r>
      <rPr>
        <vertAlign val="subscript"/>
        <sz val="10"/>
        <color theme="1"/>
        <rFont val="Calibri"/>
        <family val="2"/>
        <scheme val="minor"/>
      </rPr>
      <t>y</t>
    </r>
  </si>
  <si>
    <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</si>
  <si>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t>i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</si>
  <si>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x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</si>
  <si>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</si>
  <si>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max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</si>
  <si>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u</t>
    </r>
  </si>
  <si>
    <t>Kích thước (mm)</t>
  </si>
  <si>
    <t>V30x40x2</t>
  </si>
  <si>
    <t>K1</t>
  </si>
  <si>
    <t>D1</t>
  </si>
  <si>
    <t>ULS2</t>
  </si>
  <si>
    <t>T1</t>
  </si>
  <si>
    <t>T2</t>
  </si>
  <si>
    <t>X13</t>
  </si>
  <si>
    <t>XDG1</t>
  </si>
  <si>
    <t>ULS3</t>
  </si>
  <si>
    <t>ULS4</t>
  </si>
  <si>
    <t>ULS5</t>
  </si>
  <si>
    <t>mm</t>
  </si>
  <si>
    <t>N &lt; 0</t>
  </si>
  <si>
    <t>N &gt; 0</t>
  </si>
  <si>
    <t>Độ mảnh
giới hạn</t>
  </si>
  <si>
    <t>Hệ số huy động của cấu kiện FS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</si>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</sst>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_(* #,##0_);_(* \(#,##0\);_(* &quot;-&quot;??_);_(@_)"/>
    <numFmt numFmtId="166" formatCode="0.000"/>
  </numFmts>
  <fonts count="39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sz val="11"/>
      <name val="Times New Roman"/>
      <family val="1"/>
    </font>
    <font>
      <sz val="10"/>
      <color rgb="FF0000FF"/>
      <name val="Arial"/>
      <family val="2"/>
    </font>
    <font>
      <sz val="10"/>
      <color rgb="FFC00000"/>
      <name val="Calibri"/>
      <family val="2"/>
      <scheme val="minor"/>
    </font>
    <font>
      <b/>
      <vertAlign val="subscript"/>
      <sz val="10"/>
      <color rgb="FF0070C0"/>
      <name val="Arial"/>
      <family val="2"/>
    </font>
    <font>
      <vertAlign val="superscript"/>
      <sz val="10"/>
      <name val="Calibri"/>
      <family val="2"/>
      <scheme val="minor"/>
    </font>
    <font>
      <sz val="10"/>
      <name val="Symbol"/>
      <family val="1"/>
      <charset val="2"/>
    </font>
    <font>
      <sz val="10"/>
      <name val="Calibri"/>
      <family val="1"/>
      <charset val="2"/>
      <scheme val="minor"/>
    </font>
    <font>
      <sz val="10"/>
      <color theme="1"/>
      <name val="Calibri"/>
      <family val="1"/>
      <charset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7">
    <xf numFmtId="0" fontId="0" fillId="0" borderId="0"/>
    <xf numFmtId="0" fontId="16" fillId="0" borderId="0"/>
    <xf numFmtId="0" fontId="22" fillId="0" borderId="0"/>
    <xf numFmtId="164" fontId="22" fillId="0" borderId="0" applyFont="0" applyFill="0" applyBorder="0" applyAlignment="0" applyProtection="0"/>
    <xf numFmtId="0" fontId="27" fillId="0" borderId="0"/>
    <xf numFmtId="0" fontId="28" fillId="0" borderId="0"/>
    <xf numFmtId="0" fontId="28" fillId="0" borderId="0"/>
  </cellStyleXfs>
  <cellXfs count="155">
    <xf numFmtId="0" fontId="0" fillId="0" borderId="0" xfId="0"/>
    <xf numFmtId="0" fontId="1" fillId="0" borderId="0" xfId="0" applyFont="1"/>
    <xf numFmtId="0" fontId="1" fillId="2" borderId="9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vertical="top"/>
    </xf>
    <xf numFmtId="0" fontId="2" fillId="2" borderId="13" xfId="0" applyFont="1" applyFill="1" applyBorder="1" applyAlignment="1">
      <alignment horizontal="left" indent="1"/>
    </xf>
    <xf numFmtId="1" fontId="1" fillId="2" borderId="11" xfId="0" applyNumberFormat="1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6" borderId="0" xfId="0" applyFont="1" applyFill="1"/>
    <xf numFmtId="0" fontId="14" fillId="5" borderId="0" xfId="0" applyFont="1" applyFill="1" applyAlignment="1">
      <alignment horizontal="center" wrapText="1"/>
    </xf>
    <xf numFmtId="0" fontId="9" fillId="2" borderId="11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/>
    </xf>
    <xf numFmtId="0" fontId="20" fillId="2" borderId="11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0" fillId="2" borderId="0" xfId="0" applyFont="1" applyFill="1" applyAlignment="1">
      <alignment horizontal="center" vertical="center"/>
    </xf>
    <xf numFmtId="0" fontId="25" fillId="5" borderId="11" xfId="2" applyFont="1" applyFill="1" applyBorder="1" applyAlignment="1">
      <alignment horizontal="center" vertical="center" wrapText="1"/>
    </xf>
    <xf numFmtId="0" fontId="25" fillId="5" borderId="11" xfId="2" applyFont="1" applyFill="1" applyBorder="1" applyAlignment="1">
      <alignment vertical="center"/>
    </xf>
    <xf numFmtId="0" fontId="1" fillId="0" borderId="11" xfId="0" applyFont="1" applyBorder="1"/>
    <xf numFmtId="1" fontId="24" fillId="2" borderId="11" xfId="5" applyNumberFormat="1" applyFont="1" applyFill="1" applyBorder="1" applyAlignment="1">
      <alignment vertical="center"/>
    </xf>
    <xf numFmtId="0" fontId="24" fillId="2" borderId="11" xfId="5" applyFont="1" applyFill="1" applyBorder="1" applyAlignment="1">
      <alignment vertical="center"/>
    </xf>
    <xf numFmtId="0" fontId="24" fillId="2" borderId="14" xfId="5" applyFont="1" applyFill="1" applyBorder="1" applyAlignment="1">
      <alignment vertical="center"/>
    </xf>
    <xf numFmtId="0" fontId="29" fillId="2" borderId="11" xfId="4" applyFont="1" applyFill="1" applyBorder="1" applyAlignment="1">
      <alignment horizontal="left" vertical="center"/>
    </xf>
    <xf numFmtId="0" fontId="29" fillId="2" borderId="14" xfId="4" applyFont="1" applyFill="1" applyBorder="1" applyAlignment="1">
      <alignment horizontal="left" vertical="center"/>
    </xf>
    <xf numFmtId="0" fontId="29" fillId="2" borderId="14" xfId="5" applyFont="1" applyFill="1" applyBorder="1" applyAlignment="1">
      <alignment horizontal="left" vertical="center"/>
    </xf>
    <xf numFmtId="0" fontId="29" fillId="2" borderId="14" xfId="6" applyFont="1" applyFill="1" applyBorder="1" applyAlignment="1">
      <alignment horizontal="left" vertical="center"/>
    </xf>
    <xf numFmtId="0" fontId="29" fillId="2" borderId="11" xfId="4" applyFont="1" applyFill="1" applyBorder="1" applyAlignment="1">
      <alignment horizontal="center" vertical="center"/>
    </xf>
    <xf numFmtId="1" fontId="24" fillId="2" borderId="11" xfId="5" applyNumberFormat="1" applyFont="1" applyFill="1" applyBorder="1" applyAlignment="1">
      <alignment horizontal="center" vertical="center"/>
    </xf>
    <xf numFmtId="0" fontId="24" fillId="2" borderId="11" xfId="5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0" fillId="7" borderId="0" xfId="0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3" fillId="4" borderId="11" xfId="4" applyFont="1" applyFill="1" applyBorder="1" applyAlignment="1">
      <alignment horizontal="center" vertical="center"/>
    </xf>
    <xf numFmtId="0" fontId="23" fillId="4" borderId="11" xfId="0" applyFont="1" applyFill="1" applyBorder="1" applyAlignment="1">
      <alignment horizontal="center" vertical="center"/>
    </xf>
    <xf numFmtId="0" fontId="23" fillId="4" borderId="11" xfId="0" applyFont="1" applyFill="1" applyBorder="1" applyAlignment="1">
      <alignment vertical="center"/>
    </xf>
    <xf numFmtId="0" fontId="23" fillId="4" borderId="14" xfId="5" applyFont="1" applyFill="1" applyBorder="1" applyAlignment="1">
      <alignment horizontal="center" vertical="center"/>
    </xf>
    <xf numFmtId="0" fontId="23" fillId="4" borderId="14" xfId="4" applyFont="1" applyFill="1" applyBorder="1" applyAlignment="1">
      <alignment horizontal="center" vertical="center"/>
    </xf>
    <xf numFmtId="0" fontId="23" fillId="2" borderId="24" xfId="2" applyFont="1" applyFill="1" applyBorder="1" applyAlignment="1" applyProtection="1">
      <alignment horizontal="center" vertical="center"/>
      <protection hidden="1"/>
    </xf>
    <xf numFmtId="0" fontId="0" fillId="2" borderId="25" xfId="0" applyFill="1" applyBorder="1" applyAlignment="1">
      <alignment horizontal="center" vertical="center"/>
    </xf>
    <xf numFmtId="165" fontId="24" fillId="2" borderId="25" xfId="3" applyNumberFormat="1" applyFont="1" applyFill="1" applyBorder="1" applyAlignment="1" applyProtection="1">
      <alignment horizontal="center" vertical="center"/>
      <protection hidden="1"/>
    </xf>
    <xf numFmtId="164" fontId="24" fillId="2" borderId="25" xfId="2" applyNumberFormat="1" applyFont="1" applyFill="1" applyBorder="1" applyAlignment="1" applyProtection="1">
      <alignment horizontal="center" vertical="center"/>
      <protection hidden="1"/>
    </xf>
    <xf numFmtId="2" fontId="24" fillId="2" borderId="25" xfId="2" applyNumberFormat="1" applyFont="1" applyFill="1" applyBorder="1" applyAlignment="1" applyProtection="1">
      <alignment horizontal="center" vertical="center"/>
      <protection hidden="1"/>
    </xf>
    <xf numFmtId="2" fontId="24" fillId="2" borderId="3" xfId="2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/>
    <xf numFmtId="0" fontId="23" fillId="2" borderId="21" xfId="2" applyFont="1" applyFill="1" applyBorder="1" applyAlignment="1" applyProtection="1">
      <alignment horizontal="center" vertical="center"/>
      <protection hidden="1"/>
    </xf>
    <xf numFmtId="0" fontId="0" fillId="2" borderId="11" xfId="0" applyFill="1" applyBorder="1" applyAlignment="1">
      <alignment horizontal="center" vertical="center"/>
    </xf>
    <xf numFmtId="165" fontId="24" fillId="2" borderId="11" xfId="3" applyNumberFormat="1" applyFont="1" applyFill="1" applyBorder="1" applyAlignment="1" applyProtection="1">
      <alignment horizontal="center" vertical="center"/>
      <protection hidden="1"/>
    </xf>
    <xf numFmtId="164" fontId="24" fillId="2" borderId="11" xfId="2" applyNumberFormat="1" applyFont="1" applyFill="1" applyBorder="1" applyAlignment="1" applyProtection="1">
      <alignment horizontal="center" vertical="center"/>
      <protection hidden="1"/>
    </xf>
    <xf numFmtId="2" fontId="24" fillId="2" borderId="11" xfId="2" applyNumberFormat="1" applyFont="1" applyFill="1" applyBorder="1" applyAlignment="1" applyProtection="1">
      <alignment horizontal="center" vertical="center"/>
      <protection hidden="1"/>
    </xf>
    <xf numFmtId="2" fontId="24" fillId="2" borderId="14" xfId="2" applyNumberFormat="1" applyFont="1" applyFill="1" applyBorder="1" applyAlignment="1" applyProtection="1">
      <alignment horizontal="center" vertical="center"/>
      <protection hidden="1"/>
    </xf>
    <xf numFmtId="0" fontId="23" fillId="2" borderId="22" xfId="2" applyFont="1" applyFill="1" applyBorder="1" applyAlignment="1" applyProtection="1">
      <alignment horizontal="center" vertical="center"/>
      <protection hidden="1"/>
    </xf>
    <xf numFmtId="0" fontId="0" fillId="2" borderId="23" xfId="0" applyFill="1" applyBorder="1" applyAlignment="1">
      <alignment horizontal="center" vertical="center"/>
    </xf>
    <xf numFmtId="165" fontId="24" fillId="2" borderId="23" xfId="3" applyNumberFormat="1" applyFont="1" applyFill="1" applyBorder="1" applyAlignment="1" applyProtection="1">
      <alignment horizontal="center" vertical="center"/>
      <protection hidden="1"/>
    </xf>
    <xf numFmtId="164" fontId="24" fillId="2" borderId="23" xfId="2" applyNumberFormat="1" applyFont="1" applyFill="1" applyBorder="1" applyAlignment="1" applyProtection="1">
      <alignment horizontal="center" vertical="center"/>
      <protection hidden="1"/>
    </xf>
    <xf numFmtId="2" fontId="24" fillId="2" borderId="23" xfId="2" applyNumberFormat="1" applyFont="1" applyFill="1" applyBorder="1" applyAlignment="1" applyProtection="1">
      <alignment horizontal="center" vertical="center"/>
      <protection hidden="1"/>
    </xf>
    <xf numFmtId="2" fontId="24" fillId="2" borderId="26" xfId="2" applyNumberFormat="1" applyFont="1" applyFill="1" applyBorder="1" applyAlignment="1" applyProtection="1">
      <alignment horizontal="center" vertical="center"/>
      <protection hidden="1"/>
    </xf>
    <xf numFmtId="0" fontId="1" fillId="4" borderId="11" xfId="0" applyFont="1" applyFill="1" applyBorder="1" applyAlignment="1">
      <alignment horizontal="center" vertical="center"/>
    </xf>
    <xf numFmtId="2" fontId="1" fillId="2" borderId="11" xfId="0" applyNumberFormat="1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1" xfId="0" applyFont="1" applyFill="1" applyBorder="1"/>
    <xf numFmtId="0" fontId="9" fillId="8" borderId="11" xfId="0" applyFont="1" applyFill="1" applyBorder="1" applyAlignment="1">
      <alignment horizontal="center" vertical="center" wrapText="1"/>
    </xf>
    <xf numFmtId="2" fontId="9" fillId="8" borderId="11" xfId="0" applyNumberFormat="1" applyFont="1" applyFill="1" applyBorder="1" applyAlignment="1">
      <alignment horizontal="center" vertical="center" wrapText="1"/>
    </xf>
    <xf numFmtId="0" fontId="34" fillId="8" borderId="1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vertical="top"/>
    </xf>
    <xf numFmtId="0" fontId="12" fillId="3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12" fillId="3" borderId="0" xfId="0" applyFont="1" applyFill="1" applyAlignment="1">
      <alignment horizontal="center" vertical="center"/>
    </xf>
    <xf numFmtId="0" fontId="1" fillId="0" borderId="12" xfId="0" applyFont="1" applyBorder="1"/>
    <xf numFmtId="0" fontId="1" fillId="2" borderId="5" xfId="0" applyFont="1" applyFill="1" applyBorder="1" applyAlignment="1">
      <alignment vertical="top"/>
    </xf>
    <xf numFmtId="0" fontId="17" fillId="4" borderId="31" xfId="0" applyFont="1" applyFill="1" applyBorder="1" applyAlignment="1">
      <alignment vertical="center"/>
    </xf>
    <xf numFmtId="0" fontId="17" fillId="4" borderId="16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" fillId="2" borderId="13" xfId="0" applyFont="1" applyFill="1" applyBorder="1" applyAlignment="1">
      <alignment horizontal="left" vertical="top" indent="2"/>
    </xf>
    <xf numFmtId="0" fontId="1" fillId="2" borderId="13" xfId="0" applyFont="1" applyFill="1" applyBorder="1" applyAlignment="1">
      <alignment vertical="top"/>
    </xf>
    <xf numFmtId="0" fontId="11" fillId="0" borderId="0" xfId="0" applyFont="1"/>
    <xf numFmtId="0" fontId="11" fillId="0" borderId="0" xfId="0" applyFont="1" applyAlignment="1">
      <alignment horizontal="center" vertical="center"/>
    </xf>
    <xf numFmtId="0" fontId="11" fillId="2" borderId="11" xfId="0" applyFont="1" applyFill="1" applyBorder="1"/>
    <xf numFmtId="0" fontId="11" fillId="2" borderId="1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top"/>
    </xf>
    <xf numFmtId="0" fontId="1" fillId="2" borderId="0" xfId="0" applyFont="1" applyFill="1"/>
    <xf numFmtId="0" fontId="1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top"/>
    </xf>
    <xf numFmtId="1" fontId="1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center" vertical="top"/>
    </xf>
    <xf numFmtId="0" fontId="11" fillId="2" borderId="11" xfId="0" applyFont="1" applyFill="1" applyBorder="1" applyAlignment="1">
      <alignment vertical="top"/>
    </xf>
    <xf numFmtId="164" fontId="1" fillId="2" borderId="11" xfId="0" applyNumberFormat="1" applyFont="1" applyFill="1" applyBorder="1" applyAlignment="1">
      <alignment horizontal="center" vertical="center"/>
    </xf>
    <xf numFmtId="166" fontId="1" fillId="2" borderId="11" xfId="0" applyNumberFormat="1" applyFont="1" applyFill="1" applyBorder="1" applyAlignment="1">
      <alignment horizontal="center" vertical="center"/>
    </xf>
    <xf numFmtId="0" fontId="4" fillId="4" borderId="11" xfId="0" applyFont="1" applyFill="1" applyBorder="1"/>
    <xf numFmtId="164" fontId="4" fillId="4" borderId="11" xfId="0" applyNumberFormat="1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 wrapText="1"/>
    </xf>
    <xf numFmtId="2" fontId="1" fillId="4" borderId="11" xfId="0" applyNumberFormat="1" applyFont="1" applyFill="1" applyBorder="1" applyAlignment="1">
      <alignment horizontal="center" vertical="center" wrapText="1"/>
    </xf>
    <xf numFmtId="0" fontId="35" fillId="4" borderId="11" xfId="0" applyFont="1" applyFill="1" applyBorder="1" applyAlignment="1">
      <alignment horizontal="center" vertical="center" wrapText="1"/>
    </xf>
    <xf numFmtId="164" fontId="1" fillId="4" borderId="11" xfId="0" applyNumberFormat="1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8" xfId="0" applyFont="1" applyFill="1" applyBorder="1" applyAlignment="1">
      <alignment horizontal="center" vertical="center"/>
    </xf>
    <xf numFmtId="0" fontId="37" fillId="5" borderId="9" xfId="0" applyFont="1" applyFill="1" applyBorder="1" applyAlignment="1">
      <alignment horizontal="center"/>
    </xf>
    <xf numFmtId="0" fontId="14" fillId="5" borderId="32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2" fillId="3" borderId="29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30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 wrapText="1"/>
    </xf>
    <xf numFmtId="0" fontId="34" fillId="8" borderId="11" xfId="0" applyFont="1" applyFill="1" applyBorder="1" applyAlignment="1">
      <alignment horizontal="center" vertical="center" wrapText="1"/>
    </xf>
    <xf numFmtId="0" fontId="33" fillId="8" borderId="11" xfId="0" applyFont="1" applyFill="1" applyBorder="1" applyAlignment="1">
      <alignment horizontal="center" vertical="center"/>
    </xf>
    <xf numFmtId="0" fontId="9" fillId="8" borderId="11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/>
    </xf>
    <xf numFmtId="0" fontId="9" fillId="8" borderId="28" xfId="0" applyFont="1" applyFill="1" applyBorder="1" applyAlignment="1">
      <alignment horizontal="center" vertical="center"/>
    </xf>
    <xf numFmtId="0" fontId="9" fillId="8" borderId="27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6" fillId="9" borderId="1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35" fillId="4" borderId="11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wrapText="1"/>
    </xf>
    <xf numFmtId="0" fontId="14" fillId="5" borderId="16" xfId="0" applyFont="1" applyFill="1" applyBorder="1" applyAlignment="1">
      <alignment horizontal="center" wrapText="1"/>
    </xf>
    <xf numFmtId="0" fontId="14" fillId="5" borderId="6" xfId="0" applyFont="1" applyFill="1" applyBorder="1" applyAlignment="1">
      <alignment horizontal="center" wrapText="1"/>
    </xf>
    <xf numFmtId="0" fontId="14" fillId="5" borderId="0" xfId="0" applyFont="1" applyFill="1" applyAlignment="1">
      <alignment horizontal="center" wrapText="1"/>
    </xf>
    <xf numFmtId="0" fontId="23" fillId="4" borderId="11" xfId="4" applyFont="1" applyFill="1" applyBorder="1" applyAlignment="1">
      <alignment horizontal="center" vertical="center"/>
    </xf>
    <xf numFmtId="0" fontId="25" fillId="5" borderId="3" xfId="2" applyFont="1" applyFill="1" applyBorder="1" applyAlignment="1">
      <alignment horizontal="center" vertical="center" wrapText="1"/>
    </xf>
    <xf numFmtId="0" fontId="25" fillId="5" borderId="4" xfId="2" applyFont="1" applyFill="1" applyBorder="1" applyAlignment="1">
      <alignment horizontal="center" vertical="center" wrapText="1"/>
    </xf>
    <xf numFmtId="0" fontId="25" fillId="5" borderId="11" xfId="2" applyFont="1" applyFill="1" applyBorder="1" applyAlignment="1">
      <alignment horizontal="center" vertical="center" wrapText="1"/>
    </xf>
    <xf numFmtId="0" fontId="25" fillId="5" borderId="11" xfId="2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14" fillId="5" borderId="4" xfId="0" applyFont="1" applyFill="1" applyBorder="1" applyAlignment="1">
      <alignment horizontal="center" vertical="center" wrapText="1"/>
    </xf>
    <xf numFmtId="0" fontId="14" fillId="5" borderId="17" xfId="0" applyFont="1" applyFill="1" applyBorder="1" applyAlignment="1">
      <alignment horizontal="center"/>
    </xf>
    <xf numFmtId="0" fontId="14" fillId="5" borderId="18" xfId="0" applyFont="1" applyFill="1" applyBorder="1" applyAlignment="1">
      <alignment horizontal="center"/>
    </xf>
    <xf numFmtId="0" fontId="14" fillId="5" borderId="19" xfId="0" applyFont="1" applyFill="1" applyBorder="1" applyAlignment="1">
      <alignment horizontal="center"/>
    </xf>
    <xf numFmtId="0" fontId="25" fillId="5" borderId="20" xfId="2" applyFont="1" applyFill="1" applyBorder="1" applyAlignment="1">
      <alignment horizontal="center" vertical="center"/>
    </xf>
    <xf numFmtId="0" fontId="25" fillId="5" borderId="25" xfId="2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</cellXfs>
  <cellStyles count="7">
    <cellStyle name="Comma 2" xfId="3" xr:uid="{00000000-0005-0000-0000-000000000000}"/>
    <cellStyle name="Normal" xfId="0" builtinId="0"/>
    <cellStyle name="Normal 2" xfId="5" xr:uid="{00000000-0005-0000-0000-000002000000}"/>
    <cellStyle name="Normal 2 2" xfId="6" xr:uid="{00000000-0005-0000-0000-000003000000}"/>
    <cellStyle name="Normal 5" xfId="2" xr:uid="{00000000-0005-0000-0000-000004000000}"/>
    <cellStyle name="Normal 6" xfId="1" xr:uid="{00000000-0005-0000-0000-000005000000}"/>
    <cellStyle name="Normal_Sheet3" xfId="4" xr:uid="{00000000-0005-0000-0000-000006000000}"/>
  </cellStyles>
  <dxfs count="12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94896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ED9A02-3ACD-467E-B0C6-DB8F008C5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7828" cy="82096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C780F6E9-CA9A-43F5-A7C0-59154792E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0</xdr:colOff>
      <xdr:row>33</xdr:row>
      <xdr:rowOff>61339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D3D800-5F2F-F0C2-1256-881D1EDF9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471647" cy="63478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22411</xdr:rowOff>
    </xdr:from>
    <xdr:to>
      <xdr:col>14</xdr:col>
      <xdr:colOff>51790</xdr:colOff>
      <xdr:row>49</xdr:row>
      <xdr:rowOff>76017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F69AB0-2E21-6DC3-8C4D-14780413A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308911"/>
          <a:ext cx="8523437" cy="3101606"/>
        </a:xfrm>
        <a:prstGeom prst="rect">
          <a:avLst/>
        </a:prstGeom>
      </xdr:spPr>
    </xdr:pic>
    <xdr:clientData/>
  </xdr:twoCellAnchor>
  <xdr:twoCellAnchor editAs="oneCell">
    <xdr:from>
      <xdr:col>15</xdr:col>
      <xdr:colOff>280147</xdr:colOff>
      <xdr:row>0</xdr:row>
      <xdr:rowOff>56030</xdr:rowOff>
    </xdr:from>
    <xdr:to>
      <xdr:col>31</xdr:col>
      <xdr:colOff>36917</xdr:colOff>
      <xdr:row>50</xdr:row>
      <xdr:rowOff>22412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508479-E5C2-2783-2189-647A75DC4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56912" y="56030"/>
          <a:ext cx="9438652" cy="94913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2628</xdr:colOff>
      <xdr:row>20</xdr:row>
      <xdr:rowOff>19050</xdr:rowOff>
    </xdr:from>
    <xdr:ext cx="1144865" cy="364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2593428" y="2047875"/>
              <a:ext cx="1144865" cy="364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𝐹𝑆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𝜑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𝐴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F47F8B1-FB01-4215-8870-FB89C04DAED4}"/>
                </a:ext>
              </a:extLst>
            </xdr:cNvPr>
            <xdr:cNvSpPr txBox="1"/>
          </xdr:nvSpPr>
          <xdr:spPr>
            <a:xfrm>
              <a:off x="2593428" y="2047875"/>
              <a:ext cx="1144865" cy="364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𝐹𝑆=𝑁/(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𝜑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𝐴𝑓_𝑦𝑑 𝛾_𝑐 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13</xdr:col>
      <xdr:colOff>65941</xdr:colOff>
      <xdr:row>12</xdr:row>
      <xdr:rowOff>130326</xdr:rowOff>
    </xdr:from>
    <xdr:to>
      <xdr:col>19</xdr:col>
      <xdr:colOff>25738</xdr:colOff>
      <xdr:row>20</xdr:row>
      <xdr:rowOff>96711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9037" y="738461"/>
          <a:ext cx="1855858" cy="1398945"/>
        </a:xfrm>
        <a:prstGeom prst="rect">
          <a:avLst/>
        </a:prstGeom>
      </xdr:spPr>
    </xdr:pic>
    <xdr:clientData/>
  </xdr:twoCellAnchor>
  <xdr:twoCellAnchor>
    <xdr:from>
      <xdr:col>23</xdr:col>
      <xdr:colOff>454269</xdr:colOff>
      <xdr:row>14</xdr:row>
      <xdr:rowOff>95251</xdr:rowOff>
    </xdr:from>
    <xdr:to>
      <xdr:col>24</xdr:col>
      <xdr:colOff>153866</xdr:colOff>
      <xdr:row>17</xdr:row>
      <xdr:rowOff>43962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757AD2EE-9268-4D46-C7C8-8BAF2AE86FDB}"/>
            </a:ext>
          </a:extLst>
        </xdr:cNvPr>
        <xdr:cNvSpPr/>
      </xdr:nvSpPr>
      <xdr:spPr>
        <a:xfrm>
          <a:off x="8491904" y="1055078"/>
          <a:ext cx="263770" cy="498230"/>
        </a:xfrm>
        <a:prstGeom prst="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2628</xdr:colOff>
      <xdr:row>20</xdr:row>
      <xdr:rowOff>19050</xdr:rowOff>
    </xdr:from>
    <xdr:ext cx="1144865" cy="364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391226D-7A70-42EB-984E-87F8EA0D0ABC}"/>
                </a:ext>
              </a:extLst>
            </xdr:cNvPr>
            <xdr:cNvSpPr txBox="1"/>
          </xdr:nvSpPr>
          <xdr:spPr>
            <a:xfrm>
              <a:off x="3412578" y="2047875"/>
              <a:ext cx="1144865" cy="364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𝐹𝑆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𝜑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𝐴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391226D-7A70-42EB-984E-87F8EA0D0ABC}"/>
                </a:ext>
              </a:extLst>
            </xdr:cNvPr>
            <xdr:cNvSpPr txBox="1"/>
          </xdr:nvSpPr>
          <xdr:spPr>
            <a:xfrm>
              <a:off x="3412578" y="2047875"/>
              <a:ext cx="1144865" cy="364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𝐹𝑆=𝑁/(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𝜑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𝐴𝑓_𝑦𝑑 𝛾_𝑐 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16</xdr:col>
      <xdr:colOff>252046</xdr:colOff>
      <xdr:row>13</xdr:row>
      <xdr:rowOff>71705</xdr:rowOff>
    </xdr:from>
    <xdr:to>
      <xdr:col>21</xdr:col>
      <xdr:colOff>288462</xdr:colOff>
      <xdr:row>21</xdr:row>
      <xdr:rowOff>76909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069A87-7D9C-4677-ABA1-7A29769A7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25308" y="851290"/>
          <a:ext cx="1655959" cy="1517481"/>
        </a:xfrm>
        <a:prstGeom prst="rect">
          <a:avLst/>
        </a:prstGeom>
      </xdr:spPr>
    </xdr:pic>
    <xdr:clientData/>
  </xdr:twoCellAnchor>
  <xdr:twoCellAnchor>
    <xdr:from>
      <xdr:col>24</xdr:col>
      <xdr:colOff>395654</xdr:colOff>
      <xdr:row>13</xdr:row>
      <xdr:rowOff>183173</xdr:rowOff>
    </xdr:from>
    <xdr:to>
      <xdr:col>25</xdr:col>
      <xdr:colOff>146540</xdr:colOff>
      <xdr:row>16</xdr:row>
      <xdr:rowOff>124557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A88FA813-5573-4177-8ABD-087A16180F86}"/>
            </a:ext>
          </a:extLst>
        </xdr:cNvPr>
        <xdr:cNvSpPr/>
      </xdr:nvSpPr>
      <xdr:spPr>
        <a:xfrm>
          <a:off x="8697058" y="952500"/>
          <a:ext cx="263770" cy="498230"/>
        </a:xfrm>
        <a:prstGeom prst="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FD33"/>
  <sheetViews>
    <sheetView showGridLines="0" zoomScale="130" zoomScaleNormal="130" zoomScaleSheetLayoutView="100" workbookViewId="0">
      <selection activeCell="F1" sqref="F1:I1048576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11" customWidth="1"/>
    <col min="11" max="15" width="7.33203125" style="1"/>
    <col min="16" max="20" width="0" style="1" hidden="1" customWidth="1"/>
    <col min="21" max="21" width="3.33203125" style="11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11" customWidth="1"/>
    <col min="48" max="50" width="7.33203125" style="1"/>
    <col min="51" max="51" width="3.33203125" style="11" customWidth="1"/>
    <col min="52" max="54" width="7.33203125" style="1"/>
    <col min="55" max="59" width="0" style="1" hidden="1" customWidth="1"/>
    <col min="60" max="60" width="3.33203125" style="11" customWidth="1"/>
    <col min="61" max="62" width="7.33203125" style="1"/>
    <col min="63" max="63" width="7.88671875" style="1" bestFit="1" customWidth="1"/>
    <col min="64" max="69" width="7.33203125" style="1"/>
    <col min="70" max="79" width="0" style="1" hidden="1" customWidth="1"/>
    <col min="80" max="80" width="3.33203125" style="11" customWidth="1"/>
    <col min="81" max="81" width="9.5546875" style="25" bestFit="1" customWidth="1"/>
    <col min="82" max="83" width="9.5546875" style="33" customWidth="1"/>
    <col min="84" max="85" width="5" style="25" bestFit="1" customWidth="1"/>
    <col min="86" max="86" width="5" style="25" customWidth="1"/>
    <col min="87" max="87" width="5" style="25" bestFit="1" customWidth="1"/>
    <col min="88" max="88" width="7" style="26" bestFit="1" customWidth="1"/>
    <col min="89" max="103" width="0" style="1" hidden="1" customWidth="1"/>
    <col min="104" max="104" width="3.33203125" style="11" customWidth="1"/>
    <col min="105" max="105" width="10.44140625" style="23" customWidth="1"/>
    <col min="106" max="110" width="7.33203125" style="23"/>
    <col min="111" max="16384" width="7.33203125" style="1"/>
  </cols>
  <sheetData>
    <row r="1" spans="1:160" ht="14.25" customHeight="1">
      <c r="A1" s="110" t="s">
        <v>1</v>
      </c>
      <c r="B1" s="7" t="s">
        <v>17</v>
      </c>
      <c r="C1" s="7" t="s">
        <v>24</v>
      </c>
      <c r="D1" s="7" t="s">
        <v>25</v>
      </c>
      <c r="E1" s="112" t="s">
        <v>234</v>
      </c>
      <c r="F1" s="18"/>
      <c r="G1" s="18"/>
      <c r="H1" s="18"/>
      <c r="I1" s="18"/>
      <c r="K1" s="136" t="s">
        <v>40</v>
      </c>
      <c r="L1" s="137"/>
      <c r="M1" s="137"/>
      <c r="N1" s="137"/>
      <c r="O1" s="137"/>
      <c r="P1" s="12"/>
      <c r="Q1" s="12"/>
      <c r="R1" s="12"/>
      <c r="S1" s="12"/>
      <c r="T1" s="12"/>
      <c r="V1" s="145" t="s">
        <v>50</v>
      </c>
      <c r="W1" s="145"/>
      <c r="X1" s="145"/>
      <c r="Y1" s="145"/>
      <c r="Z1" s="145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V1" s="147" t="s">
        <v>103</v>
      </c>
      <c r="AW1" s="148"/>
      <c r="AX1" s="149"/>
      <c r="AZ1" s="147" t="s">
        <v>51</v>
      </c>
      <c r="BA1" s="148"/>
      <c r="BB1" s="149"/>
      <c r="BI1" s="143" t="s">
        <v>60</v>
      </c>
      <c r="BJ1" s="143"/>
      <c r="BK1" s="144" t="s">
        <v>85</v>
      </c>
      <c r="BL1" s="143" t="s">
        <v>61</v>
      </c>
      <c r="BM1" s="143"/>
      <c r="BN1" s="143"/>
      <c r="BO1" s="143"/>
      <c r="BP1" s="144" t="s">
        <v>90</v>
      </c>
      <c r="BQ1" s="144"/>
      <c r="CC1" s="141" t="s">
        <v>61</v>
      </c>
      <c r="CD1" s="142"/>
      <c r="CE1" s="142"/>
      <c r="CF1" s="142"/>
      <c r="CG1" s="142"/>
      <c r="CH1" s="142"/>
      <c r="CI1" s="142"/>
      <c r="CJ1" s="142"/>
      <c r="DA1" s="143" t="s">
        <v>160</v>
      </c>
      <c r="DB1" s="143"/>
      <c r="DC1" s="143"/>
      <c r="DD1" s="143"/>
      <c r="DE1" s="143"/>
      <c r="DF1" s="143"/>
      <c r="DZ1" s="35">
        <v>1</v>
      </c>
      <c r="EA1" s="35">
        <v>2</v>
      </c>
      <c r="EB1" s="35">
        <v>3</v>
      </c>
      <c r="EC1" s="35">
        <v>4</v>
      </c>
      <c r="ED1" s="35">
        <v>5</v>
      </c>
      <c r="EE1" s="35">
        <v>6</v>
      </c>
      <c r="EF1" s="35">
        <v>7</v>
      </c>
      <c r="EG1" s="35">
        <v>8</v>
      </c>
      <c r="EH1" s="35">
        <v>9</v>
      </c>
      <c r="EI1" s="35">
        <v>10</v>
      </c>
      <c r="EJ1" s="35">
        <v>11</v>
      </c>
      <c r="EK1" s="35">
        <v>12</v>
      </c>
      <c r="EL1" s="35">
        <v>13</v>
      </c>
      <c r="EM1" s="35">
        <v>14</v>
      </c>
      <c r="EN1" s="35">
        <v>15</v>
      </c>
      <c r="EO1" s="35">
        <v>16</v>
      </c>
      <c r="EP1" s="35">
        <v>17</v>
      </c>
      <c r="EQ1" s="35">
        <v>18</v>
      </c>
      <c r="ER1" s="35">
        <v>19</v>
      </c>
      <c r="ES1" s="35">
        <v>20</v>
      </c>
      <c r="ET1" s="35">
        <v>21</v>
      </c>
      <c r="EU1" s="35">
        <v>22</v>
      </c>
      <c r="EV1" s="35">
        <v>23</v>
      </c>
      <c r="EW1" s="35">
        <v>24</v>
      </c>
      <c r="EX1" s="35">
        <v>25</v>
      </c>
      <c r="EY1" s="35">
        <v>26</v>
      </c>
      <c r="EZ1" s="35">
        <v>27</v>
      </c>
      <c r="FA1" s="35">
        <v>28</v>
      </c>
    </row>
    <row r="2" spans="1:160" ht="15.6">
      <c r="A2" s="111"/>
      <c r="B2" s="7" t="s">
        <v>18</v>
      </c>
      <c r="C2" s="7" t="s">
        <v>18</v>
      </c>
      <c r="D2" s="7" t="s">
        <v>18</v>
      </c>
      <c r="E2" s="113"/>
      <c r="F2" s="18"/>
      <c r="G2" s="18"/>
      <c r="H2" s="18"/>
      <c r="I2" s="18"/>
      <c r="K2" s="138"/>
      <c r="L2" s="139"/>
      <c r="M2" s="139"/>
      <c r="N2" s="139"/>
      <c r="O2" s="139"/>
      <c r="P2" s="12"/>
      <c r="Q2" s="12"/>
      <c r="R2" s="12"/>
      <c r="S2" s="12"/>
      <c r="T2" s="12"/>
      <c r="V2" s="146"/>
      <c r="W2" s="146"/>
      <c r="X2" s="146"/>
      <c r="Y2" s="146"/>
      <c r="Z2" s="146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V2" s="7" t="s">
        <v>104</v>
      </c>
      <c r="AW2" s="7" t="s">
        <v>19</v>
      </c>
      <c r="AX2" s="7" t="s">
        <v>30</v>
      </c>
      <c r="AZ2" s="7" t="s">
        <v>52</v>
      </c>
      <c r="BA2" s="7" t="s">
        <v>53</v>
      </c>
      <c r="BB2" s="7" t="s">
        <v>54</v>
      </c>
      <c r="BI2" s="143"/>
      <c r="BJ2" s="143"/>
      <c r="BK2" s="144"/>
      <c r="BL2" s="143" t="s">
        <v>62</v>
      </c>
      <c r="BM2" s="143"/>
      <c r="BN2" s="143" t="s">
        <v>63</v>
      </c>
      <c r="BO2" s="143"/>
      <c r="BP2" s="144"/>
      <c r="BQ2" s="144"/>
      <c r="CC2" s="140" t="s">
        <v>105</v>
      </c>
      <c r="CD2" s="41" t="s">
        <v>115</v>
      </c>
      <c r="CE2" s="41" t="s">
        <v>104</v>
      </c>
      <c r="CF2" s="42" t="s">
        <v>161</v>
      </c>
      <c r="CG2" s="42" t="s">
        <v>162</v>
      </c>
      <c r="CH2" s="42" t="s">
        <v>163</v>
      </c>
      <c r="CI2" s="42" t="s">
        <v>164</v>
      </c>
      <c r="CJ2" s="43" t="s">
        <v>165</v>
      </c>
      <c r="DA2" s="66">
        <v>1</v>
      </c>
      <c r="DB2" s="66">
        <v>2</v>
      </c>
      <c r="DC2" s="66">
        <v>3</v>
      </c>
      <c r="DD2" s="66">
        <v>4</v>
      </c>
      <c r="DE2" s="66">
        <v>6</v>
      </c>
      <c r="DF2" s="66">
        <v>8</v>
      </c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</row>
    <row r="3" spans="1:160" ht="15.6">
      <c r="A3" s="8" t="s">
        <v>26</v>
      </c>
      <c r="B3" s="2">
        <f>2.06*10^5</f>
        <v>206000</v>
      </c>
      <c r="C3" s="2">
        <v>235</v>
      </c>
      <c r="D3" s="114">
        <v>370</v>
      </c>
      <c r="E3" s="115">
        <v>1.1000000000000001</v>
      </c>
      <c r="F3" s="19"/>
      <c r="G3" s="19"/>
      <c r="H3" s="19"/>
      <c r="I3" s="19"/>
      <c r="K3" s="13" t="s">
        <v>41</v>
      </c>
      <c r="L3" s="13" t="s">
        <v>42</v>
      </c>
      <c r="M3" s="13" t="s">
        <v>43</v>
      </c>
      <c r="N3" s="13" t="s">
        <v>44</v>
      </c>
      <c r="O3" s="13" t="s">
        <v>45</v>
      </c>
      <c r="P3" s="9"/>
      <c r="Q3" s="9"/>
      <c r="R3" s="9"/>
      <c r="S3" s="9"/>
      <c r="T3" s="9"/>
      <c r="V3" s="14" t="s">
        <v>39</v>
      </c>
      <c r="W3" s="14" t="s">
        <v>46</v>
      </c>
      <c r="X3" s="14" t="s">
        <v>47</v>
      </c>
      <c r="Y3" s="14" t="s">
        <v>48</v>
      </c>
      <c r="Z3" s="16" t="s">
        <v>49</v>
      </c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V3" s="3">
        <v>360</v>
      </c>
      <c r="AW3" s="3">
        <v>560</v>
      </c>
      <c r="AX3" s="3">
        <v>475</v>
      </c>
      <c r="AZ3" s="3" t="s">
        <v>55</v>
      </c>
      <c r="BA3" s="3">
        <v>430</v>
      </c>
      <c r="BB3" s="3">
        <v>180</v>
      </c>
      <c r="BI3" s="143"/>
      <c r="BJ3" s="143"/>
      <c r="BK3" s="144"/>
      <c r="BL3" s="21" t="s">
        <v>86</v>
      </c>
      <c r="BM3" s="21" t="s">
        <v>87</v>
      </c>
      <c r="BN3" s="21" t="s">
        <v>88</v>
      </c>
      <c r="BO3" s="21" t="s">
        <v>89</v>
      </c>
      <c r="BP3" s="150" t="s">
        <v>101</v>
      </c>
      <c r="BQ3" s="22" t="s">
        <v>102</v>
      </c>
      <c r="CC3" s="140"/>
      <c r="CD3" s="40" t="s">
        <v>22</v>
      </c>
      <c r="CE3" s="40" t="s">
        <v>22</v>
      </c>
      <c r="CF3" s="40" t="s">
        <v>22</v>
      </c>
      <c r="CG3" s="40" t="s">
        <v>22</v>
      </c>
      <c r="CH3" s="40" t="s">
        <v>22</v>
      </c>
      <c r="CI3" s="40" t="s">
        <v>22</v>
      </c>
      <c r="CJ3" s="44" t="s">
        <v>22</v>
      </c>
      <c r="DA3" s="133" t="s">
        <v>131</v>
      </c>
      <c r="DB3" s="133" t="s">
        <v>166</v>
      </c>
      <c r="DC3" s="133"/>
      <c r="DD3" s="64" t="s">
        <v>19</v>
      </c>
      <c r="DE3" s="64" t="s">
        <v>167</v>
      </c>
      <c r="DF3" s="64" t="s">
        <v>139</v>
      </c>
      <c r="DZ3" s="34" t="s">
        <v>131</v>
      </c>
      <c r="EA3" s="34" t="s">
        <v>132</v>
      </c>
      <c r="EB3" s="34" t="s">
        <v>19</v>
      </c>
      <c r="EC3" s="34" t="s">
        <v>30</v>
      </c>
      <c r="ED3" s="34" t="s">
        <v>133</v>
      </c>
      <c r="EE3" s="34" t="s">
        <v>134</v>
      </c>
      <c r="EF3" s="34" t="s">
        <v>135</v>
      </c>
      <c r="EG3" s="34" t="s">
        <v>19</v>
      </c>
      <c r="EH3" s="34" t="s">
        <v>136</v>
      </c>
      <c r="EI3" s="34" t="s">
        <v>123</v>
      </c>
      <c r="EJ3" s="34" t="s">
        <v>124</v>
      </c>
      <c r="EK3" s="34" t="s">
        <v>125</v>
      </c>
      <c r="EL3" s="34" t="s">
        <v>126</v>
      </c>
      <c r="EM3" s="34" t="s">
        <v>137</v>
      </c>
      <c r="EN3" s="34" t="s">
        <v>138</v>
      </c>
      <c r="EO3" s="34" t="s">
        <v>139</v>
      </c>
      <c r="EP3" s="34" t="s">
        <v>140</v>
      </c>
      <c r="EQ3" s="34" t="s">
        <v>141</v>
      </c>
      <c r="ER3" s="34" t="s">
        <v>142</v>
      </c>
      <c r="ES3" s="34" t="s">
        <v>127</v>
      </c>
      <c r="ET3" s="34" t="s">
        <v>128</v>
      </c>
      <c r="EU3" s="34" t="s">
        <v>143</v>
      </c>
      <c r="EV3" s="34"/>
      <c r="EW3" s="34"/>
      <c r="EX3" s="34"/>
      <c r="EY3" s="34"/>
      <c r="EZ3" s="34"/>
      <c r="FA3" s="34"/>
      <c r="FB3" s="34"/>
      <c r="FC3" s="34"/>
    </row>
    <row r="4" spans="1:160" ht="15">
      <c r="A4" s="8" t="s">
        <v>27</v>
      </c>
      <c r="B4" s="2">
        <f t="shared" ref="B4:B33" si="0">2.06*10^5</f>
        <v>206000</v>
      </c>
      <c r="C4" s="2">
        <v>345</v>
      </c>
      <c r="D4" s="114">
        <v>510</v>
      </c>
      <c r="E4" s="115">
        <v>1.1000000000000001</v>
      </c>
      <c r="F4" s="19"/>
      <c r="G4" s="19"/>
      <c r="H4" s="19"/>
      <c r="I4" s="19"/>
      <c r="K4" s="13">
        <v>5.6</v>
      </c>
      <c r="L4" s="13">
        <v>500</v>
      </c>
      <c r="M4" s="13">
        <v>300</v>
      </c>
      <c r="N4" s="13">
        <v>210</v>
      </c>
      <c r="O4" s="13">
        <v>225</v>
      </c>
      <c r="P4" s="9"/>
      <c r="Q4" s="9"/>
      <c r="R4" s="9"/>
      <c r="S4" s="9"/>
      <c r="T4" s="9"/>
      <c r="V4" s="15">
        <v>10</v>
      </c>
      <c r="W4" s="3">
        <v>1.5</v>
      </c>
      <c r="X4" s="6">
        <v>78.5</v>
      </c>
      <c r="Y4" s="3">
        <v>57.1</v>
      </c>
      <c r="Z4" s="3">
        <v>1</v>
      </c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V4" s="3">
        <v>370</v>
      </c>
      <c r="AW4" s="3">
        <v>580</v>
      </c>
      <c r="AX4" s="3">
        <v>485</v>
      </c>
      <c r="AZ4" s="3" t="s">
        <v>56</v>
      </c>
      <c r="BA4" s="3">
        <v>510</v>
      </c>
      <c r="BB4" s="3">
        <v>225</v>
      </c>
      <c r="BI4" s="143"/>
      <c r="BJ4" s="143"/>
      <c r="BK4" s="21" t="s">
        <v>22</v>
      </c>
      <c r="BL4" s="21" t="s">
        <v>22</v>
      </c>
      <c r="BM4" s="21" t="s">
        <v>22</v>
      </c>
      <c r="BN4" s="21" t="s">
        <v>22</v>
      </c>
      <c r="BO4" s="21" t="s">
        <v>22</v>
      </c>
      <c r="BP4" s="151"/>
      <c r="BQ4" s="21" t="s">
        <v>22</v>
      </c>
      <c r="CC4" s="27" t="s">
        <v>106</v>
      </c>
      <c r="CD4" s="31">
        <v>235</v>
      </c>
      <c r="CE4" s="31">
        <v>373</v>
      </c>
      <c r="CF4" s="27">
        <f>CD4</f>
        <v>235</v>
      </c>
      <c r="CG4" s="27">
        <f>CF4/1.15</f>
        <v>204.34782608695653</v>
      </c>
      <c r="CH4" s="27">
        <f>CF4</f>
        <v>235</v>
      </c>
      <c r="CI4" s="27">
        <f>0.7*CD4</f>
        <v>164.5</v>
      </c>
      <c r="CJ4" s="28">
        <v>200000</v>
      </c>
      <c r="DA4" s="133"/>
      <c r="DB4" s="64" t="s">
        <v>39</v>
      </c>
      <c r="DC4" s="64" t="s">
        <v>133</v>
      </c>
      <c r="DD4" s="64" t="s">
        <v>23</v>
      </c>
      <c r="DE4" s="64" t="s">
        <v>20</v>
      </c>
      <c r="DF4" s="64" t="s">
        <v>20</v>
      </c>
      <c r="DZ4" s="34" t="s">
        <v>129</v>
      </c>
      <c r="EA4" s="34" t="s">
        <v>130</v>
      </c>
      <c r="EB4" s="34">
        <v>50</v>
      </c>
      <c r="EC4" s="34">
        <v>50</v>
      </c>
      <c r="ED4" s="34">
        <v>4</v>
      </c>
      <c r="EE4" s="34">
        <v>6.5</v>
      </c>
      <c r="EF4" s="34">
        <v>3</v>
      </c>
      <c r="EG4" s="34">
        <v>3.8919999999999999</v>
      </c>
      <c r="EH4" s="34">
        <v>3.06</v>
      </c>
      <c r="EI4" s="34">
        <v>1.37</v>
      </c>
      <c r="EJ4" s="34">
        <v>1.37</v>
      </c>
      <c r="EK4" s="34">
        <v>9.06</v>
      </c>
      <c r="EL4" s="34">
        <v>9.06</v>
      </c>
      <c r="EM4" s="34">
        <v>14.4</v>
      </c>
      <c r="EN4" s="34">
        <v>3.76</v>
      </c>
      <c r="EO4" s="34">
        <v>1.53</v>
      </c>
      <c r="EP4" s="34">
        <v>1.53</v>
      </c>
      <c r="EQ4" s="34">
        <v>1.92</v>
      </c>
      <c r="ER4" s="34">
        <v>0.98299999999999998</v>
      </c>
      <c r="ES4" s="34">
        <v>2.4900000000000002</v>
      </c>
      <c r="ET4" s="34">
        <v>2.4900000000000002</v>
      </c>
      <c r="EU4" s="34"/>
      <c r="EV4" s="34">
        <v>1.53</v>
      </c>
      <c r="EW4" s="34"/>
      <c r="EX4" s="34"/>
      <c r="EY4" s="39">
        <f>(EP4^2+(EJ4+0.5*FC5)^2)^0.5</f>
        <v>2.4161539686038225</v>
      </c>
      <c r="EZ4" s="34"/>
      <c r="FA4" s="34"/>
      <c r="FB4" s="34"/>
      <c r="FC4" s="34"/>
    </row>
    <row r="5" spans="1:160" ht="14.4">
      <c r="A5" s="8" t="s">
        <v>235</v>
      </c>
      <c r="B5" s="2">
        <f t="shared" si="0"/>
        <v>206000</v>
      </c>
      <c r="C5" s="2">
        <v>355</v>
      </c>
      <c r="D5" s="114">
        <v>510</v>
      </c>
      <c r="E5" s="115">
        <v>1.1000000000000001</v>
      </c>
      <c r="F5" s="19"/>
      <c r="G5" s="19"/>
      <c r="H5" s="19"/>
      <c r="I5" s="19"/>
      <c r="K5" s="13">
        <v>5.8</v>
      </c>
      <c r="L5" s="13">
        <v>500</v>
      </c>
      <c r="M5" s="13">
        <v>400</v>
      </c>
      <c r="N5" s="13">
        <v>210</v>
      </c>
      <c r="O5" s="13">
        <v>210</v>
      </c>
      <c r="P5" s="9"/>
      <c r="Q5" s="9"/>
      <c r="R5" s="9"/>
      <c r="S5" s="9"/>
      <c r="T5" s="9"/>
      <c r="V5" s="15">
        <v>12</v>
      </c>
      <c r="W5" s="3">
        <v>1.5</v>
      </c>
      <c r="X5" s="6">
        <v>113</v>
      </c>
      <c r="Y5" s="3">
        <v>84.2</v>
      </c>
      <c r="Z5" s="3">
        <v>1</v>
      </c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V5" s="3">
        <v>380</v>
      </c>
      <c r="AW5" s="3">
        <v>590</v>
      </c>
      <c r="AX5" s="3">
        <v>500</v>
      </c>
      <c r="AZ5" s="3" t="s">
        <v>57</v>
      </c>
      <c r="BA5" s="3">
        <v>410</v>
      </c>
      <c r="BB5" s="3">
        <v>180</v>
      </c>
      <c r="BI5" s="45" t="s">
        <v>64</v>
      </c>
      <c r="BJ5" s="46" t="s">
        <v>65</v>
      </c>
      <c r="BK5" s="47">
        <v>19000</v>
      </c>
      <c r="BL5" s="48">
        <v>7.5</v>
      </c>
      <c r="BM5" s="48">
        <v>6</v>
      </c>
      <c r="BN5" s="49">
        <v>0.85</v>
      </c>
      <c r="BO5" s="50">
        <v>0.56000000000000005</v>
      </c>
      <c r="BP5" s="51"/>
      <c r="BQ5" s="51"/>
      <c r="CC5" s="27" t="s">
        <v>107</v>
      </c>
      <c r="CD5" s="31">
        <v>295</v>
      </c>
      <c r="CE5" s="31">
        <v>490</v>
      </c>
      <c r="CF5" s="27">
        <f t="shared" ref="CF5:CF19" si="1">CD5</f>
        <v>295</v>
      </c>
      <c r="CG5" s="27">
        <f t="shared" ref="CG5:CG19" si="2">CF5/1.15</f>
        <v>256.52173913043481</v>
      </c>
      <c r="CH5" s="27">
        <f t="shared" ref="CH5:CH19" si="3">CF5</f>
        <v>295</v>
      </c>
      <c r="CI5" s="27">
        <f t="shared" ref="CI5:CI19" si="4">0.7*CD5</f>
        <v>206.5</v>
      </c>
      <c r="CJ5" s="28">
        <v>200000</v>
      </c>
      <c r="DA5" s="3" t="str">
        <f>"o"&amp;DB5&amp;"x"&amp;DC5</f>
        <v>o21.4x1.4</v>
      </c>
      <c r="DB5" s="67">
        <v>21.4</v>
      </c>
      <c r="DC5" s="67">
        <v>1.4</v>
      </c>
      <c r="DD5" s="65">
        <f>PI()*(DB5^2-(DB5-2*DC5)^2)/400</f>
        <v>0.87964594300514209</v>
      </c>
      <c r="DE5" s="65">
        <f>PI()*((DB5/10)^4-((DB5-2*DC5)/10)^4)/64</f>
        <v>0.44197810406293314</v>
      </c>
      <c r="DF5" s="65">
        <f>SQRT(DE5/DD5)</f>
        <v>0.70883707577975874</v>
      </c>
      <c r="DZ5" s="34" t="s">
        <v>144</v>
      </c>
      <c r="EA5" s="34" t="s">
        <v>145</v>
      </c>
      <c r="EB5" s="34">
        <v>90</v>
      </c>
      <c r="EC5" s="34">
        <v>75</v>
      </c>
      <c r="ED5" s="34">
        <v>9</v>
      </c>
      <c r="EE5" s="34">
        <v>8.5</v>
      </c>
      <c r="EF5" s="34">
        <v>6</v>
      </c>
      <c r="EG5" s="34">
        <v>14.04</v>
      </c>
      <c r="EH5" s="34">
        <v>11</v>
      </c>
      <c r="EI5" s="34">
        <v>2.75</v>
      </c>
      <c r="EJ5" s="36">
        <v>2</v>
      </c>
      <c r="EK5" s="34">
        <v>109</v>
      </c>
      <c r="EL5" s="34">
        <v>68.099999999999994</v>
      </c>
      <c r="EM5" s="34">
        <v>143</v>
      </c>
      <c r="EN5" s="34">
        <v>34.1</v>
      </c>
      <c r="EO5" s="36">
        <v>2.78</v>
      </c>
      <c r="EP5" s="36">
        <v>2.2000000000000002</v>
      </c>
      <c r="EQ5" s="34">
        <v>3.19</v>
      </c>
      <c r="ER5" s="34">
        <v>1.56</v>
      </c>
      <c r="ES5" s="34">
        <v>17.399999999999999</v>
      </c>
      <c r="ET5" s="34">
        <v>12.4</v>
      </c>
      <c r="EU5" s="34">
        <v>0.67600000000000005</v>
      </c>
      <c r="EV5" s="34"/>
      <c r="EW5" s="34">
        <f>EO5</f>
        <v>2.78</v>
      </c>
      <c r="EX5" s="34">
        <f>EP5</f>
        <v>2.2000000000000002</v>
      </c>
      <c r="EY5" s="34"/>
      <c r="EZ5" s="39">
        <f>(EP5^2+(EJ5+0.5*FC5)^2)^0.5</f>
        <v>3.3301651610693423</v>
      </c>
      <c r="FA5" s="39">
        <f>(EO5^2+(EI5+0.5*FC5)^2)^0.5</f>
        <v>4.2767861765582813</v>
      </c>
      <c r="FB5" s="37" t="s">
        <v>146</v>
      </c>
      <c r="FC5" s="38">
        <v>1</v>
      </c>
      <c r="FD5" s="1" t="s">
        <v>147</v>
      </c>
    </row>
    <row r="6" spans="1:160" ht="14.4">
      <c r="A6" s="8" t="s">
        <v>29</v>
      </c>
      <c r="B6" s="2">
        <f t="shared" si="0"/>
        <v>206000</v>
      </c>
      <c r="C6" s="2">
        <v>250</v>
      </c>
      <c r="D6" s="114">
        <v>400</v>
      </c>
      <c r="E6" s="115">
        <v>1.1000000000000001</v>
      </c>
      <c r="F6" s="19"/>
      <c r="G6" s="19"/>
      <c r="H6" s="19"/>
      <c r="I6" s="19"/>
      <c r="K6" s="13">
        <v>8.8000000000000007</v>
      </c>
      <c r="L6" s="13">
        <v>830</v>
      </c>
      <c r="M6" s="13">
        <v>660</v>
      </c>
      <c r="N6" s="13">
        <v>332</v>
      </c>
      <c r="O6" s="13">
        <v>448</v>
      </c>
      <c r="P6" s="9"/>
      <c r="Q6" s="9"/>
      <c r="R6" s="9"/>
      <c r="S6" s="9"/>
      <c r="T6" s="9"/>
      <c r="V6" s="15">
        <v>16</v>
      </c>
      <c r="W6" s="3">
        <v>2</v>
      </c>
      <c r="X6" s="6">
        <f t="shared" ref="X6:X15" si="5">PI()*V6^2/4</f>
        <v>201.06192982974676</v>
      </c>
      <c r="Y6" s="3">
        <v>157</v>
      </c>
      <c r="Z6" s="3">
        <v>1</v>
      </c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V6" s="3">
        <v>390</v>
      </c>
      <c r="AW6" s="3">
        <v>610</v>
      </c>
      <c r="AX6" s="3">
        <v>515</v>
      </c>
      <c r="AZ6" s="3" t="s">
        <v>58</v>
      </c>
      <c r="BA6" s="3">
        <v>450</v>
      </c>
      <c r="BB6" s="3">
        <v>200</v>
      </c>
      <c r="BI6" s="52" t="s">
        <v>66</v>
      </c>
      <c r="BJ6" s="53" t="s">
        <v>67</v>
      </c>
      <c r="BK6" s="54">
        <v>24000</v>
      </c>
      <c r="BL6" s="55">
        <v>11</v>
      </c>
      <c r="BM6" s="55">
        <v>8.5</v>
      </c>
      <c r="BN6" s="56">
        <v>1.1000000000000001</v>
      </c>
      <c r="BO6" s="57">
        <v>0.75</v>
      </c>
      <c r="BP6" s="51" t="s">
        <v>91</v>
      </c>
      <c r="BQ6" s="51">
        <f>VALUE(MID(BP6,2,2))</f>
        <v>12</v>
      </c>
      <c r="CC6" s="27" t="s">
        <v>108</v>
      </c>
      <c r="CD6" s="31">
        <v>390</v>
      </c>
      <c r="CE6" s="31">
        <v>590</v>
      </c>
      <c r="CF6" s="27">
        <f t="shared" si="1"/>
        <v>390</v>
      </c>
      <c r="CG6" s="27">
        <f t="shared" si="2"/>
        <v>339.13043478260875</v>
      </c>
      <c r="CH6" s="27">
        <f t="shared" si="3"/>
        <v>390</v>
      </c>
      <c r="CI6" s="27">
        <f t="shared" si="4"/>
        <v>273</v>
      </c>
      <c r="CJ6" s="28">
        <v>200000</v>
      </c>
      <c r="DA6" s="3" t="str">
        <f t="shared" ref="DA6:DA15" si="6">"o"&amp;DB6&amp;"x"&amp;DC6</f>
        <v>o21.4x1.8</v>
      </c>
      <c r="DB6" s="67">
        <v>21.4</v>
      </c>
      <c r="DC6" s="67">
        <v>1.8</v>
      </c>
      <c r="DD6" s="65">
        <f t="shared" ref="DD6:DD15" si="7">PI()*(DB6^2-(DB6-2*DC6)^2)/400</f>
        <v>1.108353888186479</v>
      </c>
      <c r="DE6" s="65">
        <f t="shared" ref="DE6:DE15" si="8">PI()*((DB6/10)^4-((DB6-2*DC6)/10)^4)/64</f>
        <v>0.53672037035430209</v>
      </c>
      <c r="DF6" s="65">
        <f t="shared" ref="DF6:DF15" si="9">SQRT(DE6/DD6)</f>
        <v>0.69588073690827201</v>
      </c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</row>
    <row r="7" spans="1:160" ht="14.4">
      <c r="A7" s="8" t="s">
        <v>28</v>
      </c>
      <c r="B7" s="2">
        <f t="shared" si="0"/>
        <v>206000</v>
      </c>
      <c r="C7" s="2">
        <v>345</v>
      </c>
      <c r="D7" s="114">
        <v>450</v>
      </c>
      <c r="E7" s="115">
        <v>1.1000000000000001</v>
      </c>
      <c r="F7" s="19"/>
      <c r="G7" s="19"/>
      <c r="H7" s="19"/>
      <c r="I7" s="19"/>
      <c r="K7" s="13">
        <v>10.9</v>
      </c>
      <c r="L7" s="13">
        <v>1040</v>
      </c>
      <c r="M7" s="13">
        <v>940</v>
      </c>
      <c r="N7" s="13">
        <v>416</v>
      </c>
      <c r="O7" s="13">
        <v>728</v>
      </c>
      <c r="P7" s="9"/>
      <c r="Q7" s="9"/>
      <c r="R7" s="9"/>
      <c r="S7" s="9"/>
      <c r="T7" s="9"/>
      <c r="V7" s="15">
        <v>18</v>
      </c>
      <c r="W7" s="3">
        <v>2.5</v>
      </c>
      <c r="X7" s="6">
        <f t="shared" si="5"/>
        <v>254.46900494077323</v>
      </c>
      <c r="Y7" s="3">
        <v>192</v>
      </c>
      <c r="Z7" s="3">
        <v>0</v>
      </c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V7" s="3">
        <v>430</v>
      </c>
      <c r="AW7" s="3">
        <v>670</v>
      </c>
      <c r="AX7" s="3">
        <v>565</v>
      </c>
      <c r="AZ7" s="3" t="s">
        <v>59</v>
      </c>
      <c r="BA7" s="3">
        <v>490</v>
      </c>
      <c r="BB7" s="3">
        <v>215</v>
      </c>
      <c r="BI7" s="52" t="s">
        <v>68</v>
      </c>
      <c r="BJ7" s="53" t="s">
        <v>69</v>
      </c>
      <c r="BK7" s="54">
        <v>27500</v>
      </c>
      <c r="BL7" s="55">
        <v>15</v>
      </c>
      <c r="BM7" s="55">
        <v>11.5</v>
      </c>
      <c r="BN7" s="56">
        <v>1.35</v>
      </c>
      <c r="BO7" s="57">
        <v>0.9</v>
      </c>
      <c r="BP7" s="51" t="s">
        <v>92</v>
      </c>
      <c r="BQ7" s="51">
        <f t="shared" ref="BQ7:BQ15" si="10">VALUE(MID(BP7,2,2))</f>
        <v>16</v>
      </c>
      <c r="CC7" s="27" t="s">
        <v>109</v>
      </c>
      <c r="CD7" s="31">
        <v>235</v>
      </c>
      <c r="CE7" s="31">
        <v>373</v>
      </c>
      <c r="CF7" s="27">
        <f t="shared" si="1"/>
        <v>235</v>
      </c>
      <c r="CG7" s="27">
        <f t="shared" si="2"/>
        <v>204.34782608695653</v>
      </c>
      <c r="CH7" s="27">
        <f t="shared" si="3"/>
        <v>235</v>
      </c>
      <c r="CI7" s="27">
        <f t="shared" si="4"/>
        <v>164.5</v>
      </c>
      <c r="CJ7" s="29">
        <v>200000</v>
      </c>
      <c r="DA7" s="3" t="str">
        <f t="shared" si="6"/>
        <v>o21.4x2</v>
      </c>
      <c r="DB7" s="67">
        <v>21.4</v>
      </c>
      <c r="DC7" s="67">
        <v>2</v>
      </c>
      <c r="DD7" s="65">
        <f t="shared" si="7"/>
        <v>1.2189379495928396</v>
      </c>
      <c r="DE7" s="65">
        <f t="shared" si="8"/>
        <v>0.57954404813391514</v>
      </c>
      <c r="DF7" s="65">
        <f t="shared" si="9"/>
        <v>0.689528824633169</v>
      </c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</row>
    <row r="8" spans="1:160" ht="14.4">
      <c r="A8" s="8" t="s">
        <v>3</v>
      </c>
      <c r="B8" s="2">
        <f t="shared" si="0"/>
        <v>206000</v>
      </c>
      <c r="C8" s="2">
        <v>235</v>
      </c>
      <c r="D8" s="114">
        <v>360</v>
      </c>
      <c r="E8" s="115">
        <v>1.05</v>
      </c>
      <c r="F8" s="19"/>
      <c r="G8" s="19"/>
      <c r="H8" s="19"/>
      <c r="I8" s="19"/>
      <c r="K8" s="13">
        <v>12.9</v>
      </c>
      <c r="L8" s="13">
        <v>1220</v>
      </c>
      <c r="M8" s="13">
        <v>1100</v>
      </c>
      <c r="N8" s="13">
        <v>427</v>
      </c>
      <c r="O8" s="13">
        <v>854</v>
      </c>
      <c r="P8" s="9"/>
      <c r="Q8" s="9"/>
      <c r="R8" s="9"/>
      <c r="S8" s="9"/>
      <c r="T8" s="9"/>
      <c r="V8" s="15">
        <v>20</v>
      </c>
      <c r="W8" s="3">
        <v>2.5</v>
      </c>
      <c r="X8" s="6">
        <f t="shared" si="5"/>
        <v>314.15926535897933</v>
      </c>
      <c r="Y8" s="3">
        <v>245</v>
      </c>
      <c r="Z8" s="3">
        <v>1.1000000000000001</v>
      </c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V8" s="3">
        <v>440</v>
      </c>
      <c r="AW8" s="3">
        <v>685</v>
      </c>
      <c r="AX8" s="3">
        <v>580</v>
      </c>
      <c r="BI8" s="52" t="s">
        <v>70</v>
      </c>
      <c r="BJ8" s="53" t="s">
        <v>71</v>
      </c>
      <c r="BK8" s="54">
        <v>30000</v>
      </c>
      <c r="BL8" s="55">
        <v>18.5</v>
      </c>
      <c r="BM8" s="55">
        <v>14.5</v>
      </c>
      <c r="BN8" s="56">
        <v>1.55</v>
      </c>
      <c r="BO8" s="57">
        <v>1.05</v>
      </c>
      <c r="BP8" s="51" t="s">
        <v>93</v>
      </c>
      <c r="BQ8" s="51">
        <f t="shared" si="10"/>
        <v>20</v>
      </c>
      <c r="CC8" s="27" t="s">
        <v>110</v>
      </c>
      <c r="CD8" s="31">
        <v>295</v>
      </c>
      <c r="CE8" s="31">
        <v>490</v>
      </c>
      <c r="CF8" s="27">
        <f t="shared" si="1"/>
        <v>295</v>
      </c>
      <c r="CG8" s="27">
        <f t="shared" si="2"/>
        <v>256.52173913043481</v>
      </c>
      <c r="CH8" s="27">
        <f t="shared" si="3"/>
        <v>295</v>
      </c>
      <c r="CI8" s="27">
        <f t="shared" si="4"/>
        <v>206.5</v>
      </c>
      <c r="CJ8" s="29">
        <v>200000</v>
      </c>
      <c r="DA8" s="3" t="str">
        <f t="shared" si="6"/>
        <v>o21.4x2.3</v>
      </c>
      <c r="DB8" s="67">
        <v>21.4</v>
      </c>
      <c r="DC8" s="67">
        <v>2.2999999999999998</v>
      </c>
      <c r="DD8" s="65">
        <f t="shared" si="7"/>
        <v>1.3801016527219963</v>
      </c>
      <c r="DE8" s="65">
        <f t="shared" si="8"/>
        <v>0.63846952709051297</v>
      </c>
      <c r="DF8" s="65">
        <f t="shared" si="9"/>
        <v>0.6801654210557897</v>
      </c>
      <c r="DZ8" s="34"/>
      <c r="EA8" s="34"/>
      <c r="EB8" s="34"/>
      <c r="EC8" s="34"/>
      <c r="ED8" s="34"/>
      <c r="EE8" s="34"/>
      <c r="EF8" s="34" t="s">
        <v>21</v>
      </c>
      <c r="EG8" s="34" t="s">
        <v>148</v>
      </c>
      <c r="EH8" s="34" t="s">
        <v>149</v>
      </c>
      <c r="EI8" s="34" t="s">
        <v>19</v>
      </c>
      <c r="EJ8" s="34" t="s">
        <v>139</v>
      </c>
      <c r="EK8" s="34" t="s">
        <v>140</v>
      </c>
      <c r="EL8" s="34" t="s">
        <v>150</v>
      </c>
      <c r="EM8" s="34" t="s">
        <v>151</v>
      </c>
      <c r="EN8" s="34" t="s">
        <v>152</v>
      </c>
      <c r="EO8" s="34" t="s">
        <v>153</v>
      </c>
      <c r="EP8" s="34" t="s">
        <v>154</v>
      </c>
      <c r="EQ8" s="34" t="s">
        <v>155</v>
      </c>
      <c r="ER8" s="34" t="s">
        <v>156</v>
      </c>
      <c r="ES8" s="34" t="s">
        <v>153</v>
      </c>
      <c r="ET8" s="34"/>
      <c r="EU8" s="34"/>
      <c r="EV8" s="34"/>
      <c r="EW8" s="34"/>
      <c r="EX8" s="34"/>
      <c r="EY8" s="34"/>
      <c r="EZ8" s="34"/>
      <c r="FA8" s="34"/>
      <c r="FB8" s="34"/>
      <c r="FC8" s="34"/>
    </row>
    <row r="9" spans="1:160" ht="14.4">
      <c r="A9" s="8" t="s">
        <v>2</v>
      </c>
      <c r="B9" s="2">
        <f t="shared" si="0"/>
        <v>206000</v>
      </c>
      <c r="C9" s="2">
        <v>225</v>
      </c>
      <c r="D9" s="114">
        <v>360</v>
      </c>
      <c r="E9" s="115">
        <v>1.05</v>
      </c>
      <c r="F9" s="19"/>
      <c r="G9" s="19"/>
      <c r="H9" s="19"/>
      <c r="I9" s="19"/>
      <c r="V9" s="15">
        <v>22</v>
      </c>
      <c r="W9" s="3">
        <v>2.5</v>
      </c>
      <c r="X9" s="6">
        <f t="shared" si="5"/>
        <v>380.13271108436498</v>
      </c>
      <c r="Y9" s="3">
        <v>303</v>
      </c>
      <c r="Z9" s="3">
        <v>1.1000000000000001</v>
      </c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V9" s="3">
        <v>450</v>
      </c>
      <c r="AW9" s="3">
        <v>700</v>
      </c>
      <c r="AX9" s="3">
        <v>595</v>
      </c>
      <c r="BI9" s="52" t="s">
        <v>72</v>
      </c>
      <c r="BJ9" s="53" t="s">
        <v>73</v>
      </c>
      <c r="BK9" s="54">
        <v>32500</v>
      </c>
      <c r="BL9" s="55">
        <v>22</v>
      </c>
      <c r="BM9" s="55">
        <v>17</v>
      </c>
      <c r="BN9" s="56">
        <v>1.75</v>
      </c>
      <c r="BO9" s="57">
        <v>1.1499999999999999</v>
      </c>
      <c r="BP9" s="51" t="s">
        <v>94</v>
      </c>
      <c r="BQ9" s="51">
        <f t="shared" si="10"/>
        <v>25</v>
      </c>
      <c r="CC9" s="27" t="s">
        <v>111</v>
      </c>
      <c r="CD9" s="31">
        <v>390</v>
      </c>
      <c r="CE9" s="31">
        <v>590</v>
      </c>
      <c r="CF9" s="27">
        <f t="shared" si="1"/>
        <v>390</v>
      </c>
      <c r="CG9" s="27">
        <f t="shared" si="2"/>
        <v>339.13043478260875</v>
      </c>
      <c r="CH9" s="27">
        <f t="shared" si="3"/>
        <v>390</v>
      </c>
      <c r="CI9" s="27">
        <f t="shared" si="4"/>
        <v>273</v>
      </c>
      <c r="CJ9" s="29">
        <v>200000</v>
      </c>
      <c r="DA9" s="3" t="str">
        <f t="shared" si="6"/>
        <v>o21.4x2.5</v>
      </c>
      <c r="DB9" s="67">
        <v>21.4</v>
      </c>
      <c r="DC9" s="67">
        <v>2.5</v>
      </c>
      <c r="DD9" s="65">
        <f t="shared" si="7"/>
        <v>1.4844025288211768</v>
      </c>
      <c r="DE9" s="65">
        <f t="shared" si="8"/>
        <v>0.67440117890668083</v>
      </c>
      <c r="DF9" s="65">
        <f t="shared" si="9"/>
        <v>0.6740363491682031</v>
      </c>
      <c r="DZ9" s="34"/>
      <c r="EA9" s="34"/>
      <c r="EB9" s="34"/>
      <c r="EC9" s="34"/>
      <c r="ED9" s="34"/>
      <c r="EE9" s="34"/>
      <c r="EF9" s="34">
        <v>-530</v>
      </c>
      <c r="EG9" s="34">
        <v>150</v>
      </c>
      <c r="EH9" s="34">
        <v>150</v>
      </c>
      <c r="EI9" s="34">
        <f>2*EG5</f>
        <v>28.08</v>
      </c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</row>
    <row r="10" spans="1:160" ht="14.4">
      <c r="A10" s="8" t="s">
        <v>4</v>
      </c>
      <c r="B10" s="2">
        <f t="shared" si="0"/>
        <v>206000</v>
      </c>
      <c r="C10" s="2">
        <v>215</v>
      </c>
      <c r="D10" s="114">
        <v>360</v>
      </c>
      <c r="E10" s="115">
        <v>1.05</v>
      </c>
      <c r="F10" s="19"/>
      <c r="G10" s="19"/>
      <c r="H10" s="19"/>
      <c r="I10" s="19"/>
      <c r="V10" s="15">
        <v>24</v>
      </c>
      <c r="W10" s="3">
        <v>3</v>
      </c>
      <c r="X10" s="6">
        <f t="shared" si="5"/>
        <v>452.38934211693021</v>
      </c>
      <c r="Y10" s="3">
        <v>353</v>
      </c>
      <c r="Z10" s="3">
        <v>1.1000000000000001</v>
      </c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V10" s="3">
        <v>460</v>
      </c>
      <c r="AW10" s="3">
        <v>720</v>
      </c>
      <c r="AX10" s="3">
        <v>605</v>
      </c>
      <c r="BI10" s="52" t="s">
        <v>74</v>
      </c>
      <c r="BJ10" s="53" t="s">
        <v>75</v>
      </c>
      <c r="BK10" s="54">
        <v>34500</v>
      </c>
      <c r="BL10" s="55">
        <v>25.5</v>
      </c>
      <c r="BM10" s="55">
        <v>19.5</v>
      </c>
      <c r="BN10" s="56">
        <v>1.95</v>
      </c>
      <c r="BO10" s="57">
        <v>1.3</v>
      </c>
      <c r="BP10" s="51" t="s">
        <v>95</v>
      </c>
      <c r="BQ10" s="51">
        <f t="shared" si="10"/>
        <v>28</v>
      </c>
      <c r="CC10" s="27" t="s">
        <v>118</v>
      </c>
      <c r="CD10" s="31">
        <v>240</v>
      </c>
      <c r="CE10" s="31">
        <v>380</v>
      </c>
      <c r="CF10" s="27">
        <f t="shared" si="1"/>
        <v>240</v>
      </c>
      <c r="CG10" s="27"/>
      <c r="CH10" s="27">
        <f t="shared" si="3"/>
        <v>240</v>
      </c>
      <c r="CI10" s="27">
        <v>170</v>
      </c>
      <c r="CJ10" s="28">
        <v>200000</v>
      </c>
      <c r="DA10" s="3" t="str">
        <f t="shared" si="6"/>
        <v>o25.4x1.4</v>
      </c>
      <c r="DB10" s="67">
        <v>25.4</v>
      </c>
      <c r="DC10" s="67">
        <v>1.4</v>
      </c>
      <c r="DD10" s="65">
        <f t="shared" si="7"/>
        <v>1.0555751316061712</v>
      </c>
      <c r="DE10" s="65">
        <f t="shared" si="8"/>
        <v>0.76260025382887842</v>
      </c>
      <c r="DF10" s="65">
        <f t="shared" si="9"/>
        <v>0.84997058772642242</v>
      </c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</row>
    <row r="11" spans="1:160" ht="14.4">
      <c r="A11" s="8" t="s">
        <v>5</v>
      </c>
      <c r="B11" s="2">
        <f t="shared" si="0"/>
        <v>206000</v>
      </c>
      <c r="C11" s="2">
        <v>215</v>
      </c>
      <c r="D11" s="114">
        <v>360</v>
      </c>
      <c r="E11" s="115">
        <v>1.05</v>
      </c>
      <c r="F11" s="19"/>
      <c r="G11" s="19"/>
      <c r="H11" s="19"/>
      <c r="I11" s="19"/>
      <c r="V11" s="15">
        <v>27</v>
      </c>
      <c r="W11" s="3">
        <v>3</v>
      </c>
      <c r="X11" s="6">
        <f t="shared" si="5"/>
        <v>572.55526111673976</v>
      </c>
      <c r="Y11" s="3">
        <v>459</v>
      </c>
      <c r="Z11" s="3">
        <v>1.2</v>
      </c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V11" s="3">
        <v>470</v>
      </c>
      <c r="AW11" s="3">
        <v>735</v>
      </c>
      <c r="AX11" s="3">
        <v>620</v>
      </c>
      <c r="BI11" s="52" t="s">
        <v>76</v>
      </c>
      <c r="BJ11" s="53" t="s">
        <v>77</v>
      </c>
      <c r="BK11" s="54">
        <v>36000</v>
      </c>
      <c r="BL11" s="55">
        <v>29</v>
      </c>
      <c r="BM11" s="55">
        <v>22</v>
      </c>
      <c r="BN11" s="56">
        <v>2.1</v>
      </c>
      <c r="BO11" s="57">
        <v>1.4</v>
      </c>
      <c r="BP11" s="51" t="s">
        <v>96</v>
      </c>
      <c r="BQ11" s="51">
        <f t="shared" si="10"/>
        <v>32</v>
      </c>
      <c r="CC11" s="27" t="s">
        <v>119</v>
      </c>
      <c r="CD11" s="31">
        <v>300</v>
      </c>
      <c r="CE11" s="31">
        <v>440</v>
      </c>
      <c r="CF11" s="27">
        <f t="shared" si="1"/>
        <v>300</v>
      </c>
      <c r="CG11" s="27"/>
      <c r="CH11" s="27">
        <f t="shared" si="3"/>
        <v>300</v>
      </c>
      <c r="CI11" s="27">
        <v>210</v>
      </c>
      <c r="CJ11" s="28">
        <v>200000</v>
      </c>
      <c r="DA11" s="3" t="str">
        <f t="shared" si="6"/>
        <v>o25.4x1.8</v>
      </c>
      <c r="DB11" s="67">
        <v>25.4</v>
      </c>
      <c r="DC11" s="67">
        <v>1.8</v>
      </c>
      <c r="DD11" s="65">
        <f t="shared" si="7"/>
        <v>1.3345485592449446</v>
      </c>
      <c r="DE11" s="65">
        <f t="shared" si="8"/>
        <v>0.93451762861127252</v>
      </c>
      <c r="DF11" s="65">
        <f t="shared" si="9"/>
        <v>0.8368094167730189</v>
      </c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</row>
    <row r="12" spans="1:160" ht="14.4">
      <c r="A12" s="8" t="s">
        <v>6</v>
      </c>
      <c r="B12" s="2">
        <f t="shared" si="0"/>
        <v>206000</v>
      </c>
      <c r="C12" s="2">
        <v>215</v>
      </c>
      <c r="D12" s="114">
        <v>360</v>
      </c>
      <c r="E12" s="115">
        <v>1.05</v>
      </c>
      <c r="F12" s="19"/>
      <c r="G12" s="19"/>
      <c r="H12" s="19"/>
      <c r="I12" s="19"/>
      <c r="V12" s="15">
        <v>30</v>
      </c>
      <c r="W12" s="3">
        <v>3.5</v>
      </c>
      <c r="X12" s="6">
        <f t="shared" si="5"/>
        <v>706.85834705770344</v>
      </c>
      <c r="Y12" s="3">
        <v>561</v>
      </c>
      <c r="Z12" s="3">
        <v>1.3</v>
      </c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V12" s="3">
        <v>480</v>
      </c>
      <c r="AW12" s="3">
        <v>750</v>
      </c>
      <c r="AX12" s="3">
        <v>630</v>
      </c>
      <c r="BI12" s="52" t="s">
        <v>78</v>
      </c>
      <c r="BJ12" s="53" t="s">
        <v>79</v>
      </c>
      <c r="BK12" s="54">
        <v>37000</v>
      </c>
      <c r="BL12" s="55">
        <v>32</v>
      </c>
      <c r="BM12" s="55">
        <v>25</v>
      </c>
      <c r="BN12" s="56">
        <v>2.25</v>
      </c>
      <c r="BO12" s="57">
        <v>1.5</v>
      </c>
      <c r="BP12" s="51" t="s">
        <v>97</v>
      </c>
      <c r="BQ12" s="51">
        <f t="shared" si="10"/>
        <v>35</v>
      </c>
      <c r="CC12" s="27" t="s">
        <v>120</v>
      </c>
      <c r="CD12" s="31">
        <v>300</v>
      </c>
      <c r="CE12" s="31">
        <v>450</v>
      </c>
      <c r="CF12" s="27">
        <f t="shared" si="1"/>
        <v>300</v>
      </c>
      <c r="CG12" s="27"/>
      <c r="CH12" s="27">
        <f t="shared" si="3"/>
        <v>300</v>
      </c>
      <c r="CI12" s="27">
        <v>210</v>
      </c>
      <c r="CJ12" s="28">
        <v>200000</v>
      </c>
      <c r="DA12" s="3" t="str">
        <f t="shared" si="6"/>
        <v>o25.4x2</v>
      </c>
      <c r="DB12" s="67">
        <v>25.4</v>
      </c>
      <c r="DC12" s="67">
        <v>2</v>
      </c>
      <c r="DD12" s="65">
        <f t="shared" si="7"/>
        <v>1.4702653618800234</v>
      </c>
      <c r="DE12" s="65">
        <f t="shared" si="8"/>
        <v>1.0136744537481825</v>
      </c>
      <c r="DF12" s="65">
        <f t="shared" si="9"/>
        <v>0.83033125919719553</v>
      </c>
      <c r="DZ12" s="34"/>
      <c r="EA12" s="34"/>
      <c r="EB12" s="34"/>
      <c r="EC12" s="34"/>
      <c r="ED12" s="34"/>
      <c r="EE12" s="34"/>
      <c r="EF12" s="34" t="s">
        <v>157</v>
      </c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</row>
    <row r="13" spans="1:160" ht="14.4">
      <c r="A13" s="8" t="s">
        <v>7</v>
      </c>
      <c r="B13" s="2">
        <f t="shared" si="0"/>
        <v>206000</v>
      </c>
      <c r="C13" s="2">
        <v>275</v>
      </c>
      <c r="D13" s="114">
        <v>410</v>
      </c>
      <c r="E13" s="115">
        <v>1.05</v>
      </c>
      <c r="F13" s="19"/>
      <c r="G13" s="19"/>
      <c r="H13" s="19"/>
      <c r="I13" s="19"/>
      <c r="V13" s="15">
        <v>36</v>
      </c>
      <c r="W13" s="3">
        <v>4</v>
      </c>
      <c r="X13" s="6">
        <f t="shared" si="5"/>
        <v>1017.8760197630929</v>
      </c>
      <c r="Y13" s="3">
        <v>816</v>
      </c>
      <c r="Z13" s="3">
        <v>1.3</v>
      </c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V13" s="3">
        <v>490</v>
      </c>
      <c r="AW13" s="3">
        <v>765</v>
      </c>
      <c r="AX13" s="3">
        <v>645</v>
      </c>
      <c r="BI13" s="52" t="s">
        <v>80</v>
      </c>
      <c r="BJ13" s="53" t="s">
        <v>81</v>
      </c>
      <c r="BK13" s="54">
        <v>38000</v>
      </c>
      <c r="BL13" s="55">
        <v>36</v>
      </c>
      <c r="BM13" s="55">
        <v>27.5</v>
      </c>
      <c r="BN13" s="56">
        <v>2.4500000000000002</v>
      </c>
      <c r="BO13" s="57">
        <v>1.6</v>
      </c>
      <c r="BP13" s="51" t="s">
        <v>98</v>
      </c>
      <c r="BQ13" s="51">
        <f t="shared" si="10"/>
        <v>40</v>
      </c>
      <c r="CC13" s="27" t="s">
        <v>121</v>
      </c>
      <c r="CD13" s="31">
        <v>400</v>
      </c>
      <c r="CE13" s="31">
        <v>570</v>
      </c>
      <c r="CF13" s="27">
        <f t="shared" si="1"/>
        <v>400</v>
      </c>
      <c r="CG13" s="27"/>
      <c r="CH13" s="27">
        <f t="shared" si="3"/>
        <v>400</v>
      </c>
      <c r="CI13" s="27">
        <v>280</v>
      </c>
      <c r="CJ13" s="28">
        <v>200000</v>
      </c>
      <c r="DA13" s="3" t="str">
        <f t="shared" si="6"/>
        <v>o25.4x2.3</v>
      </c>
      <c r="DB13" s="67">
        <v>25.4</v>
      </c>
      <c r="DC13" s="67">
        <v>2.2999999999999998</v>
      </c>
      <c r="DD13" s="65">
        <f t="shared" si="7"/>
        <v>1.6691281768522577</v>
      </c>
      <c r="DE13" s="65">
        <f t="shared" si="8"/>
        <v>1.1243664681321022</v>
      </c>
      <c r="DF13" s="65">
        <f t="shared" si="9"/>
        <v>0.82074661132410409</v>
      </c>
      <c r="DZ13" s="34"/>
      <c r="EA13" s="34"/>
      <c r="EB13" s="34"/>
      <c r="EC13" s="34"/>
      <c r="ED13" s="34"/>
      <c r="EE13" s="34"/>
      <c r="EF13" s="34" t="s">
        <v>158</v>
      </c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</row>
    <row r="14" spans="1:160" ht="14.4">
      <c r="A14" s="8" t="s">
        <v>8</v>
      </c>
      <c r="B14" s="2">
        <f t="shared" si="0"/>
        <v>206000</v>
      </c>
      <c r="C14" s="2">
        <v>265</v>
      </c>
      <c r="D14" s="114">
        <v>410</v>
      </c>
      <c r="E14" s="115">
        <v>1.05</v>
      </c>
      <c r="F14" s="19"/>
      <c r="G14" s="19"/>
      <c r="H14" s="19"/>
      <c r="I14" s="19"/>
      <c r="V14" s="15">
        <v>42</v>
      </c>
      <c r="W14" s="3">
        <v>4.5</v>
      </c>
      <c r="X14" s="6">
        <f t="shared" si="5"/>
        <v>1385.4423602330987</v>
      </c>
      <c r="Y14" s="3">
        <v>1120</v>
      </c>
      <c r="Z14" s="3">
        <v>1.6</v>
      </c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V14" s="3">
        <v>510</v>
      </c>
      <c r="AW14" s="3">
        <v>795</v>
      </c>
      <c r="AX14" s="3">
        <v>670</v>
      </c>
      <c r="BI14" s="52" t="s">
        <v>80</v>
      </c>
      <c r="BJ14" s="53" t="s">
        <v>82</v>
      </c>
      <c r="BK14" s="54">
        <v>39000</v>
      </c>
      <c r="BL14" s="55">
        <v>39.5</v>
      </c>
      <c r="BM14" s="55">
        <v>30</v>
      </c>
      <c r="BN14" s="56">
        <v>2.6</v>
      </c>
      <c r="BO14" s="57">
        <v>1.7</v>
      </c>
      <c r="BP14" s="51" t="s">
        <v>99</v>
      </c>
      <c r="BQ14" s="51">
        <f t="shared" si="10"/>
        <v>45</v>
      </c>
      <c r="CC14" s="27" t="s">
        <v>122</v>
      </c>
      <c r="CD14" s="31">
        <v>500</v>
      </c>
      <c r="CE14" s="31">
        <v>650</v>
      </c>
      <c r="CF14" s="27">
        <f t="shared" si="1"/>
        <v>500</v>
      </c>
      <c r="CG14" s="27"/>
      <c r="CH14" s="27">
        <f t="shared" si="3"/>
        <v>500</v>
      </c>
      <c r="CI14" s="27">
        <v>300</v>
      </c>
      <c r="CJ14" s="28">
        <v>200000</v>
      </c>
      <c r="DA14" s="3" t="str">
        <f t="shared" si="6"/>
        <v>o25.4x2.5</v>
      </c>
      <c r="DB14" s="67">
        <v>25.4</v>
      </c>
      <c r="DC14" s="67">
        <v>2.5</v>
      </c>
      <c r="DD14" s="65">
        <f t="shared" si="7"/>
        <v>1.7985617941801564</v>
      </c>
      <c r="DE14" s="65">
        <f t="shared" si="8"/>
        <v>1.1930310021245523</v>
      </c>
      <c r="DF14" s="65">
        <f t="shared" si="9"/>
        <v>0.81444766559920845</v>
      </c>
      <c r="DZ14" s="34"/>
      <c r="EA14" s="34"/>
      <c r="EB14" s="34"/>
      <c r="EC14" s="34"/>
      <c r="ED14" s="34"/>
      <c r="EE14" s="34"/>
      <c r="EF14" s="34" t="s">
        <v>159</v>
      </c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</row>
    <row r="15" spans="1:160" ht="15" thickBot="1">
      <c r="A15" s="8" t="s">
        <v>9</v>
      </c>
      <c r="B15" s="2">
        <f t="shared" si="0"/>
        <v>206000</v>
      </c>
      <c r="C15" s="2">
        <v>255</v>
      </c>
      <c r="D15" s="114">
        <v>410</v>
      </c>
      <c r="E15" s="115">
        <v>1.05</v>
      </c>
      <c r="F15" s="19"/>
      <c r="G15" s="19"/>
      <c r="H15" s="19"/>
      <c r="I15" s="19"/>
      <c r="V15" s="15">
        <v>48</v>
      </c>
      <c r="W15" s="3">
        <v>5</v>
      </c>
      <c r="X15" s="6">
        <f t="shared" si="5"/>
        <v>1809.5573684677208</v>
      </c>
      <c r="Y15" s="3">
        <v>1472</v>
      </c>
      <c r="Z15" s="3">
        <v>1.6</v>
      </c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V15" s="3">
        <v>540</v>
      </c>
      <c r="AW15" s="3">
        <v>845</v>
      </c>
      <c r="AX15" s="3">
        <v>710</v>
      </c>
      <c r="BI15" s="58" t="s">
        <v>83</v>
      </c>
      <c r="BJ15" s="59" t="s">
        <v>84</v>
      </c>
      <c r="BK15" s="60">
        <v>39500</v>
      </c>
      <c r="BL15" s="61">
        <v>43</v>
      </c>
      <c r="BM15" s="61">
        <v>33</v>
      </c>
      <c r="BN15" s="62">
        <v>2.75</v>
      </c>
      <c r="BO15" s="63">
        <v>1.8</v>
      </c>
      <c r="BP15" s="51" t="s">
        <v>100</v>
      </c>
      <c r="BQ15" s="51">
        <f t="shared" si="10"/>
        <v>50</v>
      </c>
      <c r="CC15" s="27" t="s">
        <v>116</v>
      </c>
      <c r="CD15" s="31">
        <v>235</v>
      </c>
      <c r="CE15" s="31">
        <v>380</v>
      </c>
      <c r="CF15" s="27">
        <f t="shared" si="1"/>
        <v>235</v>
      </c>
      <c r="CG15" s="27">
        <f t="shared" si="2"/>
        <v>204.34782608695653</v>
      </c>
      <c r="CH15" s="27">
        <f t="shared" si="3"/>
        <v>235</v>
      </c>
      <c r="CI15" s="27">
        <f t="shared" si="4"/>
        <v>164.5</v>
      </c>
      <c r="CJ15" s="30">
        <v>200000</v>
      </c>
      <c r="DA15" s="3" t="str">
        <f t="shared" si="6"/>
        <v>o31.8x1.8</v>
      </c>
      <c r="DB15" s="67">
        <v>31.8</v>
      </c>
      <c r="DC15" s="67">
        <v>1.8</v>
      </c>
      <c r="DD15" s="65">
        <f t="shared" si="7"/>
        <v>1.6964600329384882</v>
      </c>
      <c r="DE15" s="65">
        <f t="shared" si="8"/>
        <v>1.915388200189202</v>
      </c>
      <c r="DF15" s="65">
        <f t="shared" si="9"/>
        <v>1.0625676449054906</v>
      </c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</row>
    <row r="16" spans="1:160">
      <c r="A16" s="8" t="s">
        <v>10</v>
      </c>
      <c r="B16" s="2">
        <f t="shared" si="0"/>
        <v>206000</v>
      </c>
      <c r="C16" s="2">
        <v>245</v>
      </c>
      <c r="D16" s="114">
        <v>410</v>
      </c>
      <c r="E16" s="115">
        <v>1.05</v>
      </c>
      <c r="F16" s="19"/>
      <c r="G16" s="19"/>
      <c r="H16" s="19"/>
      <c r="I16" s="19"/>
      <c r="AV16" s="3">
        <v>570</v>
      </c>
      <c r="AW16" s="3">
        <v>890</v>
      </c>
      <c r="AX16" s="3">
        <v>750</v>
      </c>
      <c r="CC16" s="27" t="s">
        <v>117</v>
      </c>
      <c r="CD16" s="31">
        <v>295</v>
      </c>
      <c r="CE16" s="31">
        <v>440</v>
      </c>
      <c r="CF16" s="27">
        <f t="shared" si="1"/>
        <v>295</v>
      </c>
      <c r="CG16" s="27">
        <f t="shared" si="2"/>
        <v>256.52173913043481</v>
      </c>
      <c r="CH16" s="27">
        <f t="shared" si="3"/>
        <v>295</v>
      </c>
      <c r="CI16" s="27">
        <f t="shared" si="4"/>
        <v>206.5</v>
      </c>
      <c r="CJ16" s="30">
        <v>200000</v>
      </c>
      <c r="DA16" s="3"/>
      <c r="DB16" s="67"/>
      <c r="DC16" s="67"/>
      <c r="DD16" s="65"/>
      <c r="DE16" s="65"/>
      <c r="DF16" s="65"/>
    </row>
    <row r="17" spans="1:110">
      <c r="A17" s="8" t="s">
        <v>11</v>
      </c>
      <c r="B17" s="2">
        <f t="shared" si="0"/>
        <v>206000</v>
      </c>
      <c r="C17" s="2">
        <v>235</v>
      </c>
      <c r="D17" s="114">
        <v>410</v>
      </c>
      <c r="E17" s="115">
        <v>1.05</v>
      </c>
      <c r="F17" s="19"/>
      <c r="G17" s="19"/>
      <c r="H17" s="19"/>
      <c r="I17" s="19"/>
      <c r="AV17" s="3">
        <v>590</v>
      </c>
      <c r="AW17" s="3">
        <v>920</v>
      </c>
      <c r="AX17" s="3">
        <v>775</v>
      </c>
      <c r="CC17" s="27" t="s">
        <v>112</v>
      </c>
      <c r="CD17" s="31">
        <v>295</v>
      </c>
      <c r="CE17" s="31">
        <v>440</v>
      </c>
      <c r="CF17" s="27">
        <f t="shared" si="1"/>
        <v>295</v>
      </c>
      <c r="CG17" s="27">
        <f t="shared" si="2"/>
        <v>256.52173913043481</v>
      </c>
      <c r="CH17" s="27">
        <f t="shared" si="3"/>
        <v>295</v>
      </c>
      <c r="CI17" s="27">
        <f t="shared" si="4"/>
        <v>206.5</v>
      </c>
      <c r="CJ17" s="30">
        <v>200000</v>
      </c>
      <c r="DA17" s="3"/>
      <c r="DB17" s="67"/>
      <c r="DC17" s="67"/>
      <c r="DD17" s="65"/>
      <c r="DE17" s="65"/>
      <c r="DF17" s="65"/>
    </row>
    <row r="18" spans="1:110">
      <c r="A18" s="8" t="s">
        <v>12</v>
      </c>
      <c r="B18" s="2">
        <f t="shared" si="0"/>
        <v>206000</v>
      </c>
      <c r="C18" s="2">
        <v>355</v>
      </c>
      <c r="D18" s="114">
        <v>470</v>
      </c>
      <c r="E18" s="115">
        <v>1.05</v>
      </c>
      <c r="F18" s="19"/>
      <c r="G18" s="19"/>
      <c r="H18" s="19"/>
      <c r="I18" s="19"/>
      <c r="AV18" s="3"/>
      <c r="AW18" s="3"/>
      <c r="AX18" s="3"/>
      <c r="CC18" s="27" t="s">
        <v>113</v>
      </c>
      <c r="CD18" s="31">
        <v>390</v>
      </c>
      <c r="CE18" s="31">
        <v>560</v>
      </c>
      <c r="CF18" s="27">
        <f t="shared" si="1"/>
        <v>390</v>
      </c>
      <c r="CG18" s="27">
        <f t="shared" si="2"/>
        <v>339.13043478260875</v>
      </c>
      <c r="CH18" s="27">
        <f t="shared" si="3"/>
        <v>390</v>
      </c>
      <c r="CI18" s="27">
        <f t="shared" si="4"/>
        <v>273</v>
      </c>
      <c r="CJ18" s="29">
        <v>200000</v>
      </c>
      <c r="DA18" s="3"/>
      <c r="DB18" s="67"/>
      <c r="DC18" s="67"/>
      <c r="DD18" s="65"/>
      <c r="DE18" s="65"/>
      <c r="DF18" s="65"/>
    </row>
    <row r="19" spans="1:110">
      <c r="A19" s="8" t="s">
        <v>13</v>
      </c>
      <c r="B19" s="2">
        <f t="shared" si="0"/>
        <v>206000</v>
      </c>
      <c r="C19" s="2">
        <v>345</v>
      </c>
      <c r="D19" s="114">
        <v>470</v>
      </c>
      <c r="E19" s="115">
        <v>1.05</v>
      </c>
      <c r="F19" s="19"/>
      <c r="G19" s="19"/>
      <c r="H19" s="19"/>
      <c r="I19" s="19"/>
      <c r="AV19" s="3"/>
      <c r="AW19" s="3"/>
      <c r="AX19" s="3"/>
      <c r="CC19" s="27" t="s">
        <v>114</v>
      </c>
      <c r="CD19" s="31">
        <v>490</v>
      </c>
      <c r="CE19" s="31">
        <v>620</v>
      </c>
      <c r="CF19" s="27">
        <f t="shared" si="1"/>
        <v>490</v>
      </c>
      <c r="CG19" s="27">
        <f t="shared" si="2"/>
        <v>426.08695652173918</v>
      </c>
      <c r="CH19" s="27">
        <f t="shared" si="3"/>
        <v>490</v>
      </c>
      <c r="CI19" s="27">
        <f t="shared" si="4"/>
        <v>343</v>
      </c>
      <c r="CJ19" s="30">
        <v>200000</v>
      </c>
      <c r="DA19" s="3"/>
      <c r="DB19" s="67"/>
      <c r="DC19" s="67"/>
      <c r="DD19" s="65"/>
      <c r="DE19" s="65"/>
      <c r="DF19" s="65"/>
    </row>
    <row r="20" spans="1:110">
      <c r="A20" s="8" t="s">
        <v>14</v>
      </c>
      <c r="B20" s="2">
        <f t="shared" si="0"/>
        <v>206000</v>
      </c>
      <c r="C20" s="2">
        <v>335</v>
      </c>
      <c r="D20" s="114">
        <v>470</v>
      </c>
      <c r="E20" s="115">
        <v>1.05</v>
      </c>
      <c r="F20" s="19"/>
      <c r="G20" s="19"/>
      <c r="H20" s="19"/>
      <c r="I20" s="19"/>
      <c r="AV20" s="3"/>
      <c r="AW20" s="3"/>
      <c r="AX20" s="3"/>
      <c r="CC20" s="24"/>
      <c r="CD20" s="32"/>
      <c r="CE20" s="32"/>
      <c r="DA20" s="3"/>
      <c r="DB20" s="67"/>
      <c r="DC20" s="67"/>
      <c r="DD20" s="65"/>
      <c r="DE20" s="65"/>
      <c r="DF20" s="65"/>
    </row>
    <row r="21" spans="1:110">
      <c r="A21" s="8" t="s">
        <v>15</v>
      </c>
      <c r="B21" s="2">
        <f t="shared" si="0"/>
        <v>206000</v>
      </c>
      <c r="C21" s="2">
        <v>325</v>
      </c>
      <c r="D21" s="114">
        <v>470</v>
      </c>
      <c r="E21" s="115">
        <v>1.05</v>
      </c>
      <c r="F21" s="19"/>
      <c r="G21" s="19"/>
      <c r="H21" s="19"/>
      <c r="I21" s="19"/>
      <c r="AV21" s="3"/>
      <c r="AW21" s="3"/>
      <c r="AX21" s="3"/>
      <c r="CC21" s="24"/>
      <c r="CD21" s="32"/>
      <c r="CE21" s="32"/>
      <c r="DA21" s="3"/>
      <c r="DB21" s="67"/>
      <c r="DC21" s="67"/>
      <c r="DD21" s="65"/>
      <c r="DE21" s="65"/>
      <c r="DF21" s="65"/>
    </row>
    <row r="22" spans="1:110">
      <c r="A22" s="8" t="s">
        <v>16</v>
      </c>
      <c r="B22" s="2">
        <f t="shared" si="0"/>
        <v>206000</v>
      </c>
      <c r="C22" s="2">
        <v>315</v>
      </c>
      <c r="D22" s="114">
        <v>470</v>
      </c>
      <c r="E22" s="115">
        <v>1.05</v>
      </c>
      <c r="F22" s="19"/>
      <c r="G22" s="19"/>
      <c r="H22" s="19"/>
      <c r="I22" s="19"/>
      <c r="AV22" s="3"/>
      <c r="AW22" s="3"/>
      <c r="AX22" s="3"/>
      <c r="DA22" s="3"/>
      <c r="DB22" s="68"/>
      <c r="DC22" s="68"/>
      <c r="DD22" s="65"/>
      <c r="DE22" s="65"/>
      <c r="DF22" s="65"/>
    </row>
    <row r="23" spans="1:110">
      <c r="A23" s="8" t="s">
        <v>31</v>
      </c>
      <c r="B23" s="2">
        <f t="shared" si="0"/>
        <v>206000</v>
      </c>
      <c r="C23" s="2">
        <v>205</v>
      </c>
      <c r="D23" s="114">
        <v>330</v>
      </c>
      <c r="E23" s="115">
        <v>1.05</v>
      </c>
      <c r="F23" s="19"/>
      <c r="G23" s="19"/>
      <c r="H23" s="19"/>
      <c r="I23" s="19"/>
      <c r="AV23" s="3"/>
      <c r="AW23" s="3"/>
      <c r="AX23" s="3"/>
      <c r="DA23" s="3"/>
      <c r="DB23" s="68"/>
      <c r="DC23" s="68"/>
      <c r="DD23" s="65"/>
      <c r="DE23" s="65"/>
      <c r="DF23" s="65"/>
    </row>
    <row r="24" spans="1:110">
      <c r="A24" s="8" t="s">
        <v>32</v>
      </c>
      <c r="B24" s="2">
        <f t="shared" si="0"/>
        <v>206000</v>
      </c>
      <c r="C24" s="2">
        <v>195</v>
      </c>
      <c r="D24" s="114">
        <v>330</v>
      </c>
      <c r="E24" s="115">
        <v>1.05</v>
      </c>
      <c r="F24" s="19"/>
      <c r="G24" s="19"/>
      <c r="H24" s="19"/>
      <c r="I24" s="19"/>
      <c r="DA24" s="3"/>
      <c r="DB24" s="68"/>
      <c r="DC24" s="68"/>
      <c r="DD24" s="65"/>
      <c r="DE24" s="65"/>
      <c r="DF24" s="65"/>
    </row>
    <row r="25" spans="1:110">
      <c r="A25" s="8" t="s">
        <v>33</v>
      </c>
      <c r="B25" s="2">
        <f t="shared" si="0"/>
        <v>206000</v>
      </c>
      <c r="C25" s="2">
        <v>245</v>
      </c>
      <c r="D25" s="114">
        <v>400</v>
      </c>
      <c r="E25" s="115">
        <v>1.05</v>
      </c>
      <c r="F25" s="19"/>
      <c r="G25" s="19"/>
      <c r="H25" s="19"/>
      <c r="I25" s="19"/>
      <c r="DA25" s="3"/>
      <c r="DB25" s="68"/>
      <c r="DC25" s="68"/>
      <c r="DD25" s="65"/>
      <c r="DE25" s="65"/>
      <c r="DF25" s="65"/>
    </row>
    <row r="26" spans="1:110">
      <c r="A26" s="8" t="s">
        <v>34</v>
      </c>
      <c r="B26" s="2">
        <f t="shared" si="0"/>
        <v>206000</v>
      </c>
      <c r="C26" s="2">
        <v>235</v>
      </c>
      <c r="D26" s="114">
        <v>400</v>
      </c>
      <c r="E26" s="115">
        <v>1.05</v>
      </c>
      <c r="F26" s="19"/>
      <c r="G26" s="19"/>
      <c r="H26" s="19"/>
      <c r="I26" s="19"/>
      <c r="DA26" s="3"/>
      <c r="DB26" s="68"/>
      <c r="DC26" s="68"/>
      <c r="DD26" s="65"/>
      <c r="DE26" s="65"/>
      <c r="DF26" s="65"/>
    </row>
    <row r="27" spans="1:110">
      <c r="A27" s="8" t="s">
        <v>35</v>
      </c>
      <c r="B27" s="2">
        <f t="shared" si="0"/>
        <v>206000</v>
      </c>
      <c r="C27" s="2">
        <v>285</v>
      </c>
      <c r="D27" s="114">
        <v>490</v>
      </c>
      <c r="E27" s="115">
        <v>1.05</v>
      </c>
      <c r="F27" s="19"/>
      <c r="G27" s="19"/>
      <c r="H27" s="19"/>
      <c r="I27" s="19"/>
      <c r="DA27" s="3"/>
      <c r="DB27" s="68"/>
      <c r="DC27" s="68"/>
      <c r="DD27" s="65"/>
      <c r="DE27" s="65"/>
      <c r="DF27" s="65"/>
    </row>
    <row r="28" spans="1:110">
      <c r="A28" s="8" t="s">
        <v>36</v>
      </c>
      <c r="B28" s="2">
        <f t="shared" si="0"/>
        <v>206000</v>
      </c>
      <c r="C28" s="2">
        <v>275</v>
      </c>
      <c r="D28" s="114">
        <v>490</v>
      </c>
      <c r="E28" s="115">
        <v>1.05</v>
      </c>
      <c r="F28" s="19"/>
      <c r="G28" s="19"/>
      <c r="H28" s="19"/>
      <c r="I28" s="19"/>
      <c r="DA28" s="3"/>
      <c r="DB28" s="68"/>
      <c r="DC28" s="68"/>
      <c r="DD28" s="65"/>
      <c r="DE28" s="65"/>
      <c r="DF28" s="65"/>
    </row>
    <row r="29" spans="1:110">
      <c r="A29" s="8" t="s">
        <v>37</v>
      </c>
      <c r="B29" s="2">
        <f t="shared" si="0"/>
        <v>206000</v>
      </c>
      <c r="C29" s="2">
        <v>400</v>
      </c>
      <c r="D29" s="114">
        <v>540</v>
      </c>
      <c r="E29" s="115">
        <v>1.05</v>
      </c>
      <c r="F29" s="19"/>
      <c r="G29" s="19"/>
      <c r="H29" s="19"/>
      <c r="I29" s="19"/>
      <c r="DA29" s="3"/>
      <c r="DB29" s="68"/>
      <c r="DC29" s="68"/>
      <c r="DD29" s="65"/>
      <c r="DE29" s="65"/>
      <c r="DF29" s="65"/>
    </row>
    <row r="30" spans="1:110">
      <c r="A30" s="8" t="s">
        <v>38</v>
      </c>
      <c r="B30" s="2">
        <f t="shared" si="0"/>
        <v>206000</v>
      </c>
      <c r="C30" s="2">
        <v>390</v>
      </c>
      <c r="D30" s="114">
        <v>540</v>
      </c>
      <c r="E30" s="115">
        <v>1.05</v>
      </c>
      <c r="DA30" s="3"/>
      <c r="DB30" s="68"/>
      <c r="DC30" s="68"/>
      <c r="DD30" s="65"/>
      <c r="DE30" s="65"/>
      <c r="DF30" s="65"/>
    </row>
    <row r="31" spans="1:110">
      <c r="A31" s="8" t="s">
        <v>236</v>
      </c>
      <c r="B31" s="2">
        <f t="shared" si="0"/>
        <v>206000</v>
      </c>
      <c r="C31" s="2">
        <v>220</v>
      </c>
      <c r="D31" s="114">
        <v>340</v>
      </c>
      <c r="E31" s="115">
        <v>1.05</v>
      </c>
    </row>
    <row r="32" spans="1:110">
      <c r="A32" s="8" t="s">
        <v>237</v>
      </c>
      <c r="B32" s="2">
        <f t="shared" si="0"/>
        <v>206000</v>
      </c>
      <c r="C32" s="2">
        <v>240</v>
      </c>
      <c r="D32" s="114">
        <v>380</v>
      </c>
      <c r="E32" s="115">
        <v>1.05</v>
      </c>
    </row>
    <row r="33" spans="1:5">
      <c r="A33" s="8" t="s">
        <v>238</v>
      </c>
      <c r="B33" s="2">
        <f t="shared" si="0"/>
        <v>206000</v>
      </c>
      <c r="C33" s="2">
        <v>260</v>
      </c>
      <c r="D33" s="114">
        <v>420</v>
      </c>
      <c r="E33" s="115">
        <v>1.05</v>
      </c>
    </row>
  </sheetData>
  <mergeCells count="16">
    <mergeCell ref="DA1:DF1"/>
    <mergeCell ref="DA3:DA4"/>
    <mergeCell ref="DB3:DC3"/>
    <mergeCell ref="K1:O2"/>
    <mergeCell ref="CC2:CC3"/>
    <mergeCell ref="CC1:CJ1"/>
    <mergeCell ref="BL1:BO1"/>
    <mergeCell ref="BL2:BM2"/>
    <mergeCell ref="BN2:BO2"/>
    <mergeCell ref="BP1:BQ2"/>
    <mergeCell ref="V1:Z2"/>
    <mergeCell ref="AZ1:BB1"/>
    <mergeCell ref="BI1:BJ4"/>
    <mergeCell ref="BK1:BK3"/>
    <mergeCell ref="AV1:AX1"/>
    <mergeCell ref="BP3:BP4"/>
  </mergeCell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" formula="1"/>
  </ignoredError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6CB5-C2B8-4267-B6E5-EE65D66D9BCC}">
  <dimension ref="A1"/>
  <sheetViews>
    <sheetView zoomScale="85" zoomScaleNormal="85" workbookViewId="0">
      <selection activeCell="AG46" sqref="AG46"/>
    </sheetView>
  </sheetViews>
  <sheetFormatPr defaultRowHeight="14.4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6666"/>
  </sheetPr>
  <dimension ref="A1:AZ2111"/>
  <sheetViews>
    <sheetView showGridLines="0" topLeftCell="A10" zoomScale="160" zoomScaleNormal="160" zoomScaleSheetLayoutView="100" workbookViewId="0">
      <selection activeCell="J17" sqref="J17"/>
    </sheetView>
  </sheetViews>
  <sheetFormatPr defaultColWidth="7.33203125" defaultRowHeight="13.8"/>
  <cols>
    <col min="1" max="1" width="14.109375" style="1" customWidth="1"/>
    <col min="2" max="4" width="4.6640625" style="1" customWidth="1"/>
    <col min="5" max="7" width="4.6640625" style="34" customWidth="1"/>
    <col min="8" max="8" width="4.6640625" style="1" customWidth="1"/>
    <col min="9" max="9" width="6.44140625" style="1" customWidth="1"/>
    <col min="10" max="10" width="4.6640625" style="1" customWidth="1"/>
    <col min="11" max="11" width="4.6640625" style="34" customWidth="1"/>
    <col min="12" max="12" width="4.6640625" style="1" customWidth="1"/>
    <col min="13" max="13" width="4.6640625" style="34" customWidth="1"/>
    <col min="14" max="19" width="4.6640625" style="1" customWidth="1"/>
    <col min="20" max="20" width="4.6640625" style="34" customWidth="1"/>
    <col min="21" max="21" width="5.44140625" style="1" bestFit="1" customWidth="1"/>
    <col min="22" max="23" width="4.6640625" style="1" customWidth="1"/>
    <col min="24" max="24" width="8.44140625" style="1" customWidth="1"/>
    <col min="25" max="25" width="7.44140625" style="1" customWidth="1"/>
    <col min="26" max="26" width="3" style="11" customWidth="1"/>
    <col min="27" max="27" width="13.6640625" style="88" bestFit="1" customWidth="1"/>
    <col min="28" max="33" width="7.33203125" style="89"/>
    <col min="34" max="34" width="7.33203125" style="51"/>
    <col min="35" max="36" width="7.33203125" style="88"/>
    <col min="37" max="37" width="7.33203125" style="89"/>
    <col min="38" max="38" width="7.33203125" style="51"/>
    <col min="39" max="39" width="7.33203125" style="89"/>
    <col min="40" max="40" width="7.33203125" style="51"/>
    <col min="41" max="42" width="7.33203125" style="99"/>
    <col min="43" max="49" width="7.33203125" style="51"/>
    <col min="50" max="51" width="0" style="1" hidden="1" customWidth="1"/>
    <col min="52" max="52" width="3" style="11" customWidth="1"/>
    <col min="53" max="16384" width="7.33203125" style="1"/>
  </cols>
  <sheetData>
    <row r="1" spans="1:49" ht="12.75" hidden="1" customHeight="1">
      <c r="A1" s="82"/>
      <c r="B1" s="82"/>
      <c r="C1" s="82"/>
      <c r="D1" s="82"/>
      <c r="E1" s="73"/>
      <c r="F1" s="73"/>
      <c r="G1" s="73"/>
      <c r="H1" s="82"/>
      <c r="I1" s="82"/>
      <c r="J1" s="82"/>
      <c r="K1" s="73"/>
      <c r="L1" s="82"/>
      <c r="M1" s="73"/>
      <c r="N1" s="82"/>
      <c r="O1" s="82"/>
      <c r="P1" s="73"/>
      <c r="Q1" s="73"/>
      <c r="R1" s="74"/>
      <c r="S1" s="74"/>
      <c r="T1" s="75"/>
      <c r="U1" s="74"/>
      <c r="V1" s="74"/>
      <c r="W1" s="76"/>
      <c r="AA1" s="101"/>
      <c r="AB1" s="66"/>
      <c r="AC1" s="66"/>
      <c r="AD1" s="66"/>
      <c r="AE1" s="66"/>
      <c r="AF1" s="66"/>
      <c r="AG1" s="66"/>
      <c r="AH1" s="101"/>
      <c r="AI1" s="101"/>
      <c r="AJ1" s="101"/>
      <c r="AK1" s="66"/>
      <c r="AL1" s="101"/>
      <c r="AM1" s="66"/>
      <c r="AN1" s="101"/>
      <c r="AO1" s="102"/>
      <c r="AP1" s="102"/>
      <c r="AQ1" s="101"/>
      <c r="AR1" s="101"/>
      <c r="AS1" s="101"/>
      <c r="AT1" s="101"/>
      <c r="AU1" s="101"/>
      <c r="AV1" s="101"/>
      <c r="AW1" s="101"/>
    </row>
    <row r="2" spans="1:49" ht="12.75" hidden="1" customHeight="1">
      <c r="A2" s="83"/>
      <c r="B2" s="83"/>
      <c r="C2" s="83"/>
      <c r="D2" s="83"/>
      <c r="E2" s="77"/>
      <c r="F2" s="77"/>
      <c r="G2" s="77"/>
      <c r="H2" s="83"/>
      <c r="I2" s="83"/>
      <c r="J2" s="83"/>
      <c r="K2" s="77"/>
      <c r="L2" s="83"/>
      <c r="M2" s="77"/>
      <c r="N2" s="83"/>
      <c r="O2" s="83"/>
      <c r="P2" s="77"/>
      <c r="Q2" s="77"/>
      <c r="W2" s="78"/>
      <c r="AA2" s="101"/>
      <c r="AB2" s="66"/>
      <c r="AC2" s="66"/>
      <c r="AD2" s="66"/>
      <c r="AE2" s="66"/>
      <c r="AF2" s="66"/>
      <c r="AG2" s="66"/>
      <c r="AH2" s="101"/>
      <c r="AI2" s="101"/>
      <c r="AJ2" s="101"/>
      <c r="AK2" s="66"/>
      <c r="AL2" s="101"/>
      <c r="AM2" s="66"/>
      <c r="AN2" s="101"/>
      <c r="AO2" s="102"/>
      <c r="AP2" s="102"/>
      <c r="AQ2" s="101"/>
      <c r="AR2" s="101"/>
      <c r="AS2" s="101"/>
      <c r="AT2" s="101"/>
      <c r="AU2" s="101"/>
      <c r="AV2" s="101"/>
      <c r="AW2" s="101"/>
    </row>
    <row r="3" spans="1:49" ht="12.75" hidden="1" customHeight="1">
      <c r="A3" s="83"/>
      <c r="B3" s="83"/>
      <c r="C3" s="83"/>
      <c r="D3" s="83"/>
      <c r="E3" s="77"/>
      <c r="F3" s="77"/>
      <c r="G3" s="77"/>
      <c r="H3" s="83"/>
      <c r="I3" s="83"/>
      <c r="J3" s="83"/>
      <c r="K3" s="77"/>
      <c r="L3" s="83"/>
      <c r="M3" s="77"/>
      <c r="N3" s="83"/>
      <c r="O3" s="83"/>
      <c r="P3" s="77"/>
      <c r="Q3" s="77"/>
      <c r="W3" s="78"/>
      <c r="AA3" s="101"/>
      <c r="AB3" s="66"/>
      <c r="AC3" s="66"/>
      <c r="AD3" s="66"/>
      <c r="AE3" s="66"/>
      <c r="AF3" s="66"/>
      <c r="AG3" s="66"/>
      <c r="AH3" s="101"/>
      <c r="AI3" s="101"/>
      <c r="AJ3" s="101"/>
      <c r="AK3" s="66"/>
      <c r="AL3" s="101"/>
      <c r="AM3" s="66"/>
      <c r="AN3" s="101"/>
      <c r="AO3" s="102"/>
      <c r="AP3" s="102"/>
      <c r="AQ3" s="101"/>
      <c r="AR3" s="101"/>
      <c r="AS3" s="101"/>
      <c r="AT3" s="101"/>
      <c r="AU3" s="101"/>
      <c r="AV3" s="101"/>
      <c r="AW3" s="101"/>
    </row>
    <row r="4" spans="1:49" ht="12.75" hidden="1" customHeight="1">
      <c r="A4" s="83"/>
      <c r="B4" s="83"/>
      <c r="C4" s="83"/>
      <c r="D4" s="83"/>
      <c r="E4" s="77"/>
      <c r="F4" s="77"/>
      <c r="G4" s="77"/>
      <c r="H4" s="83"/>
      <c r="I4" s="83"/>
      <c r="J4" s="83"/>
      <c r="K4" s="77"/>
      <c r="L4" s="83"/>
      <c r="M4" s="77"/>
      <c r="N4" s="83"/>
      <c r="O4" s="83"/>
      <c r="P4" s="77"/>
      <c r="Q4" s="77"/>
      <c r="W4" s="78"/>
      <c r="AA4" s="101"/>
      <c r="AB4" s="66"/>
      <c r="AC4" s="66"/>
      <c r="AD4" s="66"/>
      <c r="AE4" s="66"/>
      <c r="AF4" s="66"/>
      <c r="AG4" s="66"/>
      <c r="AH4" s="101"/>
      <c r="AI4" s="101"/>
      <c r="AJ4" s="101"/>
      <c r="AK4" s="66"/>
      <c r="AL4" s="101"/>
      <c r="AM4" s="66"/>
      <c r="AN4" s="101"/>
      <c r="AO4" s="102"/>
      <c r="AP4" s="102"/>
      <c r="AQ4" s="101"/>
      <c r="AR4" s="101"/>
      <c r="AS4" s="101"/>
      <c r="AT4" s="101"/>
      <c r="AU4" s="101"/>
      <c r="AV4" s="101"/>
      <c r="AW4" s="101"/>
    </row>
    <row r="5" spans="1:49" ht="12.75" hidden="1" customHeight="1">
      <c r="A5" s="83"/>
      <c r="B5" s="83"/>
      <c r="C5" s="83"/>
      <c r="D5" s="83"/>
      <c r="E5" s="77"/>
      <c r="F5" s="77"/>
      <c r="G5" s="77"/>
      <c r="H5" s="83"/>
      <c r="I5" s="83"/>
      <c r="J5" s="83"/>
      <c r="K5" s="77"/>
      <c r="L5" s="83"/>
      <c r="M5" s="77"/>
      <c r="N5" s="83"/>
      <c r="O5" s="83"/>
      <c r="P5" s="77"/>
      <c r="Q5" s="77"/>
      <c r="W5" s="78"/>
      <c r="AA5" s="101"/>
      <c r="AB5" s="66"/>
      <c r="AC5" s="66"/>
      <c r="AD5" s="66"/>
      <c r="AE5" s="66"/>
      <c r="AF5" s="66"/>
      <c r="AG5" s="66"/>
      <c r="AH5" s="101"/>
      <c r="AI5" s="101"/>
      <c r="AJ5" s="101"/>
      <c r="AK5" s="66"/>
      <c r="AL5" s="101"/>
      <c r="AM5" s="66"/>
      <c r="AN5" s="101"/>
      <c r="AO5" s="102"/>
      <c r="AP5" s="102"/>
      <c r="AQ5" s="101"/>
      <c r="AR5" s="101"/>
      <c r="AS5" s="101"/>
      <c r="AT5" s="101"/>
      <c r="AU5" s="101"/>
      <c r="AV5" s="101"/>
      <c r="AW5" s="101"/>
    </row>
    <row r="6" spans="1:49" ht="12.75" hidden="1" customHeight="1">
      <c r="A6" s="83"/>
      <c r="B6" s="83"/>
      <c r="C6" s="83"/>
      <c r="D6" s="83"/>
      <c r="E6" s="77"/>
      <c r="F6" s="77"/>
      <c r="G6" s="77"/>
      <c r="H6" s="83"/>
      <c r="I6" s="83"/>
      <c r="J6" s="83"/>
      <c r="K6" s="77"/>
      <c r="L6" s="83"/>
      <c r="M6" s="77"/>
      <c r="N6" s="83"/>
      <c r="O6" s="83"/>
      <c r="P6" s="77"/>
      <c r="Q6" s="77"/>
      <c r="W6" s="78"/>
      <c r="AA6" s="101"/>
      <c r="AB6" s="66"/>
      <c r="AC6" s="66"/>
      <c r="AD6" s="66"/>
      <c r="AE6" s="66"/>
      <c r="AF6" s="66"/>
      <c r="AG6" s="66"/>
      <c r="AH6" s="101"/>
      <c r="AI6" s="101"/>
      <c r="AJ6" s="101"/>
      <c r="AK6" s="66"/>
      <c r="AL6" s="101"/>
      <c r="AM6" s="66"/>
      <c r="AN6" s="101"/>
      <c r="AO6" s="102"/>
      <c r="AP6" s="102"/>
      <c r="AQ6" s="101"/>
      <c r="AR6" s="101"/>
      <c r="AS6" s="101"/>
      <c r="AT6" s="101"/>
      <c r="AU6" s="101"/>
      <c r="AV6" s="101"/>
      <c r="AW6" s="101"/>
    </row>
    <row r="7" spans="1:49" ht="12.75" hidden="1" customHeight="1">
      <c r="A7" s="83"/>
      <c r="B7" s="83"/>
      <c r="C7" s="83"/>
      <c r="D7" s="83"/>
      <c r="E7" s="77"/>
      <c r="F7" s="77"/>
      <c r="G7" s="77"/>
      <c r="H7" s="83"/>
      <c r="I7" s="83"/>
      <c r="J7" s="83"/>
      <c r="K7" s="77"/>
      <c r="L7" s="83"/>
      <c r="M7" s="77"/>
      <c r="N7" s="83"/>
      <c r="O7" s="83"/>
      <c r="P7" s="77"/>
      <c r="Q7" s="77"/>
      <c r="W7" s="78"/>
      <c r="AA7" s="101"/>
      <c r="AB7" s="66"/>
      <c r="AC7" s="66"/>
      <c r="AD7" s="66"/>
      <c r="AE7" s="66"/>
      <c r="AF7" s="66"/>
      <c r="AG7" s="66"/>
      <c r="AH7" s="101"/>
      <c r="AI7" s="101"/>
      <c r="AJ7" s="101"/>
      <c r="AK7" s="66"/>
      <c r="AL7" s="101"/>
      <c r="AM7" s="66"/>
      <c r="AN7" s="101"/>
      <c r="AO7" s="102"/>
      <c r="AP7" s="102"/>
      <c r="AQ7" s="101"/>
      <c r="AR7" s="101"/>
      <c r="AS7" s="101"/>
      <c r="AT7" s="101"/>
      <c r="AU7" s="101"/>
      <c r="AV7" s="101"/>
      <c r="AW7" s="101"/>
    </row>
    <row r="8" spans="1:49" ht="12.75" hidden="1" customHeight="1">
      <c r="A8" s="83"/>
      <c r="B8" s="83"/>
      <c r="C8" s="83"/>
      <c r="D8" s="83"/>
      <c r="E8" s="77"/>
      <c r="F8" s="77"/>
      <c r="G8" s="77"/>
      <c r="H8" s="83"/>
      <c r="I8" s="83"/>
      <c r="J8" s="83"/>
      <c r="K8" s="77"/>
      <c r="L8" s="83"/>
      <c r="M8" s="77"/>
      <c r="N8" s="83"/>
      <c r="O8" s="83"/>
      <c r="P8" s="77"/>
      <c r="Q8" s="77"/>
      <c r="W8" s="78"/>
      <c r="AA8" s="101"/>
      <c r="AB8" s="66"/>
      <c r="AC8" s="66"/>
      <c r="AD8" s="66"/>
      <c r="AE8" s="66"/>
      <c r="AF8" s="66"/>
      <c r="AG8" s="66"/>
      <c r="AH8" s="101"/>
      <c r="AI8" s="101"/>
      <c r="AJ8" s="101"/>
      <c r="AK8" s="66"/>
      <c r="AL8" s="101"/>
      <c r="AM8" s="66"/>
      <c r="AN8" s="101"/>
      <c r="AO8" s="102"/>
      <c r="AP8" s="102"/>
      <c r="AQ8" s="101"/>
      <c r="AR8" s="101"/>
      <c r="AS8" s="101"/>
      <c r="AT8" s="101"/>
      <c r="AU8" s="101"/>
      <c r="AV8" s="101"/>
      <c r="AW8" s="101"/>
    </row>
    <row r="9" spans="1:49" ht="12.75" hidden="1" customHeight="1">
      <c r="A9" s="83"/>
      <c r="B9" s="83"/>
      <c r="C9" s="83"/>
      <c r="D9" s="83"/>
      <c r="E9" s="77"/>
      <c r="F9" s="77"/>
      <c r="G9" s="77"/>
      <c r="H9" s="83"/>
      <c r="I9" s="83"/>
      <c r="J9" s="83"/>
      <c r="K9" s="77"/>
      <c r="L9" s="83"/>
      <c r="M9" s="77"/>
      <c r="N9" s="83"/>
      <c r="O9" s="83"/>
      <c r="P9" s="77"/>
      <c r="Q9" s="77"/>
      <c r="W9" s="78"/>
      <c r="AA9" s="101"/>
      <c r="AB9" s="66"/>
      <c r="AC9" s="66"/>
      <c r="AD9" s="66"/>
      <c r="AE9" s="66"/>
      <c r="AF9" s="66"/>
      <c r="AG9" s="66"/>
      <c r="AH9" s="101"/>
      <c r="AI9" s="101"/>
      <c r="AJ9" s="101"/>
      <c r="AK9" s="66"/>
      <c r="AL9" s="101"/>
      <c r="AM9" s="66"/>
      <c r="AN9" s="101"/>
      <c r="AO9" s="102"/>
      <c r="AP9" s="102"/>
      <c r="AQ9" s="101"/>
      <c r="AR9" s="101"/>
      <c r="AS9" s="101"/>
      <c r="AT9" s="101"/>
      <c r="AU9" s="101"/>
      <c r="AV9" s="101"/>
      <c r="AW9" s="101"/>
    </row>
    <row r="10" spans="1:49" ht="20.25" customHeight="1">
      <c r="A10" s="120" t="s">
        <v>189</v>
      </c>
      <c r="B10" s="121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16"/>
      <c r="S10" s="116"/>
      <c r="T10" s="116"/>
      <c r="U10" s="116"/>
      <c r="V10" s="116"/>
      <c r="W10" s="117"/>
      <c r="X10" s="132" t="s">
        <v>232</v>
      </c>
      <c r="Y10" s="132"/>
      <c r="AA10" s="124" t="s">
        <v>101</v>
      </c>
      <c r="AB10" s="124" t="s">
        <v>197</v>
      </c>
      <c r="AC10" s="103" t="s">
        <v>198</v>
      </c>
      <c r="AD10" s="103" t="s">
        <v>199</v>
      </c>
      <c r="AE10" s="133" t="s">
        <v>166</v>
      </c>
      <c r="AF10" s="133"/>
      <c r="AG10" s="133"/>
      <c r="AH10" s="104" t="s">
        <v>19</v>
      </c>
      <c r="AI10" s="124" t="s">
        <v>200</v>
      </c>
      <c r="AJ10" s="104" t="s">
        <v>21</v>
      </c>
      <c r="AK10" s="105" t="s">
        <v>207</v>
      </c>
      <c r="AL10" s="103" t="s">
        <v>208</v>
      </c>
      <c r="AM10" s="105" t="s">
        <v>209</v>
      </c>
      <c r="AN10" s="103" t="s">
        <v>210</v>
      </c>
      <c r="AO10" s="106" t="s">
        <v>211</v>
      </c>
      <c r="AP10" s="106" t="s">
        <v>212</v>
      </c>
      <c r="AQ10" s="134" t="s">
        <v>213</v>
      </c>
      <c r="AR10" s="134" t="s">
        <v>214</v>
      </c>
      <c r="AS10" s="134" t="s">
        <v>215</v>
      </c>
      <c r="AT10" s="134" t="s">
        <v>216</v>
      </c>
      <c r="AU10" s="135" t="s">
        <v>187</v>
      </c>
      <c r="AV10" s="124" t="s">
        <v>193</v>
      </c>
      <c r="AW10" s="124" t="s">
        <v>188</v>
      </c>
    </row>
    <row r="11" spans="1:49" ht="12.75" customHeight="1">
      <c r="A11" s="122"/>
      <c r="B11" s="123"/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18"/>
      <c r="S11" s="118"/>
      <c r="T11" s="118"/>
      <c r="U11" s="118"/>
      <c r="V11" s="118"/>
      <c r="W11" s="119"/>
      <c r="X11" s="132"/>
      <c r="Y11" s="132"/>
      <c r="AA11" s="124"/>
      <c r="AB11" s="124"/>
      <c r="AC11" s="103" t="s">
        <v>203</v>
      </c>
      <c r="AD11" s="103" t="s">
        <v>182</v>
      </c>
      <c r="AE11" s="103" t="s">
        <v>30</v>
      </c>
      <c r="AF11" s="103" t="s">
        <v>194</v>
      </c>
      <c r="AG11" s="103" t="s">
        <v>133</v>
      </c>
      <c r="AH11" s="104" t="s">
        <v>23</v>
      </c>
      <c r="AI11" s="124"/>
      <c r="AJ11" s="104" t="s">
        <v>180</v>
      </c>
      <c r="AK11" s="103" t="s">
        <v>182</v>
      </c>
      <c r="AL11" s="103" t="s">
        <v>182</v>
      </c>
      <c r="AM11" s="103" t="s">
        <v>182</v>
      </c>
      <c r="AN11" s="103" t="s">
        <v>182</v>
      </c>
      <c r="AO11" s="106" t="s">
        <v>229</v>
      </c>
      <c r="AP11" s="106" t="s">
        <v>229</v>
      </c>
      <c r="AQ11" s="134"/>
      <c r="AR11" s="134"/>
      <c r="AS11" s="134"/>
      <c r="AT11" s="134"/>
      <c r="AU11" s="135"/>
      <c r="AV11" s="124"/>
      <c r="AW11" s="124"/>
    </row>
    <row r="12" spans="1:49" ht="15" customHeight="1">
      <c r="A12" s="80" t="s">
        <v>0</v>
      </c>
      <c r="B12" s="81"/>
      <c r="C12" s="81"/>
      <c r="D12" s="81"/>
      <c r="E12" s="10"/>
      <c r="F12" s="10"/>
      <c r="G12" s="10"/>
      <c r="H12" s="90"/>
      <c r="I12" s="90"/>
      <c r="J12" s="90"/>
      <c r="K12" s="10"/>
      <c r="L12" s="90"/>
      <c r="M12" s="10"/>
      <c r="N12" s="90"/>
      <c r="O12" s="90"/>
      <c r="P12" s="90"/>
      <c r="Q12" s="90"/>
      <c r="R12" s="90"/>
      <c r="S12" s="90"/>
      <c r="T12" s="10"/>
      <c r="U12" s="90"/>
      <c r="V12" s="90"/>
      <c r="W12" s="4"/>
      <c r="X12" s="108" t="s">
        <v>230</v>
      </c>
      <c r="Y12" s="109">
        <v>200</v>
      </c>
      <c r="AA12" s="88" t="s">
        <v>218</v>
      </c>
      <c r="AB12" s="89" t="s">
        <v>204</v>
      </c>
      <c r="AC12" s="89">
        <v>0</v>
      </c>
      <c r="AD12" s="89">
        <v>0.46</v>
      </c>
      <c r="AE12" s="89">
        <v>30</v>
      </c>
      <c r="AF12" s="89">
        <v>40</v>
      </c>
      <c r="AG12" s="89">
        <v>2</v>
      </c>
      <c r="AH12" s="99">
        <f>_xll.DCEPropSectAngle(AF12, AE12, AG12, AG12, "Area")/100</f>
        <v>1.36</v>
      </c>
      <c r="AI12" s="88" t="s">
        <v>206</v>
      </c>
      <c r="AJ12" s="89">
        <v>-5</v>
      </c>
      <c r="AK12" s="89">
        <v>0.8</v>
      </c>
      <c r="AL12" s="99">
        <f>AK12*AD12</f>
        <v>0.36800000000000005</v>
      </c>
      <c r="AM12" s="89">
        <v>0.9</v>
      </c>
      <c r="AN12" s="99">
        <f>AM12*AD12</f>
        <v>0.41400000000000003</v>
      </c>
      <c r="AO12" s="6">
        <f>SQRT(_xll.DCEPropSectAngle(AF12, AE12, AG12, AG12, "Ix")/(AH12*100))</f>
        <v>12.884412047810423</v>
      </c>
      <c r="AP12" s="6">
        <f>SQRT(_xll.DCEPropSectAngle(AF12, AE12, AG12, AG12, "Iy")/(AH12*100))</f>
        <v>9.033067536107545</v>
      </c>
      <c r="AQ12" s="6">
        <f>AL12*1000/AO12</f>
        <v>28.561644771562392</v>
      </c>
      <c r="AR12" s="6">
        <f>AN12*1000/AP12</f>
        <v>45.831606853943384</v>
      </c>
      <c r="AS12" s="6">
        <f>MAX(AQ12,AR12)</f>
        <v>45.831606853943384</v>
      </c>
      <c r="AT12" s="89">
        <f>IF(AJ12&lt;0,$Y$12,$Y$13)</f>
        <v>200</v>
      </c>
      <c r="AU12" s="100" cm="1">
        <f t="array" ref="AU12">IF(AJ12&gt;0,1,_xll.DCETCVN5575FactorPhi7121(AS12*SQRT($J$17/206000),"c"))</f>
        <v>0.82262750593763956</v>
      </c>
      <c r="AV12" s="65">
        <f>ABS(AJ12)/(AU12*AH12*$J$17*$J$19)*10</f>
        <v>0.2172518168569309</v>
      </c>
      <c r="AW12" s="3" t="str">
        <f>IF(AND(AS12&lt;=AT12,AV12&lt;=1),"OK","Check")</f>
        <v>OK</v>
      </c>
    </row>
    <row r="13" spans="1:49">
      <c r="A13" s="5" t="s">
        <v>168</v>
      </c>
      <c r="B13" s="90"/>
      <c r="C13" s="90"/>
      <c r="D13" s="90"/>
      <c r="E13" s="10"/>
      <c r="F13" s="10"/>
      <c r="G13" s="10"/>
      <c r="H13" s="90"/>
      <c r="I13" s="90"/>
      <c r="J13" s="90"/>
      <c r="K13" s="10"/>
      <c r="L13" s="90"/>
      <c r="M13" s="10"/>
      <c r="N13" s="90"/>
      <c r="O13" s="90"/>
      <c r="P13" s="90"/>
      <c r="Q13" s="90"/>
      <c r="R13" s="90"/>
      <c r="S13" s="90"/>
      <c r="T13" s="10"/>
      <c r="U13" s="90"/>
      <c r="V13" s="90"/>
      <c r="W13" s="4"/>
      <c r="X13" s="108" t="s">
        <v>231</v>
      </c>
      <c r="Y13" s="109">
        <v>400</v>
      </c>
      <c r="AH13" s="99"/>
      <c r="AL13" s="99"/>
      <c r="AN13" s="99"/>
      <c r="AQ13" s="6"/>
      <c r="AR13" s="6"/>
      <c r="AS13" s="6"/>
      <c r="AT13" s="89"/>
      <c r="AU13" s="100"/>
      <c r="AV13" s="65"/>
      <c r="AW13" s="3"/>
    </row>
    <row r="14" spans="1:49" ht="15" customHeight="1">
      <c r="A14" s="84" t="s">
        <v>105</v>
      </c>
      <c r="B14" s="90"/>
      <c r="C14" s="90"/>
      <c r="D14" s="90"/>
      <c r="E14" s="10"/>
      <c r="F14" s="10"/>
      <c r="G14" s="10"/>
      <c r="H14" s="91"/>
      <c r="I14" s="131" t="s">
        <v>237</v>
      </c>
      <c r="J14" s="131"/>
      <c r="K14" s="131"/>
      <c r="L14" s="92"/>
      <c r="M14" s="10"/>
      <c r="N14" s="91"/>
      <c r="O14" s="91"/>
      <c r="P14" s="91"/>
      <c r="Q14" s="91"/>
      <c r="R14" s="90"/>
      <c r="S14" s="90"/>
      <c r="T14" s="10"/>
      <c r="U14" s="90"/>
      <c r="V14" s="90"/>
      <c r="W14" s="4"/>
      <c r="AH14" s="99"/>
      <c r="AL14" s="99"/>
      <c r="AN14" s="99"/>
      <c r="AQ14" s="6"/>
      <c r="AR14" s="6"/>
      <c r="AS14" s="6"/>
      <c r="AT14" s="89"/>
      <c r="AU14" s="100"/>
      <c r="AV14" s="65"/>
      <c r="AW14" s="3"/>
    </row>
    <row r="15" spans="1:49" ht="15">
      <c r="A15" s="84" t="s">
        <v>169</v>
      </c>
      <c r="B15" s="90"/>
      <c r="C15" s="90"/>
      <c r="D15" s="90"/>
      <c r="E15" s="10"/>
      <c r="F15" s="10"/>
      <c r="G15" s="10"/>
      <c r="H15" s="91"/>
      <c r="I15" s="93" t="s">
        <v>173</v>
      </c>
      <c r="J15" s="94">
        <f>VLOOKUP(I14,Data!$A$3:$D$82,3,FALSE)</f>
        <v>240</v>
      </c>
      <c r="K15" s="10" t="s">
        <v>22</v>
      </c>
      <c r="L15" s="10"/>
      <c r="M15" s="10"/>
      <c r="N15" s="91"/>
      <c r="O15" s="91"/>
      <c r="P15" s="91"/>
      <c r="Q15" s="91"/>
      <c r="R15" s="90"/>
      <c r="S15" s="90"/>
      <c r="T15" s="10"/>
      <c r="U15" s="90"/>
      <c r="V15" s="90"/>
      <c r="W15" s="4"/>
      <c r="AH15" s="99"/>
      <c r="AL15" s="99"/>
      <c r="AN15" s="99"/>
      <c r="AQ15" s="6"/>
      <c r="AR15" s="6"/>
      <c r="AS15" s="6"/>
      <c r="AT15" s="89"/>
      <c r="AU15" s="100"/>
      <c r="AV15" s="65"/>
      <c r="AW15" s="3"/>
    </row>
    <row r="16" spans="1:49" ht="15">
      <c r="A16" s="84" t="s">
        <v>170</v>
      </c>
      <c r="B16" s="90"/>
      <c r="C16" s="90"/>
      <c r="D16" s="90"/>
      <c r="E16" s="10"/>
      <c r="F16" s="10"/>
      <c r="G16" s="10"/>
      <c r="H16" s="91"/>
      <c r="I16" s="93" t="s">
        <v>174</v>
      </c>
      <c r="J16" s="94">
        <f>VLOOKUP(I14,Data!$A$3:$D$82,4,FALSE)</f>
        <v>380</v>
      </c>
      <c r="K16" s="10" t="s">
        <v>22</v>
      </c>
      <c r="L16" s="10"/>
      <c r="M16" s="10"/>
      <c r="N16" s="91"/>
      <c r="O16" s="91"/>
      <c r="P16" s="91"/>
      <c r="Q16" s="91"/>
      <c r="R16" s="90"/>
      <c r="S16" s="90"/>
      <c r="T16" s="10"/>
      <c r="U16" s="90"/>
      <c r="V16" s="90"/>
      <c r="W16" s="4"/>
      <c r="AH16" s="99"/>
      <c r="AL16" s="99"/>
      <c r="AN16" s="99"/>
      <c r="AQ16" s="6"/>
      <c r="AR16" s="6"/>
      <c r="AS16" s="6"/>
      <c r="AT16" s="89"/>
      <c r="AU16" s="100"/>
      <c r="AV16" s="65"/>
      <c r="AW16" s="3"/>
    </row>
    <row r="17" spans="1:49" ht="15">
      <c r="A17" s="84" t="s">
        <v>171</v>
      </c>
      <c r="B17" s="90"/>
      <c r="C17" s="90"/>
      <c r="D17" s="90"/>
      <c r="E17" s="10"/>
      <c r="F17" s="10"/>
      <c r="G17" s="10"/>
      <c r="H17" s="91"/>
      <c r="I17" s="93" t="s">
        <v>175</v>
      </c>
      <c r="J17" s="95">
        <f>J15/J18</f>
        <v>228.57142857142856</v>
      </c>
      <c r="K17" s="10" t="s">
        <v>22</v>
      </c>
      <c r="L17" s="10"/>
      <c r="M17" s="10"/>
      <c r="N17" s="91"/>
      <c r="O17" s="91"/>
      <c r="P17" s="91"/>
      <c r="Q17" s="91"/>
      <c r="R17" s="90"/>
      <c r="S17" s="90"/>
      <c r="T17" s="10"/>
      <c r="U17" s="90"/>
      <c r="V17" s="90"/>
      <c r="W17" s="4"/>
      <c r="AH17" s="99"/>
      <c r="AL17" s="99"/>
      <c r="AN17" s="99"/>
      <c r="AQ17" s="6"/>
      <c r="AR17" s="6"/>
      <c r="AS17" s="6"/>
      <c r="AT17" s="89"/>
      <c r="AU17" s="100"/>
      <c r="AV17" s="65"/>
      <c r="AW17" s="3"/>
    </row>
    <row r="18" spans="1:49" ht="15">
      <c r="A18" s="84" t="s">
        <v>177</v>
      </c>
      <c r="B18" s="90"/>
      <c r="C18" s="90"/>
      <c r="D18" s="90"/>
      <c r="E18" s="10"/>
      <c r="F18" s="10"/>
      <c r="G18" s="10"/>
      <c r="H18" s="91"/>
      <c r="I18" s="96" t="s">
        <v>178</v>
      </c>
      <c r="J18" s="9">
        <f>VLOOKUP(I14,Data!$A$3:$E$82,5,FALSE)</f>
        <v>1.05</v>
      </c>
      <c r="K18" s="10"/>
      <c r="L18" s="90"/>
      <c r="M18" s="10"/>
      <c r="N18" s="91"/>
      <c r="O18" s="91"/>
      <c r="P18" s="91"/>
      <c r="Q18" s="91"/>
      <c r="R18" s="90"/>
      <c r="S18" s="90"/>
      <c r="T18" s="10"/>
      <c r="U18" s="90"/>
      <c r="V18" s="90"/>
      <c r="W18" s="4"/>
      <c r="AH18" s="99"/>
      <c r="AL18" s="99"/>
      <c r="AN18" s="99"/>
      <c r="AQ18" s="6"/>
      <c r="AR18" s="6"/>
      <c r="AS18" s="6"/>
      <c r="AT18" s="89"/>
      <c r="AU18" s="100"/>
      <c r="AV18" s="65"/>
      <c r="AW18" s="3"/>
    </row>
    <row r="19" spans="1:49" ht="15">
      <c r="A19" s="84" t="s">
        <v>172</v>
      </c>
      <c r="B19" s="90"/>
      <c r="C19" s="90"/>
      <c r="D19" s="90"/>
      <c r="E19" s="10"/>
      <c r="F19" s="10"/>
      <c r="G19" s="10"/>
      <c r="H19" s="91"/>
      <c r="I19" s="96" t="s">
        <v>176</v>
      </c>
      <c r="J19" s="97">
        <v>0.9</v>
      </c>
      <c r="K19" s="10"/>
      <c r="L19" s="90"/>
      <c r="M19" s="10"/>
      <c r="N19" s="91"/>
      <c r="O19" s="91"/>
      <c r="P19" s="91"/>
      <c r="Q19" s="91"/>
      <c r="R19" s="90"/>
      <c r="S19" s="90"/>
      <c r="T19" s="10"/>
      <c r="U19" s="90"/>
      <c r="V19" s="90"/>
      <c r="W19" s="4"/>
      <c r="AH19" s="99"/>
      <c r="AL19" s="99"/>
      <c r="AN19" s="99"/>
      <c r="AQ19" s="6"/>
      <c r="AR19" s="6"/>
      <c r="AS19" s="6"/>
      <c r="AT19" s="89"/>
      <c r="AU19" s="100"/>
      <c r="AV19" s="65"/>
      <c r="AW19" s="3"/>
    </row>
    <row r="20" spans="1:49">
      <c r="A20" s="84" t="s">
        <v>192</v>
      </c>
      <c r="B20" s="90"/>
      <c r="C20" s="90"/>
      <c r="D20" s="90"/>
      <c r="E20" s="10"/>
      <c r="F20" s="10"/>
      <c r="G20" s="10"/>
      <c r="H20" s="91"/>
      <c r="I20" s="96"/>
      <c r="J20" s="97"/>
      <c r="K20" s="10"/>
      <c r="L20" s="90"/>
      <c r="M20" s="10"/>
      <c r="N20" s="91"/>
      <c r="O20" s="91"/>
      <c r="P20" s="91"/>
      <c r="Q20" s="91"/>
      <c r="R20" s="90"/>
      <c r="S20" s="90"/>
      <c r="T20" s="10"/>
      <c r="U20" s="90"/>
      <c r="V20" s="90"/>
      <c r="W20" s="4"/>
      <c r="AH20" s="99"/>
      <c r="AL20" s="99"/>
      <c r="AN20" s="99"/>
      <c r="AQ20" s="6"/>
      <c r="AR20" s="6"/>
      <c r="AS20" s="6"/>
      <c r="AT20" s="89"/>
      <c r="AU20" s="100"/>
      <c r="AV20" s="65"/>
      <c r="AW20" s="3"/>
    </row>
    <row r="21" spans="1:49">
      <c r="A21" s="84" t="s">
        <v>233</v>
      </c>
      <c r="B21" s="90"/>
      <c r="C21" s="90"/>
      <c r="D21" s="90"/>
      <c r="E21" s="10"/>
      <c r="F21" s="10"/>
      <c r="G21" s="10"/>
      <c r="H21" s="91"/>
      <c r="I21" s="96"/>
      <c r="J21" s="97"/>
      <c r="K21" s="10"/>
      <c r="L21" s="90"/>
      <c r="M21" s="10"/>
      <c r="N21" s="91"/>
      <c r="O21" s="91"/>
      <c r="P21" s="91"/>
      <c r="Q21" s="91"/>
      <c r="R21" s="90"/>
      <c r="S21" s="90"/>
      <c r="T21" s="10"/>
      <c r="U21" s="90"/>
      <c r="V21" s="90"/>
      <c r="W21" s="4"/>
      <c r="AH21" s="99"/>
      <c r="AL21" s="99"/>
      <c r="AN21" s="99"/>
      <c r="AQ21" s="6"/>
      <c r="AR21" s="6"/>
      <c r="AS21" s="6"/>
      <c r="AT21" s="89"/>
      <c r="AU21" s="100"/>
      <c r="AV21" s="65"/>
      <c r="AW21" s="3"/>
    </row>
    <row r="22" spans="1:49">
      <c r="A22" s="85"/>
      <c r="B22" s="90"/>
      <c r="C22" s="90"/>
      <c r="D22" s="90"/>
      <c r="E22" s="10"/>
      <c r="F22" s="10"/>
      <c r="G22" s="10"/>
      <c r="H22" s="91"/>
      <c r="I22" s="96"/>
      <c r="J22" s="97"/>
      <c r="K22" s="10"/>
      <c r="L22" s="90"/>
      <c r="M22" s="10"/>
      <c r="N22" s="91"/>
      <c r="O22" s="91"/>
      <c r="P22" s="91"/>
      <c r="Q22" s="91"/>
      <c r="R22" s="90"/>
      <c r="S22" s="90"/>
      <c r="T22" s="10"/>
      <c r="U22" s="90"/>
      <c r="V22" s="90"/>
      <c r="W22" s="4"/>
      <c r="AH22" s="99"/>
      <c r="AL22" s="99"/>
      <c r="AN22" s="99"/>
      <c r="AQ22" s="6"/>
      <c r="AR22" s="6"/>
      <c r="AS22" s="6"/>
      <c r="AT22" s="89"/>
      <c r="AU22" s="100"/>
      <c r="AV22" s="65"/>
      <c r="AW22" s="3"/>
    </row>
    <row r="23" spans="1:49">
      <c r="A23" s="5" t="s">
        <v>179</v>
      </c>
      <c r="B23" s="90"/>
      <c r="C23" s="90"/>
      <c r="D23" s="90"/>
      <c r="E23" s="10"/>
      <c r="F23" s="10"/>
      <c r="G23" s="10"/>
      <c r="H23" s="90"/>
      <c r="I23" s="90"/>
      <c r="J23" s="90"/>
      <c r="K23" s="10"/>
      <c r="L23" s="90"/>
      <c r="M23" s="10"/>
      <c r="N23" s="90"/>
      <c r="O23" s="90"/>
      <c r="P23" s="90"/>
      <c r="Q23" s="90"/>
      <c r="R23" s="90"/>
      <c r="S23" s="90"/>
      <c r="T23" s="10"/>
      <c r="U23" s="72"/>
      <c r="V23" s="72"/>
      <c r="W23" s="79"/>
      <c r="AH23" s="99"/>
      <c r="AL23" s="99"/>
      <c r="AN23" s="99"/>
      <c r="AQ23" s="6"/>
      <c r="AR23" s="6"/>
      <c r="AS23" s="6"/>
      <c r="AT23" s="89"/>
      <c r="AU23" s="100"/>
      <c r="AV23" s="65"/>
      <c r="AW23" s="3"/>
    </row>
    <row r="24" spans="1:49" ht="14.25" customHeight="1">
      <c r="A24" s="127" t="s">
        <v>101</v>
      </c>
      <c r="B24" s="127" t="s">
        <v>197</v>
      </c>
      <c r="C24" s="69" t="s">
        <v>198</v>
      </c>
      <c r="D24" s="69" t="s">
        <v>199</v>
      </c>
      <c r="E24" s="128" t="s">
        <v>217</v>
      </c>
      <c r="F24" s="129"/>
      <c r="G24" s="130"/>
      <c r="H24" s="70" t="s">
        <v>19</v>
      </c>
      <c r="I24" s="127" t="s">
        <v>200</v>
      </c>
      <c r="J24" s="70" t="s">
        <v>21</v>
      </c>
      <c r="K24" s="71" t="s">
        <v>201</v>
      </c>
      <c r="L24" s="69" t="s">
        <v>181</v>
      </c>
      <c r="M24" s="71" t="s">
        <v>202</v>
      </c>
      <c r="N24" s="69" t="s">
        <v>183</v>
      </c>
      <c r="O24" s="69" t="s">
        <v>195</v>
      </c>
      <c r="P24" s="69" t="s">
        <v>196</v>
      </c>
      <c r="Q24" s="125" t="s">
        <v>185</v>
      </c>
      <c r="R24" s="125" t="s">
        <v>186</v>
      </c>
      <c r="S24" s="125" t="s">
        <v>190</v>
      </c>
      <c r="T24" s="125" t="s">
        <v>191</v>
      </c>
      <c r="U24" s="126" t="s">
        <v>187</v>
      </c>
      <c r="V24" s="127" t="s">
        <v>193</v>
      </c>
      <c r="W24" s="127" t="s">
        <v>188</v>
      </c>
      <c r="AH24" s="99"/>
      <c r="AL24" s="99"/>
      <c r="AN24" s="99"/>
      <c r="AQ24" s="6"/>
      <c r="AR24" s="6"/>
      <c r="AS24" s="6"/>
      <c r="AT24" s="89"/>
      <c r="AU24" s="100"/>
      <c r="AV24" s="65"/>
      <c r="AW24" s="3"/>
    </row>
    <row r="25" spans="1:49" ht="15">
      <c r="A25" s="127"/>
      <c r="B25" s="127"/>
      <c r="C25" s="69" t="s">
        <v>203</v>
      </c>
      <c r="D25" s="69" t="s">
        <v>182</v>
      </c>
      <c r="E25" s="69" t="s">
        <v>30</v>
      </c>
      <c r="F25" s="69" t="s">
        <v>194</v>
      </c>
      <c r="G25" s="69" t="s">
        <v>133</v>
      </c>
      <c r="H25" s="70" t="s">
        <v>184</v>
      </c>
      <c r="I25" s="127"/>
      <c r="J25" s="70" t="s">
        <v>180</v>
      </c>
      <c r="K25" s="69" t="s">
        <v>182</v>
      </c>
      <c r="L25" s="69" t="s">
        <v>182</v>
      </c>
      <c r="M25" s="69" t="s">
        <v>182</v>
      </c>
      <c r="N25" s="69" t="s">
        <v>182</v>
      </c>
      <c r="O25" s="69" t="s">
        <v>229</v>
      </c>
      <c r="P25" s="69" t="s">
        <v>229</v>
      </c>
      <c r="Q25" s="125"/>
      <c r="R25" s="125"/>
      <c r="S25" s="125"/>
      <c r="T25" s="125"/>
      <c r="U25" s="126"/>
      <c r="V25" s="127"/>
      <c r="W25" s="127"/>
      <c r="AH25" s="99"/>
      <c r="AL25" s="99"/>
      <c r="AN25" s="99"/>
      <c r="AQ25" s="6"/>
      <c r="AR25" s="6"/>
      <c r="AS25" s="6"/>
      <c r="AT25" s="89"/>
      <c r="AU25" s="100"/>
      <c r="AV25" s="65"/>
      <c r="AW25" s="3"/>
    </row>
    <row r="26" spans="1:49">
      <c r="A26" s="88" t="s">
        <v>218</v>
      </c>
      <c r="B26" s="89" t="s">
        <v>204</v>
      </c>
      <c r="C26" s="89">
        <v>0</v>
      </c>
      <c r="D26" s="89">
        <v>0.46</v>
      </c>
      <c r="E26" s="89">
        <v>30</v>
      </c>
      <c r="F26" s="89">
        <v>40</v>
      </c>
      <c r="G26" s="89">
        <v>2</v>
      </c>
      <c r="H26" s="99">
        <f>_xll.DCEPropSectAngle(F26, E26, G26, G26, "Area")/100</f>
        <v>1.36</v>
      </c>
      <c r="I26" s="88" t="s">
        <v>205</v>
      </c>
      <c r="J26" s="88">
        <v>-5</v>
      </c>
      <c r="K26" s="89">
        <v>0.8</v>
      </c>
      <c r="L26" s="99">
        <f t="shared" ref="L26" si="0">K26*D26</f>
        <v>0.36800000000000005</v>
      </c>
      <c r="M26" s="89">
        <v>0.9</v>
      </c>
      <c r="N26" s="99">
        <f t="shared" ref="N26" si="1">M26*D26</f>
        <v>0.41400000000000003</v>
      </c>
      <c r="O26" s="6">
        <f>SQRT(_xll.DCEPropSectAngle(F26, E26, G26, G26, "Ix")/(H26*100))</f>
        <v>12.884412047810423</v>
      </c>
      <c r="P26" s="6">
        <f>SQRT(_xll.DCEPropSectAngle(F26, E26, G26, G26, "Iy")/(H26*100))</f>
        <v>9.033067536107545</v>
      </c>
      <c r="Q26" s="6">
        <f>L26*1000/O26</f>
        <v>28.561644771562392</v>
      </c>
      <c r="R26" s="6">
        <f>N26*1000/P26</f>
        <v>45.831606853943384</v>
      </c>
      <c r="S26" s="6">
        <f t="shared" ref="S26" si="2">MAX(Q26,R26)</f>
        <v>45.831606853943384</v>
      </c>
      <c r="T26" s="89">
        <f>IF(J26&lt;0,$Y$12,$Y$13)</f>
        <v>200</v>
      </c>
      <c r="U26" s="100" cm="1">
        <f t="array" ref="U26">IF(J26&gt;0,1,_xll.DCETCVN5575FactorPhi7121(S26*SQRT($J$17/206000),"c"))</f>
        <v>0.82262750593763956</v>
      </c>
      <c r="V26" s="65">
        <f t="shared" ref="V26" si="3">ABS(J26)/(U26*H26*$J$17*$J$19)*10</f>
        <v>0.2172518168569309</v>
      </c>
      <c r="W26" s="3" t="str">
        <f t="shared" ref="W26" si="4">IF(AND(S26&lt;=T26,V26&lt;=1),"OK","Check")</f>
        <v>OK</v>
      </c>
      <c r="AH26" s="99"/>
      <c r="AL26" s="99"/>
      <c r="AN26" s="99"/>
      <c r="AQ26" s="6"/>
      <c r="AR26" s="6"/>
      <c r="AS26" s="6"/>
      <c r="AT26" s="89"/>
      <c r="AU26" s="100"/>
      <c r="AV26" s="65"/>
      <c r="AW26" s="3"/>
    </row>
    <row r="27" spans="1:49">
      <c r="A27" s="98"/>
      <c r="B27" s="98"/>
      <c r="C27" s="98"/>
      <c r="D27" s="98"/>
      <c r="E27" s="89"/>
      <c r="F27" s="89"/>
      <c r="G27" s="89"/>
      <c r="H27" s="99"/>
      <c r="I27" s="98"/>
      <c r="J27" s="98"/>
      <c r="K27" s="89"/>
      <c r="L27" s="99"/>
      <c r="M27" s="89"/>
      <c r="N27" s="99"/>
      <c r="O27" s="99"/>
      <c r="P27" s="99"/>
      <c r="Q27" s="6"/>
      <c r="R27" s="6"/>
      <c r="S27" s="6"/>
      <c r="T27" s="89"/>
      <c r="U27" s="100"/>
      <c r="V27" s="65"/>
      <c r="W27" s="3"/>
      <c r="AH27" s="99"/>
      <c r="AL27" s="99"/>
      <c r="AN27" s="99"/>
      <c r="AQ27" s="6"/>
      <c r="AR27" s="6"/>
      <c r="AS27" s="6"/>
      <c r="AT27" s="89"/>
      <c r="AU27" s="100"/>
      <c r="AV27" s="65"/>
      <c r="AW27" s="3"/>
    </row>
    <row r="28" spans="1:49">
      <c r="A28" s="98"/>
      <c r="B28" s="98"/>
      <c r="C28" s="98"/>
      <c r="D28" s="98"/>
      <c r="E28" s="89"/>
      <c r="F28" s="89"/>
      <c r="G28" s="89"/>
      <c r="H28" s="99"/>
      <c r="I28" s="98"/>
      <c r="J28" s="98"/>
      <c r="K28" s="89"/>
      <c r="L28" s="99"/>
      <c r="M28" s="89"/>
      <c r="N28" s="99"/>
      <c r="O28" s="99"/>
      <c r="P28" s="99"/>
      <c r="Q28" s="6"/>
      <c r="R28" s="6"/>
      <c r="S28" s="6"/>
      <c r="T28" s="89"/>
      <c r="U28" s="100"/>
      <c r="V28" s="65"/>
      <c r="W28" s="3"/>
      <c r="AH28" s="99"/>
      <c r="AL28" s="99"/>
      <c r="AN28" s="99"/>
      <c r="AQ28" s="6"/>
      <c r="AR28" s="6"/>
      <c r="AS28" s="6"/>
      <c r="AT28" s="89"/>
      <c r="AU28" s="100"/>
      <c r="AV28" s="65"/>
      <c r="AW28" s="3"/>
    </row>
    <row r="29" spans="1:49">
      <c r="A29" s="98"/>
      <c r="B29" s="98"/>
      <c r="C29" s="98"/>
      <c r="D29" s="98"/>
      <c r="E29" s="89"/>
      <c r="F29" s="89"/>
      <c r="G29" s="89"/>
      <c r="H29" s="99"/>
      <c r="I29" s="98"/>
      <c r="J29" s="98"/>
      <c r="K29" s="89"/>
      <c r="L29" s="99"/>
      <c r="M29" s="89"/>
      <c r="N29" s="99"/>
      <c r="O29" s="99"/>
      <c r="P29" s="99"/>
      <c r="Q29" s="6"/>
      <c r="R29" s="6"/>
      <c r="S29" s="6"/>
      <c r="T29" s="89"/>
      <c r="U29" s="100"/>
      <c r="V29" s="65"/>
      <c r="W29" s="3"/>
      <c r="AH29" s="99"/>
      <c r="AL29" s="99"/>
      <c r="AN29" s="99"/>
      <c r="AQ29" s="6"/>
      <c r="AR29" s="6"/>
      <c r="AS29" s="6"/>
      <c r="AT29" s="89"/>
      <c r="AU29" s="100"/>
      <c r="AV29" s="65"/>
      <c r="AW29" s="3"/>
    </row>
    <row r="30" spans="1:49">
      <c r="A30" s="98"/>
      <c r="B30" s="98"/>
      <c r="C30" s="98"/>
      <c r="D30" s="98"/>
      <c r="E30" s="89"/>
      <c r="F30" s="89"/>
      <c r="G30" s="89"/>
      <c r="H30" s="99"/>
      <c r="I30" s="98"/>
      <c r="J30" s="98"/>
      <c r="K30" s="89"/>
      <c r="L30" s="99"/>
      <c r="M30" s="89"/>
      <c r="N30" s="99"/>
      <c r="O30" s="99"/>
      <c r="P30" s="99"/>
      <c r="Q30" s="6"/>
      <c r="R30" s="6"/>
      <c r="S30" s="6"/>
      <c r="T30" s="89"/>
      <c r="U30" s="100"/>
      <c r="V30" s="65"/>
      <c r="W30" s="3"/>
      <c r="AH30" s="99"/>
      <c r="AL30" s="99"/>
      <c r="AN30" s="99"/>
      <c r="AQ30" s="6"/>
      <c r="AR30" s="6"/>
      <c r="AS30" s="6"/>
      <c r="AT30" s="89"/>
      <c r="AU30" s="100"/>
      <c r="AV30" s="65"/>
      <c r="AW30" s="3"/>
    </row>
    <row r="31" spans="1:49">
      <c r="A31" s="98"/>
      <c r="B31" s="98"/>
      <c r="C31" s="98"/>
      <c r="D31" s="98"/>
      <c r="E31" s="89"/>
      <c r="F31" s="89"/>
      <c r="G31" s="89"/>
      <c r="H31" s="99"/>
      <c r="I31" s="98"/>
      <c r="J31" s="98"/>
      <c r="K31" s="89"/>
      <c r="L31" s="99"/>
      <c r="M31" s="89"/>
      <c r="N31" s="99"/>
      <c r="O31" s="99"/>
      <c r="P31" s="99"/>
      <c r="Q31" s="6"/>
      <c r="R31" s="6"/>
      <c r="S31" s="6"/>
      <c r="T31" s="89"/>
      <c r="U31" s="100"/>
      <c r="V31" s="65"/>
      <c r="W31" s="3"/>
      <c r="AH31" s="99"/>
      <c r="AL31" s="99"/>
      <c r="AN31" s="99"/>
      <c r="AQ31" s="6"/>
      <c r="AR31" s="6"/>
      <c r="AS31" s="6"/>
      <c r="AT31" s="89"/>
      <c r="AU31" s="100"/>
      <c r="AV31" s="65"/>
      <c r="AW31" s="3"/>
    </row>
    <row r="32" spans="1:49">
      <c r="A32" s="98"/>
      <c r="B32" s="98"/>
      <c r="C32" s="98"/>
      <c r="D32" s="98"/>
      <c r="E32" s="89"/>
      <c r="F32" s="89"/>
      <c r="G32" s="89"/>
      <c r="H32" s="99"/>
      <c r="I32" s="98"/>
      <c r="J32" s="98"/>
      <c r="K32" s="89"/>
      <c r="L32" s="99"/>
      <c r="M32" s="89"/>
      <c r="N32" s="99"/>
      <c r="O32" s="99"/>
      <c r="P32" s="99"/>
      <c r="Q32" s="6"/>
      <c r="R32" s="6"/>
      <c r="S32" s="6"/>
      <c r="T32" s="89"/>
      <c r="U32" s="100"/>
      <c r="V32" s="65"/>
      <c r="W32" s="3"/>
      <c r="AH32" s="99"/>
      <c r="AL32" s="99"/>
      <c r="AN32" s="99"/>
      <c r="AQ32" s="6"/>
      <c r="AR32" s="6"/>
      <c r="AS32" s="6"/>
      <c r="AT32" s="89"/>
      <c r="AU32" s="100"/>
      <c r="AV32" s="65"/>
      <c r="AW32" s="3"/>
    </row>
    <row r="33" spans="1:49">
      <c r="A33" s="98"/>
      <c r="B33" s="98"/>
      <c r="C33" s="98"/>
      <c r="D33" s="98"/>
      <c r="E33" s="89"/>
      <c r="F33" s="89"/>
      <c r="G33" s="89"/>
      <c r="H33" s="99"/>
      <c r="I33" s="98"/>
      <c r="J33" s="98"/>
      <c r="K33" s="89"/>
      <c r="L33" s="99"/>
      <c r="M33" s="89"/>
      <c r="N33" s="99"/>
      <c r="O33" s="99"/>
      <c r="P33" s="99"/>
      <c r="Q33" s="6"/>
      <c r="R33" s="6"/>
      <c r="S33" s="6"/>
      <c r="T33" s="89"/>
      <c r="U33" s="100"/>
      <c r="V33" s="65"/>
      <c r="W33" s="3"/>
      <c r="AH33" s="99"/>
      <c r="AL33" s="99"/>
      <c r="AN33" s="99"/>
      <c r="AQ33" s="6"/>
      <c r="AR33" s="6"/>
      <c r="AS33" s="6"/>
      <c r="AT33" s="89"/>
      <c r="AU33" s="100"/>
      <c r="AV33" s="65"/>
      <c r="AW33" s="3"/>
    </row>
    <row r="34" spans="1:49">
      <c r="A34" s="98"/>
      <c r="B34" s="98"/>
      <c r="C34" s="98"/>
      <c r="D34" s="98"/>
      <c r="E34" s="89"/>
      <c r="F34" s="89"/>
      <c r="G34" s="89"/>
      <c r="H34" s="99"/>
      <c r="I34" s="98"/>
      <c r="J34" s="98"/>
      <c r="K34" s="89"/>
      <c r="L34" s="99"/>
      <c r="M34" s="89"/>
      <c r="N34" s="99"/>
      <c r="O34" s="99"/>
      <c r="P34" s="99"/>
      <c r="Q34" s="6"/>
      <c r="R34" s="6"/>
      <c r="S34" s="6"/>
      <c r="T34" s="89"/>
      <c r="U34" s="100"/>
      <c r="V34" s="65"/>
      <c r="W34" s="3"/>
      <c r="AH34" s="99"/>
      <c r="AL34" s="99"/>
      <c r="AN34" s="99"/>
      <c r="AQ34" s="6"/>
      <c r="AR34" s="6"/>
      <c r="AS34" s="6"/>
      <c r="AT34" s="89"/>
      <c r="AU34" s="100"/>
      <c r="AV34" s="65"/>
      <c r="AW34" s="3"/>
    </row>
    <row r="35" spans="1:49">
      <c r="A35" s="98"/>
      <c r="B35" s="98"/>
      <c r="C35" s="98"/>
      <c r="D35" s="98"/>
      <c r="E35" s="89"/>
      <c r="F35" s="89"/>
      <c r="G35" s="89"/>
      <c r="H35" s="99"/>
      <c r="I35" s="98"/>
      <c r="J35" s="98"/>
      <c r="K35" s="89"/>
      <c r="L35" s="99"/>
      <c r="M35" s="89"/>
      <c r="N35" s="99"/>
      <c r="O35" s="99"/>
      <c r="P35" s="99"/>
      <c r="Q35" s="6"/>
      <c r="R35" s="6"/>
      <c r="S35" s="6"/>
      <c r="T35" s="89"/>
      <c r="U35" s="100"/>
      <c r="V35" s="65"/>
      <c r="W35" s="3"/>
      <c r="AH35" s="99"/>
      <c r="AL35" s="99"/>
      <c r="AN35" s="99"/>
      <c r="AQ35" s="6"/>
      <c r="AR35" s="6"/>
      <c r="AS35" s="6"/>
      <c r="AT35" s="89"/>
      <c r="AU35" s="100"/>
      <c r="AV35" s="65"/>
      <c r="AW35" s="3"/>
    </row>
    <row r="36" spans="1:49">
      <c r="A36" s="98"/>
      <c r="B36" s="98"/>
      <c r="C36" s="98"/>
      <c r="D36" s="98"/>
      <c r="E36" s="89"/>
      <c r="F36" s="89"/>
      <c r="G36" s="89"/>
      <c r="H36" s="99"/>
      <c r="I36" s="98"/>
      <c r="J36" s="98"/>
      <c r="K36" s="89"/>
      <c r="L36" s="99"/>
      <c r="M36" s="89"/>
      <c r="N36" s="99"/>
      <c r="O36" s="99"/>
      <c r="P36" s="99"/>
      <c r="Q36" s="6"/>
      <c r="R36" s="6"/>
      <c r="S36" s="6"/>
      <c r="T36" s="89"/>
      <c r="U36" s="100"/>
      <c r="V36" s="65"/>
      <c r="W36" s="3"/>
      <c r="AH36" s="99"/>
      <c r="AL36" s="99"/>
      <c r="AN36" s="99"/>
      <c r="AQ36" s="6"/>
      <c r="AR36" s="6"/>
      <c r="AS36" s="6"/>
      <c r="AT36" s="89"/>
      <c r="AU36" s="100"/>
      <c r="AV36" s="65"/>
      <c r="AW36" s="3"/>
    </row>
    <row r="37" spans="1:49">
      <c r="A37" s="98"/>
      <c r="B37" s="98"/>
      <c r="C37" s="98"/>
      <c r="D37" s="98"/>
      <c r="E37" s="89"/>
      <c r="F37" s="89"/>
      <c r="G37" s="89"/>
      <c r="H37" s="99"/>
      <c r="I37" s="98"/>
      <c r="J37" s="98"/>
      <c r="K37" s="89"/>
      <c r="L37" s="99"/>
      <c r="M37" s="89"/>
      <c r="N37" s="99"/>
      <c r="O37" s="99"/>
      <c r="P37" s="99"/>
      <c r="Q37" s="6"/>
      <c r="R37" s="6"/>
      <c r="S37" s="6"/>
      <c r="T37" s="89"/>
      <c r="U37" s="100"/>
      <c r="V37" s="65"/>
      <c r="W37" s="3"/>
      <c r="AH37" s="99"/>
      <c r="AL37" s="99"/>
      <c r="AN37" s="99"/>
      <c r="AQ37" s="6"/>
      <c r="AR37" s="6"/>
      <c r="AS37" s="6"/>
      <c r="AT37" s="89"/>
      <c r="AU37" s="100"/>
      <c r="AV37" s="65"/>
      <c r="AW37" s="3"/>
    </row>
    <row r="38" spans="1:49">
      <c r="A38" s="98"/>
      <c r="B38" s="98"/>
      <c r="C38" s="98"/>
      <c r="D38" s="98"/>
      <c r="E38" s="89"/>
      <c r="F38" s="89"/>
      <c r="G38" s="89"/>
      <c r="H38" s="99"/>
      <c r="I38" s="98"/>
      <c r="J38" s="98"/>
      <c r="K38" s="89"/>
      <c r="L38" s="99"/>
      <c r="M38" s="89"/>
      <c r="N38" s="99"/>
      <c r="O38" s="99"/>
      <c r="P38" s="99"/>
      <c r="Q38" s="6"/>
      <c r="R38" s="6"/>
      <c r="S38" s="6"/>
      <c r="T38" s="89"/>
      <c r="U38" s="100"/>
      <c r="V38" s="65"/>
      <c r="W38" s="3"/>
      <c r="AH38" s="99"/>
      <c r="AL38" s="99"/>
      <c r="AN38" s="99"/>
      <c r="AQ38" s="6"/>
      <c r="AR38" s="6"/>
      <c r="AS38" s="6"/>
      <c r="AT38" s="89"/>
      <c r="AU38" s="100"/>
      <c r="AV38" s="65"/>
      <c r="AW38" s="3"/>
    </row>
    <row r="39" spans="1:49">
      <c r="A39" s="98"/>
      <c r="B39" s="98"/>
      <c r="C39" s="98"/>
      <c r="D39" s="98"/>
      <c r="E39" s="89"/>
      <c r="F39" s="89"/>
      <c r="G39" s="89"/>
      <c r="H39" s="99"/>
      <c r="I39" s="98"/>
      <c r="J39" s="98"/>
      <c r="K39" s="89"/>
      <c r="L39" s="99"/>
      <c r="M39" s="89"/>
      <c r="N39" s="99"/>
      <c r="O39" s="99"/>
      <c r="P39" s="99"/>
      <c r="Q39" s="6"/>
      <c r="R39" s="6"/>
      <c r="S39" s="6"/>
      <c r="T39" s="89"/>
      <c r="U39" s="100"/>
      <c r="V39" s="65"/>
      <c r="W39" s="3"/>
      <c r="AH39" s="99"/>
      <c r="AL39" s="99"/>
      <c r="AN39" s="99"/>
      <c r="AQ39" s="6"/>
      <c r="AR39" s="6"/>
      <c r="AS39" s="6"/>
      <c r="AT39" s="89"/>
      <c r="AU39" s="100"/>
      <c r="AV39" s="65"/>
      <c r="AW39" s="3"/>
    </row>
    <row r="40" spans="1:49">
      <c r="A40" s="98"/>
      <c r="B40" s="98"/>
      <c r="C40" s="98"/>
      <c r="D40" s="98"/>
      <c r="E40" s="89"/>
      <c r="F40" s="89"/>
      <c r="G40" s="89"/>
      <c r="H40" s="99"/>
      <c r="I40" s="98"/>
      <c r="J40" s="98"/>
      <c r="K40" s="89"/>
      <c r="L40" s="99"/>
      <c r="M40" s="89"/>
      <c r="N40" s="99"/>
      <c r="O40" s="99"/>
      <c r="P40" s="99"/>
      <c r="Q40" s="6"/>
      <c r="R40" s="6"/>
      <c r="S40" s="6"/>
      <c r="T40" s="89"/>
      <c r="U40" s="100"/>
      <c r="V40" s="65"/>
      <c r="W40" s="3"/>
      <c r="AH40" s="99"/>
      <c r="AL40" s="99"/>
      <c r="AN40" s="99"/>
      <c r="AQ40" s="6"/>
      <c r="AR40" s="6"/>
      <c r="AS40" s="6"/>
      <c r="AT40" s="89"/>
      <c r="AU40" s="100"/>
      <c r="AV40" s="65"/>
      <c r="AW40" s="3"/>
    </row>
    <row r="41" spans="1:49">
      <c r="A41" s="98"/>
      <c r="B41" s="98"/>
      <c r="C41" s="98"/>
      <c r="D41" s="98"/>
      <c r="E41" s="89"/>
      <c r="F41" s="89"/>
      <c r="G41" s="89"/>
      <c r="H41" s="99"/>
      <c r="I41" s="98"/>
      <c r="J41" s="98"/>
      <c r="K41" s="89"/>
      <c r="L41" s="99"/>
      <c r="M41" s="89"/>
      <c r="N41" s="99"/>
      <c r="O41" s="99"/>
      <c r="P41" s="99"/>
      <c r="Q41" s="6"/>
      <c r="R41" s="6"/>
      <c r="S41" s="6"/>
      <c r="T41" s="89"/>
      <c r="U41" s="100"/>
      <c r="V41" s="65"/>
      <c r="W41" s="3"/>
      <c r="AH41" s="99"/>
      <c r="AL41" s="99"/>
      <c r="AN41" s="99"/>
      <c r="AQ41" s="6"/>
      <c r="AR41" s="6"/>
      <c r="AS41" s="6"/>
      <c r="AT41" s="89"/>
      <c r="AU41" s="100"/>
      <c r="AV41" s="65"/>
      <c r="AW41" s="3"/>
    </row>
    <row r="42" spans="1:49">
      <c r="A42" s="98"/>
      <c r="B42" s="98"/>
      <c r="C42" s="98"/>
      <c r="D42" s="98"/>
      <c r="E42" s="89"/>
      <c r="F42" s="89"/>
      <c r="G42" s="89"/>
      <c r="H42" s="99"/>
      <c r="I42" s="98"/>
      <c r="J42" s="98"/>
      <c r="K42" s="89"/>
      <c r="L42" s="99"/>
      <c r="M42" s="89"/>
      <c r="N42" s="99"/>
      <c r="O42" s="99"/>
      <c r="P42" s="99"/>
      <c r="Q42" s="6"/>
      <c r="R42" s="6"/>
      <c r="S42" s="6"/>
      <c r="T42" s="89"/>
      <c r="U42" s="100"/>
      <c r="V42" s="65"/>
      <c r="W42" s="3"/>
      <c r="AH42" s="99"/>
      <c r="AL42" s="99"/>
      <c r="AN42" s="99"/>
      <c r="AQ42" s="6"/>
      <c r="AR42" s="6"/>
      <c r="AS42" s="6"/>
      <c r="AT42" s="89"/>
      <c r="AU42" s="100"/>
      <c r="AV42" s="65"/>
      <c r="AW42" s="3"/>
    </row>
    <row r="43" spans="1:49">
      <c r="A43" s="98"/>
      <c r="B43" s="98"/>
      <c r="C43" s="98"/>
      <c r="D43" s="98"/>
      <c r="E43" s="89"/>
      <c r="F43" s="89"/>
      <c r="G43" s="89"/>
      <c r="H43" s="99"/>
      <c r="I43" s="98"/>
      <c r="J43" s="98"/>
      <c r="K43" s="89"/>
      <c r="L43" s="99"/>
      <c r="M43" s="89"/>
      <c r="N43" s="99"/>
      <c r="O43" s="99"/>
      <c r="P43" s="99"/>
      <c r="Q43" s="6"/>
      <c r="R43" s="6"/>
      <c r="S43" s="6"/>
      <c r="T43" s="89"/>
      <c r="U43" s="100"/>
      <c r="V43" s="65"/>
      <c r="W43" s="3"/>
      <c r="AH43" s="99"/>
      <c r="AL43" s="99"/>
      <c r="AN43" s="99"/>
      <c r="AQ43" s="6"/>
      <c r="AR43" s="6"/>
      <c r="AS43" s="6"/>
      <c r="AT43" s="89"/>
      <c r="AU43" s="100"/>
      <c r="AV43" s="65"/>
      <c r="AW43" s="3"/>
    </row>
    <row r="44" spans="1:49">
      <c r="A44" s="98"/>
      <c r="B44" s="98"/>
      <c r="C44" s="98"/>
      <c r="D44" s="98"/>
      <c r="E44" s="89"/>
      <c r="F44" s="89"/>
      <c r="G44" s="89"/>
      <c r="H44" s="99"/>
      <c r="I44" s="98"/>
      <c r="J44" s="98"/>
      <c r="K44" s="89"/>
      <c r="L44" s="99"/>
      <c r="M44" s="89"/>
      <c r="N44" s="99"/>
      <c r="O44" s="99"/>
      <c r="P44" s="99"/>
      <c r="Q44" s="6"/>
      <c r="R44" s="6"/>
      <c r="S44" s="6"/>
      <c r="T44" s="89"/>
      <c r="U44" s="100"/>
      <c r="V44" s="65"/>
      <c r="W44" s="3"/>
      <c r="AH44" s="99"/>
      <c r="AL44" s="99"/>
      <c r="AN44" s="99"/>
      <c r="AQ44" s="6"/>
      <c r="AR44" s="6"/>
      <c r="AS44" s="6"/>
      <c r="AT44" s="89"/>
      <c r="AU44" s="100"/>
      <c r="AV44" s="65"/>
      <c r="AW44" s="3"/>
    </row>
    <row r="45" spans="1:49">
      <c r="A45" s="98"/>
      <c r="B45" s="98"/>
      <c r="C45" s="98"/>
      <c r="D45" s="98"/>
      <c r="E45" s="89"/>
      <c r="F45" s="89"/>
      <c r="G45" s="89"/>
      <c r="H45" s="99"/>
      <c r="I45" s="98"/>
      <c r="J45" s="98"/>
      <c r="K45" s="89"/>
      <c r="L45" s="99"/>
      <c r="M45" s="89"/>
      <c r="N45" s="99"/>
      <c r="O45" s="99"/>
      <c r="P45" s="99"/>
      <c r="Q45" s="6"/>
      <c r="R45" s="6"/>
      <c r="S45" s="6"/>
      <c r="T45" s="89"/>
      <c r="U45" s="100"/>
      <c r="V45" s="65"/>
      <c r="W45" s="3"/>
      <c r="AH45" s="99"/>
      <c r="AL45" s="99"/>
      <c r="AN45" s="99"/>
      <c r="AQ45" s="6"/>
      <c r="AR45" s="6"/>
      <c r="AS45" s="6"/>
      <c r="AT45" s="89"/>
      <c r="AU45" s="100"/>
      <c r="AV45" s="65"/>
      <c r="AW45" s="3"/>
    </row>
    <row r="46" spans="1:49">
      <c r="A46" s="98"/>
      <c r="B46" s="98"/>
      <c r="C46" s="98"/>
      <c r="D46" s="98"/>
      <c r="E46" s="89"/>
      <c r="F46" s="89"/>
      <c r="G46" s="89"/>
      <c r="H46" s="99"/>
      <c r="I46" s="98"/>
      <c r="J46" s="98"/>
      <c r="K46" s="89"/>
      <c r="L46" s="99"/>
      <c r="M46" s="89"/>
      <c r="N46" s="99"/>
      <c r="O46" s="99"/>
      <c r="P46" s="99"/>
      <c r="Q46" s="6"/>
      <c r="R46" s="6"/>
      <c r="S46" s="6"/>
      <c r="T46" s="89"/>
      <c r="U46" s="100"/>
      <c r="V46" s="65"/>
      <c r="W46" s="3"/>
      <c r="AH46" s="99"/>
      <c r="AL46" s="99"/>
      <c r="AN46" s="99"/>
      <c r="AQ46" s="6"/>
      <c r="AR46" s="6"/>
      <c r="AS46" s="6"/>
      <c r="AT46" s="89"/>
      <c r="AU46" s="100"/>
      <c r="AV46" s="65"/>
      <c r="AW46" s="3"/>
    </row>
    <row r="47" spans="1:49">
      <c r="A47" s="98"/>
      <c r="B47" s="98"/>
      <c r="C47" s="98"/>
      <c r="D47" s="98"/>
      <c r="E47" s="89"/>
      <c r="F47" s="89"/>
      <c r="G47" s="89"/>
      <c r="H47" s="99"/>
      <c r="I47" s="98"/>
      <c r="J47" s="98"/>
      <c r="K47" s="89"/>
      <c r="L47" s="99"/>
      <c r="M47" s="89"/>
      <c r="N47" s="99"/>
      <c r="O47" s="99"/>
      <c r="P47" s="99"/>
      <c r="Q47" s="6"/>
      <c r="R47" s="6"/>
      <c r="S47" s="6"/>
      <c r="T47" s="89"/>
      <c r="U47" s="100"/>
      <c r="V47" s="65"/>
      <c r="W47" s="3"/>
      <c r="AH47" s="99"/>
      <c r="AL47" s="99"/>
      <c r="AN47" s="99"/>
      <c r="AQ47" s="6"/>
      <c r="AR47" s="6"/>
      <c r="AS47" s="6"/>
      <c r="AT47" s="89"/>
      <c r="AU47" s="100"/>
      <c r="AV47" s="65"/>
      <c r="AW47" s="3"/>
    </row>
    <row r="48" spans="1:49">
      <c r="A48" s="98"/>
      <c r="B48" s="98"/>
      <c r="C48" s="98"/>
      <c r="D48" s="98"/>
      <c r="E48" s="89"/>
      <c r="F48" s="89"/>
      <c r="G48" s="89"/>
      <c r="H48" s="99"/>
      <c r="I48" s="98"/>
      <c r="J48" s="98"/>
      <c r="K48" s="89"/>
      <c r="L48" s="99"/>
      <c r="M48" s="89"/>
      <c r="N48" s="99"/>
      <c r="O48" s="99"/>
      <c r="P48" s="99"/>
      <c r="Q48" s="6"/>
      <c r="R48" s="6"/>
      <c r="S48" s="6"/>
      <c r="T48" s="89"/>
      <c r="U48" s="100"/>
      <c r="V48" s="65"/>
      <c r="W48" s="3"/>
      <c r="AH48" s="99"/>
      <c r="AL48" s="99"/>
      <c r="AN48" s="99"/>
      <c r="AQ48" s="6"/>
      <c r="AR48" s="6"/>
      <c r="AS48" s="6"/>
      <c r="AT48" s="89"/>
      <c r="AU48" s="100"/>
      <c r="AV48" s="65"/>
      <c r="AW48" s="3"/>
    </row>
    <row r="49" spans="1:49">
      <c r="A49" s="98"/>
      <c r="B49" s="98"/>
      <c r="C49" s="98"/>
      <c r="D49" s="98"/>
      <c r="E49" s="89"/>
      <c r="F49" s="89"/>
      <c r="G49" s="89"/>
      <c r="H49" s="99"/>
      <c r="I49" s="98"/>
      <c r="J49" s="98"/>
      <c r="K49" s="89"/>
      <c r="L49" s="99"/>
      <c r="M49" s="89"/>
      <c r="N49" s="99"/>
      <c r="O49" s="99"/>
      <c r="P49" s="99"/>
      <c r="Q49" s="6"/>
      <c r="R49" s="6"/>
      <c r="S49" s="6"/>
      <c r="T49" s="89"/>
      <c r="U49" s="100"/>
      <c r="V49" s="65"/>
      <c r="W49" s="3"/>
      <c r="AH49" s="99"/>
      <c r="AL49" s="99"/>
      <c r="AN49" s="99"/>
      <c r="AQ49" s="6"/>
      <c r="AR49" s="6"/>
      <c r="AS49" s="6"/>
      <c r="AT49" s="89"/>
      <c r="AU49" s="100"/>
      <c r="AV49" s="65"/>
      <c r="AW49" s="3"/>
    </row>
    <row r="50" spans="1:49">
      <c r="A50" s="98"/>
      <c r="B50" s="98"/>
      <c r="C50" s="98"/>
      <c r="D50" s="98"/>
      <c r="E50" s="89"/>
      <c r="F50" s="89"/>
      <c r="G50" s="89"/>
      <c r="H50" s="99"/>
      <c r="I50" s="98"/>
      <c r="J50" s="98"/>
      <c r="K50" s="89"/>
      <c r="L50" s="99"/>
      <c r="M50" s="89"/>
      <c r="N50" s="99"/>
      <c r="O50" s="99"/>
      <c r="P50" s="99"/>
      <c r="Q50" s="6"/>
      <c r="R50" s="6"/>
      <c r="S50" s="6"/>
      <c r="T50" s="89"/>
      <c r="U50" s="100"/>
      <c r="V50" s="65"/>
      <c r="W50" s="3"/>
      <c r="AH50" s="99"/>
      <c r="AL50" s="99"/>
      <c r="AN50" s="99"/>
      <c r="AQ50" s="6"/>
      <c r="AR50" s="6"/>
      <c r="AS50" s="6"/>
      <c r="AT50" s="89"/>
      <c r="AU50" s="100"/>
      <c r="AV50" s="65"/>
      <c r="AW50" s="3"/>
    </row>
    <row r="51" spans="1:49">
      <c r="A51" s="98"/>
      <c r="B51" s="98"/>
      <c r="C51" s="98"/>
      <c r="D51" s="98"/>
      <c r="E51" s="89"/>
      <c r="F51" s="89"/>
      <c r="G51" s="89"/>
      <c r="H51" s="99"/>
      <c r="I51" s="98"/>
      <c r="J51" s="98"/>
      <c r="K51" s="89"/>
      <c r="L51" s="99"/>
      <c r="M51" s="89"/>
      <c r="N51" s="99"/>
      <c r="O51" s="99"/>
      <c r="P51" s="99"/>
      <c r="Q51" s="6"/>
      <c r="R51" s="6"/>
      <c r="S51" s="6"/>
      <c r="T51" s="89"/>
      <c r="U51" s="100"/>
      <c r="V51" s="65"/>
      <c r="W51" s="3"/>
      <c r="AH51" s="99"/>
      <c r="AL51" s="99"/>
      <c r="AN51" s="99"/>
      <c r="AQ51" s="6"/>
      <c r="AR51" s="6"/>
      <c r="AS51" s="6"/>
      <c r="AT51" s="89"/>
      <c r="AU51" s="100"/>
      <c r="AV51" s="65"/>
      <c r="AW51" s="3"/>
    </row>
    <row r="52" spans="1:49">
      <c r="A52" s="98"/>
      <c r="B52" s="98"/>
      <c r="C52" s="98"/>
      <c r="D52" s="98"/>
      <c r="E52" s="89"/>
      <c r="F52" s="89"/>
      <c r="G52" s="89"/>
      <c r="H52" s="99"/>
      <c r="I52" s="98"/>
      <c r="J52" s="98"/>
      <c r="K52" s="89"/>
      <c r="L52" s="99"/>
      <c r="M52" s="89"/>
      <c r="N52" s="99"/>
      <c r="O52" s="99"/>
      <c r="P52" s="99"/>
      <c r="Q52" s="6"/>
      <c r="R52" s="6"/>
      <c r="S52" s="6"/>
      <c r="T52" s="89"/>
      <c r="U52" s="100"/>
      <c r="V52" s="65"/>
      <c r="W52" s="3"/>
      <c r="AH52" s="99"/>
      <c r="AL52" s="99"/>
      <c r="AN52" s="99"/>
      <c r="AQ52" s="6"/>
      <c r="AR52" s="6"/>
      <c r="AS52" s="6"/>
      <c r="AT52" s="89"/>
      <c r="AU52" s="100"/>
      <c r="AV52" s="65"/>
      <c r="AW52" s="3"/>
    </row>
    <row r="53" spans="1:49">
      <c r="A53" s="98"/>
      <c r="B53" s="98"/>
      <c r="C53" s="98"/>
      <c r="D53" s="98"/>
      <c r="E53" s="89"/>
      <c r="F53" s="89"/>
      <c r="G53" s="89"/>
      <c r="H53" s="99"/>
      <c r="I53" s="98"/>
      <c r="J53" s="98"/>
      <c r="K53" s="89"/>
      <c r="L53" s="99"/>
      <c r="M53" s="89"/>
      <c r="N53" s="99"/>
      <c r="O53" s="99"/>
      <c r="P53" s="99"/>
      <c r="Q53" s="6"/>
      <c r="R53" s="6"/>
      <c r="S53" s="6"/>
      <c r="T53" s="89"/>
      <c r="U53" s="100"/>
      <c r="V53" s="65"/>
      <c r="W53" s="3"/>
      <c r="AH53" s="99"/>
      <c r="AL53" s="99"/>
      <c r="AN53" s="99"/>
      <c r="AQ53" s="6"/>
      <c r="AR53" s="6"/>
      <c r="AS53" s="6"/>
      <c r="AT53" s="89"/>
      <c r="AU53" s="100"/>
      <c r="AV53" s="65"/>
      <c r="AW53" s="3"/>
    </row>
    <row r="54" spans="1:49">
      <c r="A54" s="98"/>
      <c r="B54" s="98"/>
      <c r="C54" s="98"/>
      <c r="D54" s="98"/>
      <c r="E54" s="89"/>
      <c r="F54" s="89"/>
      <c r="G54" s="89"/>
      <c r="H54" s="98"/>
      <c r="I54" s="98"/>
      <c r="J54" s="98"/>
      <c r="K54" s="89"/>
      <c r="L54" s="98"/>
      <c r="M54" s="89"/>
      <c r="N54" s="98"/>
      <c r="O54" s="98"/>
      <c r="P54" s="98"/>
      <c r="Q54" s="98"/>
      <c r="R54" s="98"/>
      <c r="S54" s="98"/>
      <c r="T54" s="98"/>
      <c r="U54" s="98"/>
      <c r="V54" s="98"/>
      <c r="W54" s="98"/>
      <c r="AH54" s="99"/>
      <c r="AL54" s="99"/>
      <c r="AN54" s="99"/>
      <c r="AQ54" s="6"/>
      <c r="AR54" s="6"/>
      <c r="AS54" s="6"/>
      <c r="AT54" s="89"/>
      <c r="AU54" s="100"/>
      <c r="AV54" s="65"/>
      <c r="AW54" s="3"/>
    </row>
    <row r="55" spans="1:49">
      <c r="A55" s="98"/>
      <c r="B55" s="98"/>
      <c r="C55" s="98"/>
      <c r="D55" s="98"/>
      <c r="E55" s="89"/>
      <c r="F55" s="89"/>
      <c r="G55" s="89"/>
      <c r="H55" s="98"/>
      <c r="I55" s="98"/>
      <c r="J55" s="98"/>
      <c r="K55" s="89"/>
      <c r="L55" s="98"/>
      <c r="M55" s="89"/>
      <c r="N55" s="98"/>
      <c r="O55" s="98"/>
      <c r="P55" s="98"/>
      <c r="Q55" s="98"/>
      <c r="R55" s="98"/>
      <c r="S55" s="98"/>
      <c r="T55" s="98"/>
      <c r="U55" s="98"/>
      <c r="V55" s="98"/>
      <c r="W55" s="98"/>
      <c r="AH55" s="99"/>
      <c r="AL55" s="99"/>
      <c r="AN55" s="99"/>
      <c r="AQ55" s="6"/>
      <c r="AR55" s="6"/>
      <c r="AS55" s="6"/>
      <c r="AT55" s="89"/>
      <c r="AU55" s="100"/>
      <c r="AV55" s="65"/>
      <c r="AW55" s="3"/>
    </row>
    <row r="56" spans="1:49">
      <c r="A56" s="98"/>
      <c r="B56" s="98"/>
      <c r="C56" s="98"/>
      <c r="D56" s="98"/>
      <c r="E56" s="89"/>
      <c r="F56" s="89"/>
      <c r="G56" s="89"/>
      <c r="H56" s="98"/>
      <c r="I56" s="98"/>
      <c r="J56" s="98"/>
      <c r="K56" s="89"/>
      <c r="L56" s="98"/>
      <c r="M56" s="89"/>
      <c r="N56" s="98"/>
      <c r="O56" s="98"/>
      <c r="P56" s="98"/>
      <c r="Q56" s="98"/>
      <c r="R56" s="98"/>
      <c r="S56" s="98"/>
      <c r="T56" s="98"/>
      <c r="U56" s="98"/>
      <c r="V56" s="98"/>
      <c r="W56" s="98"/>
      <c r="AH56" s="99"/>
      <c r="AL56" s="99"/>
      <c r="AN56" s="99"/>
      <c r="AQ56" s="6"/>
      <c r="AR56" s="6"/>
      <c r="AS56" s="6"/>
      <c r="AT56" s="89"/>
      <c r="AU56" s="100"/>
      <c r="AV56" s="65"/>
      <c r="AW56" s="3"/>
    </row>
    <row r="57" spans="1:49">
      <c r="A57" s="98"/>
      <c r="B57" s="98"/>
      <c r="C57" s="98"/>
      <c r="D57" s="98"/>
      <c r="E57" s="89"/>
      <c r="F57" s="89"/>
      <c r="G57" s="89"/>
      <c r="H57" s="98"/>
      <c r="I57" s="98"/>
      <c r="J57" s="98"/>
      <c r="K57" s="89"/>
      <c r="L57" s="98"/>
      <c r="M57" s="89"/>
      <c r="N57" s="98"/>
      <c r="O57" s="98"/>
      <c r="P57" s="98"/>
      <c r="Q57" s="98"/>
      <c r="R57" s="98"/>
      <c r="S57" s="98"/>
      <c r="T57" s="98"/>
      <c r="U57" s="98"/>
      <c r="V57" s="98"/>
      <c r="W57" s="98"/>
      <c r="AH57" s="99"/>
      <c r="AL57" s="99"/>
      <c r="AN57" s="99"/>
      <c r="AQ57" s="6"/>
      <c r="AR57" s="6"/>
      <c r="AS57" s="6"/>
      <c r="AT57" s="89"/>
      <c r="AU57" s="100"/>
      <c r="AV57" s="65"/>
      <c r="AW57" s="3"/>
    </row>
    <row r="58" spans="1:49">
      <c r="A58" s="98"/>
      <c r="B58" s="98"/>
      <c r="C58" s="98"/>
      <c r="D58" s="98"/>
      <c r="E58" s="89"/>
      <c r="F58" s="89"/>
      <c r="G58" s="89"/>
      <c r="H58" s="98"/>
      <c r="I58" s="98"/>
      <c r="J58" s="98"/>
      <c r="K58" s="89"/>
      <c r="L58" s="98"/>
      <c r="M58" s="89"/>
      <c r="N58" s="98"/>
      <c r="O58" s="98"/>
      <c r="P58" s="98"/>
      <c r="Q58" s="98"/>
      <c r="R58" s="98"/>
      <c r="S58" s="98"/>
      <c r="T58" s="98"/>
      <c r="U58" s="98"/>
      <c r="V58" s="98"/>
      <c r="W58" s="98"/>
      <c r="AH58" s="99"/>
      <c r="AL58" s="99"/>
      <c r="AN58" s="99"/>
      <c r="AQ58" s="6"/>
      <c r="AR58" s="6"/>
      <c r="AS58" s="6"/>
      <c r="AT58" s="89"/>
      <c r="AU58" s="100"/>
      <c r="AV58" s="65"/>
      <c r="AW58" s="3"/>
    </row>
    <row r="59" spans="1:49">
      <c r="A59" s="98"/>
      <c r="B59" s="98"/>
      <c r="C59" s="98"/>
      <c r="D59" s="98"/>
      <c r="E59" s="89"/>
      <c r="F59" s="89"/>
      <c r="G59" s="89"/>
      <c r="H59" s="98"/>
      <c r="I59" s="98"/>
      <c r="J59" s="98"/>
      <c r="K59" s="89"/>
      <c r="L59" s="98"/>
      <c r="M59" s="89"/>
      <c r="N59" s="98"/>
      <c r="O59" s="98"/>
      <c r="P59" s="98"/>
      <c r="Q59" s="98"/>
      <c r="R59" s="98"/>
      <c r="S59" s="98"/>
      <c r="T59" s="98"/>
      <c r="U59" s="98"/>
      <c r="V59" s="98"/>
      <c r="W59" s="98"/>
      <c r="AH59" s="99"/>
      <c r="AL59" s="99"/>
      <c r="AN59" s="99"/>
      <c r="AQ59" s="6"/>
      <c r="AR59" s="6"/>
      <c r="AS59" s="6"/>
      <c r="AT59" s="89"/>
      <c r="AU59" s="100"/>
      <c r="AV59" s="65"/>
      <c r="AW59" s="3"/>
    </row>
    <row r="60" spans="1:49">
      <c r="A60" s="98"/>
      <c r="B60" s="98"/>
      <c r="C60" s="98"/>
      <c r="D60" s="98"/>
      <c r="E60" s="89"/>
      <c r="F60" s="89"/>
      <c r="G60" s="89"/>
      <c r="H60" s="98"/>
      <c r="I60" s="98"/>
      <c r="J60" s="98"/>
      <c r="K60" s="89"/>
      <c r="L60" s="98"/>
      <c r="M60" s="89"/>
      <c r="N60" s="98"/>
      <c r="O60" s="98"/>
      <c r="P60" s="98"/>
      <c r="Q60" s="98"/>
      <c r="R60" s="98"/>
      <c r="S60" s="98"/>
      <c r="T60" s="98"/>
      <c r="U60" s="98"/>
      <c r="V60" s="98"/>
      <c r="W60" s="98"/>
      <c r="AH60" s="99"/>
      <c r="AL60" s="99"/>
      <c r="AN60" s="99"/>
      <c r="AQ60" s="6"/>
      <c r="AR60" s="6"/>
      <c r="AS60" s="6"/>
      <c r="AT60" s="89"/>
      <c r="AU60" s="100"/>
      <c r="AV60" s="65"/>
      <c r="AW60" s="3"/>
    </row>
    <row r="61" spans="1:49">
      <c r="A61" s="98"/>
      <c r="B61" s="98"/>
      <c r="C61" s="98"/>
      <c r="D61" s="98"/>
      <c r="E61" s="89"/>
      <c r="F61" s="89"/>
      <c r="G61" s="89"/>
      <c r="H61" s="98"/>
      <c r="I61" s="98"/>
      <c r="J61" s="98"/>
      <c r="K61" s="89"/>
      <c r="L61" s="98"/>
      <c r="M61" s="89"/>
      <c r="N61" s="98"/>
      <c r="O61" s="98"/>
      <c r="P61" s="98"/>
      <c r="Q61" s="98"/>
      <c r="R61" s="98"/>
      <c r="S61" s="98"/>
      <c r="T61" s="98"/>
      <c r="U61" s="98"/>
      <c r="V61" s="98"/>
      <c r="W61" s="98"/>
      <c r="AH61" s="99"/>
      <c r="AL61" s="99"/>
      <c r="AN61" s="99"/>
      <c r="AQ61" s="6"/>
      <c r="AR61" s="6"/>
      <c r="AS61" s="6"/>
      <c r="AT61" s="89"/>
      <c r="AU61" s="100"/>
      <c r="AV61" s="65"/>
      <c r="AW61" s="3"/>
    </row>
    <row r="62" spans="1:49">
      <c r="A62" s="98"/>
      <c r="B62" s="98"/>
      <c r="C62" s="98"/>
      <c r="D62" s="98"/>
      <c r="E62" s="89"/>
      <c r="F62" s="89"/>
      <c r="G62" s="89"/>
      <c r="H62" s="98"/>
      <c r="I62" s="98"/>
      <c r="J62" s="98"/>
      <c r="K62" s="89"/>
      <c r="L62" s="98"/>
      <c r="M62" s="89"/>
      <c r="N62" s="98"/>
      <c r="O62" s="98"/>
      <c r="P62" s="98"/>
      <c r="Q62" s="98"/>
      <c r="R62" s="98"/>
      <c r="S62" s="98"/>
      <c r="T62" s="98"/>
      <c r="U62" s="98"/>
      <c r="V62" s="98"/>
      <c r="W62" s="98"/>
      <c r="AH62" s="99"/>
      <c r="AL62" s="99"/>
      <c r="AN62" s="99"/>
      <c r="AQ62" s="6"/>
      <c r="AR62" s="6"/>
      <c r="AS62" s="6"/>
      <c r="AT62" s="89"/>
      <c r="AU62" s="100"/>
      <c r="AV62" s="65"/>
      <c r="AW62" s="3"/>
    </row>
    <row r="63" spans="1:49">
      <c r="A63" s="98"/>
      <c r="B63" s="98"/>
      <c r="C63" s="98"/>
      <c r="D63" s="98"/>
      <c r="E63" s="89"/>
      <c r="F63" s="89"/>
      <c r="G63" s="89"/>
      <c r="H63" s="98"/>
      <c r="I63" s="98"/>
      <c r="J63" s="98"/>
      <c r="K63" s="89"/>
      <c r="L63" s="98"/>
      <c r="M63" s="89"/>
      <c r="N63" s="98"/>
      <c r="O63" s="98"/>
      <c r="P63" s="98"/>
      <c r="Q63" s="98"/>
      <c r="R63" s="98"/>
      <c r="S63" s="98"/>
      <c r="T63" s="98"/>
      <c r="U63" s="98"/>
      <c r="V63" s="98"/>
      <c r="W63" s="98"/>
      <c r="AH63" s="99"/>
      <c r="AL63" s="99"/>
      <c r="AN63" s="99"/>
      <c r="AQ63" s="6"/>
      <c r="AR63" s="6"/>
      <c r="AS63" s="6"/>
      <c r="AT63" s="89"/>
      <c r="AU63" s="100"/>
      <c r="AV63" s="65"/>
      <c r="AW63" s="3"/>
    </row>
    <row r="64" spans="1:49">
      <c r="A64" s="98"/>
      <c r="B64" s="98"/>
      <c r="C64" s="98"/>
      <c r="D64" s="98"/>
      <c r="E64" s="89"/>
      <c r="F64" s="89"/>
      <c r="G64" s="89"/>
      <c r="H64" s="98"/>
      <c r="I64" s="98"/>
      <c r="J64" s="98"/>
      <c r="K64" s="89"/>
      <c r="L64" s="98"/>
      <c r="M64" s="89"/>
      <c r="N64" s="98"/>
      <c r="O64" s="98"/>
      <c r="P64" s="98"/>
      <c r="Q64" s="98"/>
      <c r="R64" s="98"/>
      <c r="S64" s="98"/>
      <c r="T64" s="98"/>
      <c r="U64" s="98"/>
      <c r="V64" s="98"/>
      <c r="W64" s="98"/>
      <c r="AH64" s="99"/>
      <c r="AL64" s="99"/>
      <c r="AN64" s="99"/>
      <c r="AQ64" s="6"/>
      <c r="AR64" s="6"/>
      <c r="AS64" s="6"/>
      <c r="AT64" s="89"/>
      <c r="AU64" s="100"/>
      <c r="AV64" s="65"/>
      <c r="AW64" s="3"/>
    </row>
    <row r="65" spans="1:49">
      <c r="A65" s="98"/>
      <c r="B65" s="98"/>
      <c r="C65" s="98"/>
      <c r="D65" s="98"/>
      <c r="E65" s="89"/>
      <c r="F65" s="89"/>
      <c r="G65" s="89"/>
      <c r="H65" s="98"/>
      <c r="I65" s="98"/>
      <c r="J65" s="98"/>
      <c r="K65" s="89"/>
      <c r="L65" s="98"/>
      <c r="M65" s="89"/>
      <c r="N65" s="98"/>
      <c r="O65" s="98"/>
      <c r="P65" s="98"/>
      <c r="Q65" s="98"/>
      <c r="R65" s="98"/>
      <c r="S65" s="98"/>
      <c r="T65" s="98"/>
      <c r="U65" s="98"/>
      <c r="V65" s="98"/>
      <c r="W65" s="98"/>
      <c r="AH65" s="99"/>
      <c r="AL65" s="99"/>
      <c r="AN65" s="99"/>
      <c r="AQ65" s="6"/>
      <c r="AR65" s="6"/>
      <c r="AS65" s="6"/>
      <c r="AT65" s="89"/>
      <c r="AU65" s="100"/>
      <c r="AV65" s="65"/>
      <c r="AW65" s="3"/>
    </row>
    <row r="66" spans="1:49">
      <c r="A66" s="98"/>
      <c r="B66" s="98"/>
      <c r="C66" s="98"/>
      <c r="D66" s="98"/>
      <c r="E66" s="89"/>
      <c r="F66" s="89"/>
      <c r="G66" s="89"/>
      <c r="H66" s="98"/>
      <c r="I66" s="98"/>
      <c r="J66" s="98"/>
      <c r="K66" s="89"/>
      <c r="L66" s="98"/>
      <c r="M66" s="89"/>
      <c r="N66" s="98"/>
      <c r="O66" s="98"/>
      <c r="P66" s="98"/>
      <c r="Q66" s="98"/>
      <c r="R66" s="98"/>
      <c r="S66" s="98"/>
      <c r="T66" s="98"/>
      <c r="U66" s="98"/>
      <c r="V66" s="98"/>
      <c r="W66" s="98"/>
      <c r="AH66" s="99"/>
      <c r="AL66" s="99"/>
      <c r="AN66" s="99"/>
      <c r="AQ66" s="6"/>
      <c r="AR66" s="6"/>
      <c r="AS66" s="6"/>
      <c r="AT66" s="89"/>
      <c r="AU66" s="100"/>
      <c r="AV66" s="65"/>
      <c r="AW66" s="3"/>
    </row>
    <row r="67" spans="1:49">
      <c r="A67" s="98"/>
      <c r="B67" s="98"/>
      <c r="C67" s="98"/>
      <c r="D67" s="98"/>
      <c r="E67" s="89"/>
      <c r="F67" s="89"/>
      <c r="G67" s="89"/>
      <c r="H67" s="98"/>
      <c r="I67" s="98"/>
      <c r="J67" s="98"/>
      <c r="K67" s="89"/>
      <c r="L67" s="98"/>
      <c r="M67" s="89"/>
      <c r="N67" s="98"/>
      <c r="O67" s="98"/>
      <c r="P67" s="98"/>
      <c r="Q67" s="98"/>
      <c r="R67" s="98"/>
      <c r="S67" s="98"/>
      <c r="T67" s="98"/>
      <c r="U67" s="98"/>
      <c r="V67" s="98"/>
      <c r="W67" s="98"/>
      <c r="AH67" s="99"/>
      <c r="AL67" s="99"/>
      <c r="AN67" s="99"/>
      <c r="AQ67" s="6"/>
      <c r="AR67" s="6"/>
      <c r="AS67" s="6"/>
      <c r="AT67" s="89"/>
      <c r="AU67" s="100"/>
      <c r="AV67" s="65"/>
      <c r="AW67" s="3"/>
    </row>
    <row r="68" spans="1:49">
      <c r="A68" s="86"/>
      <c r="B68" s="86"/>
      <c r="C68" s="86"/>
      <c r="D68" s="86"/>
      <c r="E68" s="87"/>
      <c r="F68" s="87"/>
      <c r="G68" s="87"/>
      <c r="AH68" s="99"/>
      <c r="AL68" s="99"/>
      <c r="AN68" s="99"/>
      <c r="AQ68" s="6"/>
      <c r="AR68" s="6"/>
      <c r="AS68" s="6"/>
      <c r="AT68" s="89"/>
      <c r="AU68" s="100"/>
      <c r="AV68" s="65"/>
      <c r="AW68" s="3"/>
    </row>
    <row r="69" spans="1:49">
      <c r="A69" s="86"/>
      <c r="B69" s="86"/>
      <c r="C69" s="86"/>
      <c r="D69" s="86"/>
      <c r="E69" s="87"/>
      <c r="F69" s="87"/>
      <c r="G69" s="87"/>
      <c r="AH69" s="99"/>
      <c r="AL69" s="99"/>
      <c r="AN69" s="99"/>
      <c r="AQ69" s="6"/>
      <c r="AR69" s="6"/>
      <c r="AS69" s="6"/>
      <c r="AT69" s="89"/>
      <c r="AU69" s="100"/>
      <c r="AV69" s="65"/>
      <c r="AW69" s="3"/>
    </row>
    <row r="70" spans="1:49">
      <c r="A70" s="86"/>
      <c r="B70" s="86"/>
      <c r="C70" s="86"/>
      <c r="D70" s="86"/>
      <c r="E70" s="87"/>
      <c r="F70" s="87"/>
      <c r="G70" s="87"/>
      <c r="AH70" s="99"/>
      <c r="AL70" s="99"/>
      <c r="AN70" s="99"/>
      <c r="AQ70" s="6"/>
      <c r="AR70" s="6"/>
      <c r="AS70" s="6"/>
      <c r="AT70" s="89"/>
      <c r="AU70" s="100"/>
      <c r="AV70" s="65"/>
      <c r="AW70" s="3"/>
    </row>
    <row r="71" spans="1:49">
      <c r="A71" s="86"/>
      <c r="B71" s="86"/>
      <c r="C71" s="86"/>
      <c r="D71" s="86"/>
      <c r="E71" s="87"/>
      <c r="F71" s="87"/>
      <c r="G71" s="87"/>
      <c r="AH71" s="99"/>
      <c r="AL71" s="99"/>
      <c r="AN71" s="99"/>
      <c r="AQ71" s="6"/>
      <c r="AR71" s="6"/>
      <c r="AS71" s="6"/>
      <c r="AT71" s="89"/>
      <c r="AU71" s="100"/>
      <c r="AV71" s="65"/>
      <c r="AW71" s="3"/>
    </row>
    <row r="72" spans="1:49">
      <c r="A72" s="86"/>
      <c r="B72" s="86"/>
      <c r="C72" s="86"/>
      <c r="D72" s="86"/>
      <c r="E72" s="87"/>
      <c r="F72" s="87"/>
      <c r="G72" s="87"/>
      <c r="AH72" s="99"/>
      <c r="AL72" s="99"/>
      <c r="AN72" s="99"/>
      <c r="AQ72" s="6"/>
      <c r="AR72" s="6"/>
      <c r="AS72" s="6"/>
      <c r="AT72" s="89"/>
      <c r="AU72" s="100"/>
      <c r="AV72" s="65"/>
      <c r="AW72" s="3"/>
    </row>
    <row r="73" spans="1:49">
      <c r="A73" s="86"/>
      <c r="B73" s="86"/>
      <c r="C73" s="86"/>
      <c r="D73" s="86"/>
      <c r="E73" s="87"/>
      <c r="F73" s="87"/>
      <c r="G73" s="87"/>
      <c r="AH73" s="99"/>
      <c r="AL73" s="99"/>
      <c r="AN73" s="99"/>
      <c r="AQ73" s="6"/>
      <c r="AR73" s="6"/>
      <c r="AS73" s="6"/>
      <c r="AT73" s="89"/>
      <c r="AU73" s="100"/>
      <c r="AV73" s="65"/>
      <c r="AW73" s="3"/>
    </row>
    <row r="74" spans="1:49">
      <c r="A74" s="86"/>
      <c r="B74" s="86"/>
      <c r="C74" s="86"/>
      <c r="D74" s="86"/>
      <c r="E74" s="87"/>
      <c r="F74" s="87"/>
      <c r="G74" s="87"/>
      <c r="AH74" s="99"/>
      <c r="AL74" s="99"/>
      <c r="AN74" s="99"/>
      <c r="AQ74" s="6"/>
      <c r="AR74" s="6"/>
      <c r="AS74" s="6"/>
      <c r="AT74" s="89"/>
      <c r="AU74" s="100"/>
      <c r="AV74" s="65"/>
      <c r="AW74" s="3"/>
    </row>
    <row r="75" spans="1:49">
      <c r="A75" s="86"/>
      <c r="B75" s="86"/>
      <c r="C75" s="86"/>
      <c r="D75" s="86"/>
      <c r="E75" s="87"/>
      <c r="F75" s="87"/>
      <c r="G75" s="87"/>
      <c r="AH75" s="99"/>
      <c r="AL75" s="99"/>
      <c r="AN75" s="99"/>
      <c r="AQ75" s="6"/>
      <c r="AR75" s="6"/>
      <c r="AS75" s="6"/>
      <c r="AT75" s="89"/>
      <c r="AU75" s="100"/>
      <c r="AV75" s="65"/>
      <c r="AW75" s="3"/>
    </row>
    <row r="76" spans="1:49">
      <c r="A76" s="86"/>
      <c r="B76" s="86"/>
      <c r="C76" s="86"/>
      <c r="D76" s="86"/>
      <c r="E76" s="87"/>
      <c r="F76" s="87"/>
      <c r="G76" s="87"/>
      <c r="AH76" s="99"/>
      <c r="AL76" s="99"/>
      <c r="AN76" s="99"/>
      <c r="AQ76" s="6"/>
      <c r="AR76" s="6"/>
      <c r="AS76" s="6"/>
      <c r="AT76" s="89"/>
      <c r="AU76" s="100"/>
      <c r="AV76" s="65"/>
      <c r="AW76" s="3"/>
    </row>
    <row r="77" spans="1:49">
      <c r="A77" s="86"/>
      <c r="B77" s="86"/>
      <c r="C77" s="86"/>
      <c r="D77" s="86"/>
      <c r="E77" s="87"/>
      <c r="F77" s="87"/>
      <c r="G77" s="87"/>
      <c r="AH77" s="99"/>
      <c r="AL77" s="99"/>
      <c r="AN77" s="99"/>
      <c r="AQ77" s="6"/>
      <c r="AR77" s="6"/>
      <c r="AS77" s="6"/>
      <c r="AT77" s="89"/>
      <c r="AU77" s="100"/>
      <c r="AV77" s="65"/>
      <c r="AW77" s="3"/>
    </row>
    <row r="78" spans="1:49">
      <c r="A78" s="86"/>
      <c r="B78" s="86"/>
      <c r="C78" s="86"/>
      <c r="D78" s="86"/>
      <c r="E78" s="87"/>
      <c r="F78" s="87"/>
      <c r="G78" s="87"/>
      <c r="AH78" s="99"/>
      <c r="AL78" s="99"/>
      <c r="AN78" s="99"/>
      <c r="AQ78" s="6"/>
      <c r="AR78" s="6"/>
      <c r="AS78" s="6"/>
      <c r="AT78" s="89"/>
      <c r="AU78" s="100"/>
      <c r="AV78" s="65"/>
      <c r="AW78" s="3"/>
    </row>
    <row r="79" spans="1:49">
      <c r="A79" s="86"/>
      <c r="B79" s="86"/>
      <c r="C79" s="86"/>
      <c r="D79" s="86"/>
      <c r="E79" s="87"/>
      <c r="F79" s="87"/>
      <c r="G79" s="87"/>
      <c r="AH79" s="99"/>
      <c r="AL79" s="99"/>
      <c r="AN79" s="99"/>
      <c r="AQ79" s="6"/>
      <c r="AR79" s="6"/>
      <c r="AS79" s="6"/>
      <c r="AT79" s="89"/>
      <c r="AU79" s="100"/>
      <c r="AV79" s="65"/>
      <c r="AW79" s="3"/>
    </row>
    <row r="80" spans="1:49">
      <c r="A80" s="86"/>
      <c r="B80" s="86"/>
      <c r="C80" s="86"/>
      <c r="D80" s="86"/>
      <c r="E80" s="87"/>
      <c r="F80" s="87"/>
      <c r="G80" s="87"/>
      <c r="AH80" s="99"/>
      <c r="AL80" s="99"/>
      <c r="AN80" s="99"/>
      <c r="AQ80" s="6"/>
      <c r="AR80" s="6"/>
      <c r="AS80" s="6"/>
      <c r="AT80" s="89"/>
      <c r="AU80" s="100"/>
      <c r="AV80" s="65"/>
      <c r="AW80" s="3"/>
    </row>
    <row r="81" spans="1:49">
      <c r="A81" s="86"/>
      <c r="B81" s="86"/>
      <c r="C81" s="86"/>
      <c r="D81" s="86"/>
      <c r="E81" s="87"/>
      <c r="F81" s="87"/>
      <c r="G81" s="87"/>
      <c r="AH81" s="99"/>
      <c r="AL81" s="99"/>
      <c r="AN81" s="99"/>
      <c r="AQ81" s="6"/>
      <c r="AR81" s="6"/>
      <c r="AS81" s="6"/>
      <c r="AT81" s="89"/>
      <c r="AU81" s="100"/>
      <c r="AV81" s="65"/>
      <c r="AW81" s="3"/>
    </row>
    <row r="82" spans="1:49">
      <c r="A82" s="86"/>
      <c r="B82" s="86"/>
      <c r="C82" s="86"/>
      <c r="D82" s="86"/>
      <c r="E82" s="87"/>
      <c r="F82" s="87"/>
      <c r="G82" s="87"/>
      <c r="AH82" s="99"/>
      <c r="AL82" s="99"/>
      <c r="AN82" s="99"/>
      <c r="AQ82" s="6"/>
      <c r="AR82" s="6"/>
      <c r="AS82" s="6"/>
      <c r="AT82" s="89"/>
      <c r="AU82" s="100"/>
      <c r="AV82" s="65"/>
      <c r="AW82" s="3"/>
    </row>
    <row r="83" spans="1:49">
      <c r="A83" s="86"/>
      <c r="B83" s="86"/>
      <c r="C83" s="86"/>
      <c r="D83" s="86"/>
      <c r="E83" s="87"/>
      <c r="F83" s="87"/>
      <c r="G83" s="87"/>
      <c r="AH83" s="99"/>
      <c r="AL83" s="99"/>
      <c r="AN83" s="99"/>
      <c r="AQ83" s="6"/>
      <c r="AR83" s="6"/>
      <c r="AS83" s="6"/>
      <c r="AT83" s="89"/>
      <c r="AU83" s="100"/>
      <c r="AV83" s="65"/>
      <c r="AW83" s="3"/>
    </row>
    <row r="84" spans="1:49">
      <c r="A84" s="86"/>
      <c r="B84" s="86"/>
      <c r="C84" s="86"/>
      <c r="D84" s="86"/>
      <c r="E84" s="87"/>
      <c r="F84" s="87"/>
      <c r="G84" s="87"/>
      <c r="AH84" s="99"/>
      <c r="AL84" s="99"/>
      <c r="AN84" s="99"/>
      <c r="AQ84" s="6"/>
      <c r="AR84" s="6"/>
      <c r="AS84" s="6"/>
      <c r="AT84" s="89"/>
      <c r="AU84" s="100"/>
      <c r="AV84" s="65"/>
      <c r="AW84" s="3"/>
    </row>
    <row r="85" spans="1:49">
      <c r="A85" s="86"/>
      <c r="B85" s="86"/>
      <c r="C85" s="86"/>
      <c r="D85" s="86"/>
      <c r="E85" s="87"/>
      <c r="F85" s="87"/>
      <c r="G85" s="87"/>
      <c r="AH85" s="99"/>
      <c r="AL85" s="99"/>
      <c r="AN85" s="99"/>
      <c r="AQ85" s="6"/>
      <c r="AR85" s="6"/>
      <c r="AS85" s="6"/>
      <c r="AT85" s="89"/>
      <c r="AU85" s="100"/>
      <c r="AV85" s="65"/>
      <c r="AW85" s="3"/>
    </row>
    <row r="86" spans="1:49">
      <c r="A86" s="86"/>
      <c r="B86" s="86"/>
      <c r="C86" s="86"/>
      <c r="D86" s="86"/>
      <c r="E86" s="87"/>
      <c r="F86" s="87"/>
      <c r="G86" s="87"/>
      <c r="AH86" s="99"/>
      <c r="AL86" s="99"/>
      <c r="AN86" s="99"/>
      <c r="AQ86" s="6"/>
      <c r="AR86" s="6"/>
      <c r="AS86" s="6"/>
      <c r="AT86" s="89"/>
      <c r="AU86" s="100"/>
      <c r="AV86" s="65"/>
      <c r="AW86" s="3"/>
    </row>
    <row r="87" spans="1:49">
      <c r="A87" s="86"/>
      <c r="B87" s="86"/>
      <c r="C87" s="86"/>
      <c r="D87" s="86"/>
      <c r="E87" s="87"/>
      <c r="F87" s="87"/>
      <c r="G87" s="87"/>
      <c r="AH87" s="99"/>
      <c r="AL87" s="99"/>
      <c r="AN87" s="99"/>
      <c r="AQ87" s="6"/>
      <c r="AR87" s="6"/>
      <c r="AS87" s="6"/>
      <c r="AT87" s="89"/>
      <c r="AU87" s="100"/>
      <c r="AV87" s="65"/>
      <c r="AW87" s="3"/>
    </row>
    <row r="88" spans="1:49">
      <c r="A88" s="86"/>
      <c r="B88" s="86"/>
      <c r="C88" s="86"/>
      <c r="D88" s="86"/>
      <c r="E88" s="87"/>
      <c r="F88" s="87"/>
      <c r="G88" s="87"/>
      <c r="AH88" s="99"/>
      <c r="AL88" s="99"/>
      <c r="AN88" s="99"/>
      <c r="AQ88" s="6"/>
      <c r="AR88" s="6"/>
      <c r="AS88" s="6"/>
      <c r="AT88" s="89"/>
      <c r="AU88" s="100"/>
      <c r="AV88" s="65"/>
      <c r="AW88" s="3"/>
    </row>
    <row r="89" spans="1:49">
      <c r="A89" s="86"/>
      <c r="B89" s="86"/>
      <c r="C89" s="86"/>
      <c r="D89" s="86"/>
      <c r="E89" s="87"/>
      <c r="F89" s="87"/>
      <c r="G89" s="87"/>
      <c r="AH89" s="99"/>
      <c r="AL89" s="99"/>
      <c r="AN89" s="99"/>
      <c r="AQ89" s="6"/>
      <c r="AR89" s="6"/>
      <c r="AS89" s="6"/>
      <c r="AT89" s="89"/>
      <c r="AU89" s="100"/>
      <c r="AV89" s="65"/>
      <c r="AW89" s="3"/>
    </row>
    <row r="90" spans="1:49">
      <c r="A90" s="86"/>
      <c r="B90" s="86"/>
      <c r="C90" s="86"/>
      <c r="D90" s="86"/>
      <c r="E90" s="87"/>
      <c r="F90" s="87"/>
      <c r="G90" s="87"/>
      <c r="AH90" s="99"/>
      <c r="AL90" s="99"/>
      <c r="AN90" s="99"/>
      <c r="AQ90" s="6"/>
      <c r="AR90" s="6"/>
      <c r="AS90" s="6"/>
      <c r="AT90" s="89"/>
      <c r="AU90" s="100"/>
      <c r="AV90" s="65"/>
      <c r="AW90" s="3"/>
    </row>
    <row r="91" spans="1:49">
      <c r="A91" s="86"/>
      <c r="B91" s="86"/>
      <c r="C91" s="86"/>
      <c r="D91" s="86"/>
      <c r="E91" s="87"/>
      <c r="F91" s="87"/>
      <c r="G91" s="87"/>
      <c r="AH91" s="99"/>
      <c r="AL91" s="99"/>
      <c r="AN91" s="99"/>
      <c r="AQ91" s="6"/>
      <c r="AR91" s="6"/>
      <c r="AS91" s="6"/>
      <c r="AT91" s="89"/>
      <c r="AU91" s="100"/>
      <c r="AV91" s="65"/>
      <c r="AW91" s="3"/>
    </row>
    <row r="92" spans="1:49">
      <c r="A92" s="86"/>
      <c r="B92" s="86"/>
      <c r="C92" s="86"/>
      <c r="D92" s="86"/>
      <c r="E92" s="87"/>
      <c r="F92" s="87"/>
      <c r="G92" s="87"/>
      <c r="AH92" s="99"/>
      <c r="AL92" s="99"/>
      <c r="AN92" s="99"/>
      <c r="AQ92" s="6"/>
      <c r="AR92" s="6"/>
      <c r="AS92" s="6"/>
      <c r="AT92" s="89"/>
      <c r="AU92" s="100"/>
      <c r="AV92" s="65"/>
      <c r="AW92" s="3"/>
    </row>
    <row r="93" spans="1:49">
      <c r="A93" s="86"/>
      <c r="B93" s="86"/>
      <c r="C93" s="86"/>
      <c r="D93" s="86"/>
      <c r="E93" s="87"/>
      <c r="F93" s="87"/>
      <c r="G93" s="87"/>
      <c r="AH93" s="99"/>
      <c r="AL93" s="99"/>
      <c r="AN93" s="99"/>
      <c r="AQ93" s="6"/>
      <c r="AR93" s="6"/>
      <c r="AS93" s="6"/>
      <c r="AT93" s="89"/>
      <c r="AU93" s="100"/>
      <c r="AV93" s="65"/>
      <c r="AW93" s="3"/>
    </row>
    <row r="94" spans="1:49">
      <c r="A94" s="86"/>
      <c r="B94" s="86"/>
      <c r="C94" s="86"/>
      <c r="D94" s="86"/>
      <c r="E94" s="87"/>
      <c r="F94" s="87"/>
      <c r="G94" s="87"/>
      <c r="AH94" s="99"/>
      <c r="AL94" s="99"/>
      <c r="AN94" s="99"/>
      <c r="AQ94" s="6"/>
      <c r="AR94" s="6"/>
      <c r="AS94" s="6"/>
      <c r="AT94" s="89"/>
      <c r="AU94" s="100"/>
      <c r="AV94" s="65"/>
      <c r="AW94" s="3"/>
    </row>
    <row r="95" spans="1:49">
      <c r="A95" s="86"/>
      <c r="B95" s="86"/>
      <c r="C95" s="86"/>
      <c r="D95" s="86"/>
      <c r="E95" s="87"/>
      <c r="F95" s="87"/>
      <c r="G95" s="87"/>
      <c r="AH95" s="99"/>
      <c r="AL95" s="99"/>
      <c r="AN95" s="99"/>
      <c r="AQ95" s="6"/>
      <c r="AR95" s="6"/>
      <c r="AS95" s="6"/>
      <c r="AT95" s="89"/>
      <c r="AU95" s="100"/>
      <c r="AV95" s="65"/>
      <c r="AW95" s="3"/>
    </row>
    <row r="96" spans="1:49">
      <c r="A96" s="86"/>
      <c r="B96" s="86"/>
      <c r="C96" s="86"/>
      <c r="D96" s="86"/>
      <c r="E96" s="87"/>
      <c r="F96" s="87"/>
      <c r="G96" s="87"/>
      <c r="AH96" s="99"/>
      <c r="AL96" s="99"/>
      <c r="AN96" s="99"/>
      <c r="AQ96" s="6"/>
      <c r="AR96" s="6"/>
      <c r="AS96" s="6"/>
      <c r="AT96" s="89"/>
      <c r="AU96" s="100"/>
      <c r="AV96" s="65"/>
      <c r="AW96" s="3"/>
    </row>
    <row r="97" spans="1:49">
      <c r="A97" s="86"/>
      <c r="B97" s="86"/>
      <c r="C97" s="86"/>
      <c r="D97" s="86"/>
      <c r="E97" s="87"/>
      <c r="F97" s="87"/>
      <c r="G97" s="87"/>
      <c r="AH97" s="99"/>
      <c r="AL97" s="99"/>
      <c r="AN97" s="99"/>
      <c r="AQ97" s="6"/>
      <c r="AR97" s="6"/>
      <c r="AS97" s="6"/>
      <c r="AT97" s="89"/>
      <c r="AU97" s="100"/>
      <c r="AV97" s="65"/>
      <c r="AW97" s="3"/>
    </row>
    <row r="98" spans="1:49">
      <c r="A98" s="86"/>
      <c r="B98" s="86"/>
      <c r="C98" s="86"/>
      <c r="D98" s="86"/>
      <c r="E98" s="87"/>
      <c r="F98" s="87"/>
      <c r="G98" s="87"/>
      <c r="AH98" s="99"/>
      <c r="AL98" s="99"/>
      <c r="AN98" s="99"/>
      <c r="AQ98" s="6"/>
      <c r="AR98" s="6"/>
      <c r="AS98" s="6"/>
      <c r="AT98" s="89"/>
      <c r="AU98" s="100"/>
      <c r="AV98" s="65"/>
      <c r="AW98" s="3"/>
    </row>
    <row r="99" spans="1:49">
      <c r="A99" s="86"/>
      <c r="B99" s="86"/>
      <c r="C99" s="86"/>
      <c r="D99" s="86"/>
      <c r="E99" s="87"/>
      <c r="F99" s="87"/>
      <c r="G99" s="87"/>
      <c r="AH99" s="99"/>
      <c r="AL99" s="99"/>
      <c r="AN99" s="99"/>
      <c r="AQ99" s="6"/>
      <c r="AR99" s="6"/>
      <c r="AS99" s="6"/>
      <c r="AT99" s="89"/>
      <c r="AU99" s="100"/>
      <c r="AV99" s="65"/>
      <c r="AW99" s="3"/>
    </row>
    <row r="100" spans="1:49">
      <c r="A100" s="86"/>
      <c r="B100" s="86"/>
      <c r="C100" s="86"/>
      <c r="D100" s="86"/>
      <c r="E100" s="87"/>
      <c r="F100" s="87"/>
      <c r="G100" s="87"/>
      <c r="AH100" s="99"/>
      <c r="AL100" s="99"/>
      <c r="AN100" s="99"/>
      <c r="AQ100" s="6"/>
      <c r="AR100" s="6"/>
      <c r="AS100" s="6"/>
      <c r="AT100" s="89"/>
      <c r="AU100" s="100"/>
      <c r="AV100" s="65"/>
      <c r="AW100" s="3"/>
    </row>
    <row r="101" spans="1:49">
      <c r="A101" s="86"/>
      <c r="B101" s="86"/>
      <c r="C101" s="86"/>
      <c r="D101" s="86"/>
      <c r="E101" s="87"/>
      <c r="F101" s="87"/>
      <c r="G101" s="87"/>
      <c r="AH101" s="99"/>
      <c r="AL101" s="99"/>
      <c r="AN101" s="99"/>
      <c r="AQ101" s="6"/>
      <c r="AR101" s="6"/>
      <c r="AS101" s="6"/>
      <c r="AT101" s="89"/>
      <c r="AU101" s="100"/>
      <c r="AV101" s="65"/>
      <c r="AW101" s="3"/>
    </row>
    <row r="102" spans="1:49">
      <c r="A102" s="86"/>
      <c r="B102" s="86"/>
      <c r="C102" s="86"/>
      <c r="D102" s="86"/>
      <c r="E102" s="87"/>
      <c r="F102" s="87"/>
      <c r="G102" s="87"/>
      <c r="AH102" s="99"/>
      <c r="AL102" s="99"/>
      <c r="AN102" s="99"/>
      <c r="AQ102" s="6"/>
      <c r="AR102" s="6"/>
      <c r="AS102" s="6"/>
      <c r="AT102" s="89"/>
      <c r="AU102" s="100"/>
      <c r="AV102" s="65"/>
      <c r="AW102" s="3"/>
    </row>
    <row r="103" spans="1:49">
      <c r="A103" s="86"/>
      <c r="B103" s="86"/>
      <c r="C103" s="86"/>
      <c r="D103" s="86"/>
      <c r="E103" s="87"/>
      <c r="F103" s="87"/>
      <c r="G103" s="87"/>
      <c r="AH103" s="99"/>
      <c r="AL103" s="99"/>
      <c r="AN103" s="99"/>
      <c r="AQ103" s="6"/>
      <c r="AR103" s="6"/>
      <c r="AS103" s="6"/>
      <c r="AT103" s="89"/>
      <c r="AU103" s="100"/>
      <c r="AV103" s="65"/>
      <c r="AW103" s="3"/>
    </row>
    <row r="104" spans="1:49">
      <c r="A104" s="86"/>
      <c r="B104" s="86"/>
      <c r="C104" s="86"/>
      <c r="D104" s="86"/>
      <c r="E104" s="87"/>
      <c r="F104" s="87"/>
      <c r="G104" s="87"/>
      <c r="AH104" s="99"/>
      <c r="AL104" s="99"/>
      <c r="AN104" s="99"/>
      <c r="AQ104" s="6"/>
      <c r="AR104" s="6"/>
      <c r="AS104" s="6"/>
      <c r="AT104" s="89"/>
      <c r="AU104" s="100"/>
      <c r="AV104" s="65"/>
      <c r="AW104" s="3"/>
    </row>
    <row r="105" spans="1:49">
      <c r="A105" s="86"/>
      <c r="B105" s="86"/>
      <c r="C105" s="86"/>
      <c r="D105" s="86"/>
      <c r="E105" s="87"/>
      <c r="F105" s="87"/>
      <c r="G105" s="87"/>
      <c r="AH105" s="99"/>
      <c r="AL105" s="99"/>
      <c r="AN105" s="99"/>
      <c r="AQ105" s="6"/>
      <c r="AR105" s="6"/>
      <c r="AS105" s="6"/>
      <c r="AT105" s="89"/>
      <c r="AU105" s="100"/>
      <c r="AV105" s="65"/>
      <c r="AW105" s="3"/>
    </row>
    <row r="106" spans="1:49">
      <c r="A106" s="86"/>
      <c r="B106" s="86"/>
      <c r="C106" s="86"/>
      <c r="D106" s="86"/>
      <c r="E106" s="87"/>
      <c r="F106" s="87"/>
      <c r="G106" s="87"/>
      <c r="AH106" s="99"/>
      <c r="AL106" s="99"/>
      <c r="AN106" s="99"/>
      <c r="AQ106" s="6"/>
      <c r="AR106" s="6"/>
      <c r="AS106" s="6"/>
      <c r="AT106" s="89"/>
      <c r="AU106" s="100"/>
      <c r="AV106" s="65"/>
      <c r="AW106" s="3"/>
    </row>
    <row r="107" spans="1:49">
      <c r="A107" s="86"/>
      <c r="B107" s="86"/>
      <c r="C107" s="86"/>
      <c r="D107" s="86"/>
      <c r="E107" s="87"/>
      <c r="F107" s="87"/>
      <c r="G107" s="87"/>
      <c r="AH107" s="99"/>
      <c r="AL107" s="99"/>
      <c r="AN107" s="99"/>
      <c r="AQ107" s="6"/>
      <c r="AR107" s="6"/>
      <c r="AS107" s="6"/>
      <c r="AT107" s="89"/>
      <c r="AU107" s="100"/>
      <c r="AV107" s="65"/>
      <c r="AW107" s="3"/>
    </row>
    <row r="108" spans="1:49">
      <c r="A108" s="86"/>
      <c r="B108" s="86"/>
      <c r="C108" s="86"/>
      <c r="D108" s="86"/>
      <c r="E108" s="87"/>
      <c r="F108" s="87"/>
      <c r="G108" s="87"/>
      <c r="AH108" s="99"/>
      <c r="AL108" s="99"/>
      <c r="AN108" s="99"/>
      <c r="AQ108" s="6"/>
      <c r="AR108" s="6"/>
      <c r="AS108" s="6"/>
      <c r="AT108" s="89"/>
      <c r="AU108" s="100"/>
      <c r="AV108" s="65"/>
      <c r="AW108" s="3"/>
    </row>
    <row r="109" spans="1:49">
      <c r="A109" s="86"/>
      <c r="B109" s="86"/>
      <c r="C109" s="86"/>
      <c r="D109" s="86"/>
      <c r="E109" s="87"/>
      <c r="F109" s="87"/>
      <c r="G109" s="87"/>
      <c r="AH109" s="99"/>
      <c r="AL109" s="99"/>
      <c r="AN109" s="99"/>
      <c r="AQ109" s="6"/>
      <c r="AR109" s="6"/>
      <c r="AS109" s="6"/>
      <c r="AT109" s="89"/>
      <c r="AU109" s="100"/>
      <c r="AV109" s="65"/>
      <c r="AW109" s="3"/>
    </row>
    <row r="110" spans="1:49">
      <c r="A110" s="86"/>
      <c r="B110" s="86"/>
      <c r="C110" s="86"/>
      <c r="D110" s="86"/>
      <c r="E110" s="87"/>
      <c r="F110" s="87"/>
      <c r="G110" s="87"/>
      <c r="AH110" s="99"/>
      <c r="AL110" s="99"/>
      <c r="AN110" s="99"/>
      <c r="AQ110" s="6"/>
      <c r="AR110" s="6"/>
      <c r="AS110" s="6"/>
      <c r="AT110" s="89"/>
      <c r="AU110" s="100"/>
      <c r="AV110" s="65"/>
      <c r="AW110" s="3"/>
    </row>
    <row r="111" spans="1:49">
      <c r="A111" s="86"/>
      <c r="B111" s="86"/>
      <c r="C111" s="86"/>
      <c r="D111" s="86"/>
      <c r="E111" s="87"/>
      <c r="F111" s="87"/>
      <c r="G111" s="87"/>
      <c r="AH111" s="99"/>
      <c r="AL111" s="99"/>
      <c r="AN111" s="99"/>
      <c r="AQ111" s="6"/>
      <c r="AR111" s="6"/>
      <c r="AS111" s="6"/>
      <c r="AT111" s="89"/>
      <c r="AU111" s="100"/>
      <c r="AV111" s="65"/>
      <c r="AW111" s="3"/>
    </row>
    <row r="112" spans="1:49">
      <c r="A112" s="86"/>
      <c r="B112" s="86"/>
      <c r="C112" s="86"/>
      <c r="D112" s="86"/>
      <c r="E112" s="87"/>
      <c r="F112" s="87"/>
      <c r="G112" s="87"/>
      <c r="AH112" s="99"/>
      <c r="AL112" s="99"/>
      <c r="AN112" s="99"/>
      <c r="AQ112" s="6"/>
      <c r="AR112" s="6"/>
      <c r="AS112" s="6"/>
      <c r="AT112" s="89"/>
      <c r="AU112" s="100"/>
      <c r="AV112" s="65"/>
      <c r="AW112" s="3"/>
    </row>
    <row r="113" spans="1:49">
      <c r="A113" s="86"/>
      <c r="B113" s="86"/>
      <c r="C113" s="86"/>
      <c r="D113" s="86"/>
      <c r="E113" s="87"/>
      <c r="F113" s="87"/>
      <c r="G113" s="87"/>
      <c r="AH113" s="99"/>
      <c r="AL113" s="99"/>
      <c r="AN113" s="99"/>
      <c r="AQ113" s="6"/>
      <c r="AR113" s="6"/>
      <c r="AS113" s="6"/>
      <c r="AT113" s="89"/>
      <c r="AU113" s="100"/>
      <c r="AV113" s="65"/>
      <c r="AW113" s="3"/>
    </row>
    <row r="114" spans="1:49">
      <c r="A114" s="86"/>
      <c r="B114" s="86"/>
      <c r="C114" s="86"/>
      <c r="D114" s="86"/>
      <c r="E114" s="87"/>
      <c r="F114" s="87"/>
      <c r="G114" s="87"/>
      <c r="AH114" s="99"/>
      <c r="AL114" s="99"/>
      <c r="AN114" s="99"/>
      <c r="AQ114" s="6"/>
      <c r="AR114" s="6"/>
      <c r="AS114" s="6"/>
      <c r="AT114" s="89"/>
      <c r="AU114" s="100"/>
      <c r="AV114" s="65"/>
      <c r="AW114" s="3"/>
    </row>
    <row r="115" spans="1:49">
      <c r="A115" s="86"/>
      <c r="B115" s="86"/>
      <c r="C115" s="86"/>
      <c r="D115" s="86"/>
      <c r="E115" s="87"/>
      <c r="F115" s="87"/>
      <c r="G115" s="87"/>
      <c r="AH115" s="99"/>
      <c r="AL115" s="99"/>
      <c r="AN115" s="99"/>
      <c r="AQ115" s="6"/>
      <c r="AR115" s="6"/>
      <c r="AS115" s="6"/>
      <c r="AT115" s="89"/>
      <c r="AU115" s="100"/>
      <c r="AV115" s="65"/>
      <c r="AW115" s="3"/>
    </row>
    <row r="116" spans="1:49">
      <c r="A116" s="86"/>
      <c r="B116" s="86"/>
      <c r="C116" s="86"/>
      <c r="D116" s="86"/>
      <c r="E116" s="87"/>
      <c r="F116" s="87"/>
      <c r="G116" s="87"/>
      <c r="AH116" s="99"/>
      <c r="AL116" s="99"/>
      <c r="AN116" s="99"/>
      <c r="AQ116" s="6"/>
      <c r="AR116" s="6"/>
      <c r="AS116" s="6"/>
      <c r="AT116" s="89"/>
      <c r="AU116" s="100"/>
      <c r="AV116" s="65"/>
      <c r="AW116" s="3"/>
    </row>
    <row r="117" spans="1:49">
      <c r="A117" s="86"/>
      <c r="B117" s="86"/>
      <c r="C117" s="86"/>
      <c r="D117" s="86"/>
      <c r="E117" s="87"/>
      <c r="F117" s="87"/>
      <c r="G117" s="87"/>
      <c r="AH117" s="99"/>
      <c r="AL117" s="99"/>
      <c r="AN117" s="99"/>
      <c r="AQ117" s="6"/>
      <c r="AR117" s="6"/>
      <c r="AS117" s="6"/>
      <c r="AT117" s="89"/>
      <c r="AU117" s="100"/>
      <c r="AV117" s="65"/>
      <c r="AW117" s="3"/>
    </row>
    <row r="118" spans="1:49">
      <c r="A118" s="86"/>
      <c r="B118" s="86"/>
      <c r="C118" s="86"/>
      <c r="D118" s="86"/>
      <c r="E118" s="87"/>
      <c r="F118" s="87"/>
      <c r="G118" s="87"/>
      <c r="AH118" s="99"/>
      <c r="AL118" s="99"/>
      <c r="AN118" s="99"/>
      <c r="AQ118" s="6"/>
      <c r="AR118" s="6"/>
      <c r="AS118" s="6"/>
      <c r="AT118" s="89"/>
      <c r="AU118" s="100"/>
      <c r="AV118" s="65"/>
      <c r="AW118" s="3"/>
    </row>
    <row r="119" spans="1:49">
      <c r="A119" s="86"/>
      <c r="B119" s="86"/>
      <c r="C119" s="86"/>
      <c r="D119" s="86"/>
      <c r="E119" s="87"/>
      <c r="F119" s="87"/>
      <c r="G119" s="87"/>
      <c r="AH119" s="99"/>
      <c r="AL119" s="99"/>
      <c r="AN119" s="99"/>
      <c r="AQ119" s="6"/>
      <c r="AR119" s="6"/>
      <c r="AS119" s="6"/>
      <c r="AT119" s="89"/>
      <c r="AU119" s="100"/>
      <c r="AV119" s="65"/>
      <c r="AW119" s="3"/>
    </row>
    <row r="120" spans="1:49">
      <c r="A120" s="86"/>
      <c r="B120" s="86"/>
      <c r="C120" s="86"/>
      <c r="D120" s="86"/>
      <c r="E120" s="87"/>
      <c r="F120" s="87"/>
      <c r="G120" s="87"/>
      <c r="AH120" s="99"/>
      <c r="AL120" s="99"/>
      <c r="AN120" s="99"/>
      <c r="AQ120" s="6"/>
      <c r="AR120" s="6"/>
      <c r="AS120" s="6"/>
      <c r="AT120" s="89"/>
      <c r="AU120" s="100"/>
      <c r="AV120" s="65"/>
      <c r="AW120" s="3"/>
    </row>
    <row r="121" spans="1:49">
      <c r="A121" s="86"/>
      <c r="B121" s="86"/>
      <c r="C121" s="86"/>
      <c r="D121" s="86"/>
      <c r="E121" s="87"/>
      <c r="F121" s="87"/>
      <c r="G121" s="87"/>
      <c r="AH121" s="99"/>
      <c r="AL121" s="99"/>
      <c r="AN121" s="99"/>
      <c r="AQ121" s="6"/>
      <c r="AR121" s="6"/>
      <c r="AS121" s="6"/>
      <c r="AT121" s="89"/>
      <c r="AU121" s="100"/>
      <c r="AV121" s="65"/>
      <c r="AW121" s="3"/>
    </row>
    <row r="122" spans="1:49">
      <c r="A122" s="86"/>
      <c r="B122" s="86"/>
      <c r="C122" s="86"/>
      <c r="D122" s="86"/>
      <c r="E122" s="87"/>
      <c r="F122" s="87"/>
      <c r="G122" s="87"/>
      <c r="AH122" s="99"/>
      <c r="AL122" s="99"/>
      <c r="AN122" s="99"/>
      <c r="AQ122" s="6"/>
      <c r="AR122" s="6"/>
      <c r="AS122" s="6"/>
      <c r="AT122" s="89"/>
      <c r="AU122" s="100"/>
      <c r="AV122" s="65"/>
      <c r="AW122" s="3"/>
    </row>
    <row r="123" spans="1:49">
      <c r="A123" s="86"/>
      <c r="B123" s="86"/>
      <c r="C123" s="86"/>
      <c r="D123" s="86"/>
      <c r="E123" s="87"/>
      <c r="F123" s="87"/>
      <c r="G123" s="87"/>
      <c r="AH123" s="99"/>
      <c r="AL123" s="99"/>
      <c r="AN123" s="99"/>
      <c r="AQ123" s="6"/>
      <c r="AR123" s="6"/>
      <c r="AS123" s="6"/>
      <c r="AT123" s="89"/>
      <c r="AU123" s="100"/>
      <c r="AV123" s="65"/>
      <c r="AW123" s="3"/>
    </row>
    <row r="124" spans="1:49">
      <c r="A124" s="86"/>
      <c r="B124" s="86"/>
      <c r="C124" s="86"/>
      <c r="D124" s="86"/>
      <c r="E124" s="87"/>
      <c r="F124" s="87"/>
      <c r="G124" s="87"/>
      <c r="AH124" s="99"/>
      <c r="AL124" s="99"/>
      <c r="AN124" s="99"/>
      <c r="AQ124" s="6"/>
      <c r="AR124" s="6"/>
      <c r="AS124" s="6"/>
      <c r="AT124" s="89"/>
      <c r="AU124" s="100"/>
      <c r="AV124" s="65"/>
      <c r="AW124" s="3"/>
    </row>
    <row r="125" spans="1:49">
      <c r="A125" s="86"/>
      <c r="B125" s="86"/>
      <c r="C125" s="86"/>
      <c r="D125" s="86"/>
      <c r="E125" s="87"/>
      <c r="F125" s="87"/>
      <c r="G125" s="87"/>
      <c r="AH125" s="99"/>
      <c r="AL125" s="99"/>
      <c r="AN125" s="99"/>
      <c r="AQ125" s="6"/>
      <c r="AR125" s="6"/>
      <c r="AS125" s="6"/>
      <c r="AT125" s="89"/>
      <c r="AU125" s="100"/>
      <c r="AV125" s="65"/>
      <c r="AW125" s="3"/>
    </row>
    <row r="126" spans="1:49">
      <c r="A126" s="86"/>
      <c r="B126" s="86"/>
      <c r="C126" s="86"/>
      <c r="D126" s="86"/>
      <c r="E126" s="87"/>
      <c r="F126" s="87"/>
      <c r="G126" s="87"/>
      <c r="AH126" s="99"/>
      <c r="AL126" s="99"/>
      <c r="AN126" s="99"/>
      <c r="AQ126" s="6"/>
      <c r="AR126" s="6"/>
      <c r="AS126" s="6"/>
      <c r="AT126" s="89"/>
      <c r="AU126" s="100"/>
      <c r="AV126" s="65"/>
      <c r="AW126" s="3"/>
    </row>
    <row r="127" spans="1:49">
      <c r="A127" s="86"/>
      <c r="B127" s="86"/>
      <c r="C127" s="86"/>
      <c r="D127" s="86"/>
      <c r="E127" s="87"/>
      <c r="F127" s="87"/>
      <c r="G127" s="87"/>
      <c r="AH127" s="99"/>
      <c r="AL127" s="99"/>
      <c r="AN127" s="99"/>
      <c r="AQ127" s="6"/>
      <c r="AR127" s="6"/>
      <c r="AS127" s="6"/>
      <c r="AT127" s="89"/>
      <c r="AU127" s="100"/>
      <c r="AV127" s="65"/>
      <c r="AW127" s="3"/>
    </row>
    <row r="128" spans="1:49">
      <c r="A128" s="86"/>
      <c r="B128" s="86"/>
      <c r="C128" s="86"/>
      <c r="D128" s="86"/>
      <c r="E128" s="87"/>
      <c r="F128" s="87"/>
      <c r="G128" s="87"/>
      <c r="AH128" s="99"/>
      <c r="AL128" s="99"/>
      <c r="AN128" s="99"/>
      <c r="AQ128" s="6"/>
      <c r="AR128" s="6"/>
      <c r="AS128" s="6"/>
      <c r="AT128" s="89"/>
      <c r="AU128" s="100"/>
      <c r="AV128" s="65"/>
      <c r="AW128" s="3"/>
    </row>
    <row r="129" spans="1:49">
      <c r="A129" s="86"/>
      <c r="B129" s="86"/>
      <c r="C129" s="86"/>
      <c r="D129" s="86"/>
      <c r="E129" s="87"/>
      <c r="F129" s="87"/>
      <c r="G129" s="87"/>
      <c r="AH129" s="99"/>
      <c r="AL129" s="99"/>
      <c r="AN129" s="99"/>
      <c r="AQ129" s="6"/>
      <c r="AR129" s="6"/>
      <c r="AS129" s="6"/>
      <c r="AT129" s="89"/>
      <c r="AU129" s="100"/>
      <c r="AV129" s="65"/>
      <c r="AW129" s="3"/>
    </row>
    <row r="130" spans="1:49">
      <c r="A130" s="86"/>
      <c r="B130" s="86"/>
      <c r="C130" s="86"/>
      <c r="D130" s="86"/>
      <c r="E130" s="87"/>
      <c r="F130" s="87"/>
      <c r="G130" s="87"/>
      <c r="AH130" s="99"/>
      <c r="AL130" s="99"/>
      <c r="AN130" s="99"/>
      <c r="AQ130" s="6"/>
      <c r="AR130" s="6"/>
      <c r="AS130" s="6"/>
      <c r="AT130" s="89"/>
      <c r="AU130" s="100"/>
      <c r="AV130" s="65"/>
      <c r="AW130" s="3"/>
    </row>
    <row r="131" spans="1:49">
      <c r="A131" s="86"/>
      <c r="B131" s="86"/>
      <c r="C131" s="86"/>
      <c r="D131" s="86"/>
      <c r="E131" s="87"/>
      <c r="F131" s="87"/>
      <c r="G131" s="87"/>
      <c r="AH131" s="99"/>
      <c r="AL131" s="99"/>
      <c r="AN131" s="99"/>
      <c r="AQ131" s="6"/>
      <c r="AR131" s="6"/>
      <c r="AS131" s="6"/>
      <c r="AT131" s="89"/>
      <c r="AU131" s="100"/>
      <c r="AV131" s="65"/>
      <c r="AW131" s="3"/>
    </row>
    <row r="132" spans="1:49">
      <c r="A132" s="86"/>
      <c r="B132" s="86"/>
      <c r="C132" s="86"/>
      <c r="D132" s="86"/>
      <c r="E132" s="87"/>
      <c r="F132" s="87"/>
      <c r="G132" s="87"/>
      <c r="AH132" s="99"/>
      <c r="AL132" s="99"/>
      <c r="AN132" s="99"/>
      <c r="AQ132" s="6"/>
      <c r="AR132" s="6"/>
      <c r="AS132" s="6"/>
      <c r="AT132" s="89"/>
      <c r="AU132" s="100"/>
      <c r="AV132" s="65"/>
      <c r="AW132" s="3"/>
    </row>
    <row r="133" spans="1:49">
      <c r="A133" s="86"/>
      <c r="B133" s="86"/>
      <c r="C133" s="86"/>
      <c r="D133" s="86"/>
      <c r="E133" s="87"/>
      <c r="F133" s="87"/>
      <c r="G133" s="87"/>
      <c r="AH133" s="99"/>
      <c r="AL133" s="99"/>
      <c r="AN133" s="99"/>
      <c r="AQ133" s="6"/>
      <c r="AR133" s="6"/>
      <c r="AS133" s="6"/>
      <c r="AT133" s="89"/>
      <c r="AU133" s="100"/>
      <c r="AV133" s="65"/>
      <c r="AW133" s="3"/>
    </row>
    <row r="134" spans="1:49">
      <c r="A134" s="86"/>
      <c r="B134" s="86"/>
      <c r="C134" s="86"/>
      <c r="D134" s="86"/>
      <c r="E134" s="87"/>
      <c r="F134" s="87"/>
      <c r="G134" s="87"/>
      <c r="AH134" s="99"/>
      <c r="AL134" s="99"/>
      <c r="AN134" s="99"/>
      <c r="AQ134" s="6"/>
      <c r="AR134" s="6"/>
      <c r="AS134" s="6"/>
      <c r="AT134" s="89"/>
      <c r="AU134" s="100"/>
      <c r="AV134" s="65"/>
      <c r="AW134" s="3"/>
    </row>
    <row r="135" spans="1:49">
      <c r="A135" s="86"/>
      <c r="B135" s="86"/>
      <c r="C135" s="86"/>
      <c r="D135" s="86"/>
      <c r="E135" s="87"/>
      <c r="F135" s="87"/>
      <c r="G135" s="87"/>
      <c r="AH135" s="99"/>
      <c r="AL135" s="99"/>
      <c r="AN135" s="99"/>
      <c r="AQ135" s="6"/>
      <c r="AR135" s="6"/>
      <c r="AS135" s="6"/>
      <c r="AT135" s="89"/>
      <c r="AU135" s="100"/>
      <c r="AV135" s="65"/>
      <c r="AW135" s="3"/>
    </row>
    <row r="136" spans="1:49">
      <c r="A136" s="86"/>
      <c r="B136" s="86"/>
      <c r="C136" s="86"/>
      <c r="D136" s="86"/>
      <c r="E136" s="87"/>
      <c r="F136" s="87"/>
      <c r="G136" s="87"/>
      <c r="AH136" s="99"/>
      <c r="AL136" s="99"/>
      <c r="AN136" s="99"/>
      <c r="AQ136" s="6"/>
      <c r="AR136" s="6"/>
      <c r="AS136" s="6"/>
      <c r="AT136" s="89"/>
      <c r="AU136" s="100"/>
      <c r="AV136" s="65"/>
      <c r="AW136" s="3"/>
    </row>
    <row r="137" spans="1:49">
      <c r="A137" s="86"/>
      <c r="B137" s="86"/>
      <c r="C137" s="86"/>
      <c r="D137" s="86"/>
      <c r="E137" s="87"/>
      <c r="F137" s="87"/>
      <c r="G137" s="87"/>
      <c r="AH137" s="99"/>
      <c r="AL137" s="99"/>
      <c r="AN137" s="99"/>
      <c r="AQ137" s="6"/>
      <c r="AR137" s="6"/>
      <c r="AS137" s="6"/>
      <c r="AT137" s="89"/>
      <c r="AU137" s="100"/>
      <c r="AV137" s="65"/>
      <c r="AW137" s="3"/>
    </row>
    <row r="138" spans="1:49">
      <c r="A138" s="86"/>
      <c r="B138" s="86"/>
      <c r="C138" s="86"/>
      <c r="D138" s="86"/>
      <c r="E138" s="87"/>
      <c r="F138" s="87"/>
      <c r="G138" s="87"/>
      <c r="AH138" s="99"/>
      <c r="AL138" s="99"/>
      <c r="AN138" s="99"/>
      <c r="AQ138" s="6"/>
      <c r="AR138" s="6"/>
      <c r="AS138" s="6"/>
      <c r="AT138" s="89"/>
      <c r="AU138" s="100"/>
      <c r="AV138" s="65"/>
      <c r="AW138" s="3"/>
    </row>
    <row r="139" spans="1:49">
      <c r="A139" s="86"/>
      <c r="B139" s="86"/>
      <c r="C139" s="86"/>
      <c r="D139" s="86"/>
      <c r="E139" s="87"/>
      <c r="F139" s="87"/>
      <c r="G139" s="87"/>
      <c r="AH139" s="99"/>
      <c r="AL139" s="99"/>
      <c r="AN139" s="99"/>
      <c r="AQ139" s="6"/>
      <c r="AR139" s="6"/>
      <c r="AS139" s="6"/>
      <c r="AT139" s="89"/>
      <c r="AU139" s="100"/>
      <c r="AV139" s="65"/>
      <c r="AW139" s="3"/>
    </row>
    <row r="140" spans="1:49">
      <c r="A140" s="86"/>
      <c r="B140" s="86"/>
      <c r="C140" s="86"/>
      <c r="D140" s="86"/>
      <c r="E140" s="87"/>
      <c r="F140" s="87"/>
      <c r="G140" s="87"/>
      <c r="AH140" s="99"/>
      <c r="AL140" s="99"/>
      <c r="AN140" s="99"/>
      <c r="AQ140" s="6"/>
      <c r="AR140" s="6"/>
      <c r="AS140" s="6"/>
      <c r="AT140" s="89"/>
      <c r="AU140" s="100"/>
      <c r="AV140" s="65"/>
      <c r="AW140" s="3"/>
    </row>
    <row r="141" spans="1:49">
      <c r="A141" s="86"/>
      <c r="B141" s="86"/>
      <c r="C141" s="86"/>
      <c r="D141" s="86"/>
      <c r="E141" s="87"/>
      <c r="F141" s="87"/>
      <c r="G141" s="87"/>
      <c r="AH141" s="99"/>
      <c r="AL141" s="99"/>
      <c r="AN141" s="99"/>
      <c r="AQ141" s="6"/>
      <c r="AR141" s="6"/>
      <c r="AS141" s="6"/>
      <c r="AT141" s="89"/>
      <c r="AU141" s="100"/>
      <c r="AV141" s="65"/>
      <c r="AW141" s="3"/>
    </row>
    <row r="142" spans="1:49">
      <c r="A142" s="86"/>
      <c r="B142" s="86"/>
      <c r="C142" s="86"/>
      <c r="D142" s="86"/>
      <c r="E142" s="87"/>
      <c r="F142" s="87"/>
      <c r="G142" s="87"/>
      <c r="AH142" s="99"/>
      <c r="AL142" s="99"/>
      <c r="AN142" s="99"/>
      <c r="AQ142" s="6"/>
      <c r="AR142" s="6"/>
      <c r="AS142" s="6"/>
      <c r="AT142" s="89"/>
      <c r="AU142" s="100"/>
      <c r="AV142" s="65"/>
      <c r="AW142" s="3"/>
    </row>
    <row r="143" spans="1:49">
      <c r="A143" s="86"/>
      <c r="B143" s="86"/>
      <c r="C143" s="86"/>
      <c r="D143" s="86"/>
      <c r="E143" s="87"/>
      <c r="F143" s="87"/>
      <c r="G143" s="87"/>
      <c r="AH143" s="99"/>
      <c r="AL143" s="99"/>
      <c r="AN143" s="99"/>
      <c r="AQ143" s="6"/>
      <c r="AR143" s="6"/>
      <c r="AS143" s="6"/>
      <c r="AT143" s="89"/>
      <c r="AU143" s="100"/>
      <c r="AV143" s="65"/>
      <c r="AW143" s="3"/>
    </row>
    <row r="144" spans="1:49">
      <c r="A144" s="86"/>
      <c r="B144" s="86"/>
      <c r="C144" s="86"/>
      <c r="D144" s="86"/>
      <c r="E144" s="87"/>
      <c r="F144" s="87"/>
      <c r="G144" s="87"/>
      <c r="AH144" s="99"/>
      <c r="AL144" s="99"/>
      <c r="AN144" s="99"/>
      <c r="AQ144" s="6"/>
      <c r="AR144" s="6"/>
      <c r="AS144" s="6"/>
      <c r="AT144" s="89"/>
      <c r="AU144" s="100"/>
      <c r="AV144" s="65"/>
      <c r="AW144" s="3"/>
    </row>
    <row r="145" spans="1:49">
      <c r="A145" s="86"/>
      <c r="B145" s="86"/>
      <c r="C145" s="86"/>
      <c r="D145" s="86"/>
      <c r="E145" s="87"/>
      <c r="F145" s="87"/>
      <c r="G145" s="87"/>
      <c r="AH145" s="99"/>
      <c r="AL145" s="99"/>
      <c r="AN145" s="99"/>
      <c r="AQ145" s="6"/>
      <c r="AR145" s="6"/>
      <c r="AS145" s="6"/>
      <c r="AT145" s="89"/>
      <c r="AU145" s="100"/>
      <c r="AV145" s="65"/>
      <c r="AW145" s="3"/>
    </row>
    <row r="146" spans="1:49">
      <c r="A146" s="86"/>
      <c r="B146" s="86"/>
      <c r="C146" s="86"/>
      <c r="D146" s="86"/>
      <c r="E146" s="87"/>
      <c r="F146" s="87"/>
      <c r="G146" s="87"/>
      <c r="AH146" s="99"/>
      <c r="AL146" s="99"/>
      <c r="AN146" s="99"/>
      <c r="AQ146" s="6"/>
      <c r="AR146" s="6"/>
      <c r="AS146" s="6"/>
      <c r="AT146" s="89"/>
      <c r="AU146" s="100"/>
      <c r="AV146" s="65"/>
      <c r="AW146" s="3"/>
    </row>
    <row r="147" spans="1:49">
      <c r="A147" s="86"/>
      <c r="B147" s="86"/>
      <c r="C147" s="86"/>
      <c r="D147" s="86"/>
      <c r="E147" s="87"/>
      <c r="F147" s="87"/>
      <c r="G147" s="87"/>
      <c r="AH147" s="99"/>
      <c r="AL147" s="99"/>
      <c r="AN147" s="99"/>
      <c r="AQ147" s="6"/>
      <c r="AR147" s="6"/>
      <c r="AS147" s="6"/>
      <c r="AT147" s="89"/>
      <c r="AU147" s="100"/>
      <c r="AV147" s="65"/>
      <c r="AW147" s="3"/>
    </row>
    <row r="148" spans="1:49">
      <c r="A148" s="86"/>
      <c r="B148" s="86"/>
      <c r="C148" s="86"/>
      <c r="D148" s="86"/>
      <c r="E148" s="87"/>
      <c r="F148" s="87"/>
      <c r="G148" s="87"/>
      <c r="AH148" s="99"/>
      <c r="AL148" s="99"/>
      <c r="AN148" s="99"/>
      <c r="AQ148" s="6"/>
      <c r="AR148" s="6"/>
      <c r="AS148" s="6"/>
      <c r="AT148" s="89"/>
      <c r="AU148" s="100"/>
      <c r="AV148" s="65"/>
      <c r="AW148" s="3"/>
    </row>
    <row r="149" spans="1:49">
      <c r="A149" s="86"/>
      <c r="B149" s="86"/>
      <c r="C149" s="86"/>
      <c r="D149" s="86"/>
      <c r="E149" s="87"/>
      <c r="F149" s="87"/>
      <c r="G149" s="87"/>
      <c r="AH149" s="99"/>
      <c r="AL149" s="99"/>
      <c r="AN149" s="99"/>
      <c r="AQ149" s="6"/>
      <c r="AR149" s="6"/>
      <c r="AS149" s="6"/>
      <c r="AT149" s="89"/>
      <c r="AU149" s="100"/>
      <c r="AV149" s="65"/>
      <c r="AW149" s="3"/>
    </row>
    <row r="150" spans="1:49">
      <c r="A150" s="86"/>
      <c r="B150" s="86"/>
      <c r="C150" s="86"/>
      <c r="D150" s="86"/>
      <c r="E150" s="87"/>
      <c r="F150" s="87"/>
      <c r="G150" s="87"/>
      <c r="AH150" s="99"/>
      <c r="AL150" s="99"/>
      <c r="AN150" s="99"/>
      <c r="AQ150" s="6"/>
      <c r="AR150" s="6"/>
      <c r="AS150" s="6"/>
      <c r="AT150" s="89"/>
      <c r="AU150" s="100"/>
      <c r="AV150" s="65"/>
      <c r="AW150" s="3"/>
    </row>
    <row r="151" spans="1:49">
      <c r="A151" s="86"/>
      <c r="B151" s="86"/>
      <c r="C151" s="86"/>
      <c r="D151" s="86"/>
      <c r="E151" s="87"/>
      <c r="F151" s="87"/>
      <c r="G151" s="87"/>
      <c r="AH151" s="99"/>
      <c r="AL151" s="99"/>
      <c r="AN151" s="99"/>
      <c r="AQ151" s="6"/>
      <c r="AR151" s="6"/>
      <c r="AS151" s="6"/>
      <c r="AT151" s="89"/>
      <c r="AU151" s="100"/>
      <c r="AV151" s="65"/>
      <c r="AW151" s="3"/>
    </row>
    <row r="152" spans="1:49">
      <c r="A152" s="86"/>
      <c r="B152" s="86"/>
      <c r="C152" s="86"/>
      <c r="D152" s="86"/>
      <c r="E152" s="87"/>
      <c r="F152" s="87"/>
      <c r="G152" s="87"/>
      <c r="AH152" s="99"/>
      <c r="AL152" s="99"/>
      <c r="AN152" s="99"/>
      <c r="AQ152" s="6"/>
      <c r="AR152" s="6"/>
      <c r="AS152" s="6"/>
      <c r="AT152" s="89"/>
      <c r="AU152" s="100"/>
      <c r="AV152" s="65"/>
      <c r="AW152" s="3"/>
    </row>
    <row r="153" spans="1:49">
      <c r="A153" s="86"/>
      <c r="B153" s="86"/>
      <c r="C153" s="86"/>
      <c r="D153" s="86"/>
      <c r="E153" s="87"/>
      <c r="F153" s="87"/>
      <c r="G153" s="87"/>
      <c r="AH153" s="99"/>
      <c r="AL153" s="99"/>
      <c r="AN153" s="99"/>
      <c r="AQ153" s="6"/>
      <c r="AR153" s="6"/>
      <c r="AS153" s="6"/>
      <c r="AT153" s="89"/>
      <c r="AU153" s="100"/>
      <c r="AV153" s="65"/>
      <c r="AW153" s="3"/>
    </row>
    <row r="154" spans="1:49">
      <c r="A154" s="86"/>
      <c r="B154" s="86"/>
      <c r="C154" s="86"/>
      <c r="D154" s="86"/>
      <c r="E154" s="87"/>
      <c r="F154" s="87"/>
      <c r="G154" s="87"/>
      <c r="AH154" s="99"/>
      <c r="AL154" s="99"/>
      <c r="AN154" s="99"/>
      <c r="AQ154" s="6"/>
      <c r="AR154" s="6"/>
      <c r="AS154" s="6"/>
      <c r="AT154" s="89"/>
      <c r="AU154" s="100"/>
      <c r="AV154" s="65"/>
      <c r="AW154" s="3"/>
    </row>
    <row r="155" spans="1:49">
      <c r="A155" s="86"/>
      <c r="B155" s="86"/>
      <c r="C155" s="86"/>
      <c r="D155" s="86"/>
      <c r="E155" s="87"/>
      <c r="F155" s="87"/>
      <c r="G155" s="87"/>
      <c r="AH155" s="99"/>
      <c r="AL155" s="99"/>
      <c r="AN155" s="99"/>
      <c r="AQ155" s="6"/>
      <c r="AR155" s="6"/>
      <c r="AS155" s="6"/>
      <c r="AT155" s="89"/>
      <c r="AU155" s="100"/>
      <c r="AV155" s="65"/>
      <c r="AW155" s="3"/>
    </row>
    <row r="156" spans="1:49">
      <c r="A156" s="86"/>
      <c r="B156" s="86"/>
      <c r="C156" s="86"/>
      <c r="D156" s="86"/>
      <c r="E156" s="87"/>
      <c r="F156" s="87"/>
      <c r="G156" s="87"/>
      <c r="AH156" s="99"/>
      <c r="AL156" s="99"/>
      <c r="AN156" s="99"/>
      <c r="AQ156" s="6"/>
      <c r="AR156" s="6"/>
      <c r="AS156" s="6"/>
      <c r="AT156" s="89"/>
      <c r="AU156" s="100"/>
      <c r="AV156" s="65"/>
      <c r="AW156" s="3"/>
    </row>
    <row r="157" spans="1:49">
      <c r="A157" s="86"/>
      <c r="B157" s="86"/>
      <c r="C157" s="86"/>
      <c r="D157" s="86"/>
      <c r="E157" s="87"/>
      <c r="F157" s="87"/>
      <c r="G157" s="87"/>
      <c r="AH157" s="99"/>
      <c r="AL157" s="99"/>
      <c r="AN157" s="99"/>
      <c r="AQ157" s="6"/>
      <c r="AR157" s="6"/>
      <c r="AS157" s="6"/>
      <c r="AT157" s="89"/>
      <c r="AU157" s="100"/>
      <c r="AV157" s="65"/>
      <c r="AW157" s="3"/>
    </row>
    <row r="158" spans="1:49">
      <c r="A158" s="86"/>
      <c r="B158" s="86"/>
      <c r="C158" s="86"/>
      <c r="D158" s="86"/>
      <c r="E158" s="87"/>
      <c r="F158" s="87"/>
      <c r="G158" s="87"/>
      <c r="AH158" s="99"/>
      <c r="AL158" s="99"/>
      <c r="AN158" s="99"/>
      <c r="AQ158" s="6"/>
      <c r="AR158" s="6"/>
      <c r="AS158" s="6"/>
      <c r="AT158" s="89"/>
      <c r="AU158" s="100"/>
      <c r="AV158" s="65"/>
      <c r="AW158" s="3"/>
    </row>
    <row r="159" spans="1:49">
      <c r="A159" s="86"/>
      <c r="B159" s="86"/>
      <c r="C159" s="86"/>
      <c r="D159" s="86"/>
      <c r="E159" s="87"/>
      <c r="F159" s="87"/>
      <c r="G159" s="87"/>
      <c r="AH159" s="99"/>
      <c r="AL159" s="99"/>
      <c r="AN159" s="99"/>
      <c r="AQ159" s="6"/>
      <c r="AR159" s="6"/>
      <c r="AS159" s="6"/>
      <c r="AT159" s="89"/>
      <c r="AU159" s="100"/>
      <c r="AV159" s="65"/>
      <c r="AW159" s="3"/>
    </row>
    <row r="160" spans="1:49">
      <c r="A160" s="86"/>
      <c r="B160" s="86"/>
      <c r="C160" s="86"/>
      <c r="D160" s="86"/>
      <c r="E160" s="87"/>
      <c r="F160" s="87"/>
      <c r="G160" s="87"/>
      <c r="AH160" s="99"/>
      <c r="AL160" s="99"/>
      <c r="AN160" s="99"/>
      <c r="AQ160" s="6"/>
      <c r="AR160" s="6"/>
      <c r="AS160" s="6"/>
      <c r="AT160" s="89"/>
      <c r="AU160" s="100"/>
      <c r="AV160" s="65"/>
      <c r="AW160" s="3"/>
    </row>
    <row r="161" spans="1:49">
      <c r="A161" s="86"/>
      <c r="B161" s="86"/>
      <c r="C161" s="86"/>
      <c r="D161" s="86"/>
      <c r="E161" s="87"/>
      <c r="F161" s="87"/>
      <c r="G161" s="87"/>
      <c r="AH161" s="99"/>
      <c r="AL161" s="99"/>
      <c r="AN161" s="99"/>
      <c r="AQ161" s="6"/>
      <c r="AR161" s="6"/>
      <c r="AS161" s="6"/>
      <c r="AT161" s="89"/>
      <c r="AU161" s="100"/>
      <c r="AV161" s="65"/>
      <c r="AW161" s="3"/>
    </row>
    <row r="162" spans="1:49">
      <c r="A162" s="86"/>
      <c r="B162" s="86"/>
      <c r="C162" s="86"/>
      <c r="D162" s="86"/>
      <c r="E162" s="87"/>
      <c r="F162" s="87"/>
      <c r="G162" s="87"/>
      <c r="AH162" s="99"/>
      <c r="AL162" s="99"/>
      <c r="AN162" s="99"/>
      <c r="AQ162" s="6"/>
      <c r="AR162" s="6"/>
      <c r="AS162" s="6"/>
      <c r="AT162" s="89"/>
      <c r="AU162" s="100"/>
      <c r="AV162" s="65"/>
      <c r="AW162" s="3"/>
    </row>
    <row r="163" spans="1:49">
      <c r="A163" s="86"/>
      <c r="B163" s="86"/>
      <c r="C163" s="86"/>
      <c r="D163" s="86"/>
      <c r="E163" s="87"/>
      <c r="F163" s="87"/>
      <c r="G163" s="87"/>
      <c r="AH163" s="99"/>
      <c r="AL163" s="99"/>
      <c r="AN163" s="99"/>
      <c r="AQ163" s="6"/>
      <c r="AR163" s="6"/>
      <c r="AS163" s="6"/>
      <c r="AT163" s="89"/>
      <c r="AU163" s="100"/>
      <c r="AV163" s="65"/>
      <c r="AW163" s="3"/>
    </row>
    <row r="164" spans="1:49">
      <c r="A164" s="86"/>
      <c r="B164" s="86"/>
      <c r="C164" s="86"/>
      <c r="D164" s="86"/>
      <c r="E164" s="87"/>
      <c r="F164" s="87"/>
      <c r="G164" s="87"/>
      <c r="AH164" s="99"/>
      <c r="AL164" s="99"/>
      <c r="AN164" s="99"/>
      <c r="AQ164" s="6"/>
      <c r="AR164" s="6"/>
      <c r="AS164" s="6"/>
      <c r="AT164" s="89"/>
      <c r="AU164" s="100"/>
      <c r="AV164" s="65"/>
      <c r="AW164" s="3"/>
    </row>
    <row r="165" spans="1:49">
      <c r="A165" s="86"/>
      <c r="B165" s="86"/>
      <c r="C165" s="86"/>
      <c r="D165" s="86"/>
      <c r="E165" s="87"/>
      <c r="F165" s="87"/>
      <c r="G165" s="87"/>
      <c r="AH165" s="99"/>
      <c r="AL165" s="99"/>
      <c r="AN165" s="99"/>
      <c r="AQ165" s="6"/>
      <c r="AR165" s="6"/>
      <c r="AS165" s="6"/>
      <c r="AT165" s="89"/>
      <c r="AU165" s="100"/>
      <c r="AV165" s="65"/>
      <c r="AW165" s="3"/>
    </row>
    <row r="166" spans="1:49">
      <c r="A166" s="86"/>
      <c r="B166" s="86"/>
      <c r="C166" s="86"/>
      <c r="D166" s="86"/>
      <c r="E166" s="87"/>
      <c r="F166" s="87"/>
      <c r="G166" s="87"/>
      <c r="AH166" s="99"/>
      <c r="AL166" s="99"/>
      <c r="AN166" s="99"/>
      <c r="AQ166" s="6"/>
      <c r="AR166" s="6"/>
      <c r="AS166" s="6"/>
      <c r="AT166" s="89"/>
      <c r="AU166" s="100"/>
      <c r="AV166" s="65"/>
      <c r="AW166" s="3"/>
    </row>
    <row r="167" spans="1:49">
      <c r="A167" s="86"/>
      <c r="B167" s="86"/>
      <c r="C167" s="86"/>
      <c r="D167" s="86"/>
      <c r="E167" s="87"/>
      <c r="F167" s="87"/>
      <c r="G167" s="87"/>
      <c r="AH167" s="99"/>
      <c r="AL167" s="99"/>
      <c r="AN167" s="99"/>
      <c r="AQ167" s="6"/>
      <c r="AR167" s="6"/>
      <c r="AS167" s="6"/>
      <c r="AT167" s="89"/>
      <c r="AU167" s="100"/>
      <c r="AV167" s="65"/>
      <c r="AW167" s="3"/>
    </row>
    <row r="168" spans="1:49">
      <c r="A168" s="86"/>
      <c r="B168" s="86"/>
      <c r="C168" s="86"/>
      <c r="D168" s="86"/>
      <c r="E168" s="87"/>
      <c r="F168" s="87"/>
      <c r="G168" s="87"/>
      <c r="AH168" s="99"/>
      <c r="AL168" s="99"/>
      <c r="AN168" s="99"/>
      <c r="AQ168" s="6"/>
      <c r="AR168" s="6"/>
      <c r="AS168" s="6"/>
      <c r="AT168" s="89"/>
      <c r="AU168" s="100"/>
      <c r="AV168" s="65"/>
      <c r="AW168" s="3"/>
    </row>
    <row r="169" spans="1:49">
      <c r="A169" s="86"/>
      <c r="B169" s="86"/>
      <c r="C169" s="86"/>
      <c r="D169" s="86"/>
      <c r="E169" s="87"/>
      <c r="F169" s="87"/>
      <c r="G169" s="87"/>
      <c r="AH169" s="99"/>
      <c r="AL169" s="99"/>
      <c r="AN169" s="99"/>
      <c r="AQ169" s="6"/>
      <c r="AR169" s="6"/>
      <c r="AS169" s="6"/>
      <c r="AT169" s="89"/>
      <c r="AU169" s="100"/>
      <c r="AV169" s="65"/>
      <c r="AW169" s="3"/>
    </row>
    <row r="170" spans="1:49">
      <c r="A170" s="86"/>
      <c r="B170" s="86"/>
      <c r="C170" s="86"/>
      <c r="D170" s="86"/>
      <c r="E170" s="87"/>
      <c r="F170" s="87"/>
      <c r="G170" s="87"/>
      <c r="AH170" s="99"/>
      <c r="AL170" s="99"/>
      <c r="AN170" s="99"/>
      <c r="AQ170" s="6"/>
      <c r="AR170" s="6"/>
      <c r="AS170" s="6"/>
      <c r="AT170" s="89"/>
      <c r="AU170" s="100"/>
      <c r="AV170" s="65"/>
      <c r="AW170" s="3"/>
    </row>
    <row r="171" spans="1:49">
      <c r="A171" s="86"/>
      <c r="B171" s="86"/>
      <c r="C171" s="86"/>
      <c r="D171" s="86"/>
      <c r="E171" s="87"/>
      <c r="F171" s="87"/>
      <c r="G171" s="87"/>
      <c r="AH171" s="99"/>
      <c r="AL171" s="99"/>
      <c r="AN171" s="99"/>
      <c r="AQ171" s="6"/>
      <c r="AR171" s="6"/>
      <c r="AS171" s="6"/>
      <c r="AT171" s="89"/>
      <c r="AU171" s="100"/>
      <c r="AV171" s="65"/>
      <c r="AW171" s="3"/>
    </row>
    <row r="172" spans="1:49">
      <c r="A172" s="86"/>
      <c r="B172" s="86"/>
      <c r="C172" s="86"/>
      <c r="D172" s="86"/>
      <c r="E172" s="87"/>
      <c r="F172" s="87"/>
      <c r="G172" s="87"/>
      <c r="AH172" s="99"/>
      <c r="AL172" s="99"/>
      <c r="AN172" s="99"/>
      <c r="AQ172" s="6"/>
      <c r="AR172" s="6"/>
      <c r="AS172" s="6"/>
      <c r="AT172" s="89"/>
      <c r="AU172" s="100"/>
      <c r="AV172" s="65"/>
      <c r="AW172" s="3"/>
    </row>
    <row r="173" spans="1:49">
      <c r="A173" s="86"/>
      <c r="B173" s="86"/>
      <c r="C173" s="86"/>
      <c r="D173" s="86"/>
      <c r="E173" s="87"/>
      <c r="F173" s="87"/>
      <c r="G173" s="87"/>
      <c r="AH173" s="99"/>
      <c r="AL173" s="99"/>
      <c r="AN173" s="99"/>
      <c r="AQ173" s="6"/>
      <c r="AR173" s="6"/>
      <c r="AS173" s="6"/>
      <c r="AT173" s="89"/>
      <c r="AU173" s="100"/>
      <c r="AV173" s="65"/>
      <c r="AW173" s="3"/>
    </row>
    <row r="174" spans="1:49">
      <c r="A174" s="86"/>
      <c r="B174" s="86"/>
      <c r="C174" s="86"/>
      <c r="D174" s="86"/>
      <c r="E174" s="87"/>
      <c r="F174" s="87"/>
      <c r="G174" s="87"/>
      <c r="AH174" s="99"/>
      <c r="AL174" s="99"/>
      <c r="AN174" s="99"/>
      <c r="AQ174" s="6"/>
      <c r="AR174" s="6"/>
      <c r="AS174" s="6"/>
      <c r="AT174" s="89"/>
      <c r="AU174" s="100"/>
      <c r="AV174" s="65"/>
      <c r="AW174" s="3"/>
    </row>
    <row r="175" spans="1:49">
      <c r="A175" s="86"/>
      <c r="B175" s="86"/>
      <c r="C175" s="86"/>
      <c r="D175" s="86"/>
      <c r="E175" s="87"/>
      <c r="F175" s="87"/>
      <c r="G175" s="87"/>
      <c r="AH175" s="99"/>
      <c r="AL175" s="99"/>
      <c r="AN175" s="99"/>
      <c r="AQ175" s="6"/>
      <c r="AR175" s="6"/>
      <c r="AS175" s="6"/>
      <c r="AT175" s="89"/>
      <c r="AU175" s="100"/>
      <c r="AV175" s="65"/>
      <c r="AW175" s="3"/>
    </row>
    <row r="176" spans="1:49">
      <c r="A176" s="86"/>
      <c r="B176" s="86"/>
      <c r="C176" s="86"/>
      <c r="D176" s="86"/>
      <c r="E176" s="87"/>
      <c r="F176" s="87"/>
      <c r="G176" s="87"/>
      <c r="AH176" s="99"/>
      <c r="AL176" s="99"/>
      <c r="AN176" s="99"/>
      <c r="AQ176" s="6"/>
      <c r="AR176" s="6"/>
      <c r="AS176" s="6"/>
      <c r="AT176" s="89"/>
      <c r="AU176" s="100"/>
      <c r="AV176" s="65"/>
      <c r="AW176" s="3"/>
    </row>
    <row r="177" spans="1:49">
      <c r="A177" s="86"/>
      <c r="B177" s="86"/>
      <c r="C177" s="86"/>
      <c r="D177" s="86"/>
      <c r="E177" s="87"/>
      <c r="F177" s="87"/>
      <c r="G177" s="87"/>
      <c r="AH177" s="99"/>
      <c r="AL177" s="99"/>
      <c r="AN177" s="99"/>
      <c r="AQ177" s="6"/>
      <c r="AR177" s="6"/>
      <c r="AS177" s="6"/>
      <c r="AT177" s="89"/>
      <c r="AU177" s="100"/>
      <c r="AV177" s="65"/>
      <c r="AW177" s="3"/>
    </row>
    <row r="178" spans="1:49">
      <c r="A178" s="86"/>
      <c r="B178" s="86"/>
      <c r="C178" s="86"/>
      <c r="D178" s="86"/>
      <c r="E178" s="87"/>
      <c r="F178" s="87"/>
      <c r="G178" s="87"/>
      <c r="AH178" s="99"/>
      <c r="AL178" s="99"/>
      <c r="AN178" s="99"/>
      <c r="AQ178" s="6"/>
      <c r="AR178" s="6"/>
      <c r="AS178" s="6"/>
      <c r="AT178" s="89"/>
      <c r="AU178" s="100"/>
      <c r="AV178" s="65"/>
      <c r="AW178" s="3"/>
    </row>
    <row r="179" spans="1:49">
      <c r="A179" s="86"/>
      <c r="B179" s="86"/>
      <c r="C179" s="86"/>
      <c r="D179" s="86"/>
      <c r="E179" s="87"/>
      <c r="F179" s="87"/>
      <c r="G179" s="87"/>
      <c r="AH179" s="99"/>
      <c r="AL179" s="99"/>
      <c r="AN179" s="99"/>
      <c r="AQ179" s="6"/>
      <c r="AR179" s="6"/>
      <c r="AS179" s="6"/>
      <c r="AT179" s="89"/>
      <c r="AU179" s="100"/>
      <c r="AV179" s="65"/>
      <c r="AW179" s="3"/>
    </row>
    <row r="180" spans="1:49">
      <c r="A180" s="86"/>
      <c r="B180" s="86"/>
      <c r="C180" s="86"/>
      <c r="D180" s="86"/>
      <c r="E180" s="87"/>
      <c r="F180" s="87"/>
      <c r="G180" s="87"/>
      <c r="AH180" s="99"/>
      <c r="AL180" s="99"/>
      <c r="AN180" s="99"/>
      <c r="AQ180" s="6"/>
      <c r="AR180" s="6"/>
      <c r="AS180" s="6"/>
      <c r="AT180" s="89"/>
      <c r="AU180" s="100"/>
      <c r="AV180" s="65"/>
      <c r="AW180" s="3"/>
    </row>
    <row r="181" spans="1:49">
      <c r="A181" s="86"/>
      <c r="B181" s="86"/>
      <c r="C181" s="86"/>
      <c r="D181" s="86"/>
      <c r="E181" s="87"/>
      <c r="F181" s="87"/>
      <c r="G181" s="87"/>
      <c r="AH181" s="99"/>
      <c r="AL181" s="99"/>
      <c r="AN181" s="99"/>
      <c r="AQ181" s="6"/>
      <c r="AR181" s="6"/>
      <c r="AS181" s="6"/>
      <c r="AT181" s="89"/>
      <c r="AU181" s="100"/>
      <c r="AV181" s="65"/>
      <c r="AW181" s="3"/>
    </row>
    <row r="182" spans="1:49">
      <c r="A182" s="86"/>
      <c r="B182" s="86"/>
      <c r="C182" s="86"/>
      <c r="D182" s="86"/>
      <c r="E182" s="87"/>
      <c r="F182" s="87"/>
      <c r="G182" s="87"/>
      <c r="AH182" s="99"/>
      <c r="AL182" s="99"/>
      <c r="AN182" s="99"/>
      <c r="AQ182" s="6"/>
      <c r="AR182" s="6"/>
      <c r="AS182" s="6"/>
      <c r="AT182" s="89"/>
      <c r="AU182" s="100"/>
      <c r="AV182" s="65"/>
      <c r="AW182" s="3"/>
    </row>
    <row r="183" spans="1:49">
      <c r="A183" s="86"/>
      <c r="B183" s="86"/>
      <c r="C183" s="86"/>
      <c r="D183" s="86"/>
      <c r="E183" s="87"/>
      <c r="F183" s="87"/>
      <c r="G183" s="87"/>
      <c r="AH183" s="99"/>
      <c r="AL183" s="99"/>
      <c r="AN183" s="99"/>
      <c r="AQ183" s="6"/>
      <c r="AR183" s="6"/>
      <c r="AS183" s="6"/>
      <c r="AT183" s="89"/>
      <c r="AU183" s="100"/>
      <c r="AV183" s="65"/>
      <c r="AW183" s="3"/>
    </row>
    <row r="184" spans="1:49">
      <c r="A184" s="86"/>
      <c r="B184" s="86"/>
      <c r="C184" s="86"/>
      <c r="D184" s="86"/>
      <c r="E184" s="87"/>
      <c r="F184" s="87"/>
      <c r="G184" s="87"/>
      <c r="AH184" s="99"/>
      <c r="AL184" s="99"/>
      <c r="AN184" s="99"/>
      <c r="AQ184" s="6"/>
      <c r="AR184" s="6"/>
      <c r="AS184" s="6"/>
      <c r="AT184" s="89"/>
      <c r="AU184" s="100"/>
      <c r="AV184" s="65"/>
      <c r="AW184" s="3"/>
    </row>
    <row r="185" spans="1:49">
      <c r="A185" s="86"/>
      <c r="B185" s="86"/>
      <c r="C185" s="86"/>
      <c r="D185" s="86"/>
      <c r="E185" s="87"/>
      <c r="F185" s="87"/>
      <c r="G185" s="87"/>
      <c r="AH185" s="99"/>
      <c r="AL185" s="99"/>
      <c r="AN185" s="99"/>
      <c r="AQ185" s="6"/>
      <c r="AR185" s="6"/>
      <c r="AS185" s="6"/>
      <c r="AT185" s="89"/>
      <c r="AU185" s="100"/>
      <c r="AV185" s="65"/>
      <c r="AW185" s="3"/>
    </row>
    <row r="186" spans="1:49">
      <c r="A186" s="86"/>
      <c r="B186" s="86"/>
      <c r="C186" s="86"/>
      <c r="D186" s="86"/>
      <c r="E186" s="87"/>
      <c r="F186" s="87"/>
      <c r="G186" s="87"/>
      <c r="AH186" s="99"/>
      <c r="AL186" s="99"/>
      <c r="AN186" s="99"/>
      <c r="AQ186" s="6"/>
      <c r="AR186" s="6"/>
      <c r="AS186" s="6"/>
      <c r="AT186" s="89"/>
      <c r="AU186" s="100"/>
      <c r="AV186" s="65"/>
      <c r="AW186" s="3"/>
    </row>
    <row r="187" spans="1:49">
      <c r="A187" s="86"/>
      <c r="B187" s="86"/>
      <c r="C187" s="86"/>
      <c r="D187" s="86"/>
      <c r="E187" s="87"/>
      <c r="F187" s="87"/>
      <c r="G187" s="87"/>
      <c r="AH187" s="99"/>
      <c r="AL187" s="99"/>
      <c r="AN187" s="99"/>
      <c r="AQ187" s="6"/>
      <c r="AR187" s="6"/>
      <c r="AS187" s="6"/>
      <c r="AT187" s="89"/>
      <c r="AU187" s="100"/>
      <c r="AV187" s="65"/>
      <c r="AW187" s="3"/>
    </row>
    <row r="188" spans="1:49">
      <c r="A188" s="86"/>
      <c r="B188" s="86"/>
      <c r="C188" s="86"/>
      <c r="D188" s="86"/>
      <c r="E188" s="87"/>
      <c r="F188" s="87"/>
      <c r="G188" s="87"/>
      <c r="AH188" s="99"/>
      <c r="AL188" s="99"/>
      <c r="AN188" s="99"/>
      <c r="AQ188" s="6"/>
      <c r="AR188" s="6"/>
      <c r="AS188" s="6"/>
      <c r="AT188" s="89"/>
      <c r="AU188" s="100"/>
      <c r="AV188" s="65"/>
      <c r="AW188" s="3"/>
    </row>
    <row r="189" spans="1:49">
      <c r="A189" s="86"/>
      <c r="B189" s="86"/>
      <c r="C189" s="86"/>
      <c r="D189" s="86"/>
      <c r="E189" s="87"/>
      <c r="F189" s="87"/>
      <c r="G189" s="87"/>
      <c r="AH189" s="99"/>
      <c r="AL189" s="99"/>
      <c r="AN189" s="99"/>
      <c r="AQ189" s="6"/>
      <c r="AR189" s="6"/>
      <c r="AS189" s="6"/>
      <c r="AT189" s="89"/>
      <c r="AU189" s="100"/>
      <c r="AV189" s="65"/>
      <c r="AW189" s="3"/>
    </row>
    <row r="190" spans="1:49">
      <c r="A190" s="86"/>
      <c r="B190" s="86"/>
      <c r="C190" s="86"/>
      <c r="D190" s="86"/>
      <c r="E190" s="87"/>
      <c r="F190" s="87"/>
      <c r="G190" s="87"/>
      <c r="AH190" s="99"/>
      <c r="AL190" s="99"/>
      <c r="AN190" s="99"/>
      <c r="AQ190" s="6"/>
      <c r="AR190" s="6"/>
      <c r="AS190" s="6"/>
      <c r="AT190" s="89"/>
      <c r="AU190" s="100"/>
      <c r="AV190" s="65"/>
      <c r="AW190" s="3"/>
    </row>
    <row r="191" spans="1:49">
      <c r="A191" s="86"/>
      <c r="B191" s="86"/>
      <c r="C191" s="86"/>
      <c r="D191" s="86"/>
      <c r="E191" s="87"/>
      <c r="F191" s="87"/>
      <c r="G191" s="87"/>
      <c r="AH191" s="99"/>
      <c r="AL191" s="99"/>
      <c r="AN191" s="99"/>
      <c r="AQ191" s="6"/>
      <c r="AR191" s="6"/>
      <c r="AS191" s="6"/>
      <c r="AT191" s="89"/>
      <c r="AU191" s="100"/>
      <c r="AV191" s="65"/>
      <c r="AW191" s="3"/>
    </row>
    <row r="192" spans="1:49">
      <c r="A192" s="86"/>
      <c r="B192" s="86"/>
      <c r="C192" s="86"/>
      <c r="D192" s="86"/>
      <c r="E192" s="87"/>
      <c r="F192" s="87"/>
      <c r="G192" s="87"/>
      <c r="AH192" s="99"/>
      <c r="AL192" s="99"/>
      <c r="AN192" s="99"/>
      <c r="AQ192" s="6"/>
      <c r="AR192" s="6"/>
      <c r="AS192" s="6"/>
      <c r="AT192" s="89"/>
      <c r="AU192" s="100"/>
      <c r="AV192" s="65"/>
      <c r="AW192" s="3"/>
    </row>
    <row r="193" spans="1:49">
      <c r="A193" s="86"/>
      <c r="B193" s="86"/>
      <c r="C193" s="86"/>
      <c r="D193" s="86"/>
      <c r="E193" s="87"/>
      <c r="F193" s="87"/>
      <c r="G193" s="87"/>
      <c r="AH193" s="99"/>
      <c r="AL193" s="99"/>
      <c r="AN193" s="99"/>
      <c r="AQ193" s="6"/>
      <c r="AR193" s="6"/>
      <c r="AS193" s="6"/>
      <c r="AT193" s="89"/>
      <c r="AU193" s="100"/>
      <c r="AV193" s="65"/>
      <c r="AW193" s="3"/>
    </row>
    <row r="194" spans="1:49">
      <c r="A194" s="86"/>
      <c r="B194" s="86"/>
      <c r="C194" s="86"/>
      <c r="D194" s="86"/>
      <c r="E194" s="87"/>
      <c r="F194" s="87"/>
      <c r="G194" s="87"/>
      <c r="AH194" s="99"/>
      <c r="AL194" s="99"/>
      <c r="AN194" s="99"/>
      <c r="AQ194" s="6"/>
      <c r="AR194" s="6"/>
      <c r="AS194" s="6"/>
      <c r="AT194" s="89"/>
      <c r="AU194" s="100"/>
      <c r="AV194" s="65"/>
      <c r="AW194" s="3"/>
    </row>
    <row r="195" spans="1:49">
      <c r="A195" s="86"/>
      <c r="B195" s="86"/>
      <c r="C195" s="86"/>
      <c r="D195" s="86"/>
      <c r="E195" s="87"/>
      <c r="F195" s="87"/>
      <c r="G195" s="87"/>
      <c r="AH195" s="99"/>
      <c r="AL195" s="99"/>
      <c r="AN195" s="99"/>
      <c r="AQ195" s="6"/>
      <c r="AR195" s="6"/>
      <c r="AS195" s="6"/>
      <c r="AT195" s="89"/>
      <c r="AU195" s="100"/>
      <c r="AV195" s="65"/>
      <c r="AW195" s="3"/>
    </row>
    <row r="196" spans="1:49">
      <c r="A196" s="86"/>
      <c r="B196" s="86"/>
      <c r="C196" s="86"/>
      <c r="D196" s="86"/>
      <c r="E196" s="87"/>
      <c r="F196" s="87"/>
      <c r="G196" s="87"/>
      <c r="AH196" s="99"/>
      <c r="AL196" s="99"/>
      <c r="AN196" s="99"/>
      <c r="AQ196" s="6"/>
      <c r="AR196" s="6"/>
      <c r="AS196" s="6"/>
      <c r="AT196" s="89"/>
      <c r="AU196" s="100"/>
      <c r="AV196" s="65"/>
      <c r="AW196" s="3"/>
    </row>
    <row r="197" spans="1:49">
      <c r="A197" s="86"/>
      <c r="B197" s="86"/>
      <c r="C197" s="86"/>
      <c r="D197" s="86"/>
      <c r="E197" s="87"/>
      <c r="F197" s="87"/>
      <c r="G197" s="87"/>
      <c r="AH197" s="99"/>
      <c r="AL197" s="99"/>
      <c r="AN197" s="99"/>
      <c r="AQ197" s="6"/>
      <c r="AR197" s="6"/>
      <c r="AS197" s="6"/>
      <c r="AT197" s="89"/>
      <c r="AU197" s="100"/>
      <c r="AV197" s="65"/>
      <c r="AW197" s="3"/>
    </row>
    <row r="198" spans="1:49">
      <c r="A198" s="86"/>
      <c r="B198" s="86"/>
      <c r="C198" s="86"/>
      <c r="D198" s="86"/>
      <c r="E198" s="87"/>
      <c r="F198" s="87"/>
      <c r="G198" s="87"/>
      <c r="AH198" s="99"/>
      <c r="AL198" s="99"/>
      <c r="AN198" s="99"/>
      <c r="AQ198" s="6"/>
      <c r="AR198" s="6"/>
      <c r="AS198" s="6"/>
      <c r="AT198" s="89"/>
      <c r="AU198" s="100"/>
      <c r="AV198" s="65"/>
      <c r="AW198" s="3"/>
    </row>
    <row r="199" spans="1:49">
      <c r="A199" s="86"/>
      <c r="B199" s="86"/>
      <c r="C199" s="86"/>
      <c r="D199" s="86"/>
      <c r="E199" s="87"/>
      <c r="F199" s="87"/>
      <c r="G199" s="87"/>
      <c r="AH199" s="99"/>
      <c r="AL199" s="99"/>
      <c r="AN199" s="99"/>
      <c r="AQ199" s="6"/>
      <c r="AR199" s="6"/>
      <c r="AS199" s="6"/>
      <c r="AT199" s="89"/>
      <c r="AU199" s="100"/>
      <c r="AV199" s="65"/>
      <c r="AW199" s="3"/>
    </row>
    <row r="200" spans="1:49">
      <c r="A200" s="86"/>
      <c r="B200" s="86"/>
      <c r="C200" s="86"/>
      <c r="D200" s="86"/>
      <c r="E200" s="87"/>
      <c r="F200" s="87"/>
      <c r="G200" s="87"/>
      <c r="AH200" s="99"/>
      <c r="AL200" s="99"/>
      <c r="AN200" s="99"/>
      <c r="AQ200" s="6"/>
      <c r="AR200" s="6"/>
      <c r="AS200" s="6"/>
      <c r="AT200" s="89"/>
      <c r="AU200" s="100"/>
      <c r="AV200" s="65"/>
      <c r="AW200" s="3"/>
    </row>
    <row r="201" spans="1:49">
      <c r="A201" s="86"/>
      <c r="B201" s="86"/>
      <c r="C201" s="86"/>
      <c r="D201" s="86"/>
      <c r="E201" s="87"/>
      <c r="F201" s="87"/>
      <c r="G201" s="87"/>
      <c r="AH201" s="99"/>
      <c r="AL201" s="99"/>
      <c r="AN201" s="99"/>
      <c r="AQ201" s="6"/>
      <c r="AR201" s="6"/>
      <c r="AS201" s="6"/>
      <c r="AT201" s="89"/>
      <c r="AU201" s="100"/>
      <c r="AV201" s="65"/>
      <c r="AW201" s="3"/>
    </row>
    <row r="202" spans="1:49">
      <c r="A202" s="86"/>
      <c r="B202" s="86"/>
      <c r="C202" s="86"/>
      <c r="D202" s="86"/>
      <c r="E202" s="87"/>
      <c r="F202" s="87"/>
      <c r="G202" s="87"/>
      <c r="AH202" s="99"/>
      <c r="AL202" s="99"/>
      <c r="AN202" s="99"/>
      <c r="AQ202" s="6"/>
      <c r="AR202" s="6"/>
      <c r="AS202" s="6"/>
      <c r="AT202" s="89"/>
      <c r="AU202" s="100"/>
      <c r="AV202" s="65"/>
      <c r="AW202" s="3"/>
    </row>
    <row r="203" spans="1:49">
      <c r="A203" s="86"/>
      <c r="B203" s="86"/>
      <c r="C203" s="86"/>
      <c r="D203" s="86"/>
      <c r="E203" s="87"/>
      <c r="F203" s="87"/>
      <c r="G203" s="87"/>
      <c r="AH203" s="99"/>
      <c r="AL203" s="99"/>
      <c r="AN203" s="99"/>
      <c r="AQ203" s="6"/>
      <c r="AR203" s="6"/>
      <c r="AS203" s="6"/>
      <c r="AT203" s="89"/>
      <c r="AU203" s="100"/>
      <c r="AV203" s="65"/>
      <c r="AW203" s="3"/>
    </row>
    <row r="204" spans="1:49">
      <c r="A204" s="86"/>
      <c r="B204" s="86"/>
      <c r="C204" s="86"/>
      <c r="D204" s="86"/>
      <c r="E204" s="87"/>
      <c r="F204" s="87"/>
      <c r="G204" s="87"/>
      <c r="AH204" s="99"/>
      <c r="AL204" s="99"/>
      <c r="AN204" s="99"/>
      <c r="AQ204" s="6"/>
      <c r="AR204" s="6"/>
      <c r="AS204" s="6"/>
      <c r="AT204" s="89"/>
      <c r="AU204" s="100"/>
      <c r="AV204" s="65"/>
      <c r="AW204" s="3"/>
    </row>
    <row r="205" spans="1:49">
      <c r="A205" s="86"/>
      <c r="B205" s="86"/>
      <c r="C205" s="86"/>
      <c r="D205" s="86"/>
      <c r="E205" s="87"/>
      <c r="F205" s="87"/>
      <c r="G205" s="87"/>
      <c r="AH205" s="99"/>
      <c r="AL205" s="99"/>
      <c r="AN205" s="99"/>
      <c r="AQ205" s="6"/>
      <c r="AR205" s="6"/>
      <c r="AS205" s="6"/>
      <c r="AT205" s="89"/>
      <c r="AU205" s="100"/>
      <c r="AV205" s="65"/>
      <c r="AW205" s="3"/>
    </row>
    <row r="206" spans="1:49">
      <c r="A206" s="86"/>
      <c r="B206" s="86"/>
      <c r="C206" s="86"/>
      <c r="D206" s="86"/>
      <c r="E206" s="87"/>
      <c r="F206" s="87"/>
      <c r="G206" s="87"/>
      <c r="AH206" s="99"/>
      <c r="AL206" s="99"/>
      <c r="AN206" s="99"/>
      <c r="AQ206" s="6"/>
      <c r="AR206" s="6"/>
      <c r="AS206" s="6"/>
      <c r="AT206" s="89"/>
      <c r="AU206" s="100"/>
      <c r="AV206" s="65"/>
      <c r="AW206" s="3"/>
    </row>
    <row r="207" spans="1:49">
      <c r="A207" s="86"/>
      <c r="B207" s="86"/>
      <c r="C207" s="86"/>
      <c r="D207" s="86"/>
      <c r="E207" s="87"/>
      <c r="F207" s="87"/>
      <c r="G207" s="87"/>
      <c r="AH207" s="99"/>
      <c r="AL207" s="99"/>
      <c r="AN207" s="99"/>
      <c r="AQ207" s="6"/>
      <c r="AR207" s="6"/>
      <c r="AS207" s="6"/>
      <c r="AT207" s="89"/>
      <c r="AU207" s="100"/>
      <c r="AV207" s="65"/>
      <c r="AW207" s="3"/>
    </row>
    <row r="208" spans="1:49">
      <c r="A208" s="86"/>
      <c r="B208" s="86"/>
      <c r="C208" s="86"/>
      <c r="D208" s="86"/>
      <c r="E208" s="87"/>
      <c r="F208" s="87"/>
      <c r="G208" s="87"/>
      <c r="AH208" s="99"/>
      <c r="AL208" s="99"/>
      <c r="AN208" s="99"/>
      <c r="AQ208" s="6"/>
      <c r="AR208" s="6"/>
      <c r="AS208" s="6"/>
      <c r="AT208" s="89"/>
      <c r="AU208" s="100"/>
      <c r="AV208" s="65"/>
      <c r="AW208" s="3"/>
    </row>
    <row r="209" spans="1:49">
      <c r="A209" s="86"/>
      <c r="B209" s="86"/>
      <c r="C209" s="86"/>
      <c r="D209" s="86"/>
      <c r="E209" s="87"/>
      <c r="F209" s="87"/>
      <c r="G209" s="87"/>
      <c r="AH209" s="99"/>
      <c r="AL209" s="99"/>
      <c r="AN209" s="99"/>
      <c r="AQ209" s="6"/>
      <c r="AR209" s="6"/>
      <c r="AS209" s="6"/>
      <c r="AT209" s="89"/>
      <c r="AU209" s="100"/>
      <c r="AV209" s="65"/>
      <c r="AW209" s="3"/>
    </row>
    <row r="210" spans="1:49">
      <c r="A210" s="86"/>
      <c r="B210" s="86"/>
      <c r="C210" s="86"/>
      <c r="D210" s="86"/>
      <c r="E210" s="87"/>
      <c r="F210" s="87"/>
      <c r="G210" s="87"/>
      <c r="AH210" s="99"/>
      <c r="AL210" s="99"/>
      <c r="AN210" s="99"/>
      <c r="AQ210" s="6"/>
      <c r="AR210" s="6"/>
      <c r="AS210" s="6"/>
      <c r="AT210" s="89"/>
      <c r="AU210" s="100"/>
      <c r="AV210" s="65"/>
      <c r="AW210" s="3"/>
    </row>
    <row r="211" spans="1:49">
      <c r="A211" s="86"/>
      <c r="B211" s="86"/>
      <c r="C211" s="86"/>
      <c r="D211" s="86"/>
      <c r="E211" s="87"/>
      <c r="F211" s="87"/>
      <c r="G211" s="87"/>
      <c r="AH211" s="99"/>
      <c r="AL211" s="99"/>
      <c r="AN211" s="99"/>
      <c r="AQ211" s="6"/>
      <c r="AR211" s="6"/>
      <c r="AS211" s="6"/>
      <c r="AT211" s="89"/>
      <c r="AU211" s="100"/>
      <c r="AV211" s="65"/>
      <c r="AW211" s="3"/>
    </row>
    <row r="212" spans="1:49">
      <c r="A212" s="86"/>
      <c r="B212" s="86"/>
      <c r="C212" s="86"/>
      <c r="D212" s="86"/>
      <c r="E212" s="87"/>
      <c r="F212" s="87"/>
      <c r="G212" s="87"/>
      <c r="AH212" s="99"/>
      <c r="AL212" s="99"/>
      <c r="AN212" s="99"/>
      <c r="AQ212" s="6"/>
      <c r="AR212" s="6"/>
      <c r="AS212" s="6"/>
      <c r="AT212" s="89"/>
      <c r="AU212" s="100"/>
      <c r="AV212" s="65"/>
      <c r="AW212" s="3"/>
    </row>
    <row r="213" spans="1:49">
      <c r="A213" s="86"/>
      <c r="B213" s="86"/>
      <c r="C213" s="86"/>
      <c r="D213" s="86"/>
      <c r="E213" s="87"/>
      <c r="F213" s="87"/>
      <c r="G213" s="87"/>
      <c r="AH213" s="99"/>
      <c r="AL213" s="99"/>
      <c r="AN213" s="99"/>
      <c r="AQ213" s="6"/>
      <c r="AR213" s="6"/>
      <c r="AS213" s="6"/>
      <c r="AT213" s="89"/>
      <c r="AU213" s="100"/>
      <c r="AV213" s="65"/>
      <c r="AW213" s="3"/>
    </row>
    <row r="214" spans="1:49">
      <c r="A214" s="86"/>
      <c r="B214" s="86"/>
      <c r="C214" s="86"/>
      <c r="D214" s="86"/>
      <c r="E214" s="87"/>
      <c r="F214" s="87"/>
      <c r="G214" s="87"/>
      <c r="AH214" s="99"/>
      <c r="AL214" s="99"/>
      <c r="AN214" s="99"/>
      <c r="AQ214" s="6"/>
      <c r="AR214" s="6"/>
      <c r="AS214" s="6"/>
      <c r="AT214" s="89"/>
      <c r="AU214" s="100"/>
      <c r="AV214" s="65"/>
      <c r="AW214" s="3"/>
    </row>
    <row r="215" spans="1:49">
      <c r="A215" s="86"/>
      <c r="B215" s="86"/>
      <c r="C215" s="86"/>
      <c r="D215" s="86"/>
      <c r="E215" s="87"/>
      <c r="F215" s="87"/>
      <c r="G215" s="87"/>
      <c r="AH215" s="99"/>
      <c r="AL215" s="99"/>
      <c r="AN215" s="99"/>
      <c r="AQ215" s="6"/>
      <c r="AR215" s="6"/>
      <c r="AS215" s="6"/>
      <c r="AT215" s="89"/>
      <c r="AU215" s="100"/>
      <c r="AV215" s="65"/>
      <c r="AW215" s="3"/>
    </row>
    <row r="216" spans="1:49">
      <c r="A216" s="86"/>
      <c r="B216" s="86"/>
      <c r="C216" s="86"/>
      <c r="D216" s="86"/>
      <c r="E216" s="87"/>
      <c r="F216" s="87"/>
      <c r="G216" s="87"/>
      <c r="AH216" s="99"/>
      <c r="AL216" s="99"/>
      <c r="AN216" s="99"/>
      <c r="AQ216" s="6"/>
      <c r="AR216" s="6"/>
      <c r="AS216" s="6"/>
      <c r="AT216" s="89"/>
      <c r="AU216" s="100"/>
      <c r="AV216" s="65"/>
      <c r="AW216" s="3"/>
    </row>
    <row r="217" spans="1:49">
      <c r="A217" s="86"/>
      <c r="B217" s="86"/>
      <c r="C217" s="86"/>
      <c r="D217" s="86"/>
      <c r="E217" s="87"/>
      <c r="F217" s="87"/>
      <c r="G217" s="87"/>
      <c r="AH217" s="99"/>
      <c r="AL217" s="99"/>
      <c r="AN217" s="99"/>
      <c r="AQ217" s="6"/>
      <c r="AR217" s="6"/>
      <c r="AS217" s="6"/>
      <c r="AT217" s="89"/>
      <c r="AU217" s="100"/>
      <c r="AV217" s="65"/>
      <c r="AW217" s="3"/>
    </row>
    <row r="218" spans="1:49">
      <c r="A218" s="86"/>
      <c r="B218" s="86"/>
      <c r="C218" s="86"/>
      <c r="D218" s="86"/>
      <c r="E218" s="87"/>
      <c r="F218" s="87"/>
      <c r="G218" s="87"/>
      <c r="AH218" s="99"/>
      <c r="AL218" s="99"/>
      <c r="AN218" s="99"/>
      <c r="AQ218" s="6"/>
      <c r="AR218" s="6"/>
      <c r="AS218" s="6"/>
      <c r="AT218" s="89"/>
      <c r="AU218" s="100"/>
      <c r="AV218" s="65"/>
      <c r="AW218" s="3"/>
    </row>
    <row r="219" spans="1:49">
      <c r="A219" s="86"/>
      <c r="B219" s="86"/>
      <c r="C219" s="86"/>
      <c r="D219" s="86"/>
      <c r="E219" s="87"/>
      <c r="F219" s="87"/>
      <c r="G219" s="87"/>
      <c r="AH219" s="99"/>
      <c r="AL219" s="99"/>
      <c r="AN219" s="99"/>
      <c r="AQ219" s="6"/>
      <c r="AR219" s="6"/>
      <c r="AS219" s="6"/>
      <c r="AT219" s="89"/>
      <c r="AU219" s="100"/>
      <c r="AV219" s="65"/>
      <c r="AW219" s="3"/>
    </row>
    <row r="220" spans="1:49">
      <c r="A220" s="86"/>
      <c r="B220" s="86"/>
      <c r="C220" s="86"/>
      <c r="D220" s="86"/>
      <c r="E220" s="87"/>
      <c r="F220" s="87"/>
      <c r="G220" s="87"/>
      <c r="AH220" s="99"/>
      <c r="AL220" s="99"/>
      <c r="AN220" s="99"/>
      <c r="AQ220" s="6"/>
      <c r="AR220" s="6"/>
      <c r="AS220" s="6"/>
      <c r="AT220" s="89"/>
      <c r="AU220" s="100"/>
      <c r="AV220" s="65"/>
      <c r="AW220" s="3"/>
    </row>
    <row r="221" spans="1:49">
      <c r="A221" s="86"/>
      <c r="B221" s="86"/>
      <c r="C221" s="86"/>
      <c r="D221" s="86"/>
      <c r="E221" s="87"/>
      <c r="F221" s="87"/>
      <c r="G221" s="87"/>
      <c r="AH221" s="99"/>
      <c r="AL221" s="99"/>
      <c r="AN221" s="99"/>
      <c r="AQ221" s="6"/>
      <c r="AR221" s="6"/>
      <c r="AS221" s="6"/>
      <c r="AT221" s="89"/>
      <c r="AU221" s="100"/>
      <c r="AV221" s="65"/>
      <c r="AW221" s="3"/>
    </row>
    <row r="222" spans="1:49">
      <c r="A222" s="86"/>
      <c r="B222" s="86"/>
      <c r="C222" s="86"/>
      <c r="D222" s="86"/>
      <c r="E222" s="87"/>
      <c r="F222" s="87"/>
      <c r="G222" s="87"/>
      <c r="AH222" s="99"/>
      <c r="AL222" s="99"/>
      <c r="AN222" s="99"/>
      <c r="AQ222" s="6"/>
      <c r="AR222" s="6"/>
      <c r="AS222" s="6"/>
      <c r="AT222" s="89"/>
      <c r="AU222" s="100"/>
      <c r="AV222" s="65"/>
      <c r="AW222" s="3"/>
    </row>
    <row r="223" spans="1:49">
      <c r="A223" s="86"/>
      <c r="B223" s="86"/>
      <c r="C223" s="86"/>
      <c r="D223" s="86"/>
      <c r="E223" s="87"/>
      <c r="F223" s="87"/>
      <c r="G223" s="87"/>
      <c r="AH223" s="99"/>
      <c r="AL223" s="99"/>
      <c r="AN223" s="99"/>
      <c r="AQ223" s="6"/>
      <c r="AR223" s="6"/>
      <c r="AS223" s="6"/>
      <c r="AT223" s="89"/>
      <c r="AU223" s="100"/>
      <c r="AV223" s="65"/>
      <c r="AW223" s="3"/>
    </row>
    <row r="224" spans="1:49">
      <c r="A224" s="86"/>
      <c r="B224" s="86"/>
      <c r="C224" s="86"/>
      <c r="D224" s="86"/>
      <c r="E224" s="87"/>
      <c r="F224" s="87"/>
      <c r="G224" s="87"/>
      <c r="AH224" s="99"/>
      <c r="AL224" s="99"/>
      <c r="AN224" s="99"/>
      <c r="AQ224" s="6"/>
      <c r="AR224" s="6"/>
      <c r="AS224" s="6"/>
      <c r="AT224" s="89"/>
      <c r="AU224" s="100"/>
      <c r="AV224" s="65"/>
      <c r="AW224" s="3"/>
    </row>
    <row r="225" spans="1:49">
      <c r="A225" s="86"/>
      <c r="B225" s="86"/>
      <c r="C225" s="86"/>
      <c r="D225" s="86"/>
      <c r="E225" s="87"/>
      <c r="F225" s="87"/>
      <c r="G225" s="87"/>
      <c r="AH225" s="99"/>
      <c r="AL225" s="99"/>
      <c r="AN225" s="99"/>
      <c r="AQ225" s="6"/>
      <c r="AR225" s="6"/>
      <c r="AS225" s="6"/>
      <c r="AT225" s="89"/>
      <c r="AU225" s="100"/>
      <c r="AV225" s="65"/>
      <c r="AW225" s="3"/>
    </row>
    <row r="226" spans="1:49">
      <c r="A226" s="86"/>
      <c r="B226" s="86"/>
      <c r="C226" s="86"/>
      <c r="D226" s="86"/>
      <c r="E226" s="87"/>
      <c r="F226" s="87"/>
      <c r="G226" s="87"/>
      <c r="AH226" s="99"/>
      <c r="AL226" s="99"/>
      <c r="AN226" s="99"/>
      <c r="AQ226" s="6"/>
      <c r="AR226" s="6"/>
      <c r="AS226" s="6"/>
      <c r="AT226" s="89"/>
      <c r="AU226" s="100"/>
      <c r="AV226" s="65"/>
      <c r="AW226" s="3"/>
    </row>
    <row r="227" spans="1:49">
      <c r="A227" s="86"/>
      <c r="B227" s="86"/>
      <c r="C227" s="86"/>
      <c r="D227" s="86"/>
      <c r="E227" s="87"/>
      <c r="F227" s="87"/>
      <c r="G227" s="87"/>
      <c r="AH227" s="99"/>
      <c r="AL227" s="99"/>
      <c r="AN227" s="99"/>
      <c r="AQ227" s="6"/>
      <c r="AR227" s="6"/>
      <c r="AS227" s="6"/>
      <c r="AT227" s="89"/>
      <c r="AU227" s="100"/>
      <c r="AV227" s="65"/>
      <c r="AW227" s="3"/>
    </row>
    <row r="228" spans="1:49">
      <c r="AH228" s="99"/>
      <c r="AL228" s="99"/>
      <c r="AN228" s="99"/>
      <c r="AQ228" s="6"/>
      <c r="AR228" s="6"/>
      <c r="AS228" s="6"/>
      <c r="AT228" s="89"/>
      <c r="AU228" s="100"/>
      <c r="AV228" s="65"/>
      <c r="AW228" s="3"/>
    </row>
    <row r="229" spans="1:49">
      <c r="AH229" s="99"/>
      <c r="AL229" s="99"/>
      <c r="AN229" s="99"/>
      <c r="AQ229" s="6"/>
      <c r="AR229" s="6"/>
      <c r="AS229" s="6"/>
      <c r="AT229" s="89"/>
      <c r="AU229" s="100"/>
      <c r="AV229" s="65"/>
      <c r="AW229" s="3"/>
    </row>
    <row r="230" spans="1:49">
      <c r="AH230" s="99"/>
      <c r="AL230" s="99"/>
      <c r="AN230" s="99"/>
      <c r="AQ230" s="6"/>
      <c r="AR230" s="6"/>
      <c r="AS230" s="6"/>
      <c r="AT230" s="89"/>
      <c r="AU230" s="100"/>
      <c r="AV230" s="65"/>
      <c r="AW230" s="3"/>
    </row>
    <row r="231" spans="1:49">
      <c r="AH231" s="99"/>
      <c r="AL231" s="99"/>
      <c r="AN231" s="99"/>
      <c r="AQ231" s="6"/>
      <c r="AR231" s="6"/>
      <c r="AS231" s="6"/>
      <c r="AT231" s="89"/>
      <c r="AU231" s="100"/>
      <c r="AV231" s="65"/>
      <c r="AW231" s="3"/>
    </row>
    <row r="232" spans="1:49">
      <c r="AH232" s="99"/>
      <c r="AL232" s="99"/>
      <c r="AN232" s="99"/>
      <c r="AQ232" s="6"/>
      <c r="AR232" s="6"/>
      <c r="AS232" s="6"/>
      <c r="AT232" s="89"/>
      <c r="AU232" s="100"/>
      <c r="AV232" s="65"/>
      <c r="AW232" s="3"/>
    </row>
    <row r="233" spans="1:49">
      <c r="AH233" s="99"/>
      <c r="AL233" s="99"/>
      <c r="AN233" s="99"/>
      <c r="AQ233" s="6"/>
      <c r="AR233" s="6"/>
      <c r="AS233" s="6"/>
      <c r="AT233" s="89"/>
      <c r="AU233" s="100"/>
      <c r="AV233" s="65"/>
      <c r="AW233" s="3"/>
    </row>
    <row r="234" spans="1:49">
      <c r="AH234" s="99"/>
      <c r="AL234" s="99"/>
      <c r="AN234" s="99"/>
      <c r="AQ234" s="6"/>
      <c r="AR234" s="6"/>
      <c r="AS234" s="6"/>
      <c r="AT234" s="89"/>
      <c r="AU234" s="100"/>
      <c r="AV234" s="65"/>
      <c r="AW234" s="3"/>
    </row>
    <row r="235" spans="1:49">
      <c r="AH235" s="99"/>
      <c r="AL235" s="99"/>
      <c r="AN235" s="99"/>
      <c r="AQ235" s="6"/>
      <c r="AR235" s="6"/>
      <c r="AS235" s="6"/>
      <c r="AT235" s="89"/>
      <c r="AU235" s="100"/>
      <c r="AV235" s="65"/>
      <c r="AW235" s="3"/>
    </row>
    <row r="236" spans="1:49">
      <c r="AH236" s="99"/>
      <c r="AL236" s="99"/>
      <c r="AN236" s="99"/>
      <c r="AQ236" s="6"/>
      <c r="AR236" s="6"/>
      <c r="AS236" s="6"/>
      <c r="AT236" s="89"/>
      <c r="AU236" s="100"/>
      <c r="AV236" s="65"/>
      <c r="AW236" s="3"/>
    </row>
    <row r="237" spans="1:49">
      <c r="AH237" s="99"/>
      <c r="AL237" s="99"/>
      <c r="AN237" s="99"/>
      <c r="AQ237" s="6"/>
      <c r="AR237" s="6"/>
      <c r="AS237" s="6"/>
      <c r="AT237" s="89"/>
      <c r="AU237" s="100"/>
      <c r="AV237" s="65"/>
      <c r="AW237" s="3"/>
    </row>
    <row r="238" spans="1:49">
      <c r="AH238" s="99"/>
      <c r="AL238" s="99"/>
      <c r="AN238" s="99"/>
      <c r="AQ238" s="6"/>
      <c r="AR238" s="6"/>
      <c r="AS238" s="6"/>
      <c r="AT238" s="89"/>
      <c r="AU238" s="100"/>
      <c r="AV238" s="65"/>
      <c r="AW238" s="3"/>
    </row>
    <row r="239" spans="1:49">
      <c r="AH239" s="99"/>
      <c r="AL239" s="99"/>
      <c r="AN239" s="99"/>
      <c r="AQ239" s="6"/>
      <c r="AR239" s="6"/>
      <c r="AS239" s="6"/>
      <c r="AT239" s="89"/>
      <c r="AU239" s="100"/>
      <c r="AV239" s="65"/>
      <c r="AW239" s="3"/>
    </row>
    <row r="240" spans="1:49">
      <c r="AH240" s="99"/>
      <c r="AL240" s="99"/>
      <c r="AN240" s="99"/>
      <c r="AQ240" s="6"/>
      <c r="AR240" s="6"/>
      <c r="AS240" s="6"/>
      <c r="AT240" s="89"/>
      <c r="AU240" s="100"/>
      <c r="AV240" s="65"/>
      <c r="AW240" s="3"/>
    </row>
    <row r="241" spans="34:49">
      <c r="AH241" s="99"/>
      <c r="AL241" s="99"/>
      <c r="AN241" s="99"/>
      <c r="AQ241" s="6"/>
      <c r="AR241" s="6"/>
      <c r="AS241" s="6"/>
      <c r="AT241" s="89"/>
      <c r="AU241" s="100"/>
      <c r="AV241" s="65"/>
      <c r="AW241" s="3"/>
    </row>
    <row r="242" spans="34:49">
      <c r="AH242" s="99"/>
      <c r="AL242" s="99"/>
      <c r="AN242" s="99"/>
      <c r="AQ242" s="6"/>
      <c r="AR242" s="6"/>
      <c r="AS242" s="6"/>
      <c r="AT242" s="89"/>
      <c r="AU242" s="100"/>
      <c r="AV242" s="65"/>
      <c r="AW242" s="3"/>
    </row>
    <row r="243" spans="34:49">
      <c r="AH243" s="99"/>
      <c r="AL243" s="99"/>
      <c r="AN243" s="99"/>
      <c r="AQ243" s="6"/>
      <c r="AR243" s="6"/>
      <c r="AS243" s="6"/>
      <c r="AT243" s="89"/>
      <c r="AU243" s="100"/>
      <c r="AV243" s="65"/>
      <c r="AW243" s="3"/>
    </row>
    <row r="244" spans="34:49">
      <c r="AH244" s="99"/>
      <c r="AL244" s="99"/>
      <c r="AN244" s="99"/>
      <c r="AQ244" s="6"/>
      <c r="AR244" s="6"/>
      <c r="AS244" s="6"/>
      <c r="AT244" s="89"/>
      <c r="AU244" s="100"/>
      <c r="AV244" s="65"/>
      <c r="AW244" s="3"/>
    </row>
    <row r="245" spans="34:49">
      <c r="AH245" s="99"/>
      <c r="AL245" s="99"/>
      <c r="AN245" s="99"/>
      <c r="AQ245" s="6"/>
      <c r="AR245" s="6"/>
      <c r="AS245" s="6"/>
      <c r="AT245" s="89"/>
      <c r="AU245" s="100"/>
      <c r="AV245" s="65"/>
      <c r="AW245" s="3"/>
    </row>
    <row r="246" spans="34:49">
      <c r="AH246" s="99"/>
      <c r="AL246" s="99"/>
      <c r="AN246" s="99"/>
      <c r="AQ246" s="6"/>
      <c r="AR246" s="6"/>
      <c r="AS246" s="6"/>
      <c r="AT246" s="89"/>
      <c r="AU246" s="100"/>
      <c r="AV246" s="65"/>
      <c r="AW246" s="3"/>
    </row>
    <row r="247" spans="34:49">
      <c r="AH247" s="99"/>
      <c r="AL247" s="99"/>
      <c r="AN247" s="99"/>
      <c r="AQ247" s="6"/>
      <c r="AR247" s="6"/>
      <c r="AS247" s="6"/>
      <c r="AT247" s="89"/>
      <c r="AU247" s="100"/>
      <c r="AV247" s="65"/>
      <c r="AW247" s="3"/>
    </row>
    <row r="248" spans="34:49">
      <c r="AH248" s="99"/>
      <c r="AL248" s="99"/>
      <c r="AN248" s="99"/>
      <c r="AQ248" s="6"/>
      <c r="AR248" s="6"/>
      <c r="AS248" s="6"/>
      <c r="AT248" s="89"/>
      <c r="AU248" s="100"/>
      <c r="AV248" s="65"/>
      <c r="AW248" s="3"/>
    </row>
    <row r="249" spans="34:49">
      <c r="AH249" s="99"/>
      <c r="AL249" s="99"/>
      <c r="AN249" s="99"/>
      <c r="AQ249" s="6"/>
      <c r="AR249" s="6"/>
      <c r="AS249" s="6"/>
      <c r="AT249" s="89"/>
      <c r="AU249" s="100"/>
      <c r="AV249" s="65"/>
      <c r="AW249" s="3"/>
    </row>
    <row r="250" spans="34:49">
      <c r="AH250" s="99"/>
      <c r="AL250" s="99"/>
      <c r="AN250" s="99"/>
      <c r="AQ250" s="6"/>
      <c r="AR250" s="6"/>
      <c r="AS250" s="6"/>
      <c r="AT250" s="89"/>
      <c r="AU250" s="100"/>
      <c r="AV250" s="65"/>
      <c r="AW250" s="3"/>
    </row>
    <row r="251" spans="34:49">
      <c r="AH251" s="99"/>
      <c r="AL251" s="99"/>
      <c r="AN251" s="99"/>
      <c r="AQ251" s="6"/>
      <c r="AR251" s="6"/>
      <c r="AS251" s="6"/>
      <c r="AT251" s="89"/>
      <c r="AU251" s="100"/>
      <c r="AV251" s="65"/>
      <c r="AW251" s="3"/>
    </row>
    <row r="252" spans="34:49">
      <c r="AH252" s="99"/>
      <c r="AL252" s="99"/>
      <c r="AN252" s="99"/>
      <c r="AQ252" s="6"/>
      <c r="AR252" s="6"/>
      <c r="AS252" s="6"/>
      <c r="AT252" s="89"/>
      <c r="AU252" s="100"/>
      <c r="AV252" s="65"/>
      <c r="AW252" s="3"/>
    </row>
    <row r="253" spans="34:49">
      <c r="AH253" s="99"/>
      <c r="AL253" s="99"/>
      <c r="AN253" s="99"/>
      <c r="AQ253" s="6"/>
      <c r="AR253" s="6"/>
      <c r="AS253" s="6"/>
      <c r="AT253" s="89"/>
      <c r="AU253" s="100"/>
      <c r="AV253" s="65"/>
      <c r="AW253" s="3"/>
    </row>
    <row r="254" spans="34:49">
      <c r="AH254" s="99"/>
      <c r="AL254" s="99"/>
      <c r="AN254" s="99"/>
      <c r="AQ254" s="6"/>
      <c r="AR254" s="6"/>
      <c r="AS254" s="6"/>
      <c r="AT254" s="89"/>
      <c r="AU254" s="100"/>
      <c r="AV254" s="65"/>
      <c r="AW254" s="3"/>
    </row>
    <row r="255" spans="34:49">
      <c r="AH255" s="99"/>
      <c r="AL255" s="99"/>
      <c r="AN255" s="99"/>
      <c r="AQ255" s="6"/>
      <c r="AR255" s="6"/>
      <c r="AS255" s="6"/>
      <c r="AT255" s="89"/>
      <c r="AU255" s="100"/>
      <c r="AV255" s="65"/>
      <c r="AW255" s="3"/>
    </row>
    <row r="256" spans="34:49">
      <c r="AH256" s="99"/>
      <c r="AL256" s="99"/>
      <c r="AN256" s="99"/>
      <c r="AQ256" s="6"/>
      <c r="AR256" s="6"/>
      <c r="AS256" s="6"/>
      <c r="AT256" s="89"/>
      <c r="AU256" s="100"/>
      <c r="AV256" s="65"/>
      <c r="AW256" s="3"/>
    </row>
    <row r="257" spans="34:49">
      <c r="AH257" s="99"/>
      <c r="AL257" s="99"/>
      <c r="AN257" s="99"/>
      <c r="AQ257" s="6"/>
      <c r="AR257" s="6"/>
      <c r="AS257" s="6"/>
      <c r="AT257" s="89"/>
      <c r="AU257" s="100"/>
      <c r="AV257" s="65"/>
      <c r="AW257" s="3"/>
    </row>
    <row r="258" spans="34:49">
      <c r="AH258" s="99"/>
      <c r="AL258" s="99"/>
      <c r="AN258" s="99"/>
      <c r="AQ258" s="6"/>
      <c r="AR258" s="6"/>
      <c r="AS258" s="6"/>
      <c r="AT258" s="89"/>
      <c r="AU258" s="100"/>
      <c r="AV258" s="65"/>
      <c r="AW258" s="3"/>
    </row>
    <row r="259" spans="34:49">
      <c r="AH259" s="99"/>
      <c r="AL259" s="99"/>
      <c r="AN259" s="99"/>
      <c r="AQ259" s="6"/>
      <c r="AR259" s="6"/>
      <c r="AS259" s="6"/>
      <c r="AT259" s="89"/>
      <c r="AU259" s="100"/>
      <c r="AV259" s="65"/>
      <c r="AW259" s="3"/>
    </row>
    <row r="260" spans="34:49">
      <c r="AH260" s="99"/>
      <c r="AL260" s="99"/>
      <c r="AN260" s="99"/>
      <c r="AQ260" s="6"/>
      <c r="AR260" s="6"/>
      <c r="AS260" s="6"/>
      <c r="AT260" s="89"/>
      <c r="AU260" s="100"/>
      <c r="AV260" s="65"/>
      <c r="AW260" s="3"/>
    </row>
    <row r="261" spans="34:49">
      <c r="AH261" s="99"/>
      <c r="AL261" s="99"/>
      <c r="AN261" s="99"/>
      <c r="AQ261" s="6"/>
      <c r="AR261" s="6"/>
      <c r="AS261" s="6"/>
      <c r="AT261" s="89"/>
      <c r="AU261" s="100"/>
      <c r="AV261" s="65"/>
      <c r="AW261" s="3"/>
    </row>
    <row r="262" spans="34:49">
      <c r="AH262" s="99"/>
      <c r="AL262" s="99"/>
      <c r="AN262" s="99"/>
      <c r="AQ262" s="6"/>
      <c r="AR262" s="6"/>
      <c r="AS262" s="6"/>
      <c r="AT262" s="89"/>
      <c r="AU262" s="100"/>
      <c r="AV262" s="65"/>
      <c r="AW262" s="3"/>
    </row>
    <row r="263" spans="34:49">
      <c r="AH263" s="99"/>
      <c r="AL263" s="99"/>
      <c r="AN263" s="99"/>
      <c r="AQ263" s="6"/>
      <c r="AR263" s="6"/>
      <c r="AS263" s="6"/>
      <c r="AT263" s="89"/>
      <c r="AU263" s="100"/>
      <c r="AV263" s="65"/>
      <c r="AW263" s="3"/>
    </row>
    <row r="264" spans="34:49">
      <c r="AH264" s="99"/>
      <c r="AL264" s="99"/>
      <c r="AN264" s="99"/>
      <c r="AQ264" s="6"/>
      <c r="AR264" s="6"/>
      <c r="AS264" s="6"/>
      <c r="AT264" s="89"/>
      <c r="AU264" s="100"/>
      <c r="AV264" s="65"/>
      <c r="AW264" s="3"/>
    </row>
    <row r="265" spans="34:49">
      <c r="AH265" s="99"/>
      <c r="AL265" s="99"/>
      <c r="AN265" s="99"/>
      <c r="AQ265" s="6"/>
      <c r="AR265" s="6"/>
      <c r="AS265" s="6"/>
      <c r="AT265" s="89"/>
      <c r="AU265" s="100"/>
      <c r="AV265" s="65"/>
      <c r="AW265" s="3"/>
    </row>
    <row r="266" spans="34:49">
      <c r="AH266" s="99"/>
      <c r="AL266" s="99"/>
      <c r="AN266" s="99"/>
      <c r="AQ266" s="6"/>
      <c r="AR266" s="6"/>
      <c r="AS266" s="6"/>
      <c r="AT266" s="89"/>
      <c r="AU266" s="100"/>
      <c r="AV266" s="65"/>
      <c r="AW266" s="3"/>
    </row>
    <row r="267" spans="34:49">
      <c r="AH267" s="99"/>
      <c r="AL267" s="99"/>
      <c r="AN267" s="99"/>
      <c r="AQ267" s="6"/>
      <c r="AR267" s="6"/>
      <c r="AS267" s="6"/>
      <c r="AT267" s="89"/>
      <c r="AU267" s="100"/>
      <c r="AV267" s="65"/>
      <c r="AW267" s="3"/>
    </row>
    <row r="268" spans="34:49">
      <c r="AH268" s="99"/>
      <c r="AL268" s="99"/>
      <c r="AN268" s="99"/>
      <c r="AQ268" s="6"/>
      <c r="AR268" s="6"/>
      <c r="AS268" s="6"/>
      <c r="AT268" s="89"/>
      <c r="AU268" s="100"/>
      <c r="AV268" s="65"/>
      <c r="AW268" s="3"/>
    </row>
    <row r="269" spans="34:49">
      <c r="AH269" s="99"/>
      <c r="AL269" s="99"/>
      <c r="AN269" s="99"/>
      <c r="AQ269" s="6"/>
      <c r="AR269" s="6"/>
      <c r="AS269" s="6"/>
      <c r="AT269" s="89"/>
      <c r="AU269" s="100"/>
      <c r="AV269" s="65"/>
      <c r="AW269" s="3"/>
    </row>
    <row r="270" spans="34:49">
      <c r="AH270" s="99"/>
      <c r="AL270" s="99"/>
      <c r="AN270" s="99"/>
      <c r="AQ270" s="6"/>
      <c r="AR270" s="6"/>
      <c r="AS270" s="6"/>
      <c r="AT270" s="89"/>
      <c r="AU270" s="100"/>
      <c r="AV270" s="65"/>
      <c r="AW270" s="3"/>
    </row>
    <row r="271" spans="34:49">
      <c r="AH271" s="99"/>
      <c r="AL271" s="99"/>
      <c r="AN271" s="99"/>
      <c r="AQ271" s="6"/>
      <c r="AR271" s="6"/>
      <c r="AS271" s="6"/>
      <c r="AT271" s="89"/>
      <c r="AU271" s="100"/>
      <c r="AV271" s="65"/>
      <c r="AW271" s="3"/>
    </row>
    <row r="272" spans="34:49">
      <c r="AH272" s="99"/>
      <c r="AL272" s="99"/>
      <c r="AN272" s="99"/>
      <c r="AQ272" s="6"/>
      <c r="AR272" s="6"/>
      <c r="AS272" s="6"/>
      <c r="AT272" s="89"/>
      <c r="AU272" s="100"/>
      <c r="AV272" s="65"/>
      <c r="AW272" s="3"/>
    </row>
    <row r="273" spans="34:49">
      <c r="AH273" s="99"/>
      <c r="AL273" s="99"/>
      <c r="AN273" s="99"/>
      <c r="AQ273" s="6"/>
      <c r="AR273" s="6"/>
      <c r="AS273" s="6"/>
      <c r="AT273" s="89"/>
      <c r="AU273" s="100"/>
      <c r="AV273" s="65"/>
      <c r="AW273" s="3"/>
    </row>
    <row r="274" spans="34:49">
      <c r="AH274" s="99"/>
      <c r="AL274" s="99"/>
      <c r="AN274" s="99"/>
      <c r="AQ274" s="6"/>
      <c r="AR274" s="6"/>
      <c r="AS274" s="6"/>
      <c r="AT274" s="89"/>
      <c r="AU274" s="100"/>
      <c r="AV274" s="65"/>
      <c r="AW274" s="3"/>
    </row>
    <row r="275" spans="34:49">
      <c r="AH275" s="99"/>
      <c r="AL275" s="99"/>
      <c r="AN275" s="99"/>
      <c r="AQ275" s="6"/>
      <c r="AR275" s="6"/>
      <c r="AS275" s="6"/>
      <c r="AT275" s="89"/>
      <c r="AU275" s="100"/>
      <c r="AV275" s="65"/>
      <c r="AW275" s="3"/>
    </row>
    <row r="276" spans="34:49">
      <c r="AH276" s="99"/>
      <c r="AL276" s="99"/>
      <c r="AN276" s="99"/>
      <c r="AQ276" s="6"/>
      <c r="AR276" s="6"/>
      <c r="AS276" s="6"/>
      <c r="AT276" s="89"/>
      <c r="AU276" s="100"/>
      <c r="AV276" s="65"/>
      <c r="AW276" s="3"/>
    </row>
    <row r="277" spans="34:49">
      <c r="AH277" s="99"/>
      <c r="AL277" s="99"/>
      <c r="AN277" s="99"/>
      <c r="AQ277" s="6"/>
      <c r="AR277" s="6"/>
      <c r="AS277" s="6"/>
      <c r="AT277" s="89"/>
      <c r="AU277" s="100"/>
      <c r="AV277" s="65"/>
      <c r="AW277" s="3"/>
    </row>
    <row r="278" spans="34:49">
      <c r="AH278" s="99"/>
      <c r="AL278" s="99"/>
      <c r="AN278" s="99"/>
      <c r="AQ278" s="6"/>
      <c r="AR278" s="6"/>
      <c r="AS278" s="6"/>
      <c r="AT278" s="89"/>
      <c r="AU278" s="100"/>
      <c r="AV278" s="65"/>
      <c r="AW278" s="3"/>
    </row>
    <row r="279" spans="34:49">
      <c r="AH279" s="99"/>
      <c r="AL279" s="99"/>
      <c r="AN279" s="99"/>
      <c r="AQ279" s="6"/>
      <c r="AR279" s="6"/>
      <c r="AS279" s="6"/>
      <c r="AT279" s="89"/>
      <c r="AU279" s="100"/>
      <c r="AV279" s="65"/>
      <c r="AW279" s="3"/>
    </row>
    <row r="280" spans="34:49">
      <c r="AH280" s="99"/>
      <c r="AL280" s="99"/>
      <c r="AN280" s="99"/>
      <c r="AQ280" s="6"/>
      <c r="AR280" s="6"/>
      <c r="AS280" s="6"/>
      <c r="AT280" s="89"/>
      <c r="AU280" s="100"/>
      <c r="AV280" s="65"/>
      <c r="AW280" s="3"/>
    </row>
    <row r="281" spans="34:49">
      <c r="AH281" s="99"/>
      <c r="AL281" s="99"/>
      <c r="AN281" s="99"/>
      <c r="AQ281" s="6"/>
      <c r="AR281" s="6"/>
      <c r="AS281" s="6"/>
      <c r="AT281" s="89"/>
      <c r="AU281" s="100"/>
      <c r="AV281" s="65"/>
      <c r="AW281" s="3"/>
    </row>
    <row r="282" spans="34:49">
      <c r="AH282" s="99"/>
      <c r="AL282" s="99"/>
      <c r="AN282" s="99"/>
      <c r="AQ282" s="6"/>
      <c r="AR282" s="6"/>
      <c r="AS282" s="6"/>
      <c r="AT282" s="89"/>
      <c r="AU282" s="100"/>
      <c r="AV282" s="65"/>
      <c r="AW282" s="3"/>
    </row>
    <row r="283" spans="34:49">
      <c r="AH283" s="99"/>
      <c r="AL283" s="99"/>
      <c r="AN283" s="99"/>
      <c r="AQ283" s="6"/>
      <c r="AR283" s="6"/>
      <c r="AS283" s="6"/>
      <c r="AT283" s="89"/>
      <c r="AU283" s="100"/>
      <c r="AV283" s="65"/>
      <c r="AW283" s="3"/>
    </row>
    <row r="284" spans="34:49">
      <c r="AH284" s="99"/>
      <c r="AL284" s="99"/>
      <c r="AN284" s="99"/>
      <c r="AQ284" s="6"/>
      <c r="AR284" s="6"/>
      <c r="AS284" s="6"/>
      <c r="AT284" s="89"/>
      <c r="AU284" s="100"/>
      <c r="AV284" s="65"/>
      <c r="AW284" s="3"/>
    </row>
    <row r="285" spans="34:49">
      <c r="AH285" s="99"/>
      <c r="AL285" s="99"/>
      <c r="AN285" s="99"/>
      <c r="AQ285" s="6"/>
      <c r="AR285" s="6"/>
      <c r="AS285" s="6"/>
      <c r="AT285" s="89"/>
      <c r="AU285" s="100"/>
      <c r="AV285" s="65"/>
      <c r="AW285" s="3"/>
    </row>
    <row r="286" spans="34:49">
      <c r="AH286" s="99"/>
      <c r="AL286" s="99"/>
      <c r="AN286" s="99"/>
      <c r="AQ286" s="6"/>
      <c r="AR286" s="6"/>
      <c r="AS286" s="6"/>
      <c r="AT286" s="89"/>
      <c r="AU286" s="100"/>
      <c r="AV286" s="65"/>
      <c r="AW286" s="3"/>
    </row>
    <row r="287" spans="34:49">
      <c r="AH287" s="99"/>
      <c r="AL287" s="99"/>
      <c r="AN287" s="99"/>
      <c r="AQ287" s="6"/>
      <c r="AR287" s="6"/>
      <c r="AS287" s="6"/>
      <c r="AT287" s="89"/>
      <c r="AU287" s="100"/>
      <c r="AV287" s="65"/>
      <c r="AW287" s="3"/>
    </row>
    <row r="288" spans="34:49">
      <c r="AH288" s="99"/>
      <c r="AL288" s="99"/>
      <c r="AN288" s="99"/>
      <c r="AQ288" s="6"/>
      <c r="AR288" s="6"/>
      <c r="AS288" s="6"/>
      <c r="AT288" s="89"/>
      <c r="AU288" s="100"/>
      <c r="AV288" s="65"/>
      <c r="AW288" s="3"/>
    </row>
    <row r="289" spans="34:49">
      <c r="AH289" s="99"/>
      <c r="AL289" s="99"/>
      <c r="AN289" s="99"/>
      <c r="AQ289" s="6"/>
      <c r="AR289" s="6"/>
      <c r="AS289" s="6"/>
      <c r="AT289" s="89"/>
      <c r="AU289" s="100"/>
      <c r="AV289" s="65"/>
      <c r="AW289" s="3"/>
    </row>
    <row r="290" spans="34:49">
      <c r="AH290" s="99"/>
      <c r="AL290" s="99"/>
      <c r="AN290" s="99"/>
      <c r="AQ290" s="6"/>
      <c r="AR290" s="6"/>
      <c r="AS290" s="6"/>
      <c r="AT290" s="89"/>
      <c r="AU290" s="100"/>
      <c r="AV290" s="65"/>
      <c r="AW290" s="3"/>
    </row>
    <row r="291" spans="34:49">
      <c r="AH291" s="99"/>
      <c r="AL291" s="99"/>
      <c r="AN291" s="99"/>
      <c r="AQ291" s="6"/>
      <c r="AR291" s="6"/>
      <c r="AS291" s="6"/>
      <c r="AT291" s="89"/>
      <c r="AU291" s="100"/>
      <c r="AV291" s="65"/>
      <c r="AW291" s="3"/>
    </row>
    <row r="292" spans="34:49">
      <c r="AH292" s="99"/>
      <c r="AL292" s="99"/>
      <c r="AN292" s="99"/>
      <c r="AQ292" s="6"/>
      <c r="AR292" s="6"/>
      <c r="AS292" s="6"/>
      <c r="AT292" s="89"/>
      <c r="AU292" s="100"/>
      <c r="AV292" s="65"/>
      <c r="AW292" s="3"/>
    </row>
    <row r="293" spans="34:49">
      <c r="AH293" s="99"/>
      <c r="AL293" s="99"/>
      <c r="AN293" s="99"/>
      <c r="AQ293" s="6"/>
      <c r="AR293" s="6"/>
      <c r="AS293" s="6"/>
      <c r="AT293" s="89"/>
      <c r="AU293" s="100"/>
      <c r="AV293" s="65"/>
      <c r="AW293" s="3"/>
    </row>
    <row r="294" spans="34:49">
      <c r="AH294" s="99"/>
      <c r="AL294" s="99"/>
      <c r="AN294" s="99"/>
      <c r="AQ294" s="6"/>
      <c r="AR294" s="6"/>
      <c r="AS294" s="6"/>
      <c r="AT294" s="89"/>
      <c r="AU294" s="100"/>
      <c r="AV294" s="65"/>
      <c r="AW294" s="3"/>
    </row>
    <row r="295" spans="34:49">
      <c r="AH295" s="99"/>
      <c r="AL295" s="99"/>
      <c r="AN295" s="99"/>
      <c r="AQ295" s="6"/>
      <c r="AR295" s="6"/>
      <c r="AS295" s="6"/>
      <c r="AT295" s="89"/>
      <c r="AU295" s="100"/>
      <c r="AV295" s="65"/>
      <c r="AW295" s="3"/>
    </row>
    <row r="296" spans="34:49">
      <c r="AH296" s="99"/>
      <c r="AL296" s="99"/>
      <c r="AN296" s="99"/>
      <c r="AQ296" s="6"/>
      <c r="AR296" s="6"/>
      <c r="AS296" s="6"/>
      <c r="AT296" s="89"/>
      <c r="AU296" s="100"/>
      <c r="AV296" s="65"/>
      <c r="AW296" s="3"/>
    </row>
    <row r="297" spans="34:49">
      <c r="AH297" s="99"/>
      <c r="AL297" s="99"/>
      <c r="AN297" s="99"/>
      <c r="AQ297" s="6"/>
      <c r="AR297" s="6"/>
      <c r="AS297" s="6"/>
      <c r="AT297" s="89"/>
      <c r="AU297" s="100"/>
      <c r="AV297" s="65"/>
      <c r="AW297" s="3"/>
    </row>
    <row r="298" spans="34:49">
      <c r="AH298" s="99"/>
      <c r="AL298" s="99"/>
      <c r="AN298" s="99"/>
      <c r="AQ298" s="6"/>
      <c r="AR298" s="6"/>
      <c r="AS298" s="6"/>
      <c r="AT298" s="89"/>
      <c r="AU298" s="100"/>
      <c r="AV298" s="65"/>
      <c r="AW298" s="3"/>
    </row>
    <row r="299" spans="34:49">
      <c r="AH299" s="99"/>
      <c r="AL299" s="99"/>
      <c r="AN299" s="99"/>
      <c r="AQ299" s="6"/>
      <c r="AR299" s="6"/>
      <c r="AS299" s="6"/>
      <c r="AT299" s="89"/>
      <c r="AU299" s="100"/>
      <c r="AV299" s="65"/>
      <c r="AW299" s="3"/>
    </row>
    <row r="300" spans="34:49">
      <c r="AH300" s="99"/>
      <c r="AL300" s="99"/>
      <c r="AN300" s="99"/>
      <c r="AQ300" s="6"/>
      <c r="AR300" s="6"/>
      <c r="AS300" s="6"/>
      <c r="AT300" s="89"/>
      <c r="AU300" s="100"/>
      <c r="AV300" s="65"/>
      <c r="AW300" s="3"/>
    </row>
    <row r="301" spans="34:49">
      <c r="AH301" s="99"/>
      <c r="AL301" s="99"/>
      <c r="AN301" s="99"/>
      <c r="AQ301" s="6"/>
      <c r="AR301" s="6"/>
      <c r="AS301" s="6"/>
      <c r="AT301" s="89"/>
      <c r="AU301" s="100"/>
      <c r="AV301" s="65"/>
      <c r="AW301" s="3"/>
    </row>
    <row r="302" spans="34:49">
      <c r="AH302" s="99"/>
      <c r="AL302" s="99"/>
      <c r="AN302" s="99"/>
      <c r="AQ302" s="6"/>
      <c r="AR302" s="6"/>
      <c r="AS302" s="6"/>
      <c r="AT302" s="89"/>
      <c r="AU302" s="100"/>
      <c r="AV302" s="65"/>
      <c r="AW302" s="3"/>
    </row>
    <row r="303" spans="34:49">
      <c r="AH303" s="99"/>
      <c r="AL303" s="99"/>
      <c r="AN303" s="99"/>
      <c r="AQ303" s="6"/>
      <c r="AR303" s="6"/>
      <c r="AS303" s="6"/>
      <c r="AT303" s="89"/>
      <c r="AU303" s="100"/>
      <c r="AV303" s="65"/>
      <c r="AW303" s="3"/>
    </row>
    <row r="304" spans="34:49">
      <c r="AH304" s="99"/>
      <c r="AL304" s="99"/>
      <c r="AN304" s="99"/>
      <c r="AQ304" s="6"/>
      <c r="AR304" s="6"/>
      <c r="AS304" s="6"/>
      <c r="AT304" s="89"/>
      <c r="AU304" s="100"/>
      <c r="AV304" s="65"/>
      <c r="AW304" s="3"/>
    </row>
    <row r="305" spans="34:49">
      <c r="AH305" s="99"/>
      <c r="AL305" s="99"/>
      <c r="AN305" s="99"/>
      <c r="AQ305" s="6"/>
      <c r="AR305" s="6"/>
      <c r="AS305" s="6"/>
      <c r="AT305" s="89"/>
      <c r="AU305" s="100"/>
      <c r="AV305" s="65"/>
      <c r="AW305" s="3"/>
    </row>
    <row r="306" spans="34:49">
      <c r="AH306" s="99"/>
      <c r="AL306" s="99"/>
      <c r="AN306" s="99"/>
      <c r="AQ306" s="6"/>
      <c r="AR306" s="6"/>
      <c r="AS306" s="6"/>
      <c r="AT306" s="89"/>
      <c r="AU306" s="100"/>
      <c r="AV306" s="65"/>
      <c r="AW306" s="3"/>
    </row>
    <row r="307" spans="34:49">
      <c r="AH307" s="99"/>
      <c r="AL307" s="99"/>
      <c r="AN307" s="99"/>
      <c r="AQ307" s="6"/>
      <c r="AR307" s="6"/>
      <c r="AS307" s="6"/>
      <c r="AT307" s="89"/>
      <c r="AU307" s="100"/>
      <c r="AV307" s="65"/>
      <c r="AW307" s="3"/>
    </row>
    <row r="308" spans="34:49">
      <c r="AH308" s="99"/>
      <c r="AL308" s="99"/>
      <c r="AN308" s="99"/>
      <c r="AQ308" s="6"/>
      <c r="AR308" s="6"/>
      <c r="AS308" s="6"/>
      <c r="AT308" s="89"/>
      <c r="AU308" s="100"/>
      <c r="AV308" s="65"/>
      <c r="AW308" s="3"/>
    </row>
    <row r="309" spans="34:49">
      <c r="AH309" s="99"/>
      <c r="AL309" s="99"/>
      <c r="AN309" s="99"/>
      <c r="AQ309" s="6"/>
      <c r="AR309" s="6"/>
      <c r="AS309" s="6"/>
      <c r="AT309" s="89"/>
      <c r="AU309" s="100"/>
      <c r="AV309" s="65"/>
      <c r="AW309" s="3"/>
    </row>
    <row r="310" spans="34:49">
      <c r="AH310" s="99"/>
      <c r="AL310" s="99"/>
      <c r="AN310" s="99"/>
      <c r="AQ310" s="6"/>
      <c r="AR310" s="6"/>
      <c r="AS310" s="6"/>
      <c r="AT310" s="89"/>
      <c r="AU310" s="100"/>
      <c r="AV310" s="65"/>
      <c r="AW310" s="3"/>
    </row>
    <row r="311" spans="34:49">
      <c r="AH311" s="99"/>
      <c r="AL311" s="99"/>
      <c r="AN311" s="99"/>
      <c r="AQ311" s="6"/>
      <c r="AR311" s="6"/>
      <c r="AS311" s="6"/>
      <c r="AT311" s="89"/>
      <c r="AU311" s="100"/>
      <c r="AV311" s="65"/>
      <c r="AW311" s="3"/>
    </row>
    <row r="312" spans="34:49">
      <c r="AH312" s="99"/>
      <c r="AL312" s="99"/>
      <c r="AN312" s="99"/>
      <c r="AQ312" s="6"/>
      <c r="AR312" s="6"/>
      <c r="AS312" s="6"/>
      <c r="AT312" s="89"/>
      <c r="AU312" s="100"/>
      <c r="AV312" s="65"/>
      <c r="AW312" s="3"/>
    </row>
    <row r="313" spans="34:49">
      <c r="AH313" s="99"/>
      <c r="AL313" s="99"/>
      <c r="AN313" s="99"/>
      <c r="AQ313" s="6"/>
      <c r="AR313" s="6"/>
      <c r="AS313" s="6"/>
      <c r="AT313" s="89"/>
      <c r="AU313" s="100"/>
      <c r="AV313" s="65"/>
      <c r="AW313" s="3"/>
    </row>
    <row r="314" spans="34:49">
      <c r="AH314" s="99"/>
      <c r="AL314" s="99"/>
      <c r="AN314" s="99"/>
      <c r="AQ314" s="6"/>
      <c r="AR314" s="6"/>
      <c r="AS314" s="6"/>
      <c r="AT314" s="89"/>
      <c r="AU314" s="100"/>
      <c r="AV314" s="65"/>
      <c r="AW314" s="3"/>
    </row>
    <row r="315" spans="34:49">
      <c r="AH315" s="99"/>
      <c r="AL315" s="99"/>
      <c r="AN315" s="99"/>
      <c r="AQ315" s="6"/>
      <c r="AR315" s="6"/>
      <c r="AS315" s="6"/>
      <c r="AT315" s="89"/>
      <c r="AU315" s="100"/>
      <c r="AV315" s="65"/>
      <c r="AW315" s="3"/>
    </row>
    <row r="316" spans="34:49">
      <c r="AH316" s="99"/>
      <c r="AL316" s="99"/>
      <c r="AN316" s="99"/>
      <c r="AQ316" s="6"/>
      <c r="AR316" s="6"/>
      <c r="AS316" s="6"/>
      <c r="AT316" s="89"/>
      <c r="AU316" s="100"/>
      <c r="AV316" s="65"/>
      <c r="AW316" s="3"/>
    </row>
    <row r="317" spans="34:49">
      <c r="AH317" s="99"/>
      <c r="AL317" s="99"/>
      <c r="AN317" s="99"/>
      <c r="AQ317" s="6"/>
      <c r="AR317" s="6"/>
      <c r="AS317" s="6"/>
      <c r="AT317" s="89"/>
      <c r="AU317" s="100"/>
      <c r="AV317" s="65"/>
      <c r="AW317" s="3"/>
    </row>
    <row r="318" spans="34:49">
      <c r="AH318" s="99"/>
      <c r="AL318" s="99"/>
      <c r="AN318" s="99"/>
      <c r="AQ318" s="6"/>
      <c r="AR318" s="6"/>
      <c r="AS318" s="6"/>
      <c r="AT318" s="89"/>
      <c r="AU318" s="100"/>
      <c r="AV318" s="65"/>
      <c r="AW318" s="3"/>
    </row>
    <row r="319" spans="34:49">
      <c r="AH319" s="99"/>
      <c r="AL319" s="99"/>
      <c r="AN319" s="99"/>
      <c r="AQ319" s="6"/>
      <c r="AR319" s="6"/>
      <c r="AS319" s="6"/>
      <c r="AT319" s="89"/>
      <c r="AU319" s="100"/>
      <c r="AV319" s="65"/>
      <c r="AW319" s="3"/>
    </row>
    <row r="320" spans="34:49">
      <c r="AH320" s="99"/>
      <c r="AL320" s="99"/>
      <c r="AN320" s="99"/>
      <c r="AQ320" s="6"/>
      <c r="AR320" s="6"/>
      <c r="AS320" s="6"/>
      <c r="AT320" s="89"/>
      <c r="AU320" s="100"/>
      <c r="AV320" s="65"/>
      <c r="AW320" s="3"/>
    </row>
    <row r="321" spans="34:49">
      <c r="AH321" s="99"/>
      <c r="AL321" s="99"/>
      <c r="AN321" s="99"/>
      <c r="AQ321" s="6"/>
      <c r="AR321" s="6"/>
      <c r="AS321" s="6"/>
      <c r="AT321" s="89"/>
      <c r="AU321" s="100"/>
      <c r="AV321" s="65"/>
      <c r="AW321" s="3"/>
    </row>
    <row r="322" spans="34:49">
      <c r="AH322" s="99"/>
      <c r="AL322" s="99"/>
      <c r="AN322" s="99"/>
      <c r="AQ322" s="6"/>
      <c r="AR322" s="6"/>
      <c r="AS322" s="6"/>
      <c r="AT322" s="89"/>
      <c r="AU322" s="100"/>
      <c r="AV322" s="65"/>
      <c r="AW322" s="3"/>
    </row>
    <row r="323" spans="34:49">
      <c r="AH323" s="99"/>
      <c r="AL323" s="99"/>
      <c r="AN323" s="99"/>
      <c r="AQ323" s="6"/>
      <c r="AR323" s="6"/>
      <c r="AS323" s="6"/>
      <c r="AT323" s="89"/>
      <c r="AU323" s="100"/>
      <c r="AV323" s="65"/>
      <c r="AW323" s="3"/>
    </row>
    <row r="324" spans="34:49">
      <c r="AH324" s="99"/>
      <c r="AL324" s="99"/>
      <c r="AN324" s="99"/>
      <c r="AQ324" s="6"/>
      <c r="AR324" s="6"/>
      <c r="AS324" s="6"/>
      <c r="AT324" s="89"/>
      <c r="AU324" s="100"/>
      <c r="AV324" s="65"/>
      <c r="AW324" s="3"/>
    </row>
    <row r="325" spans="34:49">
      <c r="AH325" s="99"/>
      <c r="AL325" s="99"/>
      <c r="AN325" s="99"/>
      <c r="AQ325" s="6"/>
      <c r="AR325" s="6"/>
      <c r="AS325" s="6"/>
      <c r="AT325" s="89"/>
      <c r="AU325" s="100"/>
      <c r="AV325" s="65"/>
      <c r="AW325" s="3"/>
    </row>
    <row r="326" spans="34:49">
      <c r="AH326" s="99"/>
      <c r="AL326" s="99"/>
      <c r="AN326" s="99"/>
      <c r="AQ326" s="6"/>
      <c r="AR326" s="6"/>
      <c r="AS326" s="6"/>
      <c r="AT326" s="89"/>
      <c r="AU326" s="100"/>
      <c r="AV326" s="65"/>
      <c r="AW326" s="3"/>
    </row>
    <row r="327" spans="34:49">
      <c r="AH327" s="99"/>
      <c r="AL327" s="99"/>
      <c r="AN327" s="99"/>
      <c r="AQ327" s="6"/>
      <c r="AR327" s="6"/>
      <c r="AS327" s="6"/>
      <c r="AT327" s="89"/>
      <c r="AU327" s="100"/>
      <c r="AV327" s="65"/>
      <c r="AW327" s="3"/>
    </row>
    <row r="328" spans="34:49">
      <c r="AH328" s="99"/>
      <c r="AL328" s="99"/>
      <c r="AN328" s="99"/>
      <c r="AQ328" s="6"/>
      <c r="AR328" s="6"/>
      <c r="AS328" s="6"/>
      <c r="AT328" s="89"/>
      <c r="AU328" s="100"/>
      <c r="AV328" s="65"/>
      <c r="AW328" s="3"/>
    </row>
    <row r="329" spans="34:49">
      <c r="AH329" s="99"/>
      <c r="AL329" s="99"/>
      <c r="AN329" s="99"/>
      <c r="AQ329" s="6"/>
      <c r="AR329" s="6"/>
      <c r="AS329" s="6"/>
      <c r="AT329" s="89"/>
      <c r="AU329" s="100"/>
      <c r="AV329" s="65"/>
      <c r="AW329" s="3"/>
    </row>
    <row r="330" spans="34:49">
      <c r="AH330" s="99"/>
      <c r="AL330" s="99"/>
      <c r="AN330" s="99"/>
      <c r="AQ330" s="6"/>
      <c r="AR330" s="6"/>
      <c r="AS330" s="6"/>
      <c r="AT330" s="89"/>
      <c r="AU330" s="100"/>
      <c r="AV330" s="65"/>
      <c r="AW330" s="3"/>
    </row>
    <row r="331" spans="34:49">
      <c r="AH331" s="99"/>
      <c r="AL331" s="99"/>
      <c r="AN331" s="99"/>
      <c r="AQ331" s="6"/>
      <c r="AR331" s="6"/>
      <c r="AS331" s="6"/>
      <c r="AT331" s="89"/>
      <c r="AU331" s="100"/>
      <c r="AV331" s="65"/>
      <c r="AW331" s="3"/>
    </row>
    <row r="332" spans="34:49">
      <c r="AH332" s="99"/>
      <c r="AL332" s="99"/>
      <c r="AN332" s="99"/>
      <c r="AQ332" s="6"/>
      <c r="AR332" s="6"/>
      <c r="AS332" s="6"/>
      <c r="AT332" s="89"/>
      <c r="AU332" s="100"/>
      <c r="AV332" s="65"/>
      <c r="AW332" s="3"/>
    </row>
    <row r="333" spans="34:49">
      <c r="AH333" s="99"/>
      <c r="AL333" s="99"/>
      <c r="AN333" s="99"/>
      <c r="AQ333" s="6"/>
      <c r="AR333" s="6"/>
      <c r="AS333" s="6"/>
      <c r="AT333" s="89"/>
      <c r="AU333" s="100"/>
      <c r="AV333" s="65"/>
      <c r="AW333" s="3"/>
    </row>
    <row r="334" spans="34:49">
      <c r="AH334" s="99"/>
      <c r="AL334" s="99"/>
      <c r="AN334" s="99"/>
      <c r="AQ334" s="6"/>
      <c r="AR334" s="6"/>
      <c r="AS334" s="6"/>
      <c r="AT334" s="89"/>
      <c r="AU334" s="100"/>
      <c r="AV334" s="65"/>
      <c r="AW334" s="3"/>
    </row>
    <row r="335" spans="34:49">
      <c r="AH335" s="99"/>
      <c r="AL335" s="99"/>
      <c r="AN335" s="99"/>
      <c r="AQ335" s="6"/>
      <c r="AR335" s="6"/>
      <c r="AS335" s="6"/>
      <c r="AT335" s="89"/>
      <c r="AU335" s="100"/>
      <c r="AV335" s="65"/>
      <c r="AW335" s="3"/>
    </row>
    <row r="336" spans="34:49">
      <c r="AH336" s="99"/>
      <c r="AL336" s="99"/>
      <c r="AN336" s="99"/>
      <c r="AQ336" s="6"/>
      <c r="AR336" s="6"/>
      <c r="AS336" s="6"/>
      <c r="AT336" s="89"/>
      <c r="AU336" s="100"/>
      <c r="AV336" s="65"/>
      <c r="AW336" s="3"/>
    </row>
    <row r="337" spans="34:49">
      <c r="AH337" s="99"/>
      <c r="AL337" s="99"/>
      <c r="AN337" s="99"/>
      <c r="AQ337" s="6"/>
      <c r="AR337" s="6"/>
      <c r="AS337" s="6"/>
      <c r="AT337" s="89"/>
      <c r="AU337" s="100"/>
      <c r="AV337" s="65"/>
      <c r="AW337" s="3"/>
    </row>
    <row r="338" spans="34:49">
      <c r="AH338" s="99"/>
      <c r="AL338" s="99"/>
      <c r="AN338" s="99"/>
      <c r="AQ338" s="6"/>
      <c r="AR338" s="6"/>
      <c r="AS338" s="6"/>
      <c r="AT338" s="89"/>
      <c r="AU338" s="100"/>
      <c r="AV338" s="65"/>
      <c r="AW338" s="3"/>
    </row>
    <row r="339" spans="34:49">
      <c r="AH339" s="99"/>
      <c r="AL339" s="99"/>
      <c r="AN339" s="99"/>
      <c r="AQ339" s="6"/>
      <c r="AR339" s="6"/>
      <c r="AS339" s="6"/>
      <c r="AT339" s="89"/>
      <c r="AU339" s="100"/>
      <c r="AV339" s="65"/>
      <c r="AW339" s="3"/>
    </row>
    <row r="340" spans="34:49">
      <c r="AH340" s="99"/>
      <c r="AL340" s="99"/>
      <c r="AN340" s="99"/>
      <c r="AQ340" s="6"/>
      <c r="AR340" s="6"/>
      <c r="AS340" s="6"/>
      <c r="AT340" s="89"/>
      <c r="AU340" s="100"/>
      <c r="AV340" s="65"/>
      <c r="AW340" s="3"/>
    </row>
    <row r="341" spans="34:49">
      <c r="AH341" s="99"/>
      <c r="AL341" s="99"/>
      <c r="AN341" s="99"/>
      <c r="AQ341" s="6"/>
      <c r="AR341" s="6"/>
      <c r="AS341" s="6"/>
      <c r="AT341" s="89"/>
      <c r="AU341" s="100"/>
      <c r="AV341" s="65"/>
      <c r="AW341" s="3"/>
    </row>
    <row r="342" spans="34:49">
      <c r="AH342" s="99"/>
      <c r="AL342" s="99"/>
      <c r="AN342" s="99"/>
      <c r="AQ342" s="6"/>
      <c r="AR342" s="6"/>
      <c r="AS342" s="6"/>
      <c r="AT342" s="89"/>
      <c r="AU342" s="100"/>
      <c r="AV342" s="65"/>
      <c r="AW342" s="3"/>
    </row>
    <row r="343" spans="34:49">
      <c r="AH343" s="99"/>
      <c r="AL343" s="99"/>
      <c r="AN343" s="99"/>
      <c r="AQ343" s="6"/>
      <c r="AR343" s="6"/>
      <c r="AS343" s="6"/>
      <c r="AT343" s="89"/>
      <c r="AU343" s="100"/>
      <c r="AV343" s="65"/>
      <c r="AW343" s="3"/>
    </row>
    <row r="344" spans="34:49">
      <c r="AH344" s="99"/>
      <c r="AL344" s="99"/>
      <c r="AN344" s="99"/>
      <c r="AQ344" s="6"/>
      <c r="AR344" s="6"/>
      <c r="AS344" s="6"/>
      <c r="AT344" s="89"/>
      <c r="AU344" s="100"/>
      <c r="AV344" s="65"/>
      <c r="AW344" s="3"/>
    </row>
    <row r="345" spans="34:49">
      <c r="AH345" s="99"/>
      <c r="AL345" s="99"/>
      <c r="AN345" s="99"/>
      <c r="AQ345" s="6"/>
      <c r="AR345" s="6"/>
      <c r="AS345" s="6"/>
      <c r="AT345" s="89"/>
      <c r="AU345" s="100"/>
      <c r="AV345" s="65"/>
      <c r="AW345" s="3"/>
    </row>
    <row r="346" spans="34:49">
      <c r="AH346" s="99"/>
      <c r="AL346" s="99"/>
      <c r="AN346" s="99"/>
      <c r="AQ346" s="6"/>
      <c r="AR346" s="6"/>
      <c r="AS346" s="6"/>
      <c r="AT346" s="89"/>
      <c r="AU346" s="100"/>
      <c r="AV346" s="65"/>
      <c r="AW346" s="3"/>
    </row>
    <row r="347" spans="34:49">
      <c r="AH347" s="99"/>
      <c r="AL347" s="99"/>
      <c r="AN347" s="99"/>
      <c r="AQ347" s="6"/>
      <c r="AR347" s="6"/>
      <c r="AS347" s="6"/>
      <c r="AT347" s="89"/>
      <c r="AU347" s="100"/>
      <c r="AV347" s="65"/>
      <c r="AW347" s="3"/>
    </row>
    <row r="348" spans="34:49">
      <c r="AH348" s="99"/>
      <c r="AL348" s="99"/>
      <c r="AN348" s="99"/>
      <c r="AQ348" s="6"/>
      <c r="AR348" s="6"/>
      <c r="AS348" s="6"/>
      <c r="AT348" s="89"/>
      <c r="AU348" s="100"/>
      <c r="AV348" s="65"/>
      <c r="AW348" s="3"/>
    </row>
    <row r="349" spans="34:49">
      <c r="AH349" s="99"/>
      <c r="AL349" s="99"/>
      <c r="AN349" s="99"/>
      <c r="AQ349" s="6"/>
      <c r="AR349" s="6"/>
      <c r="AS349" s="6"/>
      <c r="AT349" s="89"/>
      <c r="AU349" s="100"/>
      <c r="AV349" s="65"/>
      <c r="AW349" s="3"/>
    </row>
    <row r="350" spans="34:49">
      <c r="AH350" s="99"/>
      <c r="AL350" s="99"/>
      <c r="AN350" s="99"/>
      <c r="AQ350" s="6"/>
      <c r="AR350" s="6"/>
      <c r="AS350" s="6"/>
      <c r="AT350" s="89"/>
      <c r="AU350" s="100"/>
      <c r="AV350" s="65"/>
      <c r="AW350" s="3"/>
    </row>
    <row r="351" spans="34:49">
      <c r="AH351" s="99"/>
      <c r="AL351" s="99"/>
      <c r="AN351" s="99"/>
      <c r="AQ351" s="6"/>
      <c r="AR351" s="6"/>
      <c r="AS351" s="6"/>
      <c r="AT351" s="89"/>
      <c r="AU351" s="100"/>
      <c r="AV351" s="65"/>
      <c r="AW351" s="3"/>
    </row>
    <row r="352" spans="34:49">
      <c r="AH352" s="99"/>
      <c r="AL352" s="99"/>
      <c r="AN352" s="99"/>
      <c r="AQ352" s="6"/>
      <c r="AR352" s="6"/>
      <c r="AS352" s="6"/>
      <c r="AT352" s="89"/>
      <c r="AU352" s="100"/>
      <c r="AV352" s="65"/>
      <c r="AW352" s="3"/>
    </row>
    <row r="353" spans="34:49">
      <c r="AH353" s="99"/>
      <c r="AL353" s="99"/>
      <c r="AN353" s="99"/>
      <c r="AQ353" s="6"/>
      <c r="AR353" s="6"/>
      <c r="AS353" s="6"/>
      <c r="AT353" s="89"/>
      <c r="AU353" s="100"/>
      <c r="AV353" s="65"/>
      <c r="AW353" s="3"/>
    </row>
    <row r="354" spans="34:49">
      <c r="AH354" s="99"/>
      <c r="AL354" s="99"/>
      <c r="AN354" s="99"/>
      <c r="AQ354" s="6"/>
      <c r="AR354" s="6"/>
      <c r="AS354" s="6"/>
      <c r="AT354" s="89"/>
      <c r="AU354" s="100"/>
      <c r="AV354" s="65"/>
      <c r="AW354" s="3"/>
    </row>
    <row r="355" spans="34:49">
      <c r="AH355" s="99"/>
      <c r="AL355" s="99"/>
      <c r="AN355" s="99"/>
      <c r="AQ355" s="6"/>
      <c r="AR355" s="6"/>
      <c r="AS355" s="6"/>
      <c r="AT355" s="89"/>
      <c r="AU355" s="100"/>
      <c r="AV355" s="65"/>
      <c r="AW355" s="3"/>
    </row>
    <row r="356" spans="34:49">
      <c r="AH356" s="99"/>
      <c r="AL356" s="99"/>
      <c r="AN356" s="99"/>
      <c r="AQ356" s="6"/>
      <c r="AR356" s="6"/>
      <c r="AS356" s="6"/>
      <c r="AT356" s="89"/>
      <c r="AU356" s="100"/>
      <c r="AV356" s="65"/>
      <c r="AW356" s="3"/>
    </row>
    <row r="357" spans="34:49">
      <c r="AH357" s="99"/>
      <c r="AL357" s="99"/>
      <c r="AN357" s="99"/>
      <c r="AQ357" s="6"/>
      <c r="AR357" s="6"/>
      <c r="AS357" s="6"/>
      <c r="AT357" s="89"/>
      <c r="AU357" s="100"/>
      <c r="AV357" s="65"/>
      <c r="AW357" s="3"/>
    </row>
    <row r="358" spans="34:49">
      <c r="AH358" s="99"/>
      <c r="AL358" s="99"/>
      <c r="AN358" s="99"/>
      <c r="AQ358" s="6"/>
      <c r="AR358" s="6"/>
      <c r="AS358" s="6"/>
      <c r="AT358" s="89"/>
      <c r="AU358" s="100"/>
      <c r="AV358" s="65"/>
      <c r="AW358" s="3"/>
    </row>
    <row r="359" spans="34:49">
      <c r="AH359" s="99"/>
      <c r="AL359" s="99"/>
      <c r="AN359" s="99"/>
      <c r="AQ359" s="6"/>
      <c r="AR359" s="6"/>
      <c r="AS359" s="6"/>
      <c r="AT359" s="89"/>
      <c r="AU359" s="100"/>
      <c r="AV359" s="65"/>
      <c r="AW359" s="3"/>
    </row>
    <row r="360" spans="34:49">
      <c r="AH360" s="99"/>
      <c r="AL360" s="99"/>
      <c r="AN360" s="99"/>
      <c r="AQ360" s="6"/>
      <c r="AR360" s="6"/>
      <c r="AS360" s="6"/>
      <c r="AT360" s="89"/>
      <c r="AU360" s="100"/>
      <c r="AV360" s="65"/>
      <c r="AW360" s="3"/>
    </row>
    <row r="361" spans="34:49">
      <c r="AH361" s="99"/>
      <c r="AL361" s="99"/>
      <c r="AN361" s="99"/>
      <c r="AQ361" s="6"/>
      <c r="AR361" s="6"/>
      <c r="AS361" s="6"/>
      <c r="AT361" s="89"/>
      <c r="AU361" s="100"/>
      <c r="AV361" s="65"/>
      <c r="AW361" s="3"/>
    </row>
    <row r="362" spans="34:49">
      <c r="AH362" s="99"/>
      <c r="AL362" s="99"/>
      <c r="AN362" s="99"/>
      <c r="AQ362" s="6"/>
      <c r="AR362" s="6"/>
      <c r="AS362" s="6"/>
      <c r="AT362" s="89"/>
      <c r="AU362" s="100"/>
      <c r="AV362" s="65"/>
      <c r="AW362" s="3"/>
    </row>
    <row r="363" spans="34:49">
      <c r="AH363" s="99"/>
      <c r="AL363" s="99"/>
      <c r="AN363" s="99"/>
      <c r="AQ363" s="6"/>
      <c r="AR363" s="6"/>
      <c r="AS363" s="6"/>
      <c r="AT363" s="89"/>
      <c r="AU363" s="100"/>
      <c r="AV363" s="65"/>
      <c r="AW363" s="3"/>
    </row>
    <row r="364" spans="34:49">
      <c r="AH364" s="99"/>
      <c r="AL364" s="99"/>
      <c r="AN364" s="99"/>
      <c r="AQ364" s="6"/>
      <c r="AR364" s="6"/>
      <c r="AS364" s="6"/>
      <c r="AT364" s="89"/>
      <c r="AU364" s="100"/>
      <c r="AV364" s="65"/>
      <c r="AW364" s="3"/>
    </row>
    <row r="365" spans="34:49">
      <c r="AH365" s="99"/>
      <c r="AL365" s="99"/>
      <c r="AN365" s="99"/>
      <c r="AQ365" s="6"/>
      <c r="AR365" s="6"/>
      <c r="AS365" s="6"/>
      <c r="AT365" s="89"/>
      <c r="AU365" s="100"/>
      <c r="AV365" s="65"/>
      <c r="AW365" s="3"/>
    </row>
    <row r="366" spans="34:49">
      <c r="AH366" s="99"/>
      <c r="AL366" s="99"/>
      <c r="AN366" s="99"/>
      <c r="AQ366" s="6"/>
      <c r="AR366" s="6"/>
      <c r="AS366" s="6"/>
      <c r="AT366" s="89"/>
      <c r="AU366" s="100"/>
      <c r="AV366" s="65"/>
      <c r="AW366" s="3"/>
    </row>
    <row r="367" spans="34:49">
      <c r="AH367" s="99"/>
      <c r="AL367" s="99"/>
      <c r="AN367" s="99"/>
      <c r="AQ367" s="6"/>
      <c r="AR367" s="6"/>
      <c r="AS367" s="6"/>
      <c r="AT367" s="89"/>
      <c r="AU367" s="100"/>
      <c r="AV367" s="65"/>
      <c r="AW367" s="3"/>
    </row>
    <row r="368" spans="34:49">
      <c r="AH368" s="99"/>
      <c r="AL368" s="99"/>
      <c r="AN368" s="99"/>
      <c r="AQ368" s="6"/>
      <c r="AR368" s="6"/>
      <c r="AS368" s="6"/>
      <c r="AT368" s="89"/>
      <c r="AU368" s="100"/>
      <c r="AV368" s="65"/>
      <c r="AW368" s="3"/>
    </row>
    <row r="369" spans="34:49">
      <c r="AH369" s="99"/>
      <c r="AL369" s="99"/>
      <c r="AN369" s="99"/>
      <c r="AQ369" s="6"/>
      <c r="AR369" s="6"/>
      <c r="AS369" s="6"/>
      <c r="AT369" s="89"/>
      <c r="AU369" s="100"/>
      <c r="AV369" s="65"/>
      <c r="AW369" s="3"/>
    </row>
    <row r="370" spans="34:49">
      <c r="AH370" s="99"/>
      <c r="AL370" s="99"/>
      <c r="AN370" s="99"/>
      <c r="AQ370" s="6"/>
      <c r="AR370" s="6"/>
      <c r="AS370" s="6"/>
      <c r="AT370" s="89"/>
      <c r="AU370" s="100"/>
      <c r="AV370" s="65"/>
      <c r="AW370" s="3"/>
    </row>
    <row r="371" spans="34:49">
      <c r="AH371" s="99"/>
      <c r="AL371" s="99"/>
      <c r="AN371" s="99"/>
      <c r="AQ371" s="6"/>
      <c r="AR371" s="6"/>
      <c r="AS371" s="6"/>
      <c r="AT371" s="89"/>
      <c r="AU371" s="100"/>
      <c r="AV371" s="65"/>
      <c r="AW371" s="3"/>
    </row>
    <row r="372" spans="34:49">
      <c r="AH372" s="99"/>
      <c r="AL372" s="99"/>
      <c r="AN372" s="99"/>
      <c r="AQ372" s="6"/>
      <c r="AR372" s="6"/>
      <c r="AS372" s="6"/>
      <c r="AT372" s="89"/>
      <c r="AU372" s="100"/>
      <c r="AV372" s="65"/>
      <c r="AW372" s="3"/>
    </row>
    <row r="373" spans="34:49">
      <c r="AH373" s="99"/>
      <c r="AL373" s="99"/>
      <c r="AN373" s="99"/>
      <c r="AQ373" s="6"/>
      <c r="AR373" s="6"/>
      <c r="AS373" s="6"/>
      <c r="AT373" s="89"/>
      <c r="AU373" s="100"/>
      <c r="AV373" s="65"/>
      <c r="AW373" s="3"/>
    </row>
    <row r="374" spans="34:49">
      <c r="AH374" s="99"/>
      <c r="AL374" s="99"/>
      <c r="AN374" s="99"/>
      <c r="AQ374" s="6"/>
      <c r="AR374" s="6"/>
      <c r="AS374" s="6"/>
      <c r="AT374" s="89"/>
      <c r="AU374" s="100"/>
      <c r="AV374" s="65"/>
      <c r="AW374" s="3"/>
    </row>
    <row r="375" spans="34:49">
      <c r="AH375" s="99"/>
      <c r="AL375" s="99"/>
      <c r="AN375" s="99"/>
      <c r="AQ375" s="6"/>
      <c r="AR375" s="6"/>
      <c r="AS375" s="6"/>
      <c r="AT375" s="89"/>
      <c r="AU375" s="100"/>
      <c r="AV375" s="65"/>
      <c r="AW375" s="3"/>
    </row>
    <row r="376" spans="34:49">
      <c r="AH376" s="99"/>
      <c r="AL376" s="99"/>
      <c r="AN376" s="99"/>
      <c r="AQ376" s="6"/>
      <c r="AR376" s="6"/>
      <c r="AS376" s="6"/>
      <c r="AT376" s="89"/>
      <c r="AU376" s="100"/>
      <c r="AV376" s="65"/>
      <c r="AW376" s="3"/>
    </row>
    <row r="377" spans="34:49">
      <c r="AH377" s="99"/>
      <c r="AL377" s="99"/>
      <c r="AN377" s="99"/>
      <c r="AQ377" s="6"/>
      <c r="AR377" s="6"/>
      <c r="AS377" s="6"/>
      <c r="AT377" s="89"/>
      <c r="AU377" s="100"/>
      <c r="AV377" s="65"/>
      <c r="AW377" s="3"/>
    </row>
    <row r="378" spans="34:49">
      <c r="AH378" s="99"/>
      <c r="AL378" s="99"/>
      <c r="AN378" s="99"/>
      <c r="AQ378" s="6"/>
      <c r="AR378" s="6"/>
      <c r="AS378" s="6"/>
      <c r="AT378" s="89"/>
      <c r="AU378" s="100"/>
      <c r="AV378" s="65"/>
      <c r="AW378" s="3"/>
    </row>
    <row r="379" spans="34:49">
      <c r="AH379" s="99"/>
      <c r="AL379" s="99"/>
      <c r="AN379" s="99"/>
      <c r="AQ379" s="6"/>
      <c r="AR379" s="6"/>
      <c r="AS379" s="6"/>
      <c r="AT379" s="89"/>
      <c r="AU379" s="100"/>
      <c r="AV379" s="65"/>
      <c r="AW379" s="3"/>
    </row>
    <row r="380" spans="34:49">
      <c r="AH380" s="99"/>
      <c r="AL380" s="99"/>
      <c r="AN380" s="99"/>
      <c r="AQ380" s="6"/>
      <c r="AR380" s="6"/>
      <c r="AS380" s="6"/>
      <c r="AT380" s="89"/>
      <c r="AU380" s="100"/>
      <c r="AV380" s="65"/>
      <c r="AW380" s="3"/>
    </row>
    <row r="381" spans="34:49">
      <c r="AH381" s="99"/>
      <c r="AL381" s="99"/>
      <c r="AN381" s="99"/>
      <c r="AQ381" s="6"/>
      <c r="AR381" s="6"/>
      <c r="AS381" s="6"/>
      <c r="AT381" s="89"/>
      <c r="AU381" s="100"/>
      <c r="AV381" s="65"/>
      <c r="AW381" s="3"/>
    </row>
    <row r="382" spans="34:49">
      <c r="AH382" s="99"/>
      <c r="AL382" s="99"/>
      <c r="AN382" s="99"/>
      <c r="AQ382" s="6"/>
      <c r="AR382" s="6"/>
      <c r="AS382" s="6"/>
      <c r="AT382" s="89"/>
      <c r="AU382" s="100"/>
      <c r="AV382" s="65"/>
      <c r="AW382" s="3"/>
    </row>
    <row r="383" spans="34:49">
      <c r="AH383" s="99"/>
      <c r="AL383" s="99"/>
      <c r="AN383" s="99"/>
      <c r="AQ383" s="6"/>
      <c r="AR383" s="6"/>
      <c r="AS383" s="6"/>
      <c r="AT383" s="89"/>
      <c r="AU383" s="100"/>
      <c r="AV383" s="65"/>
      <c r="AW383" s="3"/>
    </row>
    <row r="384" spans="34:49">
      <c r="AH384" s="99"/>
      <c r="AL384" s="99"/>
      <c r="AN384" s="99"/>
      <c r="AQ384" s="6"/>
      <c r="AR384" s="6"/>
      <c r="AS384" s="6"/>
      <c r="AT384" s="89"/>
      <c r="AU384" s="100"/>
      <c r="AV384" s="65"/>
      <c r="AW384" s="3"/>
    </row>
    <row r="385" spans="34:49">
      <c r="AH385" s="99"/>
      <c r="AL385" s="99"/>
      <c r="AN385" s="99"/>
      <c r="AQ385" s="6"/>
      <c r="AR385" s="6"/>
      <c r="AS385" s="6"/>
      <c r="AT385" s="89"/>
      <c r="AU385" s="100"/>
      <c r="AV385" s="65"/>
      <c r="AW385" s="3"/>
    </row>
    <row r="386" spans="34:49">
      <c r="AH386" s="99"/>
      <c r="AL386" s="99"/>
      <c r="AN386" s="99"/>
      <c r="AQ386" s="6"/>
      <c r="AR386" s="6"/>
      <c r="AS386" s="6"/>
      <c r="AT386" s="89"/>
      <c r="AU386" s="100"/>
      <c r="AV386" s="65"/>
      <c r="AW386" s="3"/>
    </row>
    <row r="387" spans="34:49">
      <c r="AH387" s="99"/>
      <c r="AL387" s="99"/>
      <c r="AN387" s="99"/>
      <c r="AQ387" s="6"/>
      <c r="AR387" s="6"/>
      <c r="AS387" s="6"/>
      <c r="AT387" s="89"/>
      <c r="AU387" s="100"/>
      <c r="AV387" s="65"/>
      <c r="AW387" s="3"/>
    </row>
    <row r="388" spans="34:49">
      <c r="AH388" s="99"/>
      <c r="AL388" s="99"/>
      <c r="AN388" s="99"/>
      <c r="AQ388" s="6"/>
      <c r="AR388" s="6"/>
      <c r="AS388" s="6"/>
      <c r="AT388" s="89"/>
      <c r="AU388" s="100"/>
      <c r="AV388" s="65"/>
      <c r="AW388" s="3"/>
    </row>
    <row r="389" spans="34:49">
      <c r="AH389" s="99"/>
      <c r="AL389" s="99"/>
      <c r="AN389" s="99"/>
      <c r="AQ389" s="6"/>
      <c r="AR389" s="6"/>
      <c r="AS389" s="6"/>
      <c r="AT389" s="89"/>
      <c r="AU389" s="100"/>
      <c r="AV389" s="65"/>
      <c r="AW389" s="3"/>
    </row>
    <row r="390" spans="34:49">
      <c r="AH390" s="99"/>
      <c r="AL390" s="99"/>
      <c r="AN390" s="99"/>
      <c r="AQ390" s="6"/>
      <c r="AR390" s="6"/>
      <c r="AS390" s="6"/>
      <c r="AT390" s="89"/>
      <c r="AU390" s="100"/>
      <c r="AV390" s="65"/>
      <c r="AW390" s="3"/>
    </row>
    <row r="391" spans="34:49">
      <c r="AH391" s="99"/>
      <c r="AL391" s="99"/>
      <c r="AN391" s="99"/>
      <c r="AQ391" s="6"/>
      <c r="AR391" s="6"/>
      <c r="AS391" s="6"/>
      <c r="AT391" s="89"/>
      <c r="AU391" s="100"/>
      <c r="AV391" s="65"/>
      <c r="AW391" s="3"/>
    </row>
    <row r="392" spans="34:49">
      <c r="AH392" s="99"/>
      <c r="AL392" s="99"/>
      <c r="AN392" s="99"/>
      <c r="AQ392" s="6"/>
      <c r="AR392" s="6"/>
      <c r="AS392" s="6"/>
      <c r="AT392" s="89"/>
      <c r="AU392" s="100"/>
      <c r="AV392" s="65"/>
      <c r="AW392" s="3"/>
    </row>
    <row r="393" spans="34:49">
      <c r="AH393" s="99"/>
      <c r="AL393" s="99"/>
      <c r="AN393" s="99"/>
      <c r="AQ393" s="6"/>
      <c r="AR393" s="6"/>
      <c r="AS393" s="6"/>
      <c r="AT393" s="89"/>
      <c r="AU393" s="100"/>
      <c r="AV393" s="65"/>
      <c r="AW393" s="3"/>
    </row>
    <row r="394" spans="34:49">
      <c r="AH394" s="99"/>
      <c r="AL394" s="99"/>
      <c r="AN394" s="99"/>
      <c r="AQ394" s="6"/>
      <c r="AR394" s="6"/>
      <c r="AS394" s="6"/>
      <c r="AT394" s="89"/>
      <c r="AU394" s="100"/>
      <c r="AV394" s="65"/>
      <c r="AW394" s="3"/>
    </row>
    <row r="395" spans="34:49">
      <c r="AH395" s="99"/>
      <c r="AL395" s="99"/>
      <c r="AN395" s="99"/>
      <c r="AQ395" s="6"/>
      <c r="AR395" s="6"/>
      <c r="AS395" s="6"/>
      <c r="AT395" s="89"/>
      <c r="AU395" s="100"/>
      <c r="AV395" s="65"/>
      <c r="AW395" s="3"/>
    </row>
    <row r="396" spans="34:49">
      <c r="AH396" s="99"/>
      <c r="AL396" s="99"/>
      <c r="AN396" s="99"/>
      <c r="AQ396" s="6"/>
      <c r="AR396" s="6"/>
      <c r="AS396" s="6"/>
      <c r="AT396" s="89"/>
      <c r="AU396" s="100"/>
      <c r="AV396" s="65"/>
      <c r="AW396" s="3"/>
    </row>
    <row r="397" spans="34:49">
      <c r="AH397" s="99"/>
      <c r="AL397" s="99"/>
      <c r="AN397" s="99"/>
      <c r="AQ397" s="6"/>
      <c r="AR397" s="6"/>
      <c r="AS397" s="6"/>
      <c r="AT397" s="89"/>
      <c r="AU397" s="100"/>
      <c r="AV397" s="65"/>
      <c r="AW397" s="3"/>
    </row>
    <row r="398" spans="34:49">
      <c r="AH398" s="99"/>
      <c r="AL398" s="99"/>
      <c r="AN398" s="99"/>
      <c r="AQ398" s="6"/>
      <c r="AR398" s="6"/>
      <c r="AS398" s="6"/>
      <c r="AT398" s="89"/>
      <c r="AU398" s="100"/>
      <c r="AV398" s="65"/>
      <c r="AW398" s="3"/>
    </row>
    <row r="399" spans="34:49">
      <c r="AH399" s="99"/>
      <c r="AL399" s="99"/>
      <c r="AN399" s="99"/>
      <c r="AQ399" s="6"/>
      <c r="AR399" s="6"/>
      <c r="AS399" s="6"/>
      <c r="AT399" s="89"/>
      <c r="AU399" s="100"/>
      <c r="AV399" s="65"/>
      <c r="AW399" s="3"/>
    </row>
    <row r="400" spans="34:49">
      <c r="AH400" s="99"/>
      <c r="AL400" s="99"/>
      <c r="AN400" s="99"/>
      <c r="AQ400" s="6"/>
      <c r="AR400" s="6"/>
      <c r="AS400" s="6"/>
      <c r="AT400" s="89"/>
      <c r="AU400" s="100"/>
      <c r="AV400" s="65"/>
      <c r="AW400" s="3"/>
    </row>
    <row r="401" spans="34:49">
      <c r="AH401" s="99"/>
      <c r="AL401" s="99"/>
      <c r="AN401" s="99"/>
      <c r="AQ401" s="6"/>
      <c r="AR401" s="6"/>
      <c r="AS401" s="6"/>
      <c r="AT401" s="89"/>
      <c r="AU401" s="100"/>
      <c r="AV401" s="65"/>
      <c r="AW401" s="3"/>
    </row>
    <row r="402" spans="34:49">
      <c r="AH402" s="99"/>
      <c r="AL402" s="99"/>
      <c r="AN402" s="99"/>
      <c r="AQ402" s="6"/>
      <c r="AR402" s="6"/>
      <c r="AS402" s="6"/>
      <c r="AT402" s="89"/>
      <c r="AU402" s="100"/>
      <c r="AV402" s="65"/>
      <c r="AW402" s="3"/>
    </row>
    <row r="403" spans="34:49">
      <c r="AH403" s="99"/>
      <c r="AL403" s="99"/>
      <c r="AN403" s="99"/>
      <c r="AQ403" s="6"/>
      <c r="AR403" s="6"/>
      <c r="AS403" s="6"/>
      <c r="AT403" s="89"/>
      <c r="AU403" s="100"/>
      <c r="AV403" s="65"/>
      <c r="AW403" s="3"/>
    </row>
    <row r="404" spans="34:49">
      <c r="AH404" s="99"/>
      <c r="AL404" s="99"/>
      <c r="AN404" s="99"/>
      <c r="AQ404" s="6"/>
      <c r="AR404" s="6"/>
      <c r="AS404" s="6"/>
      <c r="AT404" s="89"/>
      <c r="AU404" s="100"/>
      <c r="AV404" s="65"/>
      <c r="AW404" s="3"/>
    </row>
    <row r="405" spans="34:49">
      <c r="AH405" s="99"/>
      <c r="AL405" s="99"/>
      <c r="AN405" s="99"/>
      <c r="AQ405" s="6"/>
      <c r="AR405" s="6"/>
      <c r="AS405" s="6"/>
      <c r="AT405" s="89"/>
      <c r="AU405" s="100"/>
      <c r="AV405" s="65"/>
      <c r="AW405" s="3"/>
    </row>
    <row r="406" spans="34:49">
      <c r="AH406" s="99"/>
      <c r="AL406" s="99"/>
      <c r="AN406" s="99"/>
      <c r="AQ406" s="6"/>
      <c r="AR406" s="6"/>
      <c r="AS406" s="6"/>
      <c r="AT406" s="89"/>
      <c r="AU406" s="100"/>
      <c r="AV406" s="65"/>
      <c r="AW406" s="3"/>
    </row>
    <row r="407" spans="34:49">
      <c r="AH407" s="99"/>
      <c r="AL407" s="99"/>
      <c r="AN407" s="99"/>
      <c r="AQ407" s="6"/>
      <c r="AR407" s="6"/>
      <c r="AS407" s="6"/>
      <c r="AT407" s="89"/>
      <c r="AU407" s="100"/>
      <c r="AV407" s="65"/>
      <c r="AW407" s="3"/>
    </row>
    <row r="408" spans="34:49">
      <c r="AH408" s="99"/>
      <c r="AL408" s="99"/>
      <c r="AN408" s="99"/>
      <c r="AQ408" s="6"/>
      <c r="AR408" s="6"/>
      <c r="AS408" s="6"/>
      <c r="AT408" s="89"/>
      <c r="AU408" s="100"/>
      <c r="AV408" s="65"/>
      <c r="AW408" s="3"/>
    </row>
    <row r="409" spans="34:49">
      <c r="AH409" s="99"/>
      <c r="AL409" s="99"/>
      <c r="AN409" s="99"/>
      <c r="AQ409" s="6"/>
      <c r="AR409" s="6"/>
      <c r="AS409" s="6"/>
      <c r="AT409" s="89"/>
      <c r="AU409" s="100"/>
      <c r="AV409" s="65"/>
      <c r="AW409" s="3"/>
    </row>
    <row r="410" spans="34:49">
      <c r="AH410" s="99"/>
      <c r="AL410" s="99"/>
      <c r="AN410" s="99"/>
      <c r="AQ410" s="6"/>
      <c r="AR410" s="6"/>
      <c r="AS410" s="6"/>
      <c r="AT410" s="89"/>
      <c r="AU410" s="100"/>
      <c r="AV410" s="65"/>
      <c r="AW410" s="3"/>
    </row>
    <row r="411" spans="34:49">
      <c r="AH411" s="99"/>
      <c r="AL411" s="99"/>
      <c r="AN411" s="99"/>
      <c r="AQ411" s="6"/>
      <c r="AR411" s="6"/>
      <c r="AS411" s="6"/>
      <c r="AT411" s="89"/>
      <c r="AU411" s="100"/>
      <c r="AV411" s="65"/>
      <c r="AW411" s="3"/>
    </row>
    <row r="412" spans="34:49">
      <c r="AH412" s="99"/>
      <c r="AL412" s="99"/>
      <c r="AN412" s="99"/>
      <c r="AQ412" s="6"/>
      <c r="AR412" s="6"/>
      <c r="AS412" s="6"/>
      <c r="AT412" s="89"/>
      <c r="AU412" s="100"/>
      <c r="AV412" s="65"/>
      <c r="AW412" s="3"/>
    </row>
    <row r="413" spans="34:49">
      <c r="AH413" s="99"/>
      <c r="AL413" s="99"/>
      <c r="AN413" s="99"/>
      <c r="AQ413" s="6"/>
      <c r="AR413" s="6"/>
      <c r="AS413" s="6"/>
      <c r="AT413" s="89"/>
      <c r="AU413" s="100"/>
      <c r="AV413" s="65"/>
      <c r="AW413" s="3"/>
    </row>
    <row r="414" spans="34:49">
      <c r="AH414" s="99"/>
      <c r="AL414" s="99"/>
      <c r="AN414" s="99"/>
      <c r="AQ414" s="6"/>
      <c r="AR414" s="6"/>
      <c r="AS414" s="6"/>
      <c r="AT414" s="89"/>
      <c r="AU414" s="100"/>
      <c r="AV414" s="65"/>
      <c r="AW414" s="3"/>
    </row>
    <row r="415" spans="34:49">
      <c r="AH415" s="99"/>
      <c r="AL415" s="99"/>
      <c r="AN415" s="99"/>
      <c r="AQ415" s="6"/>
      <c r="AR415" s="6"/>
      <c r="AS415" s="6"/>
      <c r="AT415" s="89"/>
      <c r="AU415" s="100"/>
      <c r="AV415" s="65"/>
      <c r="AW415" s="3"/>
    </row>
    <row r="416" spans="34:49">
      <c r="AH416" s="99"/>
      <c r="AL416" s="99"/>
      <c r="AN416" s="99"/>
      <c r="AQ416" s="6"/>
      <c r="AR416" s="6"/>
      <c r="AS416" s="6"/>
      <c r="AT416" s="89"/>
      <c r="AU416" s="100"/>
      <c r="AV416" s="65"/>
      <c r="AW416" s="3"/>
    </row>
    <row r="417" spans="34:49">
      <c r="AH417" s="99"/>
      <c r="AL417" s="99"/>
      <c r="AN417" s="99"/>
      <c r="AQ417" s="6"/>
      <c r="AR417" s="6"/>
      <c r="AS417" s="6"/>
      <c r="AT417" s="89"/>
      <c r="AU417" s="100"/>
      <c r="AV417" s="65"/>
      <c r="AW417" s="3"/>
    </row>
    <row r="418" spans="34:49">
      <c r="AH418" s="99"/>
      <c r="AL418" s="99"/>
      <c r="AN418" s="99"/>
      <c r="AQ418" s="6"/>
      <c r="AR418" s="6"/>
      <c r="AS418" s="6"/>
      <c r="AT418" s="89"/>
      <c r="AU418" s="100"/>
      <c r="AV418" s="65"/>
      <c r="AW418" s="3"/>
    </row>
    <row r="419" spans="34:49">
      <c r="AH419" s="99"/>
      <c r="AL419" s="99"/>
      <c r="AN419" s="99"/>
      <c r="AQ419" s="6"/>
      <c r="AR419" s="6"/>
      <c r="AS419" s="6"/>
      <c r="AT419" s="89"/>
      <c r="AU419" s="100"/>
      <c r="AV419" s="65"/>
      <c r="AW419" s="3"/>
    </row>
    <row r="420" spans="34:49">
      <c r="AH420" s="99"/>
      <c r="AL420" s="99"/>
      <c r="AN420" s="99"/>
      <c r="AQ420" s="6"/>
      <c r="AR420" s="6"/>
      <c r="AS420" s="6"/>
      <c r="AT420" s="89"/>
      <c r="AU420" s="100"/>
      <c r="AV420" s="65"/>
      <c r="AW420" s="3"/>
    </row>
    <row r="421" spans="34:49">
      <c r="AH421" s="99"/>
      <c r="AL421" s="99"/>
      <c r="AN421" s="99"/>
      <c r="AQ421" s="6"/>
      <c r="AR421" s="6"/>
      <c r="AS421" s="6"/>
      <c r="AT421" s="89"/>
      <c r="AU421" s="100"/>
      <c r="AV421" s="65"/>
      <c r="AW421" s="3"/>
    </row>
    <row r="422" spans="34:49">
      <c r="AH422" s="99"/>
      <c r="AL422" s="99"/>
      <c r="AN422" s="99"/>
      <c r="AQ422" s="6"/>
      <c r="AR422" s="6"/>
      <c r="AS422" s="6"/>
      <c r="AT422" s="89"/>
      <c r="AU422" s="100"/>
      <c r="AV422" s="65"/>
      <c r="AW422" s="3"/>
    </row>
    <row r="423" spans="34:49">
      <c r="AH423" s="99"/>
      <c r="AL423" s="99"/>
      <c r="AN423" s="99"/>
      <c r="AQ423" s="6"/>
      <c r="AR423" s="6"/>
      <c r="AS423" s="6"/>
      <c r="AT423" s="89"/>
      <c r="AU423" s="100"/>
      <c r="AV423" s="65"/>
      <c r="AW423" s="3"/>
    </row>
    <row r="424" spans="34:49">
      <c r="AH424" s="99"/>
      <c r="AL424" s="99"/>
      <c r="AN424" s="99"/>
      <c r="AQ424" s="6"/>
      <c r="AR424" s="6"/>
      <c r="AS424" s="6"/>
      <c r="AT424" s="89"/>
      <c r="AU424" s="100"/>
      <c r="AV424" s="65"/>
      <c r="AW424" s="3"/>
    </row>
    <row r="425" spans="34:49">
      <c r="AH425" s="99"/>
      <c r="AL425" s="99"/>
      <c r="AN425" s="99"/>
      <c r="AQ425" s="6"/>
      <c r="AR425" s="6"/>
      <c r="AS425" s="6"/>
      <c r="AT425" s="89"/>
      <c r="AU425" s="100"/>
      <c r="AV425" s="65"/>
      <c r="AW425" s="3"/>
    </row>
    <row r="426" spans="34:49">
      <c r="AH426" s="99"/>
      <c r="AL426" s="99"/>
      <c r="AN426" s="99"/>
      <c r="AQ426" s="6"/>
      <c r="AR426" s="6"/>
      <c r="AS426" s="6"/>
      <c r="AT426" s="89"/>
      <c r="AU426" s="100"/>
      <c r="AV426" s="65"/>
      <c r="AW426" s="3"/>
    </row>
    <row r="427" spans="34:49">
      <c r="AH427" s="99"/>
      <c r="AL427" s="99"/>
      <c r="AN427" s="99"/>
      <c r="AQ427" s="6"/>
      <c r="AR427" s="6"/>
      <c r="AS427" s="6"/>
      <c r="AT427" s="89"/>
      <c r="AU427" s="100"/>
      <c r="AV427" s="65"/>
      <c r="AW427" s="3"/>
    </row>
    <row r="428" spans="34:49">
      <c r="AH428" s="99"/>
      <c r="AL428" s="99"/>
      <c r="AN428" s="99"/>
      <c r="AQ428" s="6"/>
      <c r="AR428" s="6"/>
      <c r="AS428" s="6"/>
      <c r="AT428" s="89"/>
      <c r="AU428" s="100"/>
      <c r="AV428" s="65"/>
      <c r="AW428" s="3"/>
    </row>
    <row r="429" spans="34:49">
      <c r="AH429" s="99"/>
      <c r="AL429" s="99"/>
      <c r="AN429" s="99"/>
      <c r="AQ429" s="6"/>
      <c r="AR429" s="6"/>
      <c r="AS429" s="6"/>
      <c r="AT429" s="89"/>
      <c r="AU429" s="100"/>
      <c r="AV429" s="65"/>
      <c r="AW429" s="3"/>
    </row>
    <row r="430" spans="34:49">
      <c r="AH430" s="99"/>
      <c r="AL430" s="99"/>
      <c r="AN430" s="99"/>
      <c r="AQ430" s="6"/>
      <c r="AR430" s="6"/>
      <c r="AS430" s="6"/>
      <c r="AT430" s="89"/>
      <c r="AU430" s="100"/>
      <c r="AV430" s="65"/>
      <c r="AW430" s="3"/>
    </row>
    <row r="431" spans="34:49">
      <c r="AH431" s="99"/>
      <c r="AL431" s="99"/>
      <c r="AN431" s="99"/>
      <c r="AQ431" s="6"/>
      <c r="AR431" s="6"/>
      <c r="AS431" s="6"/>
      <c r="AT431" s="89"/>
      <c r="AU431" s="100"/>
      <c r="AV431" s="65"/>
      <c r="AW431" s="3"/>
    </row>
    <row r="432" spans="34:49">
      <c r="AH432" s="99"/>
      <c r="AL432" s="99"/>
      <c r="AN432" s="99"/>
      <c r="AQ432" s="6"/>
      <c r="AR432" s="6"/>
      <c r="AS432" s="6"/>
      <c r="AT432" s="89"/>
      <c r="AU432" s="100"/>
      <c r="AV432" s="65"/>
      <c r="AW432" s="3"/>
    </row>
    <row r="433" spans="34:49">
      <c r="AH433" s="99"/>
      <c r="AL433" s="99"/>
      <c r="AN433" s="99"/>
      <c r="AQ433" s="6"/>
      <c r="AR433" s="6"/>
      <c r="AS433" s="6"/>
      <c r="AT433" s="89"/>
      <c r="AU433" s="100"/>
      <c r="AV433" s="65"/>
      <c r="AW433" s="3"/>
    </row>
    <row r="434" spans="34:49">
      <c r="AH434" s="99"/>
      <c r="AL434" s="99"/>
      <c r="AN434" s="99"/>
      <c r="AQ434" s="6"/>
      <c r="AR434" s="6"/>
      <c r="AS434" s="6"/>
      <c r="AT434" s="89"/>
      <c r="AU434" s="100"/>
      <c r="AV434" s="65"/>
      <c r="AW434" s="3"/>
    </row>
    <row r="435" spans="34:49">
      <c r="AH435" s="99"/>
      <c r="AL435" s="99"/>
      <c r="AN435" s="99"/>
      <c r="AQ435" s="6"/>
      <c r="AR435" s="6"/>
      <c r="AS435" s="6"/>
      <c r="AT435" s="89"/>
      <c r="AU435" s="100"/>
      <c r="AV435" s="65"/>
      <c r="AW435" s="3"/>
    </row>
    <row r="436" spans="34:49">
      <c r="AH436" s="99"/>
      <c r="AL436" s="99"/>
      <c r="AN436" s="99"/>
      <c r="AQ436" s="6"/>
      <c r="AR436" s="6"/>
      <c r="AS436" s="6"/>
      <c r="AT436" s="89"/>
      <c r="AU436" s="100"/>
      <c r="AV436" s="65"/>
      <c r="AW436" s="3"/>
    </row>
    <row r="437" spans="34:49">
      <c r="AH437" s="99"/>
      <c r="AL437" s="99"/>
      <c r="AN437" s="99"/>
      <c r="AQ437" s="6"/>
      <c r="AR437" s="6"/>
      <c r="AS437" s="6"/>
      <c r="AT437" s="89"/>
      <c r="AU437" s="100"/>
      <c r="AV437" s="65"/>
      <c r="AW437" s="3"/>
    </row>
    <row r="438" spans="34:49">
      <c r="AH438" s="99"/>
      <c r="AL438" s="99"/>
      <c r="AN438" s="99"/>
      <c r="AQ438" s="6"/>
      <c r="AR438" s="6"/>
      <c r="AS438" s="6"/>
      <c r="AT438" s="89"/>
      <c r="AU438" s="100"/>
      <c r="AV438" s="65"/>
      <c r="AW438" s="3"/>
    </row>
    <row r="439" spans="34:49">
      <c r="AH439" s="99"/>
      <c r="AL439" s="99"/>
      <c r="AN439" s="99"/>
      <c r="AQ439" s="6"/>
      <c r="AR439" s="6"/>
      <c r="AS439" s="6"/>
      <c r="AT439" s="89"/>
      <c r="AU439" s="100"/>
      <c r="AV439" s="65"/>
      <c r="AW439" s="3"/>
    </row>
    <row r="440" spans="34:49">
      <c r="AH440" s="99"/>
      <c r="AL440" s="99"/>
      <c r="AN440" s="99"/>
      <c r="AQ440" s="6"/>
      <c r="AR440" s="6"/>
      <c r="AS440" s="6"/>
      <c r="AT440" s="89"/>
      <c r="AU440" s="100"/>
      <c r="AV440" s="65"/>
      <c r="AW440" s="3"/>
    </row>
    <row r="441" spans="34:49">
      <c r="AH441" s="99"/>
      <c r="AL441" s="99"/>
      <c r="AN441" s="99"/>
      <c r="AQ441" s="6"/>
      <c r="AR441" s="6"/>
      <c r="AS441" s="6"/>
      <c r="AT441" s="89"/>
      <c r="AU441" s="100"/>
      <c r="AV441" s="65"/>
      <c r="AW441" s="3"/>
    </row>
    <row r="442" spans="34:49">
      <c r="AH442" s="99"/>
      <c r="AL442" s="99"/>
      <c r="AN442" s="99"/>
      <c r="AQ442" s="6"/>
      <c r="AR442" s="6"/>
      <c r="AS442" s="6"/>
      <c r="AT442" s="89"/>
      <c r="AU442" s="100"/>
      <c r="AV442" s="65"/>
      <c r="AW442" s="3"/>
    </row>
    <row r="443" spans="34:49">
      <c r="AH443" s="99"/>
      <c r="AL443" s="99"/>
      <c r="AN443" s="99"/>
      <c r="AQ443" s="6"/>
      <c r="AR443" s="6"/>
      <c r="AS443" s="6"/>
      <c r="AT443" s="89"/>
      <c r="AU443" s="100"/>
      <c r="AV443" s="65"/>
      <c r="AW443" s="3"/>
    </row>
    <row r="444" spans="34:49">
      <c r="AH444" s="99"/>
      <c r="AL444" s="99"/>
      <c r="AN444" s="99"/>
      <c r="AQ444" s="6"/>
      <c r="AR444" s="6"/>
      <c r="AS444" s="6"/>
      <c r="AT444" s="89"/>
      <c r="AU444" s="100"/>
      <c r="AV444" s="65"/>
      <c r="AW444" s="3"/>
    </row>
    <row r="445" spans="34:49">
      <c r="AH445" s="99"/>
      <c r="AL445" s="99"/>
      <c r="AN445" s="99"/>
      <c r="AQ445" s="6"/>
      <c r="AR445" s="6"/>
      <c r="AS445" s="6"/>
      <c r="AT445" s="89"/>
      <c r="AU445" s="100"/>
      <c r="AV445" s="65"/>
      <c r="AW445" s="3"/>
    </row>
    <row r="446" spans="34:49">
      <c r="AH446" s="99"/>
      <c r="AL446" s="99"/>
      <c r="AN446" s="99"/>
      <c r="AQ446" s="6"/>
      <c r="AR446" s="6"/>
      <c r="AS446" s="6"/>
      <c r="AT446" s="89"/>
      <c r="AU446" s="100"/>
      <c r="AV446" s="65"/>
      <c r="AW446" s="3"/>
    </row>
    <row r="447" spans="34:49">
      <c r="AH447" s="99"/>
      <c r="AL447" s="99"/>
      <c r="AN447" s="99"/>
      <c r="AQ447" s="6"/>
      <c r="AR447" s="6"/>
      <c r="AS447" s="6"/>
      <c r="AT447" s="89"/>
      <c r="AU447" s="100"/>
      <c r="AV447" s="65"/>
      <c r="AW447" s="3"/>
    </row>
    <row r="448" spans="34:49">
      <c r="AH448" s="99"/>
      <c r="AL448" s="99"/>
      <c r="AN448" s="99"/>
      <c r="AQ448" s="6"/>
      <c r="AR448" s="6"/>
      <c r="AS448" s="6"/>
      <c r="AT448" s="89"/>
      <c r="AU448" s="100"/>
      <c r="AV448" s="65"/>
      <c r="AW448" s="3"/>
    </row>
    <row r="449" spans="34:49">
      <c r="AH449" s="99"/>
      <c r="AL449" s="99"/>
      <c r="AN449" s="99"/>
      <c r="AQ449" s="6"/>
      <c r="AR449" s="6"/>
      <c r="AS449" s="6"/>
      <c r="AT449" s="89"/>
      <c r="AU449" s="100"/>
      <c r="AV449" s="65"/>
      <c r="AW449" s="3"/>
    </row>
    <row r="450" spans="34:49">
      <c r="AH450" s="99"/>
      <c r="AL450" s="99"/>
      <c r="AN450" s="99"/>
      <c r="AQ450" s="6"/>
      <c r="AR450" s="6"/>
      <c r="AS450" s="6"/>
      <c r="AT450" s="89"/>
      <c r="AU450" s="100"/>
      <c r="AV450" s="65"/>
      <c r="AW450" s="3"/>
    </row>
    <row r="451" spans="34:49">
      <c r="AH451" s="99"/>
      <c r="AL451" s="99"/>
      <c r="AN451" s="99"/>
      <c r="AQ451" s="6"/>
      <c r="AR451" s="6"/>
      <c r="AS451" s="6"/>
      <c r="AT451" s="89"/>
      <c r="AU451" s="100"/>
      <c r="AV451" s="65"/>
      <c r="AW451" s="3"/>
    </row>
    <row r="452" spans="34:49">
      <c r="AH452" s="99"/>
      <c r="AL452" s="99"/>
      <c r="AN452" s="99"/>
      <c r="AQ452" s="6"/>
      <c r="AR452" s="6"/>
      <c r="AS452" s="6"/>
      <c r="AT452" s="89"/>
      <c r="AU452" s="100"/>
      <c r="AV452" s="65"/>
      <c r="AW452" s="3"/>
    </row>
    <row r="453" spans="34:49">
      <c r="AH453" s="99"/>
      <c r="AL453" s="99"/>
      <c r="AN453" s="99"/>
      <c r="AQ453" s="6"/>
      <c r="AR453" s="6"/>
      <c r="AS453" s="6"/>
      <c r="AT453" s="89"/>
      <c r="AU453" s="100"/>
      <c r="AV453" s="65"/>
      <c r="AW453" s="3"/>
    </row>
    <row r="454" spans="34:49">
      <c r="AH454" s="99"/>
      <c r="AL454" s="99"/>
      <c r="AN454" s="99"/>
      <c r="AQ454" s="6"/>
      <c r="AR454" s="6"/>
      <c r="AS454" s="6"/>
      <c r="AT454" s="89"/>
      <c r="AU454" s="100"/>
      <c r="AV454" s="65"/>
      <c r="AW454" s="3"/>
    </row>
    <row r="455" spans="34:49">
      <c r="AH455" s="99"/>
      <c r="AL455" s="99"/>
      <c r="AN455" s="99"/>
      <c r="AQ455" s="6"/>
      <c r="AR455" s="6"/>
      <c r="AS455" s="6"/>
      <c r="AT455" s="89"/>
      <c r="AU455" s="100"/>
      <c r="AV455" s="65"/>
      <c r="AW455" s="3"/>
    </row>
    <row r="456" spans="34:49">
      <c r="AH456" s="99"/>
      <c r="AL456" s="99"/>
      <c r="AN456" s="99"/>
      <c r="AQ456" s="6"/>
      <c r="AR456" s="6"/>
      <c r="AS456" s="6"/>
      <c r="AT456" s="89"/>
      <c r="AU456" s="100"/>
      <c r="AV456" s="65"/>
      <c r="AW456" s="3"/>
    </row>
    <row r="457" spans="34:49">
      <c r="AH457" s="99"/>
      <c r="AL457" s="99"/>
      <c r="AN457" s="99"/>
      <c r="AQ457" s="6"/>
      <c r="AR457" s="6"/>
      <c r="AS457" s="6"/>
      <c r="AT457" s="89"/>
      <c r="AU457" s="100"/>
      <c r="AV457" s="65"/>
      <c r="AW457" s="3"/>
    </row>
    <row r="458" spans="34:49">
      <c r="AH458" s="99"/>
      <c r="AL458" s="99"/>
      <c r="AN458" s="99"/>
      <c r="AQ458" s="6"/>
      <c r="AR458" s="6"/>
      <c r="AS458" s="6"/>
      <c r="AT458" s="89"/>
      <c r="AU458" s="100"/>
      <c r="AV458" s="65"/>
      <c r="AW458" s="3"/>
    </row>
    <row r="459" spans="34:49">
      <c r="AH459" s="99"/>
      <c r="AL459" s="99"/>
      <c r="AN459" s="99"/>
      <c r="AQ459" s="6"/>
      <c r="AR459" s="6"/>
      <c r="AS459" s="6"/>
      <c r="AT459" s="89"/>
      <c r="AU459" s="100"/>
      <c r="AV459" s="65"/>
      <c r="AW459" s="3"/>
    </row>
    <row r="460" spans="34:49">
      <c r="AH460" s="99"/>
      <c r="AL460" s="99"/>
      <c r="AN460" s="99"/>
      <c r="AQ460" s="6"/>
      <c r="AR460" s="6"/>
      <c r="AS460" s="6"/>
      <c r="AT460" s="89"/>
      <c r="AU460" s="100"/>
      <c r="AV460" s="65"/>
      <c r="AW460" s="3"/>
    </row>
    <row r="461" spans="34:49">
      <c r="AH461" s="99"/>
      <c r="AL461" s="99"/>
      <c r="AN461" s="99"/>
      <c r="AQ461" s="6"/>
      <c r="AR461" s="6"/>
      <c r="AS461" s="6"/>
      <c r="AT461" s="89"/>
      <c r="AU461" s="100"/>
      <c r="AV461" s="65"/>
      <c r="AW461" s="3"/>
    </row>
    <row r="462" spans="34:49">
      <c r="AH462" s="99"/>
      <c r="AL462" s="99"/>
      <c r="AN462" s="99"/>
      <c r="AQ462" s="6"/>
      <c r="AR462" s="6"/>
      <c r="AS462" s="6"/>
      <c r="AT462" s="89"/>
      <c r="AU462" s="100"/>
      <c r="AV462" s="65"/>
      <c r="AW462" s="3"/>
    </row>
    <row r="463" spans="34:49">
      <c r="AH463" s="99"/>
      <c r="AL463" s="99"/>
      <c r="AN463" s="99"/>
      <c r="AQ463" s="6"/>
      <c r="AR463" s="6"/>
      <c r="AS463" s="6"/>
      <c r="AT463" s="89"/>
      <c r="AU463" s="100"/>
      <c r="AV463" s="65"/>
      <c r="AW463" s="3"/>
    </row>
    <row r="464" spans="34:49">
      <c r="AH464" s="99"/>
      <c r="AL464" s="99"/>
      <c r="AN464" s="99"/>
      <c r="AQ464" s="6"/>
      <c r="AR464" s="6"/>
      <c r="AS464" s="6"/>
      <c r="AT464" s="89"/>
      <c r="AU464" s="100"/>
      <c r="AV464" s="65"/>
      <c r="AW464" s="3"/>
    </row>
    <row r="465" spans="34:49">
      <c r="AH465" s="99"/>
      <c r="AL465" s="99"/>
      <c r="AN465" s="99"/>
      <c r="AQ465" s="6"/>
      <c r="AR465" s="6"/>
      <c r="AS465" s="6"/>
      <c r="AT465" s="89"/>
      <c r="AU465" s="100"/>
      <c r="AV465" s="65"/>
      <c r="AW465" s="3"/>
    </row>
    <row r="466" spans="34:49">
      <c r="AH466" s="99"/>
      <c r="AL466" s="99"/>
      <c r="AN466" s="99"/>
      <c r="AQ466" s="6"/>
      <c r="AR466" s="6"/>
      <c r="AS466" s="6"/>
      <c r="AT466" s="89"/>
      <c r="AU466" s="100"/>
      <c r="AV466" s="65"/>
      <c r="AW466" s="3"/>
    </row>
    <row r="467" spans="34:49">
      <c r="AH467" s="99"/>
      <c r="AL467" s="99"/>
      <c r="AN467" s="99"/>
      <c r="AQ467" s="6"/>
      <c r="AR467" s="6"/>
      <c r="AS467" s="6"/>
      <c r="AT467" s="89"/>
      <c r="AU467" s="100"/>
      <c r="AV467" s="65"/>
      <c r="AW467" s="3"/>
    </row>
    <row r="468" spans="34:49">
      <c r="AH468" s="99"/>
      <c r="AL468" s="99"/>
      <c r="AN468" s="99"/>
      <c r="AQ468" s="6"/>
      <c r="AR468" s="6"/>
      <c r="AS468" s="6"/>
      <c r="AT468" s="89"/>
      <c r="AU468" s="100"/>
      <c r="AV468" s="65"/>
      <c r="AW468" s="3"/>
    </row>
    <row r="469" spans="34:49">
      <c r="AH469" s="99"/>
      <c r="AL469" s="99"/>
      <c r="AN469" s="99"/>
      <c r="AQ469" s="6"/>
      <c r="AR469" s="6"/>
      <c r="AS469" s="6"/>
      <c r="AT469" s="89"/>
      <c r="AU469" s="100"/>
      <c r="AV469" s="65"/>
      <c r="AW469" s="3"/>
    </row>
    <row r="470" spans="34:49">
      <c r="AH470" s="99"/>
      <c r="AL470" s="99"/>
      <c r="AN470" s="99"/>
      <c r="AQ470" s="6"/>
      <c r="AR470" s="6"/>
      <c r="AS470" s="6"/>
      <c r="AT470" s="89"/>
      <c r="AU470" s="100"/>
      <c r="AV470" s="65"/>
      <c r="AW470" s="3"/>
    </row>
    <row r="471" spans="34:49">
      <c r="AH471" s="99"/>
      <c r="AL471" s="99"/>
      <c r="AN471" s="99"/>
      <c r="AQ471" s="6"/>
      <c r="AR471" s="6"/>
      <c r="AS471" s="6"/>
      <c r="AT471" s="89"/>
      <c r="AU471" s="100"/>
      <c r="AV471" s="65"/>
      <c r="AW471" s="3"/>
    </row>
    <row r="472" spans="34:49">
      <c r="AH472" s="99"/>
      <c r="AL472" s="99"/>
      <c r="AN472" s="99"/>
      <c r="AQ472" s="6"/>
      <c r="AR472" s="6"/>
      <c r="AS472" s="6"/>
      <c r="AT472" s="89"/>
      <c r="AU472" s="100"/>
      <c r="AV472" s="65"/>
      <c r="AW472" s="3"/>
    </row>
    <row r="473" spans="34:49">
      <c r="AH473" s="99"/>
      <c r="AL473" s="99"/>
      <c r="AN473" s="99"/>
      <c r="AQ473" s="6"/>
      <c r="AR473" s="6"/>
      <c r="AS473" s="6"/>
      <c r="AT473" s="89"/>
      <c r="AU473" s="100"/>
      <c r="AV473" s="65"/>
      <c r="AW473" s="3"/>
    </row>
    <row r="474" spans="34:49">
      <c r="AH474" s="99"/>
      <c r="AL474" s="99"/>
      <c r="AN474" s="99"/>
      <c r="AQ474" s="6"/>
      <c r="AR474" s="6"/>
      <c r="AS474" s="6"/>
      <c r="AT474" s="89"/>
      <c r="AU474" s="100"/>
      <c r="AV474" s="65"/>
      <c r="AW474" s="3"/>
    </row>
    <row r="475" spans="34:49">
      <c r="AH475" s="99"/>
      <c r="AL475" s="99"/>
      <c r="AN475" s="99"/>
      <c r="AQ475" s="6"/>
      <c r="AR475" s="6"/>
      <c r="AS475" s="6"/>
      <c r="AT475" s="89"/>
      <c r="AU475" s="100"/>
      <c r="AV475" s="65"/>
      <c r="AW475" s="3"/>
    </row>
    <row r="476" spans="34:49">
      <c r="AH476" s="99"/>
      <c r="AL476" s="99"/>
      <c r="AN476" s="99"/>
      <c r="AQ476" s="6"/>
      <c r="AR476" s="6"/>
      <c r="AS476" s="6"/>
      <c r="AT476" s="89"/>
      <c r="AU476" s="100"/>
      <c r="AV476" s="65"/>
      <c r="AW476" s="3"/>
    </row>
    <row r="477" spans="34:49">
      <c r="AH477" s="99"/>
      <c r="AL477" s="99"/>
      <c r="AN477" s="99"/>
      <c r="AQ477" s="6"/>
      <c r="AR477" s="6"/>
      <c r="AS477" s="6"/>
      <c r="AT477" s="89"/>
      <c r="AU477" s="100"/>
      <c r="AV477" s="65"/>
      <c r="AW477" s="3"/>
    </row>
    <row r="478" spans="34:49">
      <c r="AH478" s="99"/>
      <c r="AL478" s="99"/>
      <c r="AN478" s="99"/>
      <c r="AQ478" s="6"/>
      <c r="AR478" s="6"/>
      <c r="AS478" s="6"/>
      <c r="AT478" s="89"/>
      <c r="AU478" s="100"/>
      <c r="AV478" s="65"/>
      <c r="AW478" s="3"/>
    </row>
    <row r="479" spans="34:49">
      <c r="AH479" s="99"/>
      <c r="AL479" s="99"/>
      <c r="AN479" s="99"/>
      <c r="AQ479" s="6"/>
      <c r="AR479" s="6"/>
      <c r="AS479" s="6"/>
      <c r="AT479" s="89"/>
      <c r="AU479" s="100"/>
      <c r="AV479" s="65"/>
      <c r="AW479" s="3"/>
    </row>
    <row r="480" spans="34:49">
      <c r="AH480" s="99"/>
      <c r="AL480" s="99"/>
      <c r="AN480" s="99"/>
      <c r="AQ480" s="6"/>
      <c r="AR480" s="6"/>
      <c r="AS480" s="6"/>
      <c r="AT480" s="89"/>
      <c r="AU480" s="100"/>
      <c r="AV480" s="65"/>
      <c r="AW480" s="3"/>
    </row>
    <row r="481" spans="34:49">
      <c r="AH481" s="99"/>
      <c r="AL481" s="99"/>
      <c r="AN481" s="99"/>
      <c r="AQ481" s="6"/>
      <c r="AR481" s="6"/>
      <c r="AS481" s="6"/>
      <c r="AT481" s="89"/>
      <c r="AU481" s="100"/>
      <c r="AV481" s="65"/>
      <c r="AW481" s="3"/>
    </row>
    <row r="482" spans="34:49">
      <c r="AH482" s="99"/>
      <c r="AL482" s="99"/>
      <c r="AN482" s="99"/>
      <c r="AQ482" s="6"/>
      <c r="AR482" s="6"/>
      <c r="AS482" s="6"/>
      <c r="AT482" s="89"/>
      <c r="AU482" s="100"/>
      <c r="AV482" s="65"/>
      <c r="AW482" s="3"/>
    </row>
    <row r="483" spans="34:49">
      <c r="AH483" s="99"/>
      <c r="AL483" s="99"/>
      <c r="AN483" s="99"/>
      <c r="AQ483" s="6"/>
      <c r="AR483" s="6"/>
      <c r="AS483" s="6"/>
      <c r="AT483" s="89"/>
      <c r="AU483" s="100"/>
      <c r="AV483" s="65"/>
      <c r="AW483" s="3"/>
    </row>
    <row r="484" spans="34:49">
      <c r="AH484" s="99"/>
      <c r="AL484" s="99"/>
      <c r="AN484" s="99"/>
      <c r="AQ484" s="6"/>
      <c r="AR484" s="6"/>
      <c r="AS484" s="6"/>
      <c r="AT484" s="89"/>
      <c r="AU484" s="100"/>
      <c r="AV484" s="65"/>
      <c r="AW484" s="3"/>
    </row>
    <row r="485" spans="34:49">
      <c r="AH485" s="99"/>
      <c r="AL485" s="99"/>
      <c r="AN485" s="99"/>
      <c r="AQ485" s="6"/>
      <c r="AR485" s="6"/>
      <c r="AS485" s="6"/>
      <c r="AT485" s="89"/>
      <c r="AU485" s="100"/>
      <c r="AV485" s="65"/>
      <c r="AW485" s="3"/>
    </row>
    <row r="486" spans="34:49">
      <c r="AH486" s="99"/>
      <c r="AL486" s="99"/>
      <c r="AN486" s="99"/>
      <c r="AQ486" s="6"/>
      <c r="AR486" s="6"/>
      <c r="AS486" s="6"/>
      <c r="AT486" s="89"/>
      <c r="AU486" s="100"/>
      <c r="AV486" s="65"/>
      <c r="AW486" s="3"/>
    </row>
    <row r="487" spans="34:49">
      <c r="AH487" s="99"/>
      <c r="AL487" s="99"/>
      <c r="AN487" s="99"/>
      <c r="AQ487" s="6"/>
      <c r="AR487" s="6"/>
      <c r="AS487" s="6"/>
      <c r="AT487" s="89"/>
      <c r="AU487" s="100"/>
      <c r="AV487" s="65"/>
      <c r="AW487" s="3"/>
    </row>
    <row r="488" spans="34:49">
      <c r="AH488" s="99"/>
      <c r="AL488" s="99"/>
      <c r="AN488" s="99"/>
      <c r="AQ488" s="6"/>
      <c r="AR488" s="6"/>
      <c r="AS488" s="6"/>
      <c r="AT488" s="89"/>
      <c r="AU488" s="100"/>
      <c r="AV488" s="65"/>
      <c r="AW488" s="3"/>
    </row>
    <row r="489" spans="34:49">
      <c r="AH489" s="99"/>
      <c r="AL489" s="99"/>
      <c r="AN489" s="99"/>
      <c r="AQ489" s="6"/>
      <c r="AR489" s="6"/>
      <c r="AS489" s="6"/>
      <c r="AT489" s="89"/>
      <c r="AU489" s="100"/>
      <c r="AV489" s="65"/>
      <c r="AW489" s="3"/>
    </row>
    <row r="490" spans="34:49">
      <c r="AH490" s="99"/>
      <c r="AL490" s="99"/>
      <c r="AN490" s="99"/>
      <c r="AQ490" s="6"/>
      <c r="AR490" s="6"/>
      <c r="AS490" s="6"/>
      <c r="AT490" s="89"/>
      <c r="AU490" s="100"/>
      <c r="AV490" s="65"/>
      <c r="AW490" s="3"/>
    </row>
    <row r="491" spans="34:49">
      <c r="AH491" s="99"/>
      <c r="AL491" s="99"/>
      <c r="AN491" s="99"/>
      <c r="AQ491" s="6"/>
      <c r="AR491" s="6"/>
      <c r="AS491" s="6"/>
      <c r="AT491" s="89"/>
      <c r="AU491" s="100"/>
      <c r="AV491" s="65"/>
      <c r="AW491" s="3"/>
    </row>
    <row r="492" spans="34:49">
      <c r="AH492" s="99"/>
      <c r="AL492" s="99"/>
      <c r="AN492" s="99"/>
      <c r="AQ492" s="6"/>
      <c r="AR492" s="6"/>
      <c r="AS492" s="6"/>
      <c r="AT492" s="89"/>
      <c r="AU492" s="100"/>
      <c r="AV492" s="65"/>
      <c r="AW492" s="3"/>
    </row>
    <row r="493" spans="34:49">
      <c r="AH493" s="99"/>
      <c r="AL493" s="99"/>
      <c r="AN493" s="99"/>
      <c r="AQ493" s="6"/>
      <c r="AR493" s="6"/>
      <c r="AS493" s="6"/>
      <c r="AT493" s="89"/>
      <c r="AU493" s="100"/>
      <c r="AV493" s="65"/>
      <c r="AW493" s="3"/>
    </row>
    <row r="494" spans="34:49">
      <c r="AH494" s="99"/>
      <c r="AL494" s="99"/>
      <c r="AN494" s="99"/>
      <c r="AQ494" s="6"/>
      <c r="AR494" s="6"/>
      <c r="AS494" s="6"/>
      <c r="AT494" s="89"/>
      <c r="AU494" s="100"/>
      <c r="AV494" s="65"/>
      <c r="AW494" s="3"/>
    </row>
    <row r="495" spans="34:49">
      <c r="AH495" s="99"/>
      <c r="AL495" s="99"/>
      <c r="AN495" s="99"/>
      <c r="AQ495" s="6"/>
      <c r="AR495" s="6"/>
      <c r="AS495" s="6"/>
      <c r="AT495" s="89"/>
      <c r="AU495" s="100"/>
      <c r="AV495" s="65"/>
      <c r="AW495" s="3"/>
    </row>
    <row r="496" spans="34:49">
      <c r="AH496" s="99"/>
      <c r="AL496" s="99"/>
      <c r="AN496" s="99"/>
      <c r="AQ496" s="6"/>
      <c r="AR496" s="6"/>
      <c r="AS496" s="6"/>
      <c r="AT496" s="89"/>
      <c r="AU496" s="100"/>
      <c r="AV496" s="65"/>
      <c r="AW496" s="3"/>
    </row>
    <row r="497" spans="34:49">
      <c r="AH497" s="99"/>
      <c r="AL497" s="99"/>
      <c r="AN497" s="99"/>
      <c r="AQ497" s="6"/>
      <c r="AR497" s="6"/>
      <c r="AS497" s="6"/>
      <c r="AT497" s="89"/>
      <c r="AU497" s="100"/>
      <c r="AV497" s="65"/>
      <c r="AW497" s="3"/>
    </row>
    <row r="498" spans="34:49">
      <c r="AH498" s="99"/>
      <c r="AL498" s="99"/>
      <c r="AN498" s="99"/>
      <c r="AQ498" s="6"/>
      <c r="AR498" s="6"/>
      <c r="AS498" s="6"/>
      <c r="AT498" s="89"/>
      <c r="AU498" s="100"/>
      <c r="AV498" s="65"/>
      <c r="AW498" s="3"/>
    </row>
    <row r="499" spans="34:49">
      <c r="AH499" s="99"/>
      <c r="AL499" s="99"/>
      <c r="AN499" s="99"/>
      <c r="AQ499" s="6"/>
      <c r="AR499" s="6"/>
      <c r="AS499" s="6"/>
      <c r="AT499" s="89"/>
      <c r="AU499" s="100"/>
      <c r="AV499" s="65"/>
      <c r="AW499" s="3"/>
    </row>
    <row r="500" spans="34:49">
      <c r="AH500" s="99"/>
      <c r="AL500" s="99"/>
      <c r="AN500" s="99"/>
      <c r="AQ500" s="6"/>
      <c r="AR500" s="6"/>
      <c r="AS500" s="6"/>
      <c r="AT500" s="89"/>
      <c r="AU500" s="100"/>
      <c r="AV500" s="65"/>
      <c r="AW500" s="3"/>
    </row>
    <row r="501" spans="34:49">
      <c r="AH501" s="99"/>
      <c r="AL501" s="99"/>
      <c r="AN501" s="99"/>
      <c r="AQ501" s="6"/>
      <c r="AR501" s="6"/>
      <c r="AS501" s="6"/>
      <c r="AT501" s="89"/>
      <c r="AU501" s="100"/>
      <c r="AV501" s="65"/>
      <c r="AW501" s="3"/>
    </row>
    <row r="502" spans="34:49">
      <c r="AH502" s="99"/>
      <c r="AL502" s="99"/>
      <c r="AN502" s="99"/>
      <c r="AQ502" s="6"/>
      <c r="AR502" s="6"/>
      <c r="AS502" s="6"/>
      <c r="AT502" s="89"/>
      <c r="AU502" s="100"/>
      <c r="AV502" s="65"/>
      <c r="AW502" s="3"/>
    </row>
    <row r="503" spans="34:49">
      <c r="AH503" s="99"/>
      <c r="AL503" s="99"/>
      <c r="AN503" s="99"/>
      <c r="AQ503" s="6"/>
      <c r="AR503" s="6"/>
      <c r="AS503" s="6"/>
      <c r="AT503" s="89"/>
      <c r="AU503" s="100"/>
      <c r="AV503" s="65"/>
      <c r="AW503" s="3"/>
    </row>
    <row r="504" spans="34:49">
      <c r="AH504" s="99"/>
      <c r="AL504" s="99"/>
      <c r="AN504" s="99"/>
      <c r="AQ504" s="6"/>
      <c r="AR504" s="6"/>
      <c r="AS504" s="6"/>
      <c r="AT504" s="89"/>
      <c r="AU504" s="100"/>
      <c r="AV504" s="65"/>
      <c r="AW504" s="3"/>
    </row>
    <row r="505" spans="34:49">
      <c r="AH505" s="99"/>
      <c r="AL505" s="99"/>
      <c r="AN505" s="99"/>
      <c r="AQ505" s="6"/>
      <c r="AR505" s="6"/>
      <c r="AS505" s="6"/>
      <c r="AT505" s="89"/>
      <c r="AU505" s="100"/>
      <c r="AV505" s="65"/>
      <c r="AW505" s="3"/>
    </row>
    <row r="506" spans="34:49">
      <c r="AH506" s="99"/>
      <c r="AL506" s="99"/>
      <c r="AN506" s="99"/>
      <c r="AQ506" s="6"/>
      <c r="AR506" s="6"/>
      <c r="AS506" s="6"/>
      <c r="AT506" s="89"/>
      <c r="AU506" s="100"/>
      <c r="AV506" s="65"/>
      <c r="AW506" s="3"/>
    </row>
    <row r="507" spans="34:49">
      <c r="AH507" s="99"/>
      <c r="AL507" s="99"/>
      <c r="AN507" s="99"/>
      <c r="AQ507" s="6"/>
      <c r="AR507" s="6"/>
      <c r="AS507" s="6"/>
      <c r="AT507" s="89"/>
      <c r="AU507" s="100"/>
      <c r="AV507" s="65"/>
      <c r="AW507" s="3"/>
    </row>
    <row r="508" spans="34:49">
      <c r="AH508" s="99"/>
      <c r="AL508" s="99"/>
      <c r="AN508" s="99"/>
      <c r="AQ508" s="6"/>
      <c r="AR508" s="6"/>
      <c r="AS508" s="6"/>
      <c r="AT508" s="89"/>
      <c r="AU508" s="100"/>
      <c r="AV508" s="65"/>
      <c r="AW508" s="3"/>
    </row>
    <row r="509" spans="34:49">
      <c r="AH509" s="99"/>
      <c r="AL509" s="99"/>
      <c r="AN509" s="99"/>
      <c r="AQ509" s="6"/>
      <c r="AR509" s="6"/>
      <c r="AS509" s="6"/>
      <c r="AT509" s="89"/>
      <c r="AU509" s="100"/>
      <c r="AV509" s="65"/>
      <c r="AW509" s="3"/>
    </row>
    <row r="510" spans="34:49">
      <c r="AH510" s="99"/>
      <c r="AL510" s="99"/>
      <c r="AN510" s="99"/>
      <c r="AQ510" s="6"/>
      <c r="AR510" s="6"/>
      <c r="AS510" s="6"/>
      <c r="AT510" s="89"/>
      <c r="AU510" s="100"/>
      <c r="AV510" s="65"/>
      <c r="AW510" s="3"/>
    </row>
    <row r="511" spans="34:49">
      <c r="AH511" s="99"/>
      <c r="AL511" s="99"/>
      <c r="AN511" s="99"/>
      <c r="AQ511" s="6"/>
      <c r="AR511" s="6"/>
      <c r="AS511" s="6"/>
      <c r="AT511" s="89"/>
      <c r="AU511" s="100"/>
      <c r="AV511" s="65"/>
      <c r="AW511" s="3"/>
    </row>
    <row r="512" spans="34:49">
      <c r="AH512" s="99"/>
      <c r="AL512" s="99"/>
      <c r="AN512" s="99"/>
      <c r="AQ512" s="6"/>
      <c r="AR512" s="6"/>
      <c r="AS512" s="6"/>
      <c r="AT512" s="89"/>
      <c r="AU512" s="100"/>
      <c r="AV512" s="65"/>
      <c r="AW512" s="3"/>
    </row>
    <row r="513" spans="34:49">
      <c r="AH513" s="99"/>
      <c r="AL513" s="99"/>
      <c r="AN513" s="99"/>
      <c r="AQ513" s="6"/>
      <c r="AR513" s="6"/>
      <c r="AS513" s="6"/>
      <c r="AT513" s="89"/>
      <c r="AU513" s="100"/>
      <c r="AV513" s="65"/>
      <c r="AW513" s="3"/>
    </row>
    <row r="514" spans="34:49">
      <c r="AH514" s="99"/>
      <c r="AL514" s="99"/>
      <c r="AN514" s="99"/>
      <c r="AQ514" s="6"/>
      <c r="AR514" s="6"/>
      <c r="AS514" s="6"/>
      <c r="AT514" s="89"/>
      <c r="AU514" s="100"/>
      <c r="AV514" s="65"/>
      <c r="AW514" s="3"/>
    </row>
    <row r="515" spans="34:49">
      <c r="AH515" s="99"/>
      <c r="AL515" s="99"/>
      <c r="AN515" s="99"/>
      <c r="AQ515" s="6"/>
      <c r="AR515" s="6"/>
      <c r="AS515" s="6"/>
      <c r="AT515" s="89"/>
      <c r="AU515" s="100"/>
      <c r="AV515" s="65"/>
      <c r="AW515" s="3"/>
    </row>
    <row r="516" spans="34:49">
      <c r="AH516" s="99"/>
      <c r="AL516" s="99"/>
      <c r="AN516" s="99"/>
      <c r="AQ516" s="6"/>
      <c r="AR516" s="6"/>
      <c r="AS516" s="6"/>
      <c r="AT516" s="89"/>
      <c r="AU516" s="100"/>
      <c r="AV516" s="65"/>
      <c r="AW516" s="3"/>
    </row>
    <row r="517" spans="34:49">
      <c r="AH517" s="99"/>
      <c r="AL517" s="99"/>
      <c r="AN517" s="99"/>
      <c r="AQ517" s="6"/>
      <c r="AR517" s="6"/>
      <c r="AS517" s="6"/>
      <c r="AT517" s="89"/>
      <c r="AU517" s="100"/>
      <c r="AV517" s="65"/>
      <c r="AW517" s="3"/>
    </row>
    <row r="518" spans="34:49">
      <c r="AH518" s="99"/>
      <c r="AL518" s="99"/>
      <c r="AN518" s="99"/>
      <c r="AQ518" s="6"/>
      <c r="AR518" s="6"/>
      <c r="AS518" s="6"/>
      <c r="AT518" s="89"/>
      <c r="AU518" s="100"/>
      <c r="AV518" s="65"/>
      <c r="AW518" s="3"/>
    </row>
    <row r="519" spans="34:49">
      <c r="AH519" s="99"/>
      <c r="AL519" s="99"/>
      <c r="AN519" s="99"/>
      <c r="AQ519" s="6"/>
      <c r="AR519" s="6"/>
      <c r="AS519" s="6"/>
      <c r="AT519" s="89"/>
      <c r="AU519" s="100"/>
      <c r="AV519" s="65"/>
      <c r="AW519" s="3"/>
    </row>
    <row r="520" spans="34:49">
      <c r="AH520" s="99"/>
      <c r="AL520" s="99"/>
      <c r="AN520" s="99"/>
      <c r="AQ520" s="6"/>
      <c r="AR520" s="6"/>
      <c r="AS520" s="6"/>
      <c r="AT520" s="89"/>
      <c r="AU520" s="100"/>
      <c r="AV520" s="65"/>
      <c r="AW520" s="3"/>
    </row>
    <row r="521" spans="34:49">
      <c r="AH521" s="99"/>
      <c r="AL521" s="99"/>
      <c r="AN521" s="99"/>
      <c r="AQ521" s="6"/>
      <c r="AR521" s="6"/>
      <c r="AS521" s="6"/>
      <c r="AT521" s="89"/>
      <c r="AU521" s="100"/>
      <c r="AV521" s="65"/>
      <c r="AW521" s="3"/>
    </row>
    <row r="522" spans="34:49">
      <c r="AH522" s="99"/>
      <c r="AL522" s="99"/>
      <c r="AN522" s="99"/>
      <c r="AQ522" s="6"/>
      <c r="AR522" s="6"/>
      <c r="AS522" s="6"/>
      <c r="AT522" s="89"/>
      <c r="AU522" s="100"/>
      <c r="AV522" s="65"/>
      <c r="AW522" s="3"/>
    </row>
    <row r="523" spans="34:49">
      <c r="AH523" s="99"/>
      <c r="AL523" s="99"/>
      <c r="AN523" s="99"/>
      <c r="AQ523" s="6"/>
      <c r="AR523" s="6"/>
      <c r="AS523" s="6"/>
      <c r="AT523" s="89"/>
      <c r="AU523" s="100"/>
      <c r="AV523" s="65"/>
      <c r="AW523" s="3"/>
    </row>
    <row r="524" spans="34:49">
      <c r="AH524" s="99"/>
      <c r="AL524" s="99"/>
      <c r="AN524" s="99"/>
      <c r="AQ524" s="6"/>
      <c r="AR524" s="6"/>
      <c r="AS524" s="6"/>
      <c r="AT524" s="89"/>
      <c r="AU524" s="100"/>
      <c r="AV524" s="65"/>
      <c r="AW524" s="3"/>
    </row>
    <row r="525" spans="34:49">
      <c r="AH525" s="99"/>
      <c r="AL525" s="99"/>
      <c r="AN525" s="99"/>
      <c r="AQ525" s="6"/>
      <c r="AR525" s="6"/>
      <c r="AS525" s="6"/>
      <c r="AT525" s="89"/>
      <c r="AU525" s="100"/>
      <c r="AV525" s="65"/>
      <c r="AW525" s="3"/>
    </row>
    <row r="526" spans="34:49">
      <c r="AH526" s="99"/>
      <c r="AL526" s="99"/>
      <c r="AN526" s="99"/>
      <c r="AQ526" s="6"/>
      <c r="AR526" s="6"/>
      <c r="AS526" s="6"/>
      <c r="AT526" s="89"/>
      <c r="AU526" s="100"/>
      <c r="AV526" s="65"/>
      <c r="AW526" s="3"/>
    </row>
    <row r="527" spans="34:49">
      <c r="AH527" s="99"/>
      <c r="AL527" s="99"/>
      <c r="AN527" s="99"/>
      <c r="AQ527" s="6"/>
      <c r="AR527" s="6"/>
      <c r="AS527" s="6"/>
      <c r="AT527" s="89"/>
      <c r="AU527" s="100"/>
      <c r="AV527" s="65"/>
      <c r="AW527" s="3"/>
    </row>
    <row r="528" spans="34:49">
      <c r="AH528" s="99"/>
      <c r="AL528" s="99"/>
      <c r="AN528" s="99"/>
      <c r="AQ528" s="6"/>
      <c r="AR528" s="6"/>
      <c r="AS528" s="6"/>
      <c r="AT528" s="89"/>
      <c r="AU528" s="100"/>
      <c r="AV528" s="65"/>
      <c r="AW528" s="3"/>
    </row>
    <row r="529" spans="34:49">
      <c r="AH529" s="99"/>
      <c r="AL529" s="99"/>
      <c r="AN529" s="99"/>
      <c r="AQ529" s="6"/>
      <c r="AR529" s="6"/>
      <c r="AS529" s="6"/>
      <c r="AT529" s="89"/>
      <c r="AU529" s="100"/>
      <c r="AV529" s="65"/>
      <c r="AW529" s="3"/>
    </row>
    <row r="530" spans="34:49">
      <c r="AH530" s="99"/>
      <c r="AL530" s="99"/>
      <c r="AN530" s="99"/>
      <c r="AQ530" s="6"/>
      <c r="AR530" s="6"/>
      <c r="AS530" s="6"/>
      <c r="AT530" s="89"/>
      <c r="AU530" s="100"/>
      <c r="AV530" s="65"/>
      <c r="AW530" s="3"/>
    </row>
    <row r="531" spans="34:49">
      <c r="AH531" s="99"/>
      <c r="AL531" s="99"/>
      <c r="AN531" s="99"/>
      <c r="AQ531" s="6"/>
      <c r="AR531" s="6"/>
      <c r="AS531" s="6"/>
      <c r="AT531" s="89"/>
      <c r="AU531" s="100"/>
      <c r="AV531" s="65"/>
      <c r="AW531" s="3"/>
    </row>
    <row r="532" spans="34:49">
      <c r="AH532" s="99"/>
      <c r="AL532" s="99"/>
      <c r="AN532" s="99"/>
      <c r="AQ532" s="6"/>
      <c r="AR532" s="6"/>
      <c r="AS532" s="6"/>
      <c r="AT532" s="89"/>
      <c r="AU532" s="100"/>
      <c r="AV532" s="65"/>
      <c r="AW532" s="3"/>
    </row>
    <row r="533" spans="34:49">
      <c r="AH533" s="99"/>
      <c r="AL533" s="99"/>
      <c r="AN533" s="99"/>
      <c r="AQ533" s="6"/>
      <c r="AR533" s="6"/>
      <c r="AS533" s="6"/>
      <c r="AT533" s="89"/>
      <c r="AU533" s="100"/>
      <c r="AV533" s="65"/>
      <c r="AW533" s="3"/>
    </row>
    <row r="534" spans="34:49">
      <c r="AH534" s="99"/>
      <c r="AL534" s="99"/>
      <c r="AN534" s="99"/>
      <c r="AQ534" s="6"/>
      <c r="AR534" s="6"/>
      <c r="AS534" s="6"/>
      <c r="AT534" s="89"/>
      <c r="AU534" s="100"/>
      <c r="AV534" s="65"/>
      <c r="AW534" s="3"/>
    </row>
    <row r="535" spans="34:49">
      <c r="AH535" s="99"/>
      <c r="AL535" s="99"/>
      <c r="AN535" s="99"/>
      <c r="AQ535" s="6"/>
      <c r="AR535" s="6"/>
      <c r="AS535" s="6"/>
      <c r="AT535" s="89"/>
      <c r="AU535" s="100"/>
      <c r="AV535" s="65"/>
      <c r="AW535" s="3"/>
    </row>
    <row r="536" spans="34:49">
      <c r="AH536" s="99"/>
      <c r="AL536" s="99"/>
      <c r="AN536" s="99"/>
      <c r="AQ536" s="6"/>
      <c r="AR536" s="6"/>
      <c r="AS536" s="6"/>
      <c r="AT536" s="89"/>
      <c r="AU536" s="100"/>
      <c r="AV536" s="65"/>
      <c r="AW536" s="3"/>
    </row>
    <row r="537" spans="34:49">
      <c r="AH537" s="99"/>
      <c r="AL537" s="99"/>
      <c r="AN537" s="99"/>
      <c r="AQ537" s="6"/>
      <c r="AR537" s="6"/>
      <c r="AS537" s="6"/>
      <c r="AT537" s="89"/>
      <c r="AU537" s="100"/>
      <c r="AV537" s="65"/>
      <c r="AW537" s="3"/>
    </row>
    <row r="538" spans="34:49">
      <c r="AH538" s="99"/>
      <c r="AL538" s="99"/>
      <c r="AN538" s="99"/>
      <c r="AQ538" s="6"/>
      <c r="AR538" s="6"/>
      <c r="AS538" s="6"/>
      <c r="AT538" s="89"/>
      <c r="AU538" s="100"/>
      <c r="AV538" s="65"/>
      <c r="AW538" s="3"/>
    </row>
    <row r="539" spans="34:49">
      <c r="AH539" s="99"/>
      <c r="AL539" s="99"/>
      <c r="AN539" s="99"/>
      <c r="AQ539" s="6"/>
      <c r="AR539" s="6"/>
      <c r="AS539" s="6"/>
      <c r="AT539" s="89"/>
      <c r="AU539" s="100"/>
      <c r="AV539" s="65"/>
      <c r="AW539" s="3"/>
    </row>
    <row r="540" spans="34:49">
      <c r="AH540" s="99"/>
      <c r="AL540" s="99"/>
      <c r="AN540" s="99"/>
      <c r="AQ540" s="6"/>
      <c r="AR540" s="6"/>
      <c r="AS540" s="6"/>
      <c r="AT540" s="89"/>
      <c r="AU540" s="100"/>
      <c r="AV540" s="65"/>
      <c r="AW540" s="3"/>
    </row>
    <row r="541" spans="34:49">
      <c r="AH541" s="99"/>
      <c r="AL541" s="99"/>
      <c r="AN541" s="99"/>
      <c r="AQ541" s="6"/>
      <c r="AR541" s="6"/>
      <c r="AS541" s="6"/>
      <c r="AT541" s="89"/>
      <c r="AU541" s="100"/>
      <c r="AV541" s="65"/>
      <c r="AW541" s="3"/>
    </row>
    <row r="542" spans="34:49">
      <c r="AH542" s="99"/>
      <c r="AL542" s="99"/>
      <c r="AN542" s="99"/>
      <c r="AQ542" s="6"/>
      <c r="AR542" s="6"/>
      <c r="AS542" s="6"/>
      <c r="AT542" s="89"/>
      <c r="AU542" s="100"/>
      <c r="AV542" s="65"/>
      <c r="AW542" s="3"/>
    </row>
    <row r="543" spans="34:49">
      <c r="AH543" s="99"/>
      <c r="AL543" s="99"/>
      <c r="AN543" s="99"/>
      <c r="AQ543" s="6"/>
      <c r="AR543" s="6"/>
      <c r="AS543" s="6"/>
      <c r="AT543" s="89"/>
      <c r="AU543" s="100"/>
      <c r="AV543" s="65"/>
      <c r="AW543" s="3"/>
    </row>
    <row r="544" spans="34:49">
      <c r="AH544" s="99"/>
      <c r="AL544" s="99"/>
      <c r="AN544" s="99"/>
      <c r="AQ544" s="6"/>
      <c r="AR544" s="6"/>
      <c r="AS544" s="6"/>
      <c r="AT544" s="89"/>
      <c r="AU544" s="100"/>
      <c r="AV544" s="65"/>
      <c r="AW544" s="3"/>
    </row>
    <row r="545" spans="34:49">
      <c r="AH545" s="99"/>
      <c r="AL545" s="99"/>
      <c r="AN545" s="99"/>
      <c r="AQ545" s="6"/>
      <c r="AR545" s="6"/>
      <c r="AS545" s="6"/>
      <c r="AT545" s="89"/>
      <c r="AU545" s="100"/>
      <c r="AV545" s="65"/>
      <c r="AW545" s="3"/>
    </row>
    <row r="546" spans="34:49">
      <c r="AH546" s="99"/>
      <c r="AL546" s="99"/>
      <c r="AN546" s="99"/>
      <c r="AQ546" s="6"/>
      <c r="AR546" s="6"/>
      <c r="AS546" s="6"/>
      <c r="AT546" s="89"/>
      <c r="AU546" s="100"/>
      <c r="AV546" s="65"/>
      <c r="AW546" s="3"/>
    </row>
    <row r="547" spans="34:49">
      <c r="AH547" s="99"/>
      <c r="AL547" s="99"/>
      <c r="AN547" s="99"/>
      <c r="AQ547" s="6"/>
      <c r="AR547" s="6"/>
      <c r="AS547" s="6"/>
      <c r="AT547" s="89"/>
      <c r="AU547" s="100"/>
      <c r="AV547" s="65"/>
      <c r="AW547" s="3"/>
    </row>
    <row r="548" spans="34:49">
      <c r="AH548" s="99"/>
      <c r="AL548" s="99"/>
      <c r="AN548" s="99"/>
      <c r="AQ548" s="6"/>
      <c r="AR548" s="6"/>
      <c r="AS548" s="6"/>
      <c r="AT548" s="89"/>
      <c r="AU548" s="100"/>
      <c r="AV548" s="65"/>
      <c r="AW548" s="3"/>
    </row>
    <row r="549" spans="34:49">
      <c r="AH549" s="99"/>
      <c r="AL549" s="99"/>
      <c r="AN549" s="99"/>
      <c r="AQ549" s="6"/>
      <c r="AR549" s="6"/>
      <c r="AS549" s="6"/>
      <c r="AT549" s="89"/>
      <c r="AU549" s="100"/>
      <c r="AV549" s="65"/>
      <c r="AW549" s="3"/>
    </row>
    <row r="550" spans="34:49">
      <c r="AH550" s="99"/>
      <c r="AL550" s="99"/>
      <c r="AN550" s="99"/>
      <c r="AQ550" s="6"/>
      <c r="AR550" s="6"/>
      <c r="AS550" s="6"/>
      <c r="AT550" s="89"/>
      <c r="AU550" s="100"/>
      <c r="AV550" s="65"/>
      <c r="AW550" s="3"/>
    </row>
    <row r="551" spans="34:49">
      <c r="AH551" s="99"/>
      <c r="AL551" s="99"/>
      <c r="AN551" s="99"/>
      <c r="AQ551" s="6"/>
      <c r="AR551" s="6"/>
      <c r="AS551" s="6"/>
      <c r="AT551" s="89"/>
      <c r="AU551" s="100"/>
      <c r="AV551" s="65"/>
      <c r="AW551" s="3"/>
    </row>
    <row r="552" spans="34:49">
      <c r="AH552" s="99"/>
      <c r="AL552" s="99"/>
      <c r="AN552" s="99"/>
      <c r="AQ552" s="6"/>
      <c r="AR552" s="6"/>
      <c r="AS552" s="6"/>
      <c r="AT552" s="89"/>
      <c r="AU552" s="100"/>
      <c r="AV552" s="65"/>
      <c r="AW552" s="3"/>
    </row>
    <row r="553" spans="34:49">
      <c r="AH553" s="99"/>
      <c r="AL553" s="99"/>
      <c r="AN553" s="99"/>
      <c r="AQ553" s="6"/>
      <c r="AR553" s="6"/>
      <c r="AS553" s="6"/>
      <c r="AT553" s="89"/>
      <c r="AU553" s="100"/>
      <c r="AV553" s="65"/>
      <c r="AW553" s="3"/>
    </row>
    <row r="554" spans="34:49">
      <c r="AH554" s="99"/>
      <c r="AL554" s="99"/>
      <c r="AN554" s="99"/>
      <c r="AQ554" s="6"/>
      <c r="AR554" s="6"/>
      <c r="AS554" s="6"/>
      <c r="AT554" s="89"/>
      <c r="AU554" s="100"/>
      <c r="AV554" s="65"/>
      <c r="AW554" s="3"/>
    </row>
    <row r="555" spans="34:49">
      <c r="AH555" s="99"/>
      <c r="AL555" s="99"/>
      <c r="AN555" s="99"/>
      <c r="AQ555" s="6"/>
      <c r="AR555" s="6"/>
      <c r="AS555" s="6"/>
      <c r="AT555" s="89"/>
      <c r="AU555" s="100"/>
      <c r="AV555" s="65"/>
      <c r="AW555" s="3"/>
    </row>
    <row r="556" spans="34:49">
      <c r="AH556" s="99"/>
      <c r="AL556" s="99"/>
      <c r="AN556" s="99"/>
      <c r="AQ556" s="6"/>
      <c r="AR556" s="6"/>
      <c r="AS556" s="6"/>
      <c r="AT556" s="89"/>
      <c r="AU556" s="100"/>
      <c r="AV556" s="65"/>
      <c r="AW556" s="3"/>
    </row>
    <row r="557" spans="34:49">
      <c r="AH557" s="99"/>
      <c r="AL557" s="99"/>
      <c r="AN557" s="99"/>
      <c r="AQ557" s="6"/>
      <c r="AR557" s="6"/>
      <c r="AS557" s="6"/>
      <c r="AT557" s="89"/>
      <c r="AU557" s="100"/>
      <c r="AV557" s="65"/>
      <c r="AW557" s="3"/>
    </row>
    <row r="558" spans="34:49">
      <c r="AH558" s="99"/>
      <c r="AL558" s="99"/>
      <c r="AN558" s="99"/>
      <c r="AQ558" s="6"/>
      <c r="AR558" s="6"/>
      <c r="AS558" s="6"/>
      <c r="AT558" s="89"/>
      <c r="AU558" s="100"/>
      <c r="AV558" s="65"/>
      <c r="AW558" s="3"/>
    </row>
    <row r="559" spans="34:49">
      <c r="AH559" s="99"/>
      <c r="AL559" s="99"/>
      <c r="AN559" s="99"/>
      <c r="AQ559" s="6"/>
      <c r="AR559" s="6"/>
      <c r="AS559" s="6"/>
      <c r="AT559" s="89"/>
      <c r="AU559" s="100"/>
      <c r="AV559" s="65"/>
      <c r="AW559" s="3"/>
    </row>
    <row r="560" spans="34:49">
      <c r="AH560" s="99"/>
      <c r="AL560" s="99"/>
      <c r="AN560" s="99"/>
      <c r="AQ560" s="6"/>
      <c r="AR560" s="6"/>
      <c r="AS560" s="6"/>
      <c r="AT560" s="89"/>
      <c r="AU560" s="100"/>
      <c r="AV560" s="65"/>
      <c r="AW560" s="3"/>
    </row>
    <row r="561" spans="34:49">
      <c r="AH561" s="99"/>
      <c r="AL561" s="99"/>
      <c r="AN561" s="99"/>
      <c r="AQ561" s="6"/>
      <c r="AR561" s="6"/>
      <c r="AS561" s="6"/>
      <c r="AT561" s="89"/>
      <c r="AU561" s="100"/>
      <c r="AV561" s="65"/>
      <c r="AW561" s="3"/>
    </row>
    <row r="562" spans="34:49">
      <c r="AH562" s="99"/>
      <c r="AL562" s="99"/>
      <c r="AN562" s="99"/>
      <c r="AQ562" s="6"/>
      <c r="AR562" s="6"/>
      <c r="AS562" s="6"/>
      <c r="AT562" s="89"/>
      <c r="AU562" s="100"/>
      <c r="AV562" s="65"/>
      <c r="AW562" s="3"/>
    </row>
    <row r="563" spans="34:49">
      <c r="AH563" s="99"/>
      <c r="AL563" s="99"/>
      <c r="AN563" s="99"/>
      <c r="AQ563" s="6"/>
      <c r="AR563" s="6"/>
      <c r="AS563" s="6"/>
      <c r="AT563" s="89"/>
      <c r="AU563" s="100"/>
      <c r="AV563" s="65"/>
      <c r="AW563" s="3"/>
    </row>
    <row r="564" spans="34:49">
      <c r="AH564" s="99"/>
      <c r="AL564" s="99"/>
      <c r="AN564" s="99"/>
      <c r="AQ564" s="6"/>
      <c r="AR564" s="6"/>
      <c r="AS564" s="6"/>
      <c r="AT564" s="89"/>
      <c r="AU564" s="100"/>
      <c r="AV564" s="65"/>
      <c r="AW564" s="3"/>
    </row>
    <row r="565" spans="34:49">
      <c r="AH565" s="99"/>
      <c r="AL565" s="99"/>
      <c r="AN565" s="99"/>
      <c r="AQ565" s="6"/>
      <c r="AR565" s="6"/>
      <c r="AS565" s="6"/>
      <c r="AT565" s="89"/>
      <c r="AU565" s="100"/>
      <c r="AV565" s="65"/>
      <c r="AW565" s="3"/>
    </row>
    <row r="566" spans="34:49">
      <c r="AH566" s="99"/>
      <c r="AL566" s="99"/>
      <c r="AN566" s="99"/>
      <c r="AQ566" s="6"/>
      <c r="AR566" s="6"/>
      <c r="AS566" s="6"/>
      <c r="AT566" s="89"/>
      <c r="AU566" s="100"/>
      <c r="AV566" s="65"/>
      <c r="AW566" s="3"/>
    </row>
    <row r="567" spans="34:49">
      <c r="AH567" s="99"/>
      <c r="AL567" s="99"/>
      <c r="AN567" s="99"/>
      <c r="AQ567" s="6"/>
      <c r="AR567" s="6"/>
      <c r="AS567" s="6"/>
      <c r="AT567" s="89"/>
      <c r="AU567" s="100"/>
      <c r="AV567" s="65"/>
      <c r="AW567" s="3"/>
    </row>
    <row r="568" spans="34:49">
      <c r="AH568" s="99"/>
      <c r="AL568" s="99"/>
      <c r="AN568" s="99"/>
      <c r="AQ568" s="6"/>
      <c r="AR568" s="6"/>
      <c r="AS568" s="6"/>
      <c r="AT568" s="89"/>
      <c r="AU568" s="100"/>
      <c r="AV568" s="65"/>
      <c r="AW568" s="3"/>
    </row>
    <row r="569" spans="34:49">
      <c r="AH569" s="99"/>
      <c r="AL569" s="99"/>
      <c r="AN569" s="99"/>
      <c r="AQ569" s="6"/>
      <c r="AR569" s="6"/>
      <c r="AS569" s="6"/>
      <c r="AT569" s="89"/>
      <c r="AU569" s="100"/>
      <c r="AV569" s="65"/>
      <c r="AW569" s="3"/>
    </row>
    <row r="570" spans="34:49">
      <c r="AH570" s="99"/>
      <c r="AL570" s="99"/>
      <c r="AN570" s="99"/>
      <c r="AQ570" s="6"/>
      <c r="AR570" s="6"/>
      <c r="AS570" s="6"/>
      <c r="AT570" s="89"/>
      <c r="AU570" s="100"/>
      <c r="AV570" s="65"/>
      <c r="AW570" s="3"/>
    </row>
    <row r="571" spans="34:49">
      <c r="AH571" s="99"/>
      <c r="AL571" s="99"/>
      <c r="AN571" s="99"/>
      <c r="AQ571" s="6"/>
      <c r="AR571" s="6"/>
      <c r="AS571" s="6"/>
      <c r="AT571" s="89"/>
      <c r="AU571" s="100"/>
      <c r="AV571" s="65"/>
      <c r="AW571" s="3"/>
    </row>
    <row r="572" spans="34:49">
      <c r="AH572" s="99"/>
      <c r="AL572" s="99"/>
      <c r="AN572" s="99"/>
      <c r="AQ572" s="6"/>
      <c r="AR572" s="6"/>
      <c r="AS572" s="6"/>
      <c r="AT572" s="89"/>
      <c r="AU572" s="100"/>
      <c r="AV572" s="65"/>
      <c r="AW572" s="3"/>
    </row>
    <row r="573" spans="34:49">
      <c r="AH573" s="99"/>
      <c r="AL573" s="99"/>
      <c r="AN573" s="99"/>
      <c r="AQ573" s="6"/>
      <c r="AR573" s="6"/>
      <c r="AS573" s="6"/>
      <c r="AT573" s="89"/>
      <c r="AU573" s="100"/>
      <c r="AV573" s="65"/>
      <c r="AW573" s="3"/>
    </row>
    <row r="574" spans="34:49">
      <c r="AH574" s="99"/>
      <c r="AL574" s="99"/>
      <c r="AN574" s="99"/>
      <c r="AQ574" s="6"/>
      <c r="AR574" s="6"/>
      <c r="AS574" s="6"/>
      <c r="AT574" s="89"/>
      <c r="AU574" s="100"/>
      <c r="AV574" s="65"/>
      <c r="AW574" s="3"/>
    </row>
    <row r="575" spans="34:49">
      <c r="AH575" s="99"/>
      <c r="AL575" s="99"/>
      <c r="AN575" s="99"/>
      <c r="AQ575" s="6"/>
      <c r="AR575" s="6"/>
      <c r="AS575" s="6"/>
      <c r="AT575" s="89"/>
      <c r="AU575" s="100"/>
      <c r="AV575" s="65"/>
      <c r="AW575" s="3"/>
    </row>
    <row r="576" spans="34:49">
      <c r="AH576" s="99"/>
      <c r="AL576" s="99"/>
      <c r="AN576" s="99"/>
      <c r="AQ576" s="6"/>
      <c r="AR576" s="6"/>
      <c r="AS576" s="6"/>
      <c r="AT576" s="89"/>
      <c r="AU576" s="100"/>
      <c r="AV576" s="65"/>
      <c r="AW576" s="3"/>
    </row>
    <row r="577" spans="34:49">
      <c r="AH577" s="99"/>
      <c r="AL577" s="99"/>
      <c r="AN577" s="99"/>
      <c r="AQ577" s="6"/>
      <c r="AR577" s="6"/>
      <c r="AS577" s="6"/>
      <c r="AT577" s="89"/>
      <c r="AU577" s="100"/>
      <c r="AV577" s="65"/>
      <c r="AW577" s="3"/>
    </row>
    <row r="578" spans="34:49">
      <c r="AH578" s="99"/>
      <c r="AL578" s="99"/>
      <c r="AN578" s="99"/>
      <c r="AQ578" s="6"/>
      <c r="AR578" s="6"/>
      <c r="AS578" s="6"/>
      <c r="AT578" s="89"/>
      <c r="AU578" s="100"/>
      <c r="AV578" s="65"/>
      <c r="AW578" s="3"/>
    </row>
    <row r="579" spans="34:49">
      <c r="AH579" s="99"/>
      <c r="AL579" s="99"/>
      <c r="AN579" s="99"/>
      <c r="AQ579" s="6"/>
      <c r="AR579" s="6"/>
      <c r="AS579" s="6"/>
      <c r="AT579" s="89"/>
      <c r="AU579" s="100"/>
      <c r="AV579" s="65"/>
      <c r="AW579" s="3"/>
    </row>
    <row r="580" spans="34:49">
      <c r="AH580" s="99"/>
      <c r="AL580" s="99"/>
      <c r="AN580" s="99"/>
      <c r="AQ580" s="6"/>
      <c r="AR580" s="6"/>
      <c r="AS580" s="6"/>
      <c r="AT580" s="89"/>
      <c r="AU580" s="100"/>
      <c r="AV580" s="65"/>
      <c r="AW580" s="3"/>
    </row>
    <row r="581" spans="34:49">
      <c r="AH581" s="99"/>
      <c r="AL581" s="99"/>
      <c r="AN581" s="99"/>
      <c r="AQ581" s="6"/>
      <c r="AR581" s="6"/>
      <c r="AS581" s="6"/>
      <c r="AT581" s="89"/>
      <c r="AU581" s="100"/>
      <c r="AV581" s="65"/>
      <c r="AW581" s="3"/>
    </row>
    <row r="582" spans="34:49">
      <c r="AH582" s="99"/>
      <c r="AL582" s="99"/>
      <c r="AN582" s="99"/>
      <c r="AQ582" s="6"/>
      <c r="AR582" s="6"/>
      <c r="AS582" s="6"/>
      <c r="AT582" s="89"/>
      <c r="AU582" s="100"/>
      <c r="AV582" s="65"/>
      <c r="AW582" s="3"/>
    </row>
    <row r="583" spans="34:49">
      <c r="AH583" s="99"/>
      <c r="AL583" s="99"/>
      <c r="AN583" s="99"/>
      <c r="AQ583" s="6"/>
      <c r="AR583" s="6"/>
      <c r="AS583" s="6"/>
      <c r="AT583" s="89"/>
      <c r="AU583" s="100"/>
      <c r="AV583" s="65"/>
      <c r="AW583" s="3"/>
    </row>
    <row r="584" spans="34:49">
      <c r="AH584" s="99"/>
      <c r="AL584" s="99"/>
      <c r="AN584" s="99"/>
      <c r="AQ584" s="6"/>
      <c r="AR584" s="6"/>
      <c r="AS584" s="6"/>
      <c r="AT584" s="89"/>
      <c r="AU584" s="100"/>
      <c r="AV584" s="65"/>
      <c r="AW584" s="3"/>
    </row>
    <row r="585" spans="34:49">
      <c r="AH585" s="99"/>
      <c r="AL585" s="99"/>
      <c r="AN585" s="99"/>
      <c r="AQ585" s="6"/>
      <c r="AR585" s="6"/>
      <c r="AS585" s="6"/>
      <c r="AT585" s="89"/>
      <c r="AU585" s="100"/>
      <c r="AV585" s="65"/>
      <c r="AW585" s="3"/>
    </row>
    <row r="586" spans="34:49">
      <c r="AH586" s="99"/>
      <c r="AL586" s="99"/>
      <c r="AN586" s="99"/>
      <c r="AQ586" s="6"/>
      <c r="AR586" s="6"/>
      <c r="AS586" s="6"/>
      <c r="AT586" s="89"/>
      <c r="AU586" s="100"/>
      <c r="AV586" s="65"/>
      <c r="AW586" s="3"/>
    </row>
    <row r="587" spans="34:49">
      <c r="AH587" s="99"/>
      <c r="AL587" s="99"/>
      <c r="AN587" s="99"/>
      <c r="AQ587" s="6"/>
      <c r="AR587" s="6"/>
      <c r="AS587" s="6"/>
      <c r="AT587" s="89"/>
      <c r="AU587" s="100"/>
      <c r="AV587" s="65"/>
      <c r="AW587" s="3"/>
    </row>
    <row r="588" spans="34:49">
      <c r="AH588" s="99"/>
      <c r="AL588" s="99"/>
      <c r="AN588" s="99"/>
      <c r="AQ588" s="6"/>
      <c r="AR588" s="6"/>
      <c r="AS588" s="6"/>
      <c r="AT588" s="89"/>
      <c r="AU588" s="100"/>
      <c r="AV588" s="65"/>
      <c r="AW588" s="3"/>
    </row>
    <row r="589" spans="34:49">
      <c r="AH589" s="99"/>
      <c r="AL589" s="99"/>
      <c r="AN589" s="99"/>
      <c r="AQ589" s="6"/>
      <c r="AR589" s="6"/>
      <c r="AS589" s="6"/>
      <c r="AT589" s="89"/>
      <c r="AU589" s="100"/>
      <c r="AV589" s="65"/>
      <c r="AW589" s="3"/>
    </row>
    <row r="590" spans="34:49">
      <c r="AH590" s="99"/>
      <c r="AL590" s="99"/>
      <c r="AN590" s="99"/>
      <c r="AQ590" s="6"/>
      <c r="AR590" s="6"/>
      <c r="AS590" s="6"/>
      <c r="AT590" s="89"/>
      <c r="AU590" s="100"/>
      <c r="AV590" s="65"/>
      <c r="AW590" s="3"/>
    </row>
    <row r="591" spans="34:49">
      <c r="AH591" s="99"/>
      <c r="AL591" s="99"/>
      <c r="AN591" s="99"/>
      <c r="AQ591" s="6"/>
      <c r="AR591" s="6"/>
      <c r="AS591" s="6"/>
      <c r="AT591" s="89"/>
      <c r="AU591" s="100"/>
      <c r="AV591" s="65"/>
      <c r="AW591" s="3"/>
    </row>
    <row r="592" spans="34:49">
      <c r="AH592" s="99"/>
      <c r="AL592" s="99"/>
      <c r="AN592" s="99"/>
      <c r="AQ592" s="6"/>
      <c r="AR592" s="6"/>
      <c r="AS592" s="6"/>
      <c r="AT592" s="89"/>
      <c r="AU592" s="100"/>
      <c r="AV592" s="65"/>
      <c r="AW592" s="3"/>
    </row>
    <row r="593" spans="34:49">
      <c r="AH593" s="99"/>
      <c r="AL593" s="99"/>
      <c r="AN593" s="99"/>
      <c r="AQ593" s="6"/>
      <c r="AR593" s="6"/>
      <c r="AS593" s="6"/>
      <c r="AT593" s="89"/>
      <c r="AU593" s="100"/>
      <c r="AV593" s="65"/>
      <c r="AW593" s="3"/>
    </row>
    <row r="594" spans="34:49">
      <c r="AH594" s="99"/>
      <c r="AL594" s="99"/>
      <c r="AN594" s="99"/>
      <c r="AQ594" s="6"/>
      <c r="AR594" s="6"/>
      <c r="AS594" s="6"/>
      <c r="AT594" s="89"/>
      <c r="AU594" s="100"/>
      <c r="AV594" s="65"/>
      <c r="AW594" s="3"/>
    </row>
    <row r="595" spans="34:49">
      <c r="AH595" s="99"/>
      <c r="AL595" s="99"/>
      <c r="AN595" s="99"/>
      <c r="AQ595" s="6"/>
      <c r="AR595" s="6"/>
      <c r="AS595" s="6"/>
      <c r="AT595" s="89"/>
      <c r="AU595" s="100"/>
      <c r="AV595" s="65"/>
      <c r="AW595" s="3"/>
    </row>
    <row r="596" spans="34:49">
      <c r="AH596" s="99"/>
      <c r="AL596" s="99"/>
      <c r="AN596" s="99"/>
      <c r="AQ596" s="6"/>
      <c r="AR596" s="6"/>
      <c r="AS596" s="6"/>
      <c r="AT596" s="89"/>
      <c r="AU596" s="100"/>
      <c r="AV596" s="65"/>
      <c r="AW596" s="3"/>
    </row>
    <row r="597" spans="34:49">
      <c r="AH597" s="99"/>
      <c r="AL597" s="99"/>
      <c r="AN597" s="99"/>
      <c r="AQ597" s="6"/>
      <c r="AR597" s="6"/>
      <c r="AS597" s="6"/>
      <c r="AT597" s="89"/>
      <c r="AU597" s="100"/>
      <c r="AV597" s="65"/>
      <c r="AW597" s="3"/>
    </row>
    <row r="598" spans="34:49">
      <c r="AH598" s="99"/>
      <c r="AL598" s="99"/>
      <c r="AN598" s="99"/>
      <c r="AQ598" s="6"/>
      <c r="AR598" s="6"/>
      <c r="AS598" s="6"/>
      <c r="AT598" s="89"/>
      <c r="AU598" s="100"/>
      <c r="AV598" s="65"/>
      <c r="AW598" s="3"/>
    </row>
    <row r="599" spans="34:49">
      <c r="AH599" s="99"/>
      <c r="AL599" s="99"/>
      <c r="AN599" s="99"/>
      <c r="AQ599" s="6"/>
      <c r="AR599" s="6"/>
      <c r="AS599" s="6"/>
      <c r="AT599" s="89"/>
      <c r="AU599" s="100"/>
      <c r="AV599" s="65"/>
      <c r="AW599" s="3"/>
    </row>
    <row r="600" spans="34:49">
      <c r="AH600" s="99"/>
      <c r="AL600" s="99"/>
      <c r="AN600" s="99"/>
      <c r="AQ600" s="6"/>
      <c r="AR600" s="6"/>
      <c r="AS600" s="6"/>
      <c r="AT600" s="89"/>
      <c r="AU600" s="100"/>
      <c r="AV600" s="65"/>
      <c r="AW600" s="3"/>
    </row>
    <row r="601" spans="34:49">
      <c r="AH601" s="99"/>
      <c r="AL601" s="99"/>
      <c r="AN601" s="99"/>
      <c r="AQ601" s="6"/>
      <c r="AR601" s="6"/>
      <c r="AS601" s="6"/>
      <c r="AT601" s="89"/>
      <c r="AU601" s="100"/>
      <c r="AV601" s="65"/>
      <c r="AW601" s="3"/>
    </row>
    <row r="602" spans="34:49">
      <c r="AH602" s="99"/>
      <c r="AL602" s="99"/>
      <c r="AN602" s="99"/>
      <c r="AQ602" s="6"/>
      <c r="AR602" s="6"/>
      <c r="AS602" s="6"/>
      <c r="AT602" s="89"/>
      <c r="AU602" s="100"/>
      <c r="AV602" s="65"/>
      <c r="AW602" s="3"/>
    </row>
    <row r="603" spans="34:49">
      <c r="AH603" s="99"/>
      <c r="AL603" s="99"/>
      <c r="AN603" s="99"/>
      <c r="AQ603" s="6"/>
      <c r="AR603" s="6"/>
      <c r="AS603" s="6"/>
      <c r="AT603" s="89"/>
      <c r="AU603" s="100"/>
      <c r="AV603" s="65"/>
      <c r="AW603" s="3"/>
    </row>
    <row r="604" spans="34:49">
      <c r="AH604" s="99"/>
      <c r="AL604" s="99"/>
      <c r="AN604" s="99"/>
      <c r="AQ604" s="6"/>
      <c r="AR604" s="6"/>
      <c r="AS604" s="6"/>
      <c r="AT604" s="89"/>
      <c r="AU604" s="100"/>
      <c r="AV604" s="65"/>
      <c r="AW604" s="3"/>
    </row>
    <row r="605" spans="34:49">
      <c r="AH605" s="99"/>
      <c r="AL605" s="99"/>
      <c r="AN605" s="99"/>
      <c r="AQ605" s="6"/>
      <c r="AR605" s="6"/>
      <c r="AS605" s="6"/>
      <c r="AT605" s="89"/>
      <c r="AU605" s="100"/>
      <c r="AV605" s="65"/>
      <c r="AW605" s="3"/>
    </row>
    <row r="606" spans="34:49">
      <c r="AH606" s="99"/>
      <c r="AL606" s="99"/>
      <c r="AN606" s="99"/>
      <c r="AQ606" s="6"/>
      <c r="AR606" s="6"/>
      <c r="AS606" s="6"/>
      <c r="AT606" s="89"/>
      <c r="AU606" s="100"/>
      <c r="AV606" s="65"/>
      <c r="AW606" s="3"/>
    </row>
    <row r="607" spans="34:49">
      <c r="AH607" s="99"/>
      <c r="AL607" s="99"/>
      <c r="AN607" s="99"/>
      <c r="AQ607" s="6"/>
      <c r="AR607" s="6"/>
      <c r="AS607" s="6"/>
      <c r="AT607" s="89"/>
      <c r="AU607" s="100"/>
      <c r="AV607" s="65"/>
      <c r="AW607" s="3"/>
    </row>
    <row r="608" spans="34:49">
      <c r="AH608" s="99"/>
      <c r="AL608" s="99"/>
      <c r="AN608" s="99"/>
      <c r="AQ608" s="6"/>
      <c r="AR608" s="6"/>
      <c r="AS608" s="6"/>
      <c r="AT608" s="89"/>
      <c r="AU608" s="100"/>
      <c r="AV608" s="65"/>
      <c r="AW608" s="3"/>
    </row>
    <row r="609" spans="34:49">
      <c r="AH609" s="99"/>
      <c r="AL609" s="99"/>
      <c r="AN609" s="99"/>
      <c r="AQ609" s="6"/>
      <c r="AR609" s="6"/>
      <c r="AS609" s="6"/>
      <c r="AT609" s="89"/>
      <c r="AU609" s="100"/>
      <c r="AV609" s="65"/>
      <c r="AW609" s="3"/>
    </row>
    <row r="610" spans="34:49">
      <c r="AH610" s="99"/>
      <c r="AL610" s="99"/>
      <c r="AN610" s="99"/>
      <c r="AQ610" s="6"/>
      <c r="AR610" s="6"/>
      <c r="AS610" s="6"/>
      <c r="AT610" s="89"/>
      <c r="AU610" s="100"/>
      <c r="AV610" s="65"/>
      <c r="AW610" s="3"/>
    </row>
    <row r="611" spans="34:49">
      <c r="AH611" s="99"/>
      <c r="AL611" s="99"/>
      <c r="AN611" s="99"/>
      <c r="AQ611" s="6"/>
      <c r="AR611" s="6"/>
      <c r="AS611" s="6"/>
      <c r="AT611" s="89"/>
      <c r="AU611" s="100"/>
      <c r="AV611" s="65"/>
      <c r="AW611" s="3"/>
    </row>
    <row r="612" spans="34:49">
      <c r="AH612" s="99"/>
      <c r="AL612" s="99"/>
      <c r="AN612" s="99"/>
      <c r="AQ612" s="6"/>
      <c r="AR612" s="6"/>
      <c r="AS612" s="6"/>
      <c r="AT612" s="89"/>
      <c r="AU612" s="100"/>
      <c r="AV612" s="65"/>
      <c r="AW612" s="3"/>
    </row>
    <row r="613" spans="34:49">
      <c r="AH613" s="99"/>
      <c r="AL613" s="99"/>
      <c r="AN613" s="99"/>
      <c r="AQ613" s="6"/>
      <c r="AR613" s="6"/>
      <c r="AS613" s="6"/>
      <c r="AT613" s="89"/>
      <c r="AU613" s="100"/>
      <c r="AV613" s="65"/>
      <c r="AW613" s="3"/>
    </row>
    <row r="614" spans="34:49">
      <c r="AH614" s="99"/>
      <c r="AL614" s="99"/>
      <c r="AN614" s="99"/>
      <c r="AQ614" s="6"/>
      <c r="AR614" s="6"/>
      <c r="AS614" s="6"/>
      <c r="AT614" s="89"/>
      <c r="AU614" s="100"/>
      <c r="AV614" s="65"/>
      <c r="AW614" s="3"/>
    </row>
    <row r="615" spans="34:49">
      <c r="AH615" s="99"/>
      <c r="AL615" s="99"/>
      <c r="AN615" s="99"/>
      <c r="AQ615" s="6"/>
      <c r="AR615" s="6"/>
      <c r="AS615" s="6"/>
      <c r="AT615" s="89"/>
      <c r="AU615" s="100"/>
      <c r="AV615" s="65"/>
      <c r="AW615" s="3"/>
    </row>
    <row r="616" spans="34:49">
      <c r="AH616" s="99"/>
      <c r="AL616" s="99"/>
      <c r="AN616" s="99"/>
      <c r="AQ616" s="6"/>
      <c r="AR616" s="6"/>
      <c r="AS616" s="6"/>
      <c r="AT616" s="89"/>
      <c r="AU616" s="100"/>
      <c r="AV616" s="65"/>
      <c r="AW616" s="3"/>
    </row>
    <row r="617" spans="34:49">
      <c r="AH617" s="99"/>
      <c r="AL617" s="99"/>
      <c r="AN617" s="99"/>
      <c r="AQ617" s="6"/>
      <c r="AR617" s="6"/>
      <c r="AS617" s="6"/>
      <c r="AT617" s="89"/>
      <c r="AU617" s="100"/>
      <c r="AV617" s="65"/>
      <c r="AW617" s="3"/>
    </row>
    <row r="618" spans="34:49">
      <c r="AH618" s="99"/>
      <c r="AL618" s="99"/>
      <c r="AN618" s="99"/>
      <c r="AQ618" s="6"/>
      <c r="AR618" s="6"/>
      <c r="AS618" s="6"/>
      <c r="AT618" s="89"/>
      <c r="AU618" s="100"/>
      <c r="AV618" s="65"/>
      <c r="AW618" s="3"/>
    </row>
    <row r="619" spans="34:49">
      <c r="AH619" s="99"/>
      <c r="AL619" s="99"/>
      <c r="AN619" s="99"/>
      <c r="AQ619" s="6"/>
      <c r="AR619" s="6"/>
      <c r="AS619" s="6"/>
      <c r="AT619" s="89"/>
      <c r="AU619" s="100"/>
      <c r="AV619" s="65"/>
      <c r="AW619" s="3"/>
    </row>
    <row r="620" spans="34:49">
      <c r="AH620" s="99"/>
      <c r="AL620" s="99"/>
      <c r="AN620" s="99"/>
      <c r="AQ620" s="6"/>
      <c r="AR620" s="6"/>
      <c r="AS620" s="6"/>
      <c r="AT620" s="89"/>
      <c r="AU620" s="100"/>
      <c r="AV620" s="65"/>
      <c r="AW620" s="3"/>
    </row>
    <row r="621" spans="34:49">
      <c r="AH621" s="99"/>
      <c r="AL621" s="99"/>
      <c r="AN621" s="99"/>
      <c r="AQ621" s="6"/>
      <c r="AR621" s="6"/>
      <c r="AS621" s="6"/>
      <c r="AT621" s="89"/>
      <c r="AU621" s="100"/>
      <c r="AV621" s="65"/>
      <c r="AW621" s="3"/>
    </row>
    <row r="622" spans="34:49">
      <c r="AH622" s="99"/>
      <c r="AL622" s="99"/>
      <c r="AN622" s="99"/>
      <c r="AQ622" s="6"/>
      <c r="AR622" s="6"/>
      <c r="AS622" s="6"/>
      <c r="AT622" s="89"/>
      <c r="AU622" s="100"/>
      <c r="AV622" s="65"/>
      <c r="AW622" s="3"/>
    </row>
    <row r="623" spans="34:49">
      <c r="AH623" s="99"/>
      <c r="AL623" s="99"/>
      <c r="AN623" s="99"/>
      <c r="AQ623" s="6"/>
      <c r="AR623" s="6"/>
      <c r="AS623" s="6"/>
      <c r="AT623" s="89"/>
      <c r="AU623" s="100"/>
      <c r="AV623" s="65"/>
      <c r="AW623" s="3"/>
    </row>
    <row r="624" spans="34:49">
      <c r="AH624" s="99"/>
      <c r="AL624" s="99"/>
      <c r="AN624" s="99"/>
      <c r="AQ624" s="6"/>
      <c r="AR624" s="6"/>
      <c r="AS624" s="6"/>
      <c r="AT624" s="89"/>
      <c r="AU624" s="100"/>
      <c r="AV624" s="65"/>
      <c r="AW624" s="3"/>
    </row>
    <row r="625" spans="34:49">
      <c r="AH625" s="99"/>
      <c r="AL625" s="99"/>
      <c r="AN625" s="99"/>
      <c r="AQ625" s="6"/>
      <c r="AR625" s="6"/>
      <c r="AS625" s="6"/>
      <c r="AT625" s="89"/>
      <c r="AU625" s="100"/>
      <c r="AV625" s="65"/>
      <c r="AW625" s="3"/>
    </row>
    <row r="626" spans="34:49">
      <c r="AH626" s="99"/>
      <c r="AL626" s="99"/>
      <c r="AN626" s="99"/>
      <c r="AQ626" s="6"/>
      <c r="AR626" s="6"/>
      <c r="AS626" s="6"/>
      <c r="AT626" s="89"/>
      <c r="AU626" s="100"/>
      <c r="AV626" s="65"/>
      <c r="AW626" s="3"/>
    </row>
    <row r="627" spans="34:49">
      <c r="AH627" s="99"/>
      <c r="AL627" s="99"/>
      <c r="AN627" s="99"/>
      <c r="AQ627" s="6"/>
      <c r="AR627" s="6"/>
      <c r="AS627" s="6"/>
      <c r="AT627" s="89"/>
      <c r="AU627" s="100"/>
      <c r="AV627" s="65"/>
      <c r="AW627" s="3"/>
    </row>
    <row r="628" spans="34:49">
      <c r="AH628" s="99"/>
      <c r="AL628" s="99"/>
      <c r="AN628" s="99"/>
      <c r="AQ628" s="6"/>
      <c r="AR628" s="6"/>
      <c r="AS628" s="6"/>
      <c r="AT628" s="89"/>
      <c r="AU628" s="100"/>
      <c r="AV628" s="65"/>
      <c r="AW628" s="3"/>
    </row>
    <row r="629" spans="34:49">
      <c r="AH629" s="99"/>
      <c r="AL629" s="99"/>
      <c r="AN629" s="99"/>
      <c r="AQ629" s="6"/>
      <c r="AR629" s="6"/>
      <c r="AS629" s="6"/>
      <c r="AT629" s="89"/>
      <c r="AU629" s="100"/>
      <c r="AV629" s="65"/>
      <c r="AW629" s="3"/>
    </row>
    <row r="630" spans="34:49">
      <c r="AH630" s="99"/>
      <c r="AL630" s="99"/>
      <c r="AN630" s="99"/>
      <c r="AQ630" s="6"/>
      <c r="AR630" s="6"/>
      <c r="AS630" s="6"/>
      <c r="AT630" s="89"/>
      <c r="AU630" s="100"/>
      <c r="AV630" s="65"/>
      <c r="AW630" s="3"/>
    </row>
    <row r="631" spans="34:49">
      <c r="AH631" s="99"/>
      <c r="AL631" s="99"/>
      <c r="AN631" s="99"/>
      <c r="AQ631" s="6"/>
      <c r="AR631" s="6"/>
      <c r="AS631" s="6"/>
      <c r="AT631" s="89"/>
      <c r="AU631" s="100"/>
      <c r="AV631" s="65"/>
      <c r="AW631" s="3"/>
    </row>
    <row r="632" spans="34:49">
      <c r="AH632" s="99"/>
      <c r="AL632" s="99"/>
      <c r="AN632" s="99"/>
      <c r="AQ632" s="6"/>
      <c r="AR632" s="6"/>
      <c r="AS632" s="6"/>
      <c r="AT632" s="89"/>
      <c r="AU632" s="100"/>
      <c r="AV632" s="65"/>
      <c r="AW632" s="3"/>
    </row>
    <row r="633" spans="34:49">
      <c r="AH633" s="99"/>
      <c r="AL633" s="99"/>
      <c r="AN633" s="99"/>
      <c r="AQ633" s="6"/>
      <c r="AR633" s="6"/>
      <c r="AS633" s="6"/>
      <c r="AT633" s="89"/>
      <c r="AU633" s="100"/>
      <c r="AV633" s="65"/>
      <c r="AW633" s="3"/>
    </row>
    <row r="634" spans="34:49">
      <c r="AH634" s="99"/>
      <c r="AL634" s="99"/>
      <c r="AN634" s="99"/>
      <c r="AQ634" s="6"/>
      <c r="AR634" s="6"/>
      <c r="AS634" s="6"/>
      <c r="AT634" s="89"/>
      <c r="AU634" s="100"/>
      <c r="AV634" s="65"/>
      <c r="AW634" s="3"/>
    </row>
    <row r="635" spans="34:49">
      <c r="AH635" s="99"/>
      <c r="AL635" s="99"/>
      <c r="AN635" s="99"/>
      <c r="AQ635" s="6"/>
      <c r="AR635" s="6"/>
      <c r="AS635" s="6"/>
      <c r="AT635" s="89"/>
      <c r="AU635" s="100"/>
      <c r="AV635" s="65"/>
      <c r="AW635" s="3"/>
    </row>
    <row r="636" spans="34:49">
      <c r="AH636" s="99"/>
      <c r="AL636" s="99"/>
      <c r="AN636" s="99"/>
      <c r="AQ636" s="6"/>
      <c r="AR636" s="6"/>
      <c r="AS636" s="6"/>
      <c r="AT636" s="89"/>
      <c r="AU636" s="100"/>
      <c r="AV636" s="65"/>
      <c r="AW636" s="3"/>
    </row>
    <row r="637" spans="34:49">
      <c r="AH637" s="99"/>
      <c r="AL637" s="99"/>
      <c r="AN637" s="99"/>
      <c r="AQ637" s="6"/>
      <c r="AR637" s="6"/>
      <c r="AS637" s="6"/>
      <c r="AT637" s="89"/>
      <c r="AU637" s="100"/>
      <c r="AV637" s="65"/>
      <c r="AW637" s="3"/>
    </row>
    <row r="638" spans="34:49">
      <c r="AH638" s="99"/>
      <c r="AL638" s="99"/>
      <c r="AN638" s="99"/>
      <c r="AQ638" s="6"/>
      <c r="AR638" s="6"/>
      <c r="AS638" s="6"/>
      <c r="AT638" s="89"/>
      <c r="AU638" s="100"/>
      <c r="AV638" s="65"/>
      <c r="AW638" s="3"/>
    </row>
    <row r="639" spans="34:49">
      <c r="AH639" s="99"/>
      <c r="AL639" s="99"/>
      <c r="AN639" s="99"/>
      <c r="AQ639" s="6"/>
      <c r="AR639" s="6"/>
      <c r="AS639" s="6"/>
      <c r="AT639" s="89"/>
      <c r="AU639" s="100"/>
      <c r="AV639" s="65"/>
      <c r="AW639" s="3"/>
    </row>
    <row r="640" spans="34:49">
      <c r="AH640" s="99"/>
      <c r="AL640" s="99"/>
      <c r="AN640" s="99"/>
      <c r="AQ640" s="6"/>
      <c r="AR640" s="6"/>
      <c r="AS640" s="6"/>
      <c r="AT640" s="89"/>
      <c r="AU640" s="100"/>
      <c r="AV640" s="65"/>
      <c r="AW640" s="3"/>
    </row>
    <row r="641" spans="34:49">
      <c r="AH641" s="99"/>
      <c r="AL641" s="99"/>
      <c r="AN641" s="99"/>
      <c r="AQ641" s="6"/>
      <c r="AR641" s="6"/>
      <c r="AS641" s="6"/>
      <c r="AT641" s="89"/>
      <c r="AU641" s="100"/>
      <c r="AV641" s="65"/>
      <c r="AW641" s="3"/>
    </row>
    <row r="642" spans="34:49">
      <c r="AH642" s="99"/>
      <c r="AL642" s="99"/>
      <c r="AN642" s="99"/>
      <c r="AQ642" s="6"/>
      <c r="AR642" s="6"/>
      <c r="AS642" s="6"/>
      <c r="AT642" s="89"/>
      <c r="AU642" s="100"/>
      <c r="AV642" s="65"/>
      <c r="AW642" s="3"/>
    </row>
    <row r="643" spans="34:49">
      <c r="AH643" s="99"/>
      <c r="AL643" s="99"/>
      <c r="AN643" s="99"/>
      <c r="AQ643" s="6"/>
      <c r="AR643" s="6"/>
      <c r="AS643" s="6"/>
      <c r="AT643" s="89"/>
      <c r="AU643" s="100"/>
      <c r="AV643" s="65"/>
      <c r="AW643" s="3"/>
    </row>
    <row r="644" spans="34:49">
      <c r="AH644" s="99"/>
      <c r="AL644" s="99"/>
      <c r="AN644" s="99"/>
      <c r="AQ644" s="6"/>
      <c r="AR644" s="6"/>
      <c r="AS644" s="6"/>
      <c r="AT644" s="89"/>
      <c r="AU644" s="100"/>
      <c r="AV644" s="65"/>
      <c r="AW644" s="3"/>
    </row>
    <row r="645" spans="34:49">
      <c r="AH645" s="99"/>
      <c r="AL645" s="99"/>
      <c r="AN645" s="99"/>
      <c r="AQ645" s="6"/>
      <c r="AR645" s="6"/>
      <c r="AS645" s="6"/>
      <c r="AT645" s="89"/>
      <c r="AU645" s="100"/>
      <c r="AV645" s="65"/>
      <c r="AW645" s="3"/>
    </row>
    <row r="646" spans="34:49">
      <c r="AH646" s="99"/>
      <c r="AL646" s="99"/>
      <c r="AN646" s="99"/>
      <c r="AQ646" s="6"/>
      <c r="AR646" s="6"/>
      <c r="AS646" s="6"/>
      <c r="AT646" s="89"/>
      <c r="AU646" s="100"/>
      <c r="AV646" s="65"/>
      <c r="AW646" s="3"/>
    </row>
    <row r="647" spans="34:49">
      <c r="AH647" s="99"/>
      <c r="AL647" s="99"/>
      <c r="AN647" s="99"/>
      <c r="AQ647" s="6"/>
      <c r="AR647" s="6"/>
      <c r="AS647" s="6"/>
      <c r="AT647" s="89"/>
      <c r="AU647" s="100"/>
      <c r="AV647" s="65"/>
      <c r="AW647" s="3"/>
    </row>
    <row r="648" spans="34:49">
      <c r="AH648" s="99"/>
      <c r="AL648" s="99"/>
      <c r="AN648" s="99"/>
      <c r="AQ648" s="6"/>
      <c r="AR648" s="6"/>
      <c r="AS648" s="6"/>
      <c r="AT648" s="89"/>
      <c r="AU648" s="100"/>
      <c r="AV648" s="65"/>
      <c r="AW648" s="3"/>
    </row>
    <row r="649" spans="34:49">
      <c r="AH649" s="99"/>
      <c r="AL649" s="99"/>
      <c r="AN649" s="99"/>
      <c r="AQ649" s="6"/>
      <c r="AR649" s="6"/>
      <c r="AS649" s="6"/>
      <c r="AT649" s="89"/>
      <c r="AU649" s="100"/>
      <c r="AV649" s="65"/>
      <c r="AW649" s="3"/>
    </row>
    <row r="650" spans="34:49">
      <c r="AH650" s="99"/>
      <c r="AL650" s="99"/>
      <c r="AN650" s="99"/>
      <c r="AQ650" s="6"/>
      <c r="AR650" s="6"/>
      <c r="AS650" s="6"/>
      <c r="AT650" s="89"/>
      <c r="AU650" s="100"/>
      <c r="AV650" s="65"/>
      <c r="AW650" s="3"/>
    </row>
    <row r="651" spans="34:49">
      <c r="AH651" s="99"/>
      <c r="AL651" s="99"/>
      <c r="AN651" s="99"/>
      <c r="AQ651" s="6"/>
      <c r="AR651" s="6"/>
      <c r="AS651" s="6"/>
      <c r="AT651" s="89"/>
      <c r="AU651" s="100"/>
      <c r="AV651" s="65"/>
      <c r="AW651" s="3"/>
    </row>
    <row r="652" spans="34:49">
      <c r="AH652" s="99"/>
      <c r="AL652" s="99"/>
      <c r="AN652" s="99"/>
      <c r="AQ652" s="6"/>
      <c r="AR652" s="6"/>
      <c r="AS652" s="6"/>
      <c r="AT652" s="89"/>
      <c r="AU652" s="100"/>
      <c r="AV652" s="65"/>
      <c r="AW652" s="3"/>
    </row>
    <row r="653" spans="34:49">
      <c r="AH653" s="99"/>
      <c r="AL653" s="99"/>
      <c r="AN653" s="99"/>
      <c r="AQ653" s="6"/>
      <c r="AR653" s="6"/>
      <c r="AS653" s="6"/>
      <c r="AT653" s="89"/>
      <c r="AU653" s="100"/>
      <c r="AV653" s="65"/>
      <c r="AW653" s="3"/>
    </row>
    <row r="654" spans="34:49">
      <c r="AH654" s="99"/>
      <c r="AL654" s="99"/>
      <c r="AN654" s="99"/>
      <c r="AQ654" s="6"/>
      <c r="AR654" s="6"/>
      <c r="AS654" s="6"/>
      <c r="AT654" s="89"/>
      <c r="AU654" s="100"/>
      <c r="AV654" s="65"/>
      <c r="AW654" s="3"/>
    </row>
    <row r="655" spans="34:49">
      <c r="AH655" s="99"/>
      <c r="AL655" s="99"/>
      <c r="AN655" s="99"/>
      <c r="AQ655" s="6"/>
      <c r="AR655" s="6"/>
      <c r="AS655" s="6"/>
      <c r="AT655" s="89"/>
      <c r="AU655" s="100"/>
      <c r="AV655" s="65"/>
      <c r="AW655" s="3"/>
    </row>
    <row r="656" spans="34:49">
      <c r="AH656" s="99"/>
      <c r="AL656" s="99"/>
      <c r="AN656" s="99"/>
      <c r="AQ656" s="6"/>
      <c r="AR656" s="6"/>
      <c r="AS656" s="6"/>
      <c r="AT656" s="89"/>
      <c r="AU656" s="100"/>
      <c r="AV656" s="65"/>
      <c r="AW656" s="3"/>
    </row>
    <row r="657" spans="34:49">
      <c r="AH657" s="99"/>
      <c r="AL657" s="99"/>
      <c r="AN657" s="99"/>
      <c r="AQ657" s="6"/>
      <c r="AR657" s="6"/>
      <c r="AS657" s="6"/>
      <c r="AT657" s="89"/>
      <c r="AU657" s="100"/>
      <c r="AV657" s="65"/>
      <c r="AW657" s="3"/>
    </row>
    <row r="658" spans="34:49">
      <c r="AH658" s="99"/>
      <c r="AL658" s="99"/>
      <c r="AN658" s="99"/>
      <c r="AQ658" s="6"/>
      <c r="AR658" s="6"/>
      <c r="AS658" s="6"/>
      <c r="AT658" s="89"/>
      <c r="AU658" s="100"/>
      <c r="AV658" s="65"/>
      <c r="AW658" s="3"/>
    </row>
    <row r="659" spans="34:49">
      <c r="AH659" s="99"/>
      <c r="AL659" s="99"/>
      <c r="AN659" s="99"/>
      <c r="AQ659" s="6"/>
      <c r="AR659" s="6"/>
      <c r="AS659" s="6"/>
      <c r="AT659" s="89"/>
      <c r="AU659" s="100"/>
      <c r="AV659" s="65"/>
      <c r="AW659" s="3"/>
    </row>
    <row r="660" spans="34:49">
      <c r="AH660" s="99"/>
      <c r="AL660" s="99"/>
      <c r="AN660" s="99"/>
      <c r="AQ660" s="6"/>
      <c r="AR660" s="6"/>
      <c r="AS660" s="6"/>
      <c r="AT660" s="89"/>
      <c r="AU660" s="100"/>
      <c r="AV660" s="65"/>
      <c r="AW660" s="3"/>
    </row>
    <row r="661" spans="34:49">
      <c r="AH661" s="99"/>
      <c r="AL661" s="99"/>
      <c r="AN661" s="99"/>
      <c r="AQ661" s="6"/>
      <c r="AR661" s="6"/>
      <c r="AS661" s="6"/>
      <c r="AT661" s="89"/>
      <c r="AU661" s="100"/>
      <c r="AV661" s="65"/>
      <c r="AW661" s="3"/>
    </row>
    <row r="662" spans="34:49">
      <c r="AH662" s="99"/>
      <c r="AL662" s="99"/>
      <c r="AN662" s="99"/>
      <c r="AQ662" s="6"/>
      <c r="AR662" s="6"/>
      <c r="AS662" s="6"/>
      <c r="AT662" s="89"/>
      <c r="AU662" s="100"/>
      <c r="AV662" s="65"/>
      <c r="AW662" s="3"/>
    </row>
    <row r="663" spans="34:49">
      <c r="AH663" s="99"/>
      <c r="AL663" s="99"/>
      <c r="AN663" s="99"/>
      <c r="AQ663" s="6"/>
      <c r="AR663" s="6"/>
      <c r="AS663" s="6"/>
      <c r="AT663" s="89"/>
      <c r="AU663" s="100"/>
      <c r="AV663" s="65"/>
      <c r="AW663" s="3"/>
    </row>
    <row r="664" spans="34:49">
      <c r="AH664" s="99"/>
      <c r="AL664" s="99"/>
      <c r="AN664" s="99"/>
      <c r="AQ664" s="6"/>
      <c r="AR664" s="6"/>
      <c r="AS664" s="6"/>
      <c r="AT664" s="89"/>
      <c r="AU664" s="100"/>
      <c r="AV664" s="65"/>
      <c r="AW664" s="3"/>
    </row>
    <row r="665" spans="34:49">
      <c r="AH665" s="99"/>
      <c r="AL665" s="99"/>
      <c r="AN665" s="99"/>
      <c r="AQ665" s="6"/>
      <c r="AR665" s="6"/>
      <c r="AS665" s="6"/>
      <c r="AT665" s="89"/>
      <c r="AU665" s="100"/>
      <c r="AV665" s="65"/>
      <c r="AW665" s="3"/>
    </row>
    <row r="666" spans="34:49">
      <c r="AH666" s="99"/>
      <c r="AL666" s="99"/>
      <c r="AN666" s="99"/>
      <c r="AQ666" s="6"/>
      <c r="AR666" s="6"/>
      <c r="AS666" s="6"/>
      <c r="AT666" s="89"/>
      <c r="AU666" s="100"/>
      <c r="AV666" s="65"/>
      <c r="AW666" s="3"/>
    </row>
    <row r="667" spans="34:49">
      <c r="AH667" s="99"/>
      <c r="AL667" s="99"/>
      <c r="AN667" s="99"/>
      <c r="AQ667" s="6"/>
      <c r="AR667" s="6"/>
      <c r="AS667" s="6"/>
      <c r="AT667" s="89"/>
      <c r="AU667" s="100"/>
      <c r="AV667" s="65"/>
      <c r="AW667" s="3"/>
    </row>
    <row r="668" spans="34:49">
      <c r="AH668" s="99"/>
      <c r="AL668" s="99"/>
      <c r="AN668" s="99"/>
      <c r="AQ668" s="6"/>
      <c r="AR668" s="6"/>
      <c r="AS668" s="6"/>
      <c r="AT668" s="89"/>
      <c r="AU668" s="100"/>
      <c r="AV668" s="65"/>
      <c r="AW668" s="3"/>
    </row>
    <row r="669" spans="34:49">
      <c r="AH669" s="99"/>
      <c r="AL669" s="99"/>
      <c r="AN669" s="99"/>
      <c r="AQ669" s="6"/>
      <c r="AR669" s="6"/>
      <c r="AS669" s="6"/>
      <c r="AT669" s="89"/>
      <c r="AU669" s="100"/>
      <c r="AV669" s="65"/>
      <c r="AW669" s="3"/>
    </row>
    <row r="670" spans="34:49">
      <c r="AH670" s="99"/>
      <c r="AL670" s="99"/>
      <c r="AN670" s="99"/>
      <c r="AQ670" s="6"/>
      <c r="AR670" s="6"/>
      <c r="AS670" s="6"/>
      <c r="AT670" s="89"/>
      <c r="AU670" s="100"/>
      <c r="AV670" s="65"/>
      <c r="AW670" s="3"/>
    </row>
    <row r="671" spans="34:49">
      <c r="AH671" s="99"/>
      <c r="AL671" s="99"/>
      <c r="AN671" s="99"/>
      <c r="AQ671" s="6"/>
      <c r="AR671" s="6"/>
      <c r="AS671" s="6"/>
      <c r="AT671" s="89"/>
      <c r="AU671" s="100"/>
      <c r="AV671" s="65"/>
      <c r="AW671" s="3"/>
    </row>
    <row r="672" spans="34:49">
      <c r="AH672" s="99"/>
      <c r="AL672" s="99"/>
      <c r="AN672" s="99"/>
      <c r="AQ672" s="6"/>
      <c r="AR672" s="6"/>
      <c r="AS672" s="6"/>
      <c r="AT672" s="89"/>
      <c r="AU672" s="100"/>
      <c r="AV672" s="65"/>
      <c r="AW672" s="3"/>
    </row>
    <row r="673" spans="34:49">
      <c r="AH673" s="99"/>
      <c r="AL673" s="99"/>
      <c r="AN673" s="99"/>
      <c r="AQ673" s="6"/>
      <c r="AR673" s="6"/>
      <c r="AS673" s="6"/>
      <c r="AT673" s="89"/>
      <c r="AU673" s="100"/>
      <c r="AV673" s="65"/>
      <c r="AW673" s="3"/>
    </row>
    <row r="674" spans="34:49">
      <c r="AH674" s="99"/>
      <c r="AL674" s="99"/>
      <c r="AN674" s="99"/>
      <c r="AQ674" s="6"/>
      <c r="AR674" s="6"/>
      <c r="AS674" s="6"/>
      <c r="AT674" s="89"/>
      <c r="AU674" s="100"/>
      <c r="AV674" s="65"/>
      <c r="AW674" s="3"/>
    </row>
    <row r="675" spans="34:49">
      <c r="AH675" s="99"/>
      <c r="AL675" s="99"/>
      <c r="AN675" s="99"/>
      <c r="AQ675" s="6"/>
      <c r="AR675" s="6"/>
      <c r="AS675" s="6"/>
      <c r="AT675" s="89"/>
      <c r="AU675" s="100"/>
      <c r="AV675" s="65"/>
      <c r="AW675" s="3"/>
    </row>
    <row r="676" spans="34:49">
      <c r="AH676" s="99"/>
      <c r="AL676" s="99"/>
      <c r="AN676" s="99"/>
      <c r="AQ676" s="6"/>
      <c r="AR676" s="6"/>
      <c r="AS676" s="6"/>
      <c r="AT676" s="89"/>
      <c r="AU676" s="100"/>
      <c r="AV676" s="65"/>
      <c r="AW676" s="3"/>
    </row>
    <row r="677" spans="34:49">
      <c r="AH677" s="99"/>
      <c r="AL677" s="99"/>
      <c r="AN677" s="99"/>
      <c r="AQ677" s="6"/>
      <c r="AR677" s="6"/>
      <c r="AS677" s="6"/>
      <c r="AT677" s="89"/>
      <c r="AU677" s="100"/>
      <c r="AV677" s="65"/>
      <c r="AW677" s="3"/>
    </row>
    <row r="678" spans="34:49">
      <c r="AH678" s="99"/>
      <c r="AL678" s="99"/>
      <c r="AN678" s="99"/>
      <c r="AQ678" s="6"/>
      <c r="AR678" s="6"/>
      <c r="AS678" s="6"/>
      <c r="AT678" s="89"/>
      <c r="AU678" s="100"/>
      <c r="AV678" s="65"/>
      <c r="AW678" s="3"/>
    </row>
    <row r="679" spans="34:49">
      <c r="AH679" s="99"/>
      <c r="AL679" s="99"/>
      <c r="AN679" s="99"/>
      <c r="AQ679" s="6"/>
      <c r="AR679" s="6"/>
      <c r="AS679" s="6"/>
      <c r="AT679" s="89"/>
      <c r="AU679" s="100"/>
      <c r="AV679" s="65"/>
      <c r="AW679" s="3"/>
    </row>
    <row r="680" spans="34:49">
      <c r="AH680" s="99"/>
      <c r="AL680" s="99"/>
      <c r="AN680" s="99"/>
      <c r="AQ680" s="6"/>
      <c r="AR680" s="6"/>
      <c r="AS680" s="6"/>
      <c r="AT680" s="89"/>
      <c r="AU680" s="100"/>
      <c r="AV680" s="65"/>
      <c r="AW680" s="3"/>
    </row>
    <row r="681" spans="34:49">
      <c r="AH681" s="99"/>
      <c r="AL681" s="99"/>
      <c r="AN681" s="99"/>
      <c r="AQ681" s="6"/>
      <c r="AR681" s="6"/>
      <c r="AS681" s="6"/>
      <c r="AT681" s="89"/>
      <c r="AU681" s="100"/>
      <c r="AV681" s="65"/>
      <c r="AW681" s="3"/>
    </row>
    <row r="682" spans="34:49">
      <c r="AH682" s="99"/>
      <c r="AL682" s="99"/>
      <c r="AN682" s="99"/>
      <c r="AQ682" s="6"/>
      <c r="AR682" s="6"/>
      <c r="AS682" s="6"/>
      <c r="AT682" s="89"/>
      <c r="AU682" s="100"/>
      <c r="AV682" s="65"/>
      <c r="AW682" s="3"/>
    </row>
    <row r="683" spans="34:49">
      <c r="AH683" s="99"/>
      <c r="AL683" s="99"/>
      <c r="AN683" s="99"/>
      <c r="AQ683" s="6"/>
      <c r="AR683" s="6"/>
      <c r="AS683" s="6"/>
      <c r="AT683" s="89"/>
      <c r="AU683" s="100"/>
      <c r="AV683" s="65"/>
      <c r="AW683" s="3"/>
    </row>
    <row r="684" spans="34:49">
      <c r="AH684" s="99"/>
      <c r="AL684" s="99"/>
      <c r="AN684" s="99"/>
      <c r="AQ684" s="6"/>
      <c r="AR684" s="6"/>
      <c r="AS684" s="6"/>
      <c r="AT684" s="89"/>
      <c r="AU684" s="100"/>
      <c r="AV684" s="65"/>
      <c r="AW684" s="3"/>
    </row>
    <row r="685" spans="34:49">
      <c r="AH685" s="99"/>
      <c r="AL685" s="99"/>
      <c r="AN685" s="99"/>
      <c r="AQ685" s="6"/>
      <c r="AR685" s="6"/>
      <c r="AS685" s="6"/>
      <c r="AT685" s="89"/>
      <c r="AU685" s="100"/>
      <c r="AV685" s="65"/>
      <c r="AW685" s="3"/>
    </row>
    <row r="686" spans="34:49">
      <c r="AH686" s="99"/>
      <c r="AL686" s="99"/>
      <c r="AN686" s="99"/>
      <c r="AQ686" s="6"/>
      <c r="AR686" s="6"/>
      <c r="AS686" s="6"/>
      <c r="AT686" s="89"/>
      <c r="AU686" s="100"/>
      <c r="AV686" s="65"/>
      <c r="AW686" s="3"/>
    </row>
    <row r="687" spans="34:49">
      <c r="AH687" s="99"/>
      <c r="AL687" s="99"/>
      <c r="AN687" s="99"/>
      <c r="AQ687" s="6"/>
      <c r="AR687" s="6"/>
      <c r="AS687" s="6"/>
      <c r="AT687" s="89"/>
      <c r="AU687" s="100"/>
      <c r="AV687" s="65"/>
      <c r="AW687" s="3"/>
    </row>
    <row r="688" spans="34:49">
      <c r="AH688" s="99"/>
      <c r="AL688" s="99"/>
      <c r="AN688" s="99"/>
      <c r="AQ688" s="6"/>
      <c r="AR688" s="6"/>
      <c r="AS688" s="6"/>
      <c r="AT688" s="89"/>
      <c r="AU688" s="100"/>
      <c r="AV688" s="65"/>
      <c r="AW688" s="3"/>
    </row>
    <row r="689" spans="34:49">
      <c r="AH689" s="99"/>
      <c r="AL689" s="99"/>
      <c r="AN689" s="99"/>
      <c r="AQ689" s="6"/>
      <c r="AR689" s="6"/>
      <c r="AS689" s="6"/>
      <c r="AT689" s="89"/>
      <c r="AU689" s="100"/>
      <c r="AV689" s="65"/>
      <c r="AW689" s="3"/>
    </row>
    <row r="690" spans="34:49">
      <c r="AH690" s="99"/>
      <c r="AL690" s="99"/>
      <c r="AN690" s="99"/>
      <c r="AQ690" s="6"/>
      <c r="AR690" s="6"/>
      <c r="AS690" s="6"/>
      <c r="AT690" s="89"/>
      <c r="AU690" s="100"/>
      <c r="AV690" s="65"/>
      <c r="AW690" s="3"/>
    </row>
    <row r="691" spans="34:49">
      <c r="AH691" s="99"/>
      <c r="AL691" s="99"/>
      <c r="AN691" s="99"/>
      <c r="AQ691" s="6"/>
      <c r="AR691" s="6"/>
      <c r="AS691" s="6"/>
      <c r="AT691" s="89"/>
      <c r="AU691" s="100"/>
      <c r="AV691" s="65"/>
      <c r="AW691" s="3"/>
    </row>
    <row r="692" spans="34:49">
      <c r="AH692" s="99"/>
      <c r="AL692" s="99"/>
      <c r="AN692" s="99"/>
      <c r="AQ692" s="6"/>
      <c r="AR692" s="6"/>
      <c r="AS692" s="6"/>
      <c r="AT692" s="89"/>
      <c r="AU692" s="100"/>
      <c r="AV692" s="65"/>
      <c r="AW692" s="3"/>
    </row>
    <row r="693" spans="34:49">
      <c r="AH693" s="99"/>
      <c r="AL693" s="99"/>
      <c r="AN693" s="99"/>
      <c r="AQ693" s="6"/>
      <c r="AR693" s="6"/>
      <c r="AS693" s="6"/>
      <c r="AT693" s="89"/>
      <c r="AU693" s="100"/>
      <c r="AV693" s="65"/>
      <c r="AW693" s="3"/>
    </row>
    <row r="694" spans="34:49">
      <c r="AH694" s="99"/>
      <c r="AL694" s="99"/>
      <c r="AN694" s="99"/>
      <c r="AQ694" s="6"/>
      <c r="AR694" s="6"/>
      <c r="AS694" s="6"/>
      <c r="AT694" s="89"/>
      <c r="AU694" s="100"/>
      <c r="AV694" s="65"/>
      <c r="AW694" s="3"/>
    </row>
    <row r="695" spans="34:49">
      <c r="AH695" s="99"/>
      <c r="AL695" s="99"/>
      <c r="AN695" s="99"/>
      <c r="AQ695" s="6"/>
      <c r="AR695" s="6"/>
      <c r="AS695" s="6"/>
      <c r="AT695" s="89"/>
      <c r="AU695" s="100"/>
      <c r="AV695" s="65"/>
      <c r="AW695" s="3"/>
    </row>
    <row r="696" spans="34:49">
      <c r="AH696" s="99"/>
      <c r="AL696" s="99"/>
      <c r="AN696" s="99"/>
      <c r="AQ696" s="6"/>
      <c r="AR696" s="6"/>
      <c r="AS696" s="6"/>
      <c r="AT696" s="89"/>
      <c r="AU696" s="100"/>
      <c r="AV696" s="65"/>
      <c r="AW696" s="3"/>
    </row>
    <row r="697" spans="34:49">
      <c r="AH697" s="99"/>
      <c r="AL697" s="99"/>
      <c r="AN697" s="99"/>
      <c r="AQ697" s="6"/>
      <c r="AR697" s="6"/>
      <c r="AS697" s="6"/>
      <c r="AT697" s="89"/>
      <c r="AU697" s="100"/>
      <c r="AV697" s="65"/>
      <c r="AW697" s="3"/>
    </row>
    <row r="698" spans="34:49">
      <c r="AH698" s="99"/>
      <c r="AL698" s="99"/>
      <c r="AN698" s="99"/>
      <c r="AQ698" s="6"/>
      <c r="AR698" s="6"/>
      <c r="AS698" s="6"/>
      <c r="AT698" s="89"/>
      <c r="AU698" s="100"/>
      <c r="AV698" s="65"/>
      <c r="AW698" s="3"/>
    </row>
    <row r="699" spans="34:49">
      <c r="AH699" s="99"/>
      <c r="AL699" s="99"/>
      <c r="AN699" s="99"/>
      <c r="AQ699" s="6"/>
      <c r="AR699" s="6"/>
      <c r="AS699" s="6"/>
      <c r="AT699" s="89"/>
      <c r="AU699" s="100"/>
      <c r="AV699" s="65"/>
      <c r="AW699" s="3"/>
    </row>
    <row r="700" spans="34:49">
      <c r="AH700" s="99"/>
      <c r="AL700" s="99"/>
      <c r="AN700" s="99"/>
      <c r="AQ700" s="6"/>
      <c r="AR700" s="6"/>
      <c r="AS700" s="6"/>
      <c r="AT700" s="89"/>
      <c r="AU700" s="100"/>
      <c r="AV700" s="65"/>
      <c r="AW700" s="3"/>
    </row>
    <row r="701" spans="34:49">
      <c r="AH701" s="99"/>
      <c r="AL701" s="99"/>
      <c r="AN701" s="99"/>
      <c r="AQ701" s="6"/>
      <c r="AR701" s="6"/>
      <c r="AS701" s="6"/>
      <c r="AT701" s="89"/>
      <c r="AU701" s="100"/>
      <c r="AV701" s="65"/>
      <c r="AW701" s="3"/>
    </row>
    <row r="702" spans="34:49">
      <c r="AH702" s="99"/>
      <c r="AL702" s="99"/>
      <c r="AN702" s="99"/>
      <c r="AQ702" s="6"/>
      <c r="AR702" s="6"/>
      <c r="AS702" s="6"/>
      <c r="AT702" s="89"/>
      <c r="AU702" s="100"/>
      <c r="AV702" s="65"/>
      <c r="AW702" s="3"/>
    </row>
    <row r="703" spans="34:49">
      <c r="AH703" s="99"/>
      <c r="AL703" s="99"/>
      <c r="AN703" s="99"/>
      <c r="AQ703" s="6"/>
      <c r="AR703" s="6"/>
      <c r="AS703" s="6"/>
      <c r="AT703" s="89"/>
      <c r="AU703" s="100"/>
      <c r="AV703" s="65"/>
      <c r="AW703" s="3"/>
    </row>
    <row r="704" spans="34:49">
      <c r="AH704" s="99"/>
      <c r="AL704" s="99"/>
      <c r="AN704" s="99"/>
      <c r="AQ704" s="6"/>
      <c r="AR704" s="6"/>
      <c r="AS704" s="6"/>
      <c r="AT704" s="89"/>
      <c r="AU704" s="100"/>
      <c r="AV704" s="65"/>
      <c r="AW704" s="3"/>
    </row>
    <row r="705" spans="34:49">
      <c r="AH705" s="99"/>
      <c r="AL705" s="99"/>
      <c r="AN705" s="99"/>
      <c r="AQ705" s="6"/>
      <c r="AR705" s="6"/>
      <c r="AS705" s="6"/>
      <c r="AT705" s="89"/>
      <c r="AU705" s="100"/>
      <c r="AV705" s="65"/>
      <c r="AW705" s="3"/>
    </row>
    <row r="706" spans="34:49">
      <c r="AH706" s="99"/>
      <c r="AL706" s="99"/>
      <c r="AN706" s="99"/>
      <c r="AQ706" s="6"/>
      <c r="AR706" s="6"/>
      <c r="AS706" s="6"/>
      <c r="AT706" s="89"/>
      <c r="AU706" s="100"/>
      <c r="AV706" s="65"/>
      <c r="AW706" s="3"/>
    </row>
    <row r="707" spans="34:49">
      <c r="AH707" s="99"/>
      <c r="AL707" s="99"/>
      <c r="AN707" s="99"/>
      <c r="AQ707" s="6"/>
      <c r="AR707" s="6"/>
      <c r="AS707" s="6"/>
      <c r="AT707" s="89"/>
      <c r="AU707" s="100"/>
      <c r="AV707" s="65"/>
      <c r="AW707" s="3"/>
    </row>
    <row r="708" spans="34:49">
      <c r="AH708" s="99"/>
      <c r="AL708" s="99"/>
      <c r="AN708" s="99"/>
      <c r="AQ708" s="6"/>
      <c r="AR708" s="6"/>
      <c r="AS708" s="6"/>
      <c r="AT708" s="89"/>
      <c r="AU708" s="100"/>
      <c r="AV708" s="65"/>
      <c r="AW708" s="3"/>
    </row>
    <row r="709" spans="34:49">
      <c r="AH709" s="99"/>
      <c r="AL709" s="99"/>
      <c r="AN709" s="99"/>
      <c r="AQ709" s="6"/>
      <c r="AR709" s="6"/>
      <c r="AS709" s="6"/>
      <c r="AT709" s="89"/>
      <c r="AU709" s="100"/>
      <c r="AV709" s="65"/>
      <c r="AW709" s="3"/>
    </row>
    <row r="710" spans="34:49">
      <c r="AH710" s="99"/>
      <c r="AL710" s="99"/>
      <c r="AN710" s="99"/>
      <c r="AQ710" s="6"/>
      <c r="AR710" s="6"/>
      <c r="AS710" s="6"/>
      <c r="AT710" s="89"/>
      <c r="AU710" s="100"/>
      <c r="AV710" s="65"/>
      <c r="AW710" s="3"/>
    </row>
    <row r="711" spans="34:49">
      <c r="AH711" s="99"/>
      <c r="AL711" s="99"/>
      <c r="AN711" s="99"/>
      <c r="AQ711" s="6"/>
      <c r="AR711" s="6"/>
      <c r="AS711" s="6"/>
      <c r="AT711" s="89"/>
      <c r="AU711" s="100"/>
      <c r="AV711" s="65"/>
      <c r="AW711" s="3"/>
    </row>
    <row r="712" spans="34:49">
      <c r="AH712" s="99"/>
      <c r="AL712" s="99"/>
      <c r="AN712" s="99"/>
      <c r="AQ712" s="6"/>
      <c r="AR712" s="6"/>
      <c r="AS712" s="6"/>
      <c r="AT712" s="89"/>
      <c r="AU712" s="100"/>
      <c r="AV712" s="65"/>
      <c r="AW712" s="3"/>
    </row>
    <row r="713" spans="34:49">
      <c r="AH713" s="99"/>
      <c r="AL713" s="99"/>
      <c r="AN713" s="99"/>
      <c r="AQ713" s="6"/>
      <c r="AR713" s="6"/>
      <c r="AS713" s="6"/>
      <c r="AT713" s="89"/>
      <c r="AU713" s="100"/>
      <c r="AV713" s="65"/>
      <c r="AW713" s="3"/>
    </row>
    <row r="714" spans="34:49">
      <c r="AH714" s="99"/>
      <c r="AL714" s="99"/>
      <c r="AN714" s="99"/>
      <c r="AQ714" s="6"/>
      <c r="AR714" s="6"/>
      <c r="AS714" s="6"/>
      <c r="AT714" s="89"/>
      <c r="AU714" s="100"/>
      <c r="AV714" s="65"/>
      <c r="AW714" s="3"/>
    </row>
    <row r="715" spans="34:49">
      <c r="AH715" s="99"/>
      <c r="AL715" s="99"/>
      <c r="AN715" s="99"/>
      <c r="AQ715" s="6"/>
      <c r="AR715" s="6"/>
      <c r="AS715" s="6"/>
      <c r="AT715" s="89"/>
      <c r="AU715" s="100"/>
      <c r="AV715" s="65"/>
      <c r="AW715" s="3"/>
    </row>
    <row r="716" spans="34:49">
      <c r="AH716" s="99"/>
      <c r="AL716" s="99"/>
      <c r="AN716" s="99"/>
      <c r="AQ716" s="6"/>
      <c r="AR716" s="6"/>
      <c r="AS716" s="6"/>
      <c r="AT716" s="89"/>
      <c r="AU716" s="100"/>
      <c r="AV716" s="65"/>
      <c r="AW716" s="3"/>
    </row>
    <row r="717" spans="34:49">
      <c r="AH717" s="99"/>
      <c r="AL717" s="99"/>
      <c r="AN717" s="99"/>
      <c r="AQ717" s="6"/>
      <c r="AR717" s="6"/>
      <c r="AS717" s="6"/>
      <c r="AT717" s="89"/>
      <c r="AU717" s="100"/>
      <c r="AV717" s="65"/>
      <c r="AW717" s="3"/>
    </row>
    <row r="718" spans="34:49">
      <c r="AH718" s="99"/>
      <c r="AL718" s="99"/>
      <c r="AN718" s="99"/>
      <c r="AQ718" s="6"/>
      <c r="AR718" s="6"/>
      <c r="AS718" s="6"/>
      <c r="AT718" s="89"/>
      <c r="AU718" s="100"/>
      <c r="AV718" s="65"/>
      <c r="AW718" s="3"/>
    </row>
    <row r="719" spans="34:49">
      <c r="AH719" s="99"/>
      <c r="AL719" s="99"/>
      <c r="AN719" s="99"/>
      <c r="AQ719" s="6"/>
      <c r="AR719" s="6"/>
      <c r="AS719" s="6"/>
      <c r="AT719" s="89"/>
      <c r="AU719" s="100"/>
      <c r="AV719" s="65"/>
      <c r="AW719" s="3"/>
    </row>
    <row r="720" spans="34:49">
      <c r="AH720" s="99"/>
      <c r="AL720" s="99"/>
      <c r="AN720" s="99"/>
      <c r="AQ720" s="6"/>
      <c r="AR720" s="6"/>
      <c r="AS720" s="6"/>
      <c r="AT720" s="89"/>
      <c r="AU720" s="100"/>
      <c r="AV720" s="65"/>
      <c r="AW720" s="3"/>
    </row>
    <row r="721" spans="34:49">
      <c r="AH721" s="99"/>
      <c r="AL721" s="99"/>
      <c r="AN721" s="99"/>
      <c r="AQ721" s="6"/>
      <c r="AR721" s="6"/>
      <c r="AS721" s="6"/>
      <c r="AT721" s="89"/>
      <c r="AU721" s="100"/>
      <c r="AV721" s="65"/>
      <c r="AW721" s="3"/>
    </row>
    <row r="722" spans="34:49">
      <c r="AH722" s="99"/>
      <c r="AL722" s="99"/>
      <c r="AN722" s="99"/>
      <c r="AQ722" s="6"/>
      <c r="AR722" s="6"/>
      <c r="AS722" s="6"/>
      <c r="AT722" s="89"/>
      <c r="AU722" s="100"/>
      <c r="AV722" s="65"/>
      <c r="AW722" s="3"/>
    </row>
    <row r="723" spans="34:49">
      <c r="AH723" s="99"/>
      <c r="AL723" s="99"/>
      <c r="AN723" s="99"/>
      <c r="AQ723" s="6"/>
      <c r="AR723" s="6"/>
      <c r="AS723" s="6"/>
      <c r="AT723" s="89"/>
      <c r="AU723" s="100"/>
      <c r="AV723" s="65"/>
      <c r="AW723" s="3"/>
    </row>
    <row r="724" spans="34:49">
      <c r="AH724" s="99"/>
      <c r="AL724" s="99"/>
      <c r="AN724" s="99"/>
      <c r="AQ724" s="6"/>
      <c r="AR724" s="6"/>
      <c r="AS724" s="6"/>
      <c r="AT724" s="89"/>
      <c r="AU724" s="100"/>
      <c r="AV724" s="65"/>
      <c r="AW724" s="3"/>
    </row>
    <row r="725" spans="34:49">
      <c r="AH725" s="99"/>
      <c r="AL725" s="99"/>
      <c r="AN725" s="99"/>
      <c r="AQ725" s="6"/>
      <c r="AR725" s="6"/>
      <c r="AS725" s="6"/>
      <c r="AT725" s="89"/>
      <c r="AU725" s="100"/>
      <c r="AV725" s="65"/>
      <c r="AW725" s="3"/>
    </row>
    <row r="726" spans="34:49">
      <c r="AH726" s="99"/>
      <c r="AL726" s="99"/>
      <c r="AN726" s="99"/>
      <c r="AQ726" s="6"/>
      <c r="AR726" s="6"/>
      <c r="AS726" s="6"/>
      <c r="AT726" s="89"/>
      <c r="AU726" s="100"/>
      <c r="AV726" s="65"/>
      <c r="AW726" s="3"/>
    </row>
    <row r="727" spans="34:49">
      <c r="AH727" s="99"/>
      <c r="AL727" s="99"/>
      <c r="AN727" s="99"/>
      <c r="AQ727" s="6"/>
      <c r="AR727" s="6"/>
      <c r="AS727" s="6"/>
      <c r="AT727" s="89"/>
      <c r="AU727" s="100"/>
      <c r="AV727" s="65"/>
      <c r="AW727" s="3"/>
    </row>
    <row r="728" spans="34:49">
      <c r="AH728" s="99"/>
      <c r="AL728" s="99"/>
      <c r="AN728" s="99"/>
      <c r="AQ728" s="6"/>
      <c r="AR728" s="6"/>
      <c r="AS728" s="6"/>
      <c r="AT728" s="89"/>
      <c r="AU728" s="100"/>
      <c r="AV728" s="65"/>
      <c r="AW728" s="3"/>
    </row>
    <row r="729" spans="34:49">
      <c r="AH729" s="99"/>
      <c r="AL729" s="99"/>
      <c r="AN729" s="99"/>
      <c r="AQ729" s="6"/>
      <c r="AR729" s="6"/>
      <c r="AS729" s="6"/>
      <c r="AT729" s="89"/>
      <c r="AU729" s="100"/>
      <c r="AV729" s="65"/>
      <c r="AW729" s="3"/>
    </row>
    <row r="730" spans="34:49">
      <c r="AH730" s="99"/>
      <c r="AL730" s="99"/>
      <c r="AN730" s="99"/>
      <c r="AQ730" s="6"/>
      <c r="AR730" s="6"/>
      <c r="AS730" s="6"/>
      <c r="AT730" s="89"/>
      <c r="AU730" s="100"/>
      <c r="AV730" s="65"/>
      <c r="AW730" s="3"/>
    </row>
    <row r="731" spans="34:49">
      <c r="AH731" s="99"/>
      <c r="AL731" s="99"/>
      <c r="AN731" s="99"/>
      <c r="AQ731" s="6"/>
      <c r="AR731" s="6"/>
      <c r="AS731" s="6"/>
      <c r="AT731" s="89"/>
      <c r="AU731" s="100"/>
      <c r="AV731" s="65"/>
      <c r="AW731" s="3"/>
    </row>
    <row r="732" spans="34:49">
      <c r="AH732" s="99"/>
      <c r="AL732" s="99"/>
      <c r="AN732" s="99"/>
      <c r="AQ732" s="6"/>
      <c r="AR732" s="6"/>
      <c r="AS732" s="6"/>
      <c r="AT732" s="89"/>
      <c r="AU732" s="100"/>
      <c r="AV732" s="65"/>
      <c r="AW732" s="3"/>
    </row>
    <row r="733" spans="34:49">
      <c r="AH733" s="99"/>
      <c r="AL733" s="99"/>
      <c r="AN733" s="99"/>
      <c r="AQ733" s="6"/>
      <c r="AR733" s="6"/>
      <c r="AS733" s="6"/>
      <c r="AT733" s="89"/>
      <c r="AU733" s="100"/>
      <c r="AV733" s="65"/>
      <c r="AW733" s="3"/>
    </row>
    <row r="734" spans="34:49">
      <c r="AH734" s="99"/>
      <c r="AL734" s="99"/>
      <c r="AN734" s="99"/>
      <c r="AQ734" s="6"/>
      <c r="AR734" s="6"/>
      <c r="AS734" s="6"/>
      <c r="AT734" s="89"/>
      <c r="AU734" s="100"/>
      <c r="AV734" s="65"/>
      <c r="AW734" s="3"/>
    </row>
    <row r="735" spans="34:49">
      <c r="AH735" s="99"/>
      <c r="AL735" s="99"/>
      <c r="AN735" s="99"/>
      <c r="AQ735" s="6"/>
      <c r="AR735" s="6"/>
      <c r="AS735" s="6"/>
      <c r="AT735" s="89"/>
      <c r="AU735" s="100"/>
      <c r="AV735" s="65"/>
      <c r="AW735" s="3"/>
    </row>
    <row r="736" spans="34:49">
      <c r="AH736" s="99"/>
      <c r="AL736" s="99"/>
      <c r="AN736" s="99"/>
      <c r="AQ736" s="6"/>
      <c r="AR736" s="6"/>
      <c r="AS736" s="6"/>
      <c r="AT736" s="89"/>
      <c r="AU736" s="100"/>
      <c r="AV736" s="65"/>
      <c r="AW736" s="3"/>
    </row>
    <row r="737" spans="34:49">
      <c r="AH737" s="99"/>
      <c r="AL737" s="99"/>
      <c r="AN737" s="99"/>
      <c r="AQ737" s="6"/>
      <c r="AR737" s="6"/>
      <c r="AS737" s="6"/>
      <c r="AT737" s="89"/>
      <c r="AU737" s="100"/>
      <c r="AV737" s="65"/>
      <c r="AW737" s="3"/>
    </row>
    <row r="738" spans="34:49">
      <c r="AH738" s="99"/>
      <c r="AL738" s="99"/>
      <c r="AN738" s="99"/>
      <c r="AQ738" s="6"/>
      <c r="AR738" s="6"/>
      <c r="AS738" s="6"/>
      <c r="AT738" s="89"/>
      <c r="AU738" s="100"/>
      <c r="AV738" s="65"/>
      <c r="AW738" s="3"/>
    </row>
    <row r="739" spans="34:49">
      <c r="AH739" s="99"/>
      <c r="AL739" s="99"/>
      <c r="AN739" s="99"/>
      <c r="AQ739" s="6"/>
      <c r="AR739" s="6"/>
      <c r="AS739" s="6"/>
      <c r="AT739" s="89"/>
      <c r="AU739" s="100"/>
      <c r="AV739" s="65"/>
      <c r="AW739" s="3"/>
    </row>
    <row r="740" spans="34:49">
      <c r="AH740" s="99"/>
      <c r="AL740" s="99"/>
      <c r="AN740" s="99"/>
      <c r="AQ740" s="6"/>
      <c r="AR740" s="6"/>
      <c r="AS740" s="6"/>
      <c r="AT740" s="89"/>
      <c r="AU740" s="100"/>
      <c r="AV740" s="65"/>
      <c r="AW740" s="3"/>
    </row>
    <row r="741" spans="34:49">
      <c r="AH741" s="99"/>
      <c r="AL741" s="99"/>
      <c r="AN741" s="99"/>
      <c r="AQ741" s="6"/>
      <c r="AR741" s="6"/>
      <c r="AS741" s="6"/>
      <c r="AT741" s="89"/>
      <c r="AU741" s="100"/>
      <c r="AV741" s="65"/>
      <c r="AW741" s="3"/>
    </row>
    <row r="742" spans="34:49">
      <c r="AH742" s="99"/>
      <c r="AL742" s="99"/>
      <c r="AN742" s="99"/>
      <c r="AQ742" s="6"/>
      <c r="AR742" s="6"/>
      <c r="AS742" s="6"/>
      <c r="AT742" s="89"/>
      <c r="AU742" s="100"/>
      <c r="AV742" s="65"/>
      <c r="AW742" s="3"/>
    </row>
    <row r="743" spans="34:49">
      <c r="AH743" s="99"/>
      <c r="AL743" s="99"/>
      <c r="AN743" s="99"/>
      <c r="AQ743" s="6"/>
      <c r="AR743" s="6"/>
      <c r="AS743" s="6"/>
      <c r="AT743" s="89"/>
      <c r="AU743" s="100"/>
      <c r="AV743" s="65"/>
      <c r="AW743" s="3"/>
    </row>
    <row r="744" spans="34:49">
      <c r="AH744" s="99"/>
      <c r="AL744" s="99"/>
      <c r="AN744" s="99"/>
      <c r="AQ744" s="6"/>
      <c r="AR744" s="6"/>
      <c r="AS744" s="6"/>
      <c r="AT744" s="89"/>
      <c r="AU744" s="100"/>
      <c r="AV744" s="65"/>
      <c r="AW744" s="3"/>
    </row>
    <row r="745" spans="34:49">
      <c r="AH745" s="99"/>
      <c r="AL745" s="99"/>
      <c r="AN745" s="99"/>
      <c r="AQ745" s="6"/>
      <c r="AR745" s="6"/>
      <c r="AS745" s="6"/>
      <c r="AT745" s="89"/>
      <c r="AU745" s="100"/>
      <c r="AV745" s="65"/>
      <c r="AW745" s="3"/>
    </row>
    <row r="746" spans="34:49">
      <c r="AH746" s="99"/>
      <c r="AL746" s="99"/>
      <c r="AN746" s="99"/>
      <c r="AQ746" s="6"/>
      <c r="AR746" s="6"/>
      <c r="AS746" s="6"/>
      <c r="AT746" s="89"/>
      <c r="AU746" s="100"/>
      <c r="AV746" s="65"/>
      <c r="AW746" s="3"/>
    </row>
    <row r="747" spans="34:49">
      <c r="AH747" s="99"/>
      <c r="AL747" s="99"/>
      <c r="AN747" s="99"/>
      <c r="AQ747" s="6"/>
      <c r="AR747" s="6"/>
      <c r="AS747" s="6"/>
      <c r="AT747" s="89"/>
      <c r="AU747" s="100"/>
      <c r="AV747" s="65"/>
      <c r="AW747" s="3"/>
    </row>
    <row r="748" spans="34:49">
      <c r="AH748" s="99"/>
      <c r="AL748" s="99"/>
      <c r="AN748" s="99"/>
      <c r="AQ748" s="6"/>
      <c r="AR748" s="6"/>
      <c r="AS748" s="6"/>
      <c r="AT748" s="89"/>
      <c r="AU748" s="100"/>
      <c r="AV748" s="65"/>
      <c r="AW748" s="3"/>
    </row>
    <row r="749" spans="34:49">
      <c r="AH749" s="99"/>
      <c r="AL749" s="99"/>
      <c r="AN749" s="99"/>
      <c r="AQ749" s="6"/>
      <c r="AR749" s="6"/>
      <c r="AS749" s="6"/>
      <c r="AT749" s="89"/>
      <c r="AU749" s="100"/>
      <c r="AV749" s="65"/>
      <c r="AW749" s="3"/>
    </row>
    <row r="750" spans="34:49">
      <c r="AH750" s="99"/>
      <c r="AL750" s="99"/>
      <c r="AN750" s="99"/>
      <c r="AQ750" s="6"/>
      <c r="AR750" s="6"/>
      <c r="AS750" s="6"/>
      <c r="AT750" s="89"/>
      <c r="AU750" s="100"/>
      <c r="AV750" s="65"/>
      <c r="AW750" s="3"/>
    </row>
    <row r="751" spans="34:49">
      <c r="AH751" s="99"/>
      <c r="AL751" s="99"/>
      <c r="AN751" s="99"/>
      <c r="AQ751" s="6"/>
      <c r="AR751" s="6"/>
      <c r="AS751" s="6"/>
      <c r="AT751" s="89"/>
      <c r="AU751" s="100"/>
      <c r="AV751" s="65"/>
      <c r="AW751" s="3"/>
    </row>
    <row r="752" spans="34:49">
      <c r="AH752" s="99"/>
      <c r="AL752" s="99"/>
      <c r="AN752" s="99"/>
      <c r="AQ752" s="6"/>
      <c r="AR752" s="6"/>
      <c r="AS752" s="6"/>
      <c r="AT752" s="89"/>
      <c r="AU752" s="100"/>
      <c r="AV752" s="65"/>
      <c r="AW752" s="3"/>
    </row>
    <row r="753" spans="34:49">
      <c r="AH753" s="99"/>
      <c r="AL753" s="99"/>
      <c r="AN753" s="99"/>
      <c r="AQ753" s="6"/>
      <c r="AR753" s="6"/>
      <c r="AS753" s="6"/>
      <c r="AT753" s="89"/>
      <c r="AU753" s="100"/>
      <c r="AV753" s="65"/>
      <c r="AW753" s="3"/>
    </row>
    <row r="754" spans="34:49">
      <c r="AH754" s="99"/>
      <c r="AL754" s="99"/>
      <c r="AN754" s="99"/>
      <c r="AQ754" s="6"/>
      <c r="AR754" s="6"/>
      <c r="AS754" s="6"/>
      <c r="AT754" s="89"/>
      <c r="AU754" s="100"/>
      <c r="AV754" s="65"/>
      <c r="AW754" s="3"/>
    </row>
    <row r="755" spans="34:49">
      <c r="AH755" s="99"/>
      <c r="AL755" s="99"/>
      <c r="AN755" s="99"/>
      <c r="AQ755" s="6"/>
      <c r="AR755" s="6"/>
      <c r="AS755" s="6"/>
      <c r="AT755" s="89"/>
      <c r="AU755" s="100"/>
      <c r="AV755" s="65"/>
      <c r="AW755" s="3"/>
    </row>
    <row r="756" spans="34:49">
      <c r="AH756" s="99"/>
      <c r="AL756" s="99"/>
      <c r="AN756" s="99"/>
      <c r="AQ756" s="6"/>
      <c r="AR756" s="6"/>
      <c r="AS756" s="6"/>
      <c r="AT756" s="89"/>
      <c r="AU756" s="100"/>
      <c r="AV756" s="65"/>
      <c r="AW756" s="3"/>
    </row>
    <row r="757" spans="34:49">
      <c r="AH757" s="99"/>
      <c r="AL757" s="99"/>
      <c r="AN757" s="99"/>
      <c r="AQ757" s="6"/>
      <c r="AR757" s="6"/>
      <c r="AS757" s="6"/>
      <c r="AT757" s="89"/>
      <c r="AU757" s="100"/>
      <c r="AV757" s="65"/>
      <c r="AW757" s="3"/>
    </row>
    <row r="758" spans="34:49">
      <c r="AH758" s="99"/>
      <c r="AL758" s="99"/>
      <c r="AN758" s="99"/>
      <c r="AQ758" s="6"/>
      <c r="AR758" s="6"/>
      <c r="AS758" s="6"/>
      <c r="AT758" s="89"/>
      <c r="AU758" s="100"/>
      <c r="AV758" s="65"/>
      <c r="AW758" s="3"/>
    </row>
    <row r="759" spans="34:49">
      <c r="AH759" s="99"/>
      <c r="AL759" s="99"/>
      <c r="AN759" s="99"/>
      <c r="AQ759" s="6"/>
      <c r="AR759" s="6"/>
      <c r="AS759" s="6"/>
      <c r="AT759" s="89"/>
      <c r="AU759" s="100"/>
      <c r="AV759" s="65"/>
      <c r="AW759" s="3"/>
    </row>
    <row r="760" spans="34:49">
      <c r="AH760" s="99"/>
      <c r="AL760" s="99"/>
      <c r="AN760" s="99"/>
      <c r="AQ760" s="6"/>
      <c r="AR760" s="6"/>
      <c r="AS760" s="6"/>
      <c r="AT760" s="89"/>
      <c r="AU760" s="100"/>
      <c r="AV760" s="65"/>
      <c r="AW760" s="3"/>
    </row>
    <row r="761" spans="34:49">
      <c r="AH761" s="99"/>
      <c r="AL761" s="99"/>
      <c r="AN761" s="99"/>
      <c r="AQ761" s="6"/>
      <c r="AR761" s="6"/>
      <c r="AS761" s="6"/>
      <c r="AT761" s="89"/>
      <c r="AU761" s="100"/>
      <c r="AV761" s="65"/>
      <c r="AW761" s="3"/>
    </row>
    <row r="762" spans="34:49">
      <c r="AH762" s="99"/>
      <c r="AL762" s="99"/>
      <c r="AN762" s="99"/>
      <c r="AQ762" s="6"/>
      <c r="AR762" s="6"/>
      <c r="AS762" s="6"/>
      <c r="AT762" s="89"/>
      <c r="AU762" s="100"/>
      <c r="AV762" s="65"/>
      <c r="AW762" s="3"/>
    </row>
    <row r="763" spans="34:49">
      <c r="AH763" s="99"/>
      <c r="AL763" s="99"/>
      <c r="AN763" s="99"/>
      <c r="AQ763" s="6"/>
      <c r="AR763" s="6"/>
      <c r="AS763" s="6"/>
      <c r="AT763" s="89"/>
      <c r="AU763" s="100"/>
      <c r="AV763" s="65"/>
      <c r="AW763" s="3"/>
    </row>
    <row r="764" spans="34:49">
      <c r="AH764" s="99"/>
      <c r="AL764" s="99"/>
      <c r="AN764" s="99"/>
      <c r="AQ764" s="6"/>
      <c r="AR764" s="6"/>
      <c r="AS764" s="6"/>
      <c r="AT764" s="89"/>
      <c r="AU764" s="100"/>
      <c r="AV764" s="65"/>
      <c r="AW764" s="3"/>
    </row>
    <row r="765" spans="34:49">
      <c r="AH765" s="99"/>
      <c r="AL765" s="99"/>
      <c r="AN765" s="99"/>
      <c r="AQ765" s="6"/>
      <c r="AR765" s="6"/>
      <c r="AS765" s="6"/>
      <c r="AT765" s="89"/>
      <c r="AU765" s="100"/>
      <c r="AV765" s="65"/>
      <c r="AW765" s="3"/>
    </row>
    <row r="766" spans="34:49">
      <c r="AH766" s="99"/>
      <c r="AL766" s="99"/>
      <c r="AN766" s="99"/>
      <c r="AQ766" s="6"/>
      <c r="AR766" s="6"/>
      <c r="AS766" s="6"/>
      <c r="AT766" s="89"/>
      <c r="AU766" s="100"/>
      <c r="AV766" s="65"/>
      <c r="AW766" s="3"/>
    </row>
    <row r="767" spans="34:49">
      <c r="AH767" s="99"/>
      <c r="AL767" s="99"/>
      <c r="AN767" s="99"/>
      <c r="AQ767" s="6"/>
      <c r="AR767" s="6"/>
      <c r="AS767" s="6"/>
      <c r="AT767" s="89"/>
      <c r="AU767" s="100"/>
      <c r="AV767" s="65"/>
      <c r="AW767" s="3"/>
    </row>
    <row r="768" spans="34:49">
      <c r="AH768" s="99"/>
      <c r="AL768" s="99"/>
      <c r="AN768" s="99"/>
      <c r="AQ768" s="6"/>
      <c r="AR768" s="6"/>
      <c r="AS768" s="6"/>
      <c r="AT768" s="89"/>
      <c r="AU768" s="100"/>
      <c r="AV768" s="65"/>
      <c r="AW768" s="3"/>
    </row>
    <row r="769" spans="34:49">
      <c r="AH769" s="99"/>
      <c r="AL769" s="99"/>
      <c r="AN769" s="99"/>
      <c r="AQ769" s="6"/>
      <c r="AR769" s="6"/>
      <c r="AS769" s="6"/>
      <c r="AT769" s="89"/>
      <c r="AU769" s="100"/>
      <c r="AV769" s="65"/>
      <c r="AW769" s="3"/>
    </row>
    <row r="770" spans="34:49">
      <c r="AH770" s="99"/>
      <c r="AL770" s="99"/>
      <c r="AN770" s="99"/>
      <c r="AQ770" s="6"/>
      <c r="AR770" s="6"/>
      <c r="AS770" s="6"/>
      <c r="AT770" s="89"/>
      <c r="AU770" s="100"/>
      <c r="AV770" s="65"/>
      <c r="AW770" s="3"/>
    </row>
    <row r="771" spans="34:49">
      <c r="AH771" s="99"/>
      <c r="AL771" s="99"/>
      <c r="AN771" s="99"/>
      <c r="AQ771" s="6"/>
      <c r="AR771" s="6"/>
      <c r="AS771" s="6"/>
      <c r="AT771" s="89"/>
      <c r="AU771" s="100"/>
      <c r="AV771" s="65"/>
      <c r="AW771" s="3"/>
    </row>
    <row r="772" spans="34:49">
      <c r="AH772" s="99"/>
      <c r="AL772" s="99"/>
      <c r="AN772" s="99"/>
      <c r="AQ772" s="6"/>
      <c r="AR772" s="6"/>
      <c r="AS772" s="6"/>
      <c r="AT772" s="89"/>
      <c r="AU772" s="100"/>
      <c r="AV772" s="65"/>
      <c r="AW772" s="3"/>
    </row>
    <row r="773" spans="34:49">
      <c r="AH773" s="99"/>
      <c r="AL773" s="99"/>
      <c r="AN773" s="99"/>
      <c r="AQ773" s="6"/>
      <c r="AR773" s="6"/>
      <c r="AS773" s="6"/>
      <c r="AT773" s="89"/>
      <c r="AU773" s="100"/>
      <c r="AV773" s="65"/>
      <c r="AW773" s="3"/>
    </row>
    <row r="774" spans="34:49">
      <c r="AH774" s="99"/>
      <c r="AL774" s="99"/>
      <c r="AN774" s="99"/>
      <c r="AQ774" s="6"/>
      <c r="AR774" s="6"/>
      <c r="AS774" s="6"/>
      <c r="AT774" s="89"/>
      <c r="AU774" s="100"/>
      <c r="AV774" s="65"/>
      <c r="AW774" s="3"/>
    </row>
    <row r="775" spans="34:49">
      <c r="AH775" s="99"/>
      <c r="AL775" s="99"/>
      <c r="AN775" s="99"/>
      <c r="AQ775" s="6"/>
      <c r="AR775" s="6"/>
      <c r="AS775" s="6"/>
      <c r="AT775" s="89"/>
      <c r="AU775" s="100"/>
      <c r="AV775" s="65"/>
      <c r="AW775" s="3"/>
    </row>
    <row r="776" spans="34:49">
      <c r="AH776" s="99"/>
      <c r="AL776" s="99"/>
      <c r="AN776" s="99"/>
      <c r="AQ776" s="6"/>
      <c r="AR776" s="6"/>
      <c r="AS776" s="6"/>
      <c r="AT776" s="89"/>
      <c r="AU776" s="100"/>
      <c r="AV776" s="65"/>
      <c r="AW776" s="3"/>
    </row>
    <row r="777" spans="34:49">
      <c r="AH777" s="99"/>
      <c r="AL777" s="99"/>
      <c r="AN777" s="99"/>
      <c r="AQ777" s="6"/>
      <c r="AR777" s="6"/>
      <c r="AS777" s="6"/>
      <c r="AT777" s="89"/>
      <c r="AU777" s="100"/>
      <c r="AV777" s="65"/>
      <c r="AW777" s="3"/>
    </row>
    <row r="778" spans="34:49">
      <c r="AH778" s="99"/>
      <c r="AL778" s="99"/>
      <c r="AN778" s="99"/>
      <c r="AQ778" s="6"/>
      <c r="AR778" s="6"/>
      <c r="AS778" s="6"/>
      <c r="AT778" s="89"/>
      <c r="AU778" s="100"/>
      <c r="AV778" s="65"/>
      <c r="AW778" s="3"/>
    </row>
    <row r="779" spans="34:49">
      <c r="AH779" s="99"/>
      <c r="AL779" s="99"/>
      <c r="AN779" s="99"/>
      <c r="AQ779" s="6"/>
      <c r="AR779" s="6"/>
      <c r="AS779" s="6"/>
      <c r="AT779" s="89"/>
      <c r="AU779" s="100"/>
      <c r="AV779" s="65"/>
      <c r="AW779" s="3"/>
    </row>
    <row r="780" spans="34:49">
      <c r="AH780" s="99"/>
      <c r="AL780" s="99"/>
      <c r="AN780" s="99"/>
      <c r="AQ780" s="6"/>
      <c r="AR780" s="6"/>
      <c r="AS780" s="6"/>
      <c r="AT780" s="89"/>
      <c r="AU780" s="100"/>
      <c r="AV780" s="65"/>
      <c r="AW780" s="3"/>
    </row>
    <row r="781" spans="34:49">
      <c r="AH781" s="99"/>
      <c r="AL781" s="99"/>
      <c r="AN781" s="99"/>
      <c r="AQ781" s="6"/>
      <c r="AR781" s="6"/>
      <c r="AS781" s="6"/>
      <c r="AT781" s="89"/>
      <c r="AU781" s="100"/>
      <c r="AV781" s="65"/>
      <c r="AW781" s="3"/>
    </row>
    <row r="782" spans="34:49">
      <c r="AH782" s="99"/>
      <c r="AL782" s="99"/>
      <c r="AN782" s="99"/>
      <c r="AQ782" s="6"/>
      <c r="AR782" s="6"/>
      <c r="AS782" s="6"/>
      <c r="AT782" s="89"/>
      <c r="AU782" s="100"/>
      <c r="AV782" s="65"/>
      <c r="AW782" s="3"/>
    </row>
    <row r="783" spans="34:49">
      <c r="AH783" s="99"/>
      <c r="AL783" s="99"/>
      <c r="AN783" s="99"/>
      <c r="AQ783" s="6"/>
      <c r="AR783" s="6"/>
      <c r="AS783" s="6"/>
      <c r="AT783" s="89"/>
      <c r="AU783" s="100"/>
      <c r="AV783" s="65"/>
      <c r="AW783" s="3"/>
    </row>
    <row r="784" spans="34:49">
      <c r="AH784" s="99"/>
      <c r="AL784" s="99"/>
      <c r="AN784" s="99"/>
      <c r="AQ784" s="6"/>
      <c r="AR784" s="6"/>
      <c r="AS784" s="6"/>
      <c r="AT784" s="89"/>
      <c r="AU784" s="100"/>
      <c r="AV784" s="65"/>
      <c r="AW784" s="3"/>
    </row>
    <row r="785" spans="34:49">
      <c r="AH785" s="99"/>
      <c r="AL785" s="99"/>
      <c r="AN785" s="99"/>
      <c r="AQ785" s="6"/>
      <c r="AR785" s="6"/>
      <c r="AS785" s="6"/>
      <c r="AT785" s="89"/>
      <c r="AU785" s="100"/>
      <c r="AV785" s="65"/>
      <c r="AW785" s="3"/>
    </row>
    <row r="786" spans="34:49">
      <c r="AH786" s="99"/>
      <c r="AL786" s="99"/>
      <c r="AN786" s="99"/>
      <c r="AQ786" s="6"/>
      <c r="AR786" s="6"/>
      <c r="AS786" s="6"/>
      <c r="AT786" s="89"/>
      <c r="AU786" s="100"/>
      <c r="AV786" s="65"/>
      <c r="AW786" s="3"/>
    </row>
    <row r="787" spans="34:49">
      <c r="AH787" s="99"/>
      <c r="AL787" s="99"/>
      <c r="AN787" s="99"/>
      <c r="AQ787" s="6"/>
      <c r="AR787" s="6"/>
      <c r="AS787" s="6"/>
      <c r="AT787" s="89"/>
      <c r="AU787" s="100"/>
      <c r="AV787" s="65"/>
      <c r="AW787" s="3"/>
    </row>
    <row r="788" spans="34:49">
      <c r="AH788" s="99"/>
      <c r="AL788" s="99"/>
      <c r="AN788" s="99"/>
      <c r="AQ788" s="6"/>
      <c r="AR788" s="6"/>
      <c r="AS788" s="6"/>
      <c r="AT788" s="89"/>
      <c r="AU788" s="100"/>
      <c r="AV788" s="65"/>
      <c r="AW788" s="3"/>
    </row>
    <row r="789" spans="34:49">
      <c r="AH789" s="99"/>
      <c r="AL789" s="99"/>
      <c r="AN789" s="99"/>
      <c r="AQ789" s="6"/>
      <c r="AR789" s="6"/>
      <c r="AS789" s="6"/>
      <c r="AT789" s="89"/>
      <c r="AU789" s="100"/>
      <c r="AV789" s="65"/>
      <c r="AW789" s="3"/>
    </row>
    <row r="790" spans="34:49">
      <c r="AH790" s="99"/>
      <c r="AL790" s="99"/>
      <c r="AN790" s="99"/>
      <c r="AQ790" s="6"/>
      <c r="AR790" s="6"/>
      <c r="AS790" s="6"/>
      <c r="AT790" s="89"/>
      <c r="AU790" s="100"/>
      <c r="AV790" s="65"/>
      <c r="AW790" s="3"/>
    </row>
    <row r="791" spans="34:49">
      <c r="AH791" s="99"/>
      <c r="AL791" s="99"/>
      <c r="AN791" s="99"/>
      <c r="AQ791" s="6"/>
      <c r="AR791" s="6"/>
      <c r="AS791" s="6"/>
      <c r="AT791" s="89"/>
      <c r="AU791" s="100"/>
      <c r="AV791" s="65"/>
      <c r="AW791" s="3"/>
    </row>
    <row r="792" spans="34:49">
      <c r="AH792" s="99"/>
      <c r="AL792" s="99"/>
      <c r="AN792" s="99"/>
      <c r="AQ792" s="6"/>
      <c r="AR792" s="6"/>
      <c r="AS792" s="6"/>
      <c r="AT792" s="89"/>
      <c r="AU792" s="100"/>
      <c r="AV792" s="65"/>
      <c r="AW792" s="3"/>
    </row>
    <row r="793" spans="34:49">
      <c r="AH793" s="99"/>
      <c r="AL793" s="99"/>
      <c r="AN793" s="99"/>
      <c r="AQ793" s="6"/>
      <c r="AR793" s="6"/>
      <c r="AS793" s="6"/>
      <c r="AT793" s="89"/>
      <c r="AU793" s="100"/>
      <c r="AV793" s="65"/>
      <c r="AW793" s="3"/>
    </row>
    <row r="794" spans="34:49">
      <c r="AH794" s="99"/>
      <c r="AL794" s="99"/>
      <c r="AN794" s="99"/>
      <c r="AQ794" s="6"/>
      <c r="AR794" s="6"/>
      <c r="AS794" s="6"/>
      <c r="AT794" s="89"/>
      <c r="AU794" s="100"/>
      <c r="AV794" s="65"/>
      <c r="AW794" s="3"/>
    </row>
    <row r="795" spans="34:49">
      <c r="AH795" s="99"/>
      <c r="AL795" s="99"/>
      <c r="AN795" s="99"/>
      <c r="AQ795" s="6"/>
      <c r="AR795" s="6"/>
      <c r="AS795" s="6"/>
      <c r="AT795" s="89"/>
      <c r="AU795" s="100"/>
      <c r="AV795" s="65"/>
      <c r="AW795" s="3"/>
    </row>
    <row r="796" spans="34:49">
      <c r="AH796" s="99"/>
      <c r="AL796" s="99"/>
      <c r="AN796" s="99"/>
      <c r="AQ796" s="6"/>
      <c r="AR796" s="6"/>
      <c r="AS796" s="6"/>
      <c r="AT796" s="89"/>
      <c r="AU796" s="100"/>
      <c r="AV796" s="65"/>
      <c r="AW796" s="3"/>
    </row>
    <row r="797" spans="34:49">
      <c r="AH797" s="99"/>
      <c r="AL797" s="99"/>
      <c r="AN797" s="99"/>
      <c r="AQ797" s="6"/>
      <c r="AR797" s="6"/>
      <c r="AS797" s="6"/>
      <c r="AT797" s="89"/>
      <c r="AU797" s="100"/>
      <c r="AV797" s="65"/>
      <c r="AW797" s="3"/>
    </row>
    <row r="798" spans="34:49">
      <c r="AH798" s="99"/>
      <c r="AL798" s="99"/>
      <c r="AN798" s="99"/>
      <c r="AQ798" s="6"/>
      <c r="AR798" s="6"/>
      <c r="AS798" s="6"/>
      <c r="AT798" s="89"/>
      <c r="AU798" s="100"/>
      <c r="AV798" s="65"/>
      <c r="AW798" s="3"/>
    </row>
    <row r="799" spans="34:49">
      <c r="AH799" s="99"/>
      <c r="AL799" s="99"/>
      <c r="AN799" s="99"/>
      <c r="AQ799" s="6"/>
      <c r="AR799" s="6"/>
      <c r="AS799" s="6"/>
      <c r="AT799" s="89"/>
      <c r="AU799" s="100"/>
      <c r="AV799" s="65"/>
      <c r="AW799" s="3"/>
    </row>
    <row r="800" spans="34:49">
      <c r="AH800" s="99"/>
      <c r="AL800" s="99"/>
      <c r="AN800" s="99"/>
      <c r="AQ800" s="6"/>
      <c r="AR800" s="6"/>
      <c r="AS800" s="6"/>
      <c r="AT800" s="89"/>
      <c r="AU800" s="100"/>
      <c r="AV800" s="65"/>
      <c r="AW800" s="3"/>
    </row>
    <row r="801" spans="34:49">
      <c r="AH801" s="99"/>
      <c r="AL801" s="99"/>
      <c r="AN801" s="99"/>
      <c r="AQ801" s="6"/>
      <c r="AR801" s="6"/>
      <c r="AS801" s="6"/>
      <c r="AT801" s="89"/>
      <c r="AU801" s="100"/>
      <c r="AV801" s="65"/>
      <c r="AW801" s="3"/>
    </row>
    <row r="802" spans="34:49">
      <c r="AH802" s="99"/>
      <c r="AL802" s="99"/>
      <c r="AN802" s="99"/>
      <c r="AQ802" s="6"/>
      <c r="AR802" s="6"/>
      <c r="AS802" s="6"/>
      <c r="AT802" s="89"/>
      <c r="AU802" s="100"/>
      <c r="AV802" s="65"/>
      <c r="AW802" s="3"/>
    </row>
    <row r="803" spans="34:49">
      <c r="AH803" s="99"/>
      <c r="AL803" s="99"/>
      <c r="AN803" s="99"/>
      <c r="AQ803" s="6"/>
      <c r="AR803" s="6"/>
      <c r="AS803" s="6"/>
      <c r="AT803" s="89"/>
      <c r="AU803" s="100"/>
      <c r="AV803" s="65"/>
      <c r="AW803" s="3"/>
    </row>
    <row r="804" spans="34:49">
      <c r="AH804" s="99"/>
      <c r="AL804" s="99"/>
      <c r="AN804" s="99"/>
      <c r="AQ804" s="6"/>
      <c r="AR804" s="6"/>
      <c r="AS804" s="6"/>
      <c r="AT804" s="89"/>
      <c r="AU804" s="100"/>
      <c r="AV804" s="65"/>
      <c r="AW804" s="3"/>
    </row>
    <row r="805" spans="34:49">
      <c r="AH805" s="99"/>
      <c r="AL805" s="99"/>
      <c r="AN805" s="99"/>
      <c r="AQ805" s="6"/>
      <c r="AR805" s="6"/>
      <c r="AS805" s="6"/>
      <c r="AT805" s="89"/>
      <c r="AU805" s="100"/>
      <c r="AV805" s="65"/>
      <c r="AW805" s="3"/>
    </row>
    <row r="806" spans="34:49">
      <c r="AH806" s="99"/>
      <c r="AL806" s="99"/>
      <c r="AN806" s="99"/>
      <c r="AQ806" s="6"/>
      <c r="AR806" s="6"/>
      <c r="AS806" s="6"/>
      <c r="AT806" s="89"/>
      <c r="AU806" s="100"/>
      <c r="AV806" s="65"/>
      <c r="AW806" s="3"/>
    </row>
    <row r="807" spans="34:49">
      <c r="AH807" s="99"/>
      <c r="AL807" s="99"/>
      <c r="AN807" s="99"/>
      <c r="AQ807" s="6"/>
      <c r="AR807" s="6"/>
      <c r="AS807" s="6"/>
      <c r="AT807" s="89"/>
      <c r="AU807" s="100"/>
      <c r="AV807" s="65"/>
      <c r="AW807" s="3"/>
    </row>
    <row r="808" spans="34:49">
      <c r="AH808" s="99"/>
      <c r="AL808" s="99"/>
      <c r="AN808" s="99"/>
      <c r="AQ808" s="6"/>
      <c r="AR808" s="6"/>
      <c r="AS808" s="6"/>
      <c r="AT808" s="89"/>
      <c r="AU808" s="100"/>
      <c r="AV808" s="65"/>
      <c r="AW808" s="3"/>
    </row>
    <row r="809" spans="34:49">
      <c r="AH809" s="99"/>
      <c r="AL809" s="99"/>
      <c r="AN809" s="99"/>
      <c r="AQ809" s="6"/>
      <c r="AR809" s="6"/>
      <c r="AS809" s="6"/>
      <c r="AT809" s="89"/>
      <c r="AU809" s="100"/>
      <c r="AV809" s="65"/>
      <c r="AW809" s="3"/>
    </row>
    <row r="810" spans="34:49">
      <c r="AH810" s="99"/>
      <c r="AL810" s="99"/>
      <c r="AN810" s="99"/>
      <c r="AQ810" s="6"/>
      <c r="AR810" s="6"/>
      <c r="AS810" s="6"/>
      <c r="AT810" s="89"/>
      <c r="AU810" s="100"/>
      <c r="AV810" s="65"/>
      <c r="AW810" s="3"/>
    </row>
    <row r="811" spans="34:49">
      <c r="AH811" s="99"/>
      <c r="AL811" s="99"/>
      <c r="AN811" s="99"/>
      <c r="AQ811" s="6"/>
      <c r="AR811" s="6"/>
      <c r="AS811" s="6"/>
      <c r="AT811" s="89"/>
      <c r="AU811" s="100"/>
      <c r="AV811" s="65"/>
      <c r="AW811" s="3"/>
    </row>
    <row r="812" spans="34:49">
      <c r="AH812" s="99"/>
      <c r="AL812" s="99"/>
      <c r="AN812" s="99"/>
      <c r="AQ812" s="6"/>
      <c r="AR812" s="6"/>
      <c r="AS812" s="6"/>
      <c r="AT812" s="89"/>
      <c r="AU812" s="100"/>
      <c r="AV812" s="65"/>
      <c r="AW812" s="3"/>
    </row>
    <row r="813" spans="34:49">
      <c r="AH813" s="99"/>
      <c r="AL813" s="99"/>
      <c r="AN813" s="99"/>
      <c r="AQ813" s="6"/>
      <c r="AR813" s="6"/>
      <c r="AS813" s="6"/>
      <c r="AT813" s="89"/>
      <c r="AU813" s="100"/>
      <c r="AV813" s="65"/>
      <c r="AW813" s="3"/>
    </row>
    <row r="814" spans="34:49">
      <c r="AH814" s="99"/>
      <c r="AL814" s="99"/>
      <c r="AN814" s="99"/>
      <c r="AQ814" s="6"/>
      <c r="AR814" s="6"/>
      <c r="AS814" s="6"/>
      <c r="AT814" s="89"/>
      <c r="AU814" s="100"/>
      <c r="AV814" s="65"/>
      <c r="AW814" s="3"/>
    </row>
    <row r="815" spans="34:49">
      <c r="AH815" s="99"/>
      <c r="AL815" s="99"/>
      <c r="AN815" s="99"/>
      <c r="AQ815" s="6"/>
      <c r="AR815" s="6"/>
      <c r="AS815" s="6"/>
      <c r="AT815" s="89"/>
      <c r="AU815" s="100"/>
      <c r="AV815" s="65"/>
      <c r="AW815" s="3"/>
    </row>
    <row r="816" spans="34:49">
      <c r="AH816" s="99"/>
      <c r="AL816" s="99"/>
      <c r="AN816" s="99"/>
      <c r="AQ816" s="6"/>
      <c r="AR816" s="6"/>
      <c r="AS816" s="6"/>
      <c r="AT816" s="89"/>
      <c r="AU816" s="100"/>
      <c r="AV816" s="65"/>
      <c r="AW816" s="3"/>
    </row>
    <row r="817" spans="34:49">
      <c r="AH817" s="99"/>
      <c r="AL817" s="99"/>
      <c r="AN817" s="99"/>
      <c r="AQ817" s="6"/>
      <c r="AR817" s="6"/>
      <c r="AS817" s="6"/>
      <c r="AT817" s="89"/>
      <c r="AU817" s="100"/>
      <c r="AV817" s="65"/>
      <c r="AW817" s="3"/>
    </row>
    <row r="818" spans="34:49">
      <c r="AH818" s="99"/>
      <c r="AL818" s="99"/>
      <c r="AN818" s="99"/>
      <c r="AQ818" s="6"/>
      <c r="AR818" s="6"/>
      <c r="AS818" s="6"/>
      <c r="AT818" s="89"/>
      <c r="AU818" s="100"/>
      <c r="AV818" s="65"/>
      <c r="AW818" s="3"/>
    </row>
    <row r="819" spans="34:49">
      <c r="AH819" s="99"/>
      <c r="AL819" s="99"/>
      <c r="AN819" s="99"/>
      <c r="AQ819" s="6"/>
      <c r="AR819" s="6"/>
      <c r="AS819" s="6"/>
      <c r="AT819" s="89"/>
      <c r="AU819" s="100"/>
      <c r="AV819" s="65"/>
      <c r="AW819" s="3"/>
    </row>
    <row r="820" spans="34:49">
      <c r="AH820" s="99"/>
      <c r="AL820" s="99"/>
      <c r="AN820" s="99"/>
      <c r="AQ820" s="6"/>
      <c r="AR820" s="6"/>
      <c r="AS820" s="6"/>
      <c r="AT820" s="89"/>
      <c r="AU820" s="100"/>
      <c r="AV820" s="65"/>
      <c r="AW820" s="3"/>
    </row>
    <row r="821" spans="34:49">
      <c r="AH821" s="99"/>
      <c r="AL821" s="99"/>
      <c r="AN821" s="99"/>
      <c r="AQ821" s="6"/>
      <c r="AR821" s="6"/>
      <c r="AS821" s="6"/>
      <c r="AT821" s="89"/>
      <c r="AU821" s="100"/>
      <c r="AV821" s="65"/>
      <c r="AW821" s="3"/>
    </row>
    <row r="822" spans="34:49">
      <c r="AH822" s="99"/>
      <c r="AL822" s="99"/>
      <c r="AN822" s="99"/>
      <c r="AQ822" s="6"/>
      <c r="AR822" s="6"/>
      <c r="AS822" s="6"/>
      <c r="AT822" s="89"/>
      <c r="AU822" s="100"/>
      <c r="AV822" s="65"/>
      <c r="AW822" s="3"/>
    </row>
    <row r="823" spans="34:49">
      <c r="AH823" s="99"/>
      <c r="AL823" s="99"/>
      <c r="AN823" s="99"/>
      <c r="AQ823" s="6"/>
      <c r="AR823" s="6"/>
      <c r="AS823" s="6"/>
      <c r="AT823" s="89"/>
      <c r="AU823" s="100"/>
      <c r="AV823" s="65"/>
      <c r="AW823" s="3"/>
    </row>
    <row r="824" spans="34:49">
      <c r="AH824" s="99"/>
      <c r="AL824" s="99"/>
      <c r="AN824" s="99"/>
      <c r="AQ824" s="6"/>
      <c r="AR824" s="6"/>
      <c r="AS824" s="6"/>
      <c r="AT824" s="89"/>
      <c r="AU824" s="100"/>
      <c r="AV824" s="65"/>
      <c r="AW824" s="3"/>
    </row>
    <row r="825" spans="34:49">
      <c r="AH825" s="99"/>
      <c r="AL825" s="99"/>
      <c r="AN825" s="99"/>
      <c r="AQ825" s="6"/>
      <c r="AR825" s="6"/>
      <c r="AS825" s="6"/>
      <c r="AT825" s="89"/>
      <c r="AU825" s="100"/>
      <c r="AV825" s="65"/>
      <c r="AW825" s="3"/>
    </row>
    <row r="826" spans="34:49">
      <c r="AH826" s="99"/>
      <c r="AL826" s="99"/>
      <c r="AN826" s="99"/>
      <c r="AQ826" s="6"/>
      <c r="AR826" s="6"/>
      <c r="AS826" s="6"/>
      <c r="AT826" s="89"/>
      <c r="AU826" s="100"/>
      <c r="AV826" s="65"/>
      <c r="AW826" s="3"/>
    </row>
    <row r="827" spans="34:49">
      <c r="AH827" s="99"/>
      <c r="AL827" s="99"/>
      <c r="AN827" s="99"/>
      <c r="AQ827" s="6"/>
      <c r="AR827" s="6"/>
      <c r="AS827" s="6"/>
      <c r="AT827" s="89"/>
      <c r="AU827" s="100"/>
      <c r="AV827" s="65"/>
      <c r="AW827" s="3"/>
    </row>
    <row r="828" spans="34:49">
      <c r="AH828" s="99"/>
      <c r="AL828" s="99"/>
      <c r="AN828" s="99"/>
      <c r="AQ828" s="6"/>
      <c r="AR828" s="6"/>
      <c r="AS828" s="6"/>
      <c r="AT828" s="89"/>
      <c r="AU828" s="100"/>
      <c r="AV828" s="65"/>
      <c r="AW828" s="3"/>
    </row>
    <row r="829" spans="34:49">
      <c r="AH829" s="99"/>
      <c r="AL829" s="99"/>
      <c r="AN829" s="99"/>
      <c r="AQ829" s="6"/>
      <c r="AR829" s="6"/>
      <c r="AS829" s="6"/>
      <c r="AT829" s="89"/>
      <c r="AU829" s="100"/>
      <c r="AV829" s="65"/>
      <c r="AW829" s="3"/>
    </row>
    <row r="830" spans="34:49">
      <c r="AH830" s="99"/>
      <c r="AL830" s="99"/>
      <c r="AN830" s="99"/>
      <c r="AQ830" s="6"/>
      <c r="AR830" s="6"/>
      <c r="AS830" s="6"/>
      <c r="AT830" s="89"/>
      <c r="AU830" s="100"/>
      <c r="AV830" s="65"/>
      <c r="AW830" s="3"/>
    </row>
    <row r="831" spans="34:49">
      <c r="AH831" s="99"/>
      <c r="AL831" s="99"/>
      <c r="AN831" s="99"/>
      <c r="AQ831" s="6"/>
      <c r="AR831" s="6"/>
      <c r="AS831" s="6"/>
      <c r="AT831" s="89"/>
      <c r="AU831" s="100"/>
      <c r="AV831" s="65"/>
      <c r="AW831" s="3"/>
    </row>
    <row r="832" spans="34:49">
      <c r="AH832" s="99"/>
      <c r="AL832" s="99"/>
      <c r="AN832" s="99"/>
      <c r="AQ832" s="6"/>
      <c r="AR832" s="6"/>
      <c r="AS832" s="6"/>
      <c r="AT832" s="89"/>
      <c r="AU832" s="100"/>
      <c r="AV832" s="65"/>
      <c r="AW832" s="3"/>
    </row>
    <row r="833" spans="34:49">
      <c r="AH833" s="99"/>
      <c r="AL833" s="99"/>
      <c r="AN833" s="99"/>
      <c r="AQ833" s="6"/>
      <c r="AR833" s="6"/>
      <c r="AS833" s="6"/>
      <c r="AT833" s="89"/>
      <c r="AU833" s="100"/>
      <c r="AV833" s="65"/>
      <c r="AW833" s="3"/>
    </row>
    <row r="834" spans="34:49">
      <c r="AH834" s="99"/>
      <c r="AL834" s="99"/>
      <c r="AN834" s="99"/>
      <c r="AQ834" s="6"/>
      <c r="AR834" s="6"/>
      <c r="AS834" s="6"/>
      <c r="AT834" s="89"/>
      <c r="AU834" s="100"/>
      <c r="AV834" s="65"/>
      <c r="AW834" s="3"/>
    </row>
    <row r="835" spans="34:49">
      <c r="AH835" s="99"/>
      <c r="AL835" s="99"/>
      <c r="AN835" s="99"/>
      <c r="AQ835" s="6"/>
      <c r="AR835" s="6"/>
      <c r="AS835" s="6"/>
      <c r="AT835" s="89"/>
      <c r="AU835" s="100"/>
      <c r="AV835" s="65"/>
      <c r="AW835" s="3"/>
    </row>
    <row r="836" spans="34:49">
      <c r="AH836" s="99"/>
      <c r="AL836" s="99"/>
      <c r="AN836" s="99"/>
      <c r="AQ836" s="6"/>
      <c r="AR836" s="6"/>
      <c r="AS836" s="6"/>
      <c r="AT836" s="89"/>
      <c r="AU836" s="100"/>
      <c r="AV836" s="65"/>
      <c r="AW836" s="3"/>
    </row>
    <row r="837" spans="34:49">
      <c r="AH837" s="99"/>
      <c r="AL837" s="99"/>
      <c r="AN837" s="99"/>
      <c r="AQ837" s="6"/>
      <c r="AR837" s="6"/>
      <c r="AS837" s="6"/>
      <c r="AT837" s="89"/>
      <c r="AU837" s="100"/>
      <c r="AV837" s="65"/>
      <c r="AW837" s="3"/>
    </row>
    <row r="838" spans="34:49">
      <c r="AH838" s="99"/>
      <c r="AL838" s="99"/>
      <c r="AN838" s="99"/>
      <c r="AQ838" s="6"/>
      <c r="AR838" s="6"/>
      <c r="AS838" s="6"/>
      <c r="AT838" s="89"/>
      <c r="AU838" s="100"/>
      <c r="AV838" s="65"/>
      <c r="AW838" s="3"/>
    </row>
    <row r="839" spans="34:49">
      <c r="AH839" s="99"/>
      <c r="AL839" s="99"/>
      <c r="AN839" s="99"/>
      <c r="AQ839" s="6"/>
      <c r="AR839" s="6"/>
      <c r="AS839" s="6"/>
      <c r="AT839" s="89"/>
      <c r="AU839" s="100"/>
      <c r="AV839" s="65"/>
      <c r="AW839" s="3"/>
    </row>
    <row r="840" spans="34:49">
      <c r="AH840" s="99"/>
      <c r="AL840" s="99"/>
      <c r="AN840" s="99"/>
      <c r="AQ840" s="6"/>
      <c r="AR840" s="6"/>
      <c r="AS840" s="6"/>
      <c r="AT840" s="89"/>
      <c r="AU840" s="100"/>
      <c r="AV840" s="65"/>
      <c r="AW840" s="3"/>
    </row>
    <row r="841" spans="34:49">
      <c r="AH841" s="99"/>
      <c r="AL841" s="99"/>
      <c r="AN841" s="99"/>
      <c r="AQ841" s="6"/>
      <c r="AR841" s="6"/>
      <c r="AS841" s="6"/>
      <c r="AT841" s="89"/>
      <c r="AU841" s="100"/>
      <c r="AV841" s="65"/>
      <c r="AW841" s="3"/>
    </row>
    <row r="842" spans="34:49">
      <c r="AH842" s="99"/>
      <c r="AL842" s="99"/>
      <c r="AN842" s="99"/>
      <c r="AQ842" s="6"/>
      <c r="AR842" s="6"/>
      <c r="AS842" s="6"/>
      <c r="AT842" s="89"/>
      <c r="AU842" s="100"/>
      <c r="AV842" s="65"/>
      <c r="AW842" s="3"/>
    </row>
    <row r="843" spans="34:49">
      <c r="AH843" s="99"/>
      <c r="AL843" s="99"/>
      <c r="AN843" s="99"/>
      <c r="AQ843" s="6"/>
      <c r="AR843" s="6"/>
      <c r="AS843" s="6"/>
      <c r="AT843" s="89"/>
      <c r="AU843" s="100"/>
      <c r="AV843" s="65"/>
      <c r="AW843" s="3"/>
    </row>
    <row r="844" spans="34:49">
      <c r="AH844" s="99"/>
      <c r="AL844" s="99"/>
      <c r="AN844" s="99"/>
      <c r="AQ844" s="6"/>
      <c r="AR844" s="6"/>
      <c r="AS844" s="6"/>
      <c r="AT844" s="89"/>
      <c r="AU844" s="100"/>
      <c r="AV844" s="65"/>
      <c r="AW844" s="3"/>
    </row>
    <row r="845" spans="34:49">
      <c r="AH845" s="99"/>
      <c r="AL845" s="99"/>
      <c r="AN845" s="99"/>
      <c r="AQ845" s="6"/>
      <c r="AR845" s="6"/>
      <c r="AS845" s="6"/>
      <c r="AT845" s="89"/>
      <c r="AU845" s="100"/>
      <c r="AV845" s="65"/>
      <c r="AW845" s="3"/>
    </row>
    <row r="846" spans="34:49">
      <c r="AH846" s="99"/>
      <c r="AL846" s="99"/>
      <c r="AN846" s="99"/>
      <c r="AQ846" s="6"/>
      <c r="AR846" s="6"/>
      <c r="AS846" s="6"/>
      <c r="AT846" s="89"/>
      <c r="AU846" s="100"/>
      <c r="AV846" s="65"/>
      <c r="AW846" s="3"/>
    </row>
    <row r="847" spans="34:49">
      <c r="AH847" s="99"/>
      <c r="AL847" s="99"/>
      <c r="AN847" s="99"/>
      <c r="AQ847" s="6"/>
      <c r="AR847" s="6"/>
      <c r="AS847" s="6"/>
      <c r="AT847" s="89"/>
      <c r="AU847" s="100"/>
      <c r="AV847" s="65"/>
      <c r="AW847" s="3"/>
    </row>
    <row r="848" spans="34:49">
      <c r="AH848" s="99"/>
      <c r="AL848" s="99"/>
      <c r="AN848" s="99"/>
      <c r="AQ848" s="6"/>
      <c r="AR848" s="6"/>
      <c r="AS848" s="6"/>
      <c r="AT848" s="89"/>
      <c r="AU848" s="100"/>
      <c r="AV848" s="65"/>
      <c r="AW848" s="3"/>
    </row>
    <row r="849" spans="34:49">
      <c r="AH849" s="99"/>
      <c r="AL849" s="99"/>
      <c r="AN849" s="99"/>
      <c r="AQ849" s="6"/>
      <c r="AR849" s="6"/>
      <c r="AS849" s="6"/>
      <c r="AT849" s="89"/>
      <c r="AU849" s="100"/>
      <c r="AV849" s="65"/>
      <c r="AW849" s="3"/>
    </row>
    <row r="850" spans="34:49">
      <c r="AH850" s="99"/>
      <c r="AL850" s="99"/>
      <c r="AN850" s="99"/>
      <c r="AQ850" s="6"/>
      <c r="AR850" s="6"/>
      <c r="AS850" s="6"/>
      <c r="AT850" s="89"/>
      <c r="AU850" s="100"/>
      <c r="AV850" s="65"/>
      <c r="AW850" s="3"/>
    </row>
    <row r="851" spans="34:49">
      <c r="AH851" s="99"/>
      <c r="AL851" s="99"/>
      <c r="AN851" s="99"/>
      <c r="AQ851" s="6"/>
      <c r="AR851" s="6"/>
      <c r="AS851" s="6"/>
      <c r="AT851" s="89"/>
      <c r="AU851" s="100"/>
      <c r="AV851" s="65"/>
      <c r="AW851" s="3"/>
    </row>
    <row r="852" spans="34:49">
      <c r="AH852" s="99"/>
      <c r="AL852" s="99"/>
      <c r="AN852" s="99"/>
      <c r="AQ852" s="6"/>
      <c r="AR852" s="6"/>
      <c r="AS852" s="6"/>
      <c r="AT852" s="89"/>
      <c r="AU852" s="100"/>
      <c r="AV852" s="65"/>
      <c r="AW852" s="3"/>
    </row>
    <row r="853" spans="34:49">
      <c r="AH853" s="99"/>
      <c r="AL853" s="99"/>
      <c r="AN853" s="99"/>
      <c r="AQ853" s="6"/>
      <c r="AR853" s="6"/>
      <c r="AS853" s="6"/>
      <c r="AT853" s="89"/>
      <c r="AU853" s="100"/>
      <c r="AV853" s="65"/>
      <c r="AW853" s="3"/>
    </row>
    <row r="854" spans="34:49">
      <c r="AH854" s="99"/>
      <c r="AL854" s="99"/>
      <c r="AN854" s="99"/>
      <c r="AQ854" s="6"/>
      <c r="AR854" s="6"/>
      <c r="AS854" s="6"/>
      <c r="AT854" s="89"/>
      <c r="AU854" s="100"/>
      <c r="AV854" s="65"/>
      <c r="AW854" s="3"/>
    </row>
    <row r="855" spans="34:49">
      <c r="AH855" s="99"/>
      <c r="AL855" s="99"/>
      <c r="AN855" s="99"/>
      <c r="AQ855" s="6"/>
      <c r="AR855" s="6"/>
      <c r="AS855" s="6"/>
      <c r="AT855" s="89"/>
      <c r="AU855" s="100"/>
      <c r="AV855" s="65"/>
      <c r="AW855" s="3"/>
    </row>
    <row r="856" spans="34:49">
      <c r="AH856" s="99"/>
      <c r="AL856" s="99"/>
      <c r="AN856" s="99"/>
      <c r="AQ856" s="6"/>
      <c r="AR856" s="6"/>
      <c r="AS856" s="6"/>
      <c r="AT856" s="89"/>
      <c r="AU856" s="100"/>
      <c r="AV856" s="65"/>
      <c r="AW856" s="3"/>
    </row>
    <row r="857" spans="34:49">
      <c r="AH857" s="99"/>
      <c r="AL857" s="99"/>
      <c r="AN857" s="99"/>
      <c r="AQ857" s="6"/>
      <c r="AR857" s="6"/>
      <c r="AS857" s="6"/>
      <c r="AT857" s="89"/>
      <c r="AU857" s="100"/>
      <c r="AV857" s="65"/>
      <c r="AW857" s="3"/>
    </row>
    <row r="858" spans="34:49">
      <c r="AH858" s="99"/>
      <c r="AL858" s="99"/>
      <c r="AN858" s="99"/>
      <c r="AQ858" s="6"/>
      <c r="AR858" s="6"/>
      <c r="AS858" s="6"/>
      <c r="AT858" s="89"/>
      <c r="AU858" s="100"/>
      <c r="AV858" s="65"/>
      <c r="AW858" s="3"/>
    </row>
    <row r="859" spans="34:49">
      <c r="AH859" s="99"/>
      <c r="AL859" s="99"/>
      <c r="AN859" s="99"/>
      <c r="AQ859" s="6"/>
      <c r="AR859" s="6"/>
      <c r="AS859" s="6"/>
      <c r="AT859" s="89"/>
      <c r="AU859" s="100"/>
      <c r="AV859" s="65"/>
      <c r="AW859" s="3"/>
    </row>
    <row r="860" spans="34:49">
      <c r="AH860" s="99"/>
      <c r="AL860" s="99"/>
      <c r="AN860" s="99"/>
      <c r="AQ860" s="6"/>
      <c r="AR860" s="6"/>
      <c r="AS860" s="6"/>
      <c r="AT860" s="89"/>
      <c r="AU860" s="100"/>
      <c r="AV860" s="65"/>
      <c r="AW860" s="3"/>
    </row>
    <row r="861" spans="34:49">
      <c r="AH861" s="99"/>
      <c r="AL861" s="99"/>
      <c r="AN861" s="99"/>
      <c r="AQ861" s="6"/>
      <c r="AR861" s="6"/>
      <c r="AS861" s="6"/>
      <c r="AT861" s="89"/>
      <c r="AU861" s="100"/>
      <c r="AV861" s="65"/>
      <c r="AW861" s="3"/>
    </row>
    <row r="862" spans="34:49">
      <c r="AH862" s="99"/>
      <c r="AL862" s="99"/>
      <c r="AN862" s="99"/>
      <c r="AQ862" s="6"/>
      <c r="AR862" s="6"/>
      <c r="AS862" s="6"/>
      <c r="AT862" s="89"/>
      <c r="AU862" s="100"/>
      <c r="AV862" s="65"/>
      <c r="AW862" s="3"/>
    </row>
    <row r="863" spans="34:49">
      <c r="AH863" s="99"/>
      <c r="AL863" s="99"/>
      <c r="AN863" s="99"/>
      <c r="AQ863" s="6"/>
      <c r="AR863" s="6"/>
      <c r="AS863" s="6"/>
      <c r="AT863" s="89"/>
      <c r="AU863" s="100"/>
      <c r="AV863" s="65"/>
      <c r="AW863" s="3"/>
    </row>
    <row r="864" spans="34:49">
      <c r="AH864" s="99"/>
      <c r="AL864" s="99"/>
      <c r="AN864" s="99"/>
      <c r="AQ864" s="6"/>
      <c r="AR864" s="6"/>
      <c r="AS864" s="6"/>
      <c r="AT864" s="89"/>
      <c r="AU864" s="100"/>
      <c r="AV864" s="65"/>
      <c r="AW864" s="3"/>
    </row>
    <row r="865" spans="34:49">
      <c r="AH865" s="99"/>
      <c r="AL865" s="99"/>
      <c r="AN865" s="99"/>
      <c r="AQ865" s="6"/>
      <c r="AR865" s="6"/>
      <c r="AS865" s="6"/>
      <c r="AT865" s="89"/>
      <c r="AU865" s="100"/>
      <c r="AV865" s="65"/>
      <c r="AW865" s="3"/>
    </row>
    <row r="866" spans="34:49">
      <c r="AH866" s="99"/>
      <c r="AL866" s="99"/>
      <c r="AN866" s="99"/>
      <c r="AQ866" s="6"/>
      <c r="AR866" s="6"/>
      <c r="AS866" s="6"/>
      <c r="AT866" s="89"/>
      <c r="AU866" s="100"/>
      <c r="AV866" s="65"/>
      <c r="AW866" s="3"/>
    </row>
    <row r="867" spans="34:49">
      <c r="AH867" s="99"/>
      <c r="AL867" s="99"/>
      <c r="AN867" s="99"/>
      <c r="AQ867" s="6"/>
      <c r="AR867" s="6"/>
      <c r="AS867" s="6"/>
      <c r="AT867" s="89"/>
      <c r="AU867" s="100"/>
      <c r="AV867" s="65"/>
      <c r="AW867" s="3"/>
    </row>
    <row r="868" spans="34:49">
      <c r="AH868" s="99"/>
      <c r="AL868" s="99"/>
      <c r="AN868" s="99"/>
      <c r="AQ868" s="6"/>
      <c r="AR868" s="6"/>
      <c r="AS868" s="6"/>
      <c r="AT868" s="89"/>
      <c r="AU868" s="100"/>
      <c r="AV868" s="65"/>
      <c r="AW868" s="3"/>
    </row>
    <row r="869" spans="34:49">
      <c r="AH869" s="99"/>
      <c r="AL869" s="99"/>
      <c r="AN869" s="99"/>
      <c r="AQ869" s="6"/>
      <c r="AR869" s="6"/>
      <c r="AS869" s="6"/>
      <c r="AT869" s="89"/>
      <c r="AU869" s="100"/>
      <c r="AV869" s="65"/>
      <c r="AW869" s="3"/>
    </row>
    <row r="870" spans="34:49">
      <c r="AH870" s="99"/>
      <c r="AL870" s="99"/>
      <c r="AN870" s="99"/>
      <c r="AQ870" s="6"/>
      <c r="AR870" s="6"/>
      <c r="AS870" s="6"/>
      <c r="AT870" s="89"/>
      <c r="AU870" s="100"/>
      <c r="AV870" s="65"/>
      <c r="AW870" s="3"/>
    </row>
    <row r="871" spans="34:49">
      <c r="AH871" s="99"/>
      <c r="AL871" s="99"/>
      <c r="AN871" s="99"/>
      <c r="AQ871" s="6"/>
      <c r="AR871" s="6"/>
      <c r="AS871" s="6"/>
      <c r="AT871" s="89"/>
      <c r="AU871" s="100"/>
      <c r="AV871" s="65"/>
      <c r="AW871" s="3"/>
    </row>
    <row r="872" spans="34:49">
      <c r="AH872" s="99"/>
      <c r="AL872" s="99"/>
      <c r="AN872" s="99"/>
      <c r="AQ872" s="6"/>
      <c r="AR872" s="6"/>
      <c r="AS872" s="6"/>
      <c r="AT872" s="89"/>
      <c r="AU872" s="100"/>
      <c r="AV872" s="65"/>
      <c r="AW872" s="3"/>
    </row>
    <row r="873" spans="34:49">
      <c r="AH873" s="99"/>
      <c r="AL873" s="99"/>
      <c r="AN873" s="99"/>
      <c r="AQ873" s="6"/>
      <c r="AR873" s="6"/>
      <c r="AS873" s="6"/>
      <c r="AT873" s="89"/>
      <c r="AU873" s="100"/>
      <c r="AV873" s="65"/>
      <c r="AW873" s="3"/>
    </row>
    <row r="874" spans="34:49">
      <c r="AH874" s="99"/>
      <c r="AL874" s="99"/>
      <c r="AN874" s="99"/>
      <c r="AQ874" s="6"/>
      <c r="AR874" s="6"/>
      <c r="AS874" s="6"/>
      <c r="AT874" s="89"/>
      <c r="AU874" s="100"/>
      <c r="AV874" s="65"/>
      <c r="AW874" s="3"/>
    </row>
    <row r="875" spans="34:49">
      <c r="AH875" s="99"/>
      <c r="AL875" s="99"/>
      <c r="AN875" s="99"/>
      <c r="AQ875" s="6"/>
      <c r="AR875" s="6"/>
      <c r="AS875" s="6"/>
      <c r="AT875" s="89"/>
      <c r="AU875" s="100"/>
      <c r="AV875" s="65"/>
      <c r="AW875" s="3"/>
    </row>
    <row r="876" spans="34:49">
      <c r="AH876" s="99"/>
      <c r="AL876" s="99"/>
      <c r="AN876" s="99"/>
      <c r="AQ876" s="6"/>
      <c r="AR876" s="6"/>
      <c r="AS876" s="6"/>
      <c r="AT876" s="89"/>
      <c r="AU876" s="100"/>
      <c r="AV876" s="65"/>
      <c r="AW876" s="3"/>
    </row>
    <row r="877" spans="34:49">
      <c r="AH877" s="99"/>
      <c r="AL877" s="99"/>
      <c r="AN877" s="99"/>
      <c r="AQ877" s="6"/>
      <c r="AR877" s="6"/>
      <c r="AS877" s="6"/>
      <c r="AT877" s="89"/>
      <c r="AU877" s="100"/>
      <c r="AV877" s="65"/>
      <c r="AW877" s="3"/>
    </row>
    <row r="878" spans="34:49">
      <c r="AH878" s="99"/>
      <c r="AL878" s="99"/>
      <c r="AN878" s="99"/>
      <c r="AQ878" s="6"/>
      <c r="AR878" s="6"/>
      <c r="AS878" s="6"/>
      <c r="AT878" s="89"/>
      <c r="AU878" s="100"/>
      <c r="AV878" s="65"/>
      <c r="AW878" s="3"/>
    </row>
    <row r="879" spans="34:49">
      <c r="AH879" s="99"/>
      <c r="AL879" s="99"/>
      <c r="AN879" s="99"/>
      <c r="AQ879" s="6"/>
      <c r="AR879" s="6"/>
      <c r="AS879" s="6"/>
      <c r="AT879" s="89"/>
      <c r="AU879" s="100"/>
      <c r="AV879" s="65"/>
      <c r="AW879" s="3"/>
    </row>
    <row r="880" spans="34:49">
      <c r="AH880" s="99"/>
      <c r="AL880" s="99"/>
      <c r="AN880" s="99"/>
      <c r="AQ880" s="6"/>
      <c r="AR880" s="6"/>
      <c r="AS880" s="6"/>
      <c r="AT880" s="89"/>
      <c r="AU880" s="100"/>
      <c r="AV880" s="65"/>
      <c r="AW880" s="3"/>
    </row>
    <row r="881" spans="34:49">
      <c r="AH881" s="99"/>
      <c r="AL881" s="99"/>
      <c r="AN881" s="99"/>
      <c r="AQ881" s="6"/>
      <c r="AR881" s="6"/>
      <c r="AS881" s="6"/>
      <c r="AT881" s="89"/>
      <c r="AU881" s="100"/>
      <c r="AV881" s="65"/>
      <c r="AW881" s="3"/>
    </row>
    <row r="882" spans="34:49">
      <c r="AH882" s="99"/>
      <c r="AL882" s="99"/>
      <c r="AN882" s="99"/>
      <c r="AQ882" s="6"/>
      <c r="AR882" s="6"/>
      <c r="AS882" s="6"/>
      <c r="AT882" s="89"/>
      <c r="AU882" s="100"/>
      <c r="AV882" s="65"/>
      <c r="AW882" s="3"/>
    </row>
    <row r="883" spans="34:49">
      <c r="AH883" s="99"/>
      <c r="AL883" s="99"/>
      <c r="AN883" s="99"/>
      <c r="AQ883" s="6"/>
      <c r="AR883" s="6"/>
      <c r="AS883" s="6"/>
      <c r="AT883" s="89"/>
      <c r="AU883" s="100"/>
      <c r="AV883" s="65"/>
      <c r="AW883" s="3"/>
    </row>
    <row r="884" spans="34:49">
      <c r="AH884" s="99"/>
      <c r="AL884" s="99"/>
      <c r="AN884" s="99"/>
      <c r="AQ884" s="6"/>
      <c r="AR884" s="6"/>
      <c r="AS884" s="6"/>
      <c r="AT884" s="89"/>
      <c r="AU884" s="100"/>
      <c r="AV884" s="65"/>
      <c r="AW884" s="3"/>
    </row>
    <row r="885" spans="34:49">
      <c r="AH885" s="99"/>
      <c r="AL885" s="99"/>
      <c r="AN885" s="99"/>
      <c r="AQ885" s="6"/>
      <c r="AR885" s="6"/>
      <c r="AS885" s="6"/>
      <c r="AT885" s="89"/>
      <c r="AU885" s="100"/>
      <c r="AV885" s="65"/>
      <c r="AW885" s="3"/>
    </row>
    <row r="886" spans="34:49">
      <c r="AH886" s="99"/>
      <c r="AL886" s="99"/>
      <c r="AN886" s="99"/>
      <c r="AQ886" s="6"/>
      <c r="AR886" s="6"/>
      <c r="AS886" s="6"/>
      <c r="AT886" s="89"/>
      <c r="AU886" s="100"/>
      <c r="AV886" s="65"/>
      <c r="AW886" s="3"/>
    </row>
    <row r="887" spans="34:49">
      <c r="AH887" s="99"/>
      <c r="AL887" s="99"/>
      <c r="AN887" s="99"/>
      <c r="AQ887" s="6"/>
      <c r="AR887" s="6"/>
      <c r="AS887" s="6"/>
      <c r="AT887" s="89"/>
      <c r="AU887" s="100"/>
      <c r="AV887" s="65"/>
      <c r="AW887" s="3"/>
    </row>
    <row r="888" spans="34:49">
      <c r="AH888" s="99"/>
      <c r="AL888" s="99"/>
      <c r="AN888" s="99"/>
      <c r="AQ888" s="6"/>
      <c r="AR888" s="6"/>
      <c r="AS888" s="6"/>
      <c r="AT888" s="89"/>
      <c r="AU888" s="100"/>
      <c r="AV888" s="65"/>
      <c r="AW888" s="3"/>
    </row>
    <row r="889" spans="34:49">
      <c r="AH889" s="99"/>
      <c r="AL889" s="99"/>
      <c r="AN889" s="99"/>
      <c r="AQ889" s="6"/>
      <c r="AR889" s="6"/>
      <c r="AS889" s="6"/>
      <c r="AT889" s="89"/>
      <c r="AU889" s="100"/>
      <c r="AV889" s="65"/>
      <c r="AW889" s="3"/>
    </row>
    <row r="890" spans="34:49">
      <c r="AH890" s="99"/>
      <c r="AL890" s="99"/>
      <c r="AN890" s="99"/>
      <c r="AQ890" s="6"/>
      <c r="AR890" s="6"/>
      <c r="AS890" s="6"/>
      <c r="AT890" s="89"/>
      <c r="AU890" s="100"/>
      <c r="AV890" s="65"/>
      <c r="AW890" s="3"/>
    </row>
    <row r="891" spans="34:49">
      <c r="AH891" s="99"/>
      <c r="AL891" s="99"/>
      <c r="AN891" s="99"/>
      <c r="AQ891" s="6"/>
      <c r="AR891" s="6"/>
      <c r="AS891" s="6"/>
      <c r="AT891" s="89"/>
      <c r="AU891" s="100"/>
      <c r="AV891" s="65"/>
      <c r="AW891" s="3"/>
    </row>
    <row r="892" spans="34:49">
      <c r="AH892" s="99"/>
      <c r="AL892" s="99"/>
      <c r="AN892" s="99"/>
      <c r="AQ892" s="6"/>
      <c r="AR892" s="6"/>
      <c r="AS892" s="6"/>
      <c r="AT892" s="89"/>
      <c r="AU892" s="100"/>
      <c r="AV892" s="65"/>
      <c r="AW892" s="3"/>
    </row>
    <row r="893" spans="34:49">
      <c r="AH893" s="99"/>
      <c r="AL893" s="99"/>
      <c r="AN893" s="99"/>
      <c r="AQ893" s="6"/>
      <c r="AR893" s="6"/>
      <c r="AS893" s="6"/>
      <c r="AT893" s="89"/>
      <c r="AU893" s="100"/>
      <c r="AV893" s="65"/>
      <c r="AW893" s="3"/>
    </row>
    <row r="894" spans="34:49">
      <c r="AH894" s="99"/>
      <c r="AL894" s="99"/>
      <c r="AN894" s="99"/>
      <c r="AQ894" s="6"/>
      <c r="AR894" s="6"/>
      <c r="AS894" s="6"/>
      <c r="AT894" s="89"/>
      <c r="AU894" s="100"/>
      <c r="AV894" s="65"/>
      <c r="AW894" s="3"/>
    </row>
    <row r="895" spans="34:49">
      <c r="AH895" s="99"/>
      <c r="AL895" s="99"/>
      <c r="AN895" s="99"/>
      <c r="AQ895" s="6"/>
      <c r="AR895" s="6"/>
      <c r="AS895" s="6"/>
      <c r="AT895" s="89"/>
      <c r="AU895" s="100"/>
      <c r="AV895" s="65"/>
      <c r="AW895" s="3"/>
    </row>
    <row r="896" spans="34:49">
      <c r="AH896" s="99"/>
      <c r="AL896" s="99"/>
      <c r="AN896" s="99"/>
      <c r="AQ896" s="6"/>
      <c r="AR896" s="6"/>
      <c r="AS896" s="6"/>
      <c r="AT896" s="89"/>
      <c r="AU896" s="100"/>
      <c r="AV896" s="65"/>
      <c r="AW896" s="3"/>
    </row>
    <row r="897" spans="34:49">
      <c r="AH897" s="99"/>
      <c r="AL897" s="99"/>
      <c r="AN897" s="99"/>
      <c r="AQ897" s="6"/>
      <c r="AR897" s="6"/>
      <c r="AS897" s="6"/>
      <c r="AT897" s="89"/>
      <c r="AU897" s="100"/>
      <c r="AV897" s="65"/>
      <c r="AW897" s="3"/>
    </row>
    <row r="898" spans="34:49">
      <c r="AH898" s="99"/>
      <c r="AL898" s="99"/>
      <c r="AN898" s="99"/>
      <c r="AQ898" s="6"/>
      <c r="AR898" s="6"/>
      <c r="AS898" s="6"/>
      <c r="AT898" s="89"/>
      <c r="AU898" s="100"/>
      <c r="AV898" s="65"/>
      <c r="AW898" s="3"/>
    </row>
    <row r="899" spans="34:49">
      <c r="AH899" s="99"/>
      <c r="AL899" s="99"/>
      <c r="AN899" s="99"/>
      <c r="AQ899" s="6"/>
      <c r="AR899" s="6"/>
      <c r="AS899" s="6"/>
      <c r="AT899" s="89"/>
      <c r="AU899" s="100"/>
      <c r="AV899" s="65"/>
      <c r="AW899" s="3"/>
    </row>
    <row r="900" spans="34:49">
      <c r="AH900" s="99"/>
      <c r="AL900" s="99"/>
      <c r="AN900" s="99"/>
      <c r="AQ900" s="6"/>
      <c r="AR900" s="6"/>
      <c r="AS900" s="6"/>
      <c r="AT900" s="89"/>
      <c r="AU900" s="100"/>
      <c r="AV900" s="65"/>
      <c r="AW900" s="3"/>
    </row>
    <row r="901" spans="34:49">
      <c r="AH901" s="99"/>
      <c r="AL901" s="99"/>
      <c r="AN901" s="99"/>
      <c r="AQ901" s="6"/>
      <c r="AR901" s="6"/>
      <c r="AS901" s="6"/>
      <c r="AT901" s="89"/>
      <c r="AU901" s="100"/>
      <c r="AV901" s="65"/>
      <c r="AW901" s="3"/>
    </row>
    <row r="902" spans="34:49">
      <c r="AH902" s="99"/>
      <c r="AL902" s="99"/>
      <c r="AN902" s="99"/>
      <c r="AQ902" s="6"/>
      <c r="AR902" s="6"/>
      <c r="AS902" s="6"/>
      <c r="AT902" s="89"/>
      <c r="AU902" s="100"/>
      <c r="AV902" s="65"/>
      <c r="AW902" s="3"/>
    </row>
    <row r="903" spans="34:49">
      <c r="AH903" s="99"/>
      <c r="AL903" s="99"/>
      <c r="AN903" s="99"/>
      <c r="AQ903" s="6"/>
      <c r="AR903" s="6"/>
      <c r="AS903" s="6"/>
      <c r="AT903" s="89"/>
      <c r="AU903" s="100"/>
      <c r="AV903" s="65"/>
      <c r="AW903" s="3"/>
    </row>
    <row r="904" spans="34:49">
      <c r="AH904" s="99"/>
      <c r="AL904" s="99"/>
      <c r="AN904" s="99"/>
      <c r="AQ904" s="6"/>
      <c r="AR904" s="6"/>
      <c r="AS904" s="6"/>
      <c r="AT904" s="89"/>
      <c r="AU904" s="100"/>
      <c r="AV904" s="65"/>
      <c r="AW904" s="3"/>
    </row>
    <row r="905" spans="34:49">
      <c r="AH905" s="99"/>
      <c r="AL905" s="99"/>
      <c r="AN905" s="99"/>
      <c r="AQ905" s="6"/>
      <c r="AR905" s="6"/>
      <c r="AS905" s="6"/>
      <c r="AT905" s="89"/>
      <c r="AU905" s="100"/>
      <c r="AV905" s="65"/>
      <c r="AW905" s="3"/>
    </row>
    <row r="906" spans="34:49">
      <c r="AH906" s="99"/>
      <c r="AL906" s="99"/>
      <c r="AN906" s="99"/>
      <c r="AQ906" s="6"/>
      <c r="AR906" s="6"/>
      <c r="AS906" s="6"/>
      <c r="AT906" s="89"/>
      <c r="AU906" s="100"/>
      <c r="AV906" s="65"/>
      <c r="AW906" s="3"/>
    </row>
    <row r="907" spans="34:49">
      <c r="AH907" s="99"/>
      <c r="AL907" s="99"/>
      <c r="AN907" s="99"/>
      <c r="AQ907" s="6"/>
      <c r="AR907" s="6"/>
      <c r="AS907" s="6"/>
      <c r="AT907" s="89"/>
      <c r="AU907" s="100"/>
      <c r="AV907" s="65"/>
      <c r="AW907" s="3"/>
    </row>
    <row r="908" spans="34:49">
      <c r="AH908" s="99"/>
      <c r="AL908" s="99"/>
      <c r="AN908" s="99"/>
      <c r="AQ908" s="6"/>
      <c r="AR908" s="6"/>
      <c r="AS908" s="6"/>
      <c r="AT908" s="89"/>
      <c r="AU908" s="100"/>
      <c r="AV908" s="65"/>
      <c r="AW908" s="3"/>
    </row>
    <row r="909" spans="34:49">
      <c r="AH909" s="99"/>
      <c r="AL909" s="99"/>
      <c r="AN909" s="99"/>
      <c r="AQ909" s="6"/>
      <c r="AR909" s="6"/>
      <c r="AS909" s="6"/>
      <c r="AT909" s="89"/>
      <c r="AU909" s="100"/>
      <c r="AV909" s="65"/>
      <c r="AW909" s="3"/>
    </row>
    <row r="910" spans="34:49">
      <c r="AH910" s="99"/>
      <c r="AL910" s="99"/>
      <c r="AN910" s="99"/>
      <c r="AQ910" s="6"/>
      <c r="AR910" s="6"/>
      <c r="AS910" s="6"/>
      <c r="AT910" s="89"/>
      <c r="AU910" s="100"/>
      <c r="AV910" s="65"/>
      <c r="AW910" s="3"/>
    </row>
    <row r="911" spans="34:49">
      <c r="AH911" s="99"/>
      <c r="AL911" s="99"/>
      <c r="AN911" s="99"/>
      <c r="AQ911" s="6"/>
      <c r="AR911" s="6"/>
      <c r="AS911" s="6"/>
      <c r="AT911" s="89"/>
      <c r="AU911" s="100"/>
      <c r="AV911" s="65"/>
      <c r="AW911" s="3"/>
    </row>
    <row r="912" spans="34:49">
      <c r="AH912" s="99"/>
      <c r="AL912" s="99"/>
      <c r="AN912" s="99"/>
      <c r="AQ912" s="6"/>
      <c r="AR912" s="6"/>
      <c r="AS912" s="6"/>
      <c r="AT912" s="89"/>
      <c r="AU912" s="100"/>
      <c r="AV912" s="65"/>
      <c r="AW912" s="3"/>
    </row>
    <row r="913" spans="34:49">
      <c r="AH913" s="99"/>
      <c r="AL913" s="99"/>
      <c r="AN913" s="99"/>
      <c r="AQ913" s="6"/>
      <c r="AR913" s="6"/>
      <c r="AS913" s="6"/>
      <c r="AT913" s="89"/>
      <c r="AU913" s="100"/>
      <c r="AV913" s="65"/>
      <c r="AW913" s="3"/>
    </row>
    <row r="914" spans="34:49">
      <c r="AH914" s="99"/>
      <c r="AL914" s="99"/>
      <c r="AN914" s="99"/>
      <c r="AQ914" s="6"/>
      <c r="AR914" s="6"/>
      <c r="AS914" s="6"/>
      <c r="AT914" s="89"/>
      <c r="AU914" s="100"/>
      <c r="AV914" s="65"/>
      <c r="AW914" s="3"/>
    </row>
    <row r="915" spans="34:49">
      <c r="AH915" s="99"/>
      <c r="AL915" s="99"/>
      <c r="AN915" s="99"/>
      <c r="AQ915" s="6"/>
      <c r="AR915" s="6"/>
      <c r="AS915" s="6"/>
      <c r="AT915" s="89"/>
      <c r="AU915" s="100"/>
      <c r="AV915" s="65"/>
      <c r="AW915" s="3"/>
    </row>
    <row r="916" spans="34:49">
      <c r="AH916" s="99"/>
      <c r="AL916" s="99"/>
      <c r="AN916" s="99"/>
      <c r="AQ916" s="6"/>
      <c r="AR916" s="6"/>
      <c r="AS916" s="6"/>
      <c r="AT916" s="89"/>
      <c r="AU916" s="100"/>
      <c r="AV916" s="65"/>
      <c r="AW916" s="3"/>
    </row>
    <row r="917" spans="34:49">
      <c r="AH917" s="99"/>
      <c r="AL917" s="99"/>
      <c r="AN917" s="99"/>
      <c r="AQ917" s="6"/>
      <c r="AR917" s="6"/>
      <c r="AS917" s="6"/>
      <c r="AT917" s="89"/>
      <c r="AU917" s="100"/>
      <c r="AV917" s="65"/>
      <c r="AW917" s="3"/>
    </row>
    <row r="918" spans="34:49">
      <c r="AH918" s="99"/>
      <c r="AL918" s="99"/>
      <c r="AN918" s="99"/>
      <c r="AQ918" s="6"/>
      <c r="AR918" s="6"/>
      <c r="AS918" s="6"/>
      <c r="AT918" s="89"/>
      <c r="AU918" s="100"/>
      <c r="AV918" s="65"/>
      <c r="AW918" s="3"/>
    </row>
    <row r="919" spans="34:49">
      <c r="AH919" s="99"/>
      <c r="AL919" s="99"/>
      <c r="AN919" s="99"/>
      <c r="AQ919" s="6"/>
      <c r="AR919" s="6"/>
      <c r="AS919" s="6"/>
      <c r="AT919" s="89"/>
      <c r="AU919" s="100"/>
      <c r="AV919" s="65"/>
      <c r="AW919" s="3"/>
    </row>
    <row r="920" spans="34:49">
      <c r="AH920" s="99"/>
      <c r="AL920" s="99"/>
      <c r="AN920" s="99"/>
      <c r="AQ920" s="6"/>
      <c r="AR920" s="6"/>
      <c r="AS920" s="6"/>
      <c r="AT920" s="89"/>
      <c r="AU920" s="100"/>
      <c r="AV920" s="65"/>
      <c r="AW920" s="3"/>
    </row>
    <row r="921" spans="34:49">
      <c r="AH921" s="99"/>
      <c r="AL921" s="99"/>
      <c r="AN921" s="99"/>
      <c r="AQ921" s="6"/>
      <c r="AR921" s="6"/>
      <c r="AS921" s="6"/>
      <c r="AT921" s="89"/>
      <c r="AU921" s="100"/>
      <c r="AV921" s="65"/>
      <c r="AW921" s="3"/>
    </row>
    <row r="922" spans="34:49">
      <c r="AH922" s="99"/>
      <c r="AL922" s="99"/>
      <c r="AN922" s="99"/>
      <c r="AQ922" s="6"/>
      <c r="AR922" s="6"/>
      <c r="AS922" s="6"/>
      <c r="AT922" s="89"/>
      <c r="AU922" s="100"/>
      <c r="AV922" s="65"/>
      <c r="AW922" s="3"/>
    </row>
    <row r="923" spans="34:49">
      <c r="AH923" s="99"/>
      <c r="AL923" s="99"/>
      <c r="AN923" s="99"/>
      <c r="AQ923" s="6"/>
      <c r="AR923" s="6"/>
      <c r="AS923" s="6"/>
      <c r="AT923" s="89"/>
      <c r="AU923" s="100"/>
      <c r="AV923" s="65"/>
      <c r="AW923" s="3"/>
    </row>
    <row r="924" spans="34:49">
      <c r="AH924" s="99"/>
      <c r="AL924" s="99"/>
      <c r="AN924" s="99"/>
      <c r="AQ924" s="6"/>
      <c r="AR924" s="6"/>
      <c r="AS924" s="6"/>
      <c r="AT924" s="89"/>
      <c r="AU924" s="100"/>
      <c r="AV924" s="65"/>
      <c r="AW924" s="3"/>
    </row>
    <row r="925" spans="34:49">
      <c r="AH925" s="99"/>
      <c r="AL925" s="99"/>
      <c r="AN925" s="99"/>
      <c r="AQ925" s="6"/>
      <c r="AR925" s="6"/>
      <c r="AS925" s="6"/>
      <c r="AT925" s="89"/>
      <c r="AU925" s="100"/>
      <c r="AV925" s="65"/>
      <c r="AW925" s="3"/>
    </row>
    <row r="926" spans="34:49">
      <c r="AH926" s="99"/>
      <c r="AL926" s="99"/>
      <c r="AN926" s="99"/>
      <c r="AQ926" s="6"/>
      <c r="AR926" s="6"/>
      <c r="AS926" s="6"/>
      <c r="AT926" s="89"/>
      <c r="AU926" s="100"/>
      <c r="AV926" s="65"/>
      <c r="AW926" s="3"/>
    </row>
    <row r="927" spans="34:49">
      <c r="AH927" s="99"/>
      <c r="AL927" s="99"/>
      <c r="AN927" s="99"/>
      <c r="AQ927" s="6"/>
      <c r="AR927" s="6"/>
      <c r="AS927" s="6"/>
      <c r="AT927" s="89"/>
      <c r="AU927" s="100"/>
      <c r="AV927" s="65"/>
      <c r="AW927" s="3"/>
    </row>
    <row r="928" spans="34:49">
      <c r="AH928" s="99"/>
      <c r="AL928" s="99"/>
      <c r="AN928" s="99"/>
      <c r="AQ928" s="6"/>
      <c r="AR928" s="6"/>
      <c r="AS928" s="6"/>
      <c r="AT928" s="89"/>
      <c r="AU928" s="100"/>
      <c r="AV928" s="65"/>
      <c r="AW928" s="3"/>
    </row>
    <row r="929" spans="34:49">
      <c r="AH929" s="99"/>
      <c r="AL929" s="99"/>
      <c r="AN929" s="99"/>
      <c r="AQ929" s="6"/>
      <c r="AR929" s="6"/>
      <c r="AS929" s="6"/>
      <c r="AT929" s="89"/>
      <c r="AU929" s="100"/>
      <c r="AV929" s="65"/>
      <c r="AW929" s="3"/>
    </row>
    <row r="930" spans="34:49">
      <c r="AH930" s="99"/>
      <c r="AL930" s="99"/>
      <c r="AN930" s="99"/>
      <c r="AQ930" s="6"/>
      <c r="AR930" s="6"/>
      <c r="AS930" s="6"/>
      <c r="AT930" s="89"/>
      <c r="AU930" s="100"/>
      <c r="AV930" s="65"/>
      <c r="AW930" s="3"/>
    </row>
    <row r="931" spans="34:49">
      <c r="AH931" s="99"/>
      <c r="AL931" s="99"/>
      <c r="AN931" s="99"/>
      <c r="AQ931" s="6"/>
      <c r="AR931" s="6"/>
      <c r="AS931" s="6"/>
      <c r="AT931" s="89"/>
      <c r="AU931" s="100"/>
      <c r="AV931" s="65"/>
      <c r="AW931" s="3"/>
    </row>
    <row r="932" spans="34:49">
      <c r="AH932" s="99"/>
      <c r="AL932" s="99"/>
      <c r="AN932" s="99"/>
      <c r="AQ932" s="6"/>
      <c r="AR932" s="6"/>
      <c r="AS932" s="6"/>
      <c r="AT932" s="89"/>
      <c r="AU932" s="100"/>
      <c r="AV932" s="65"/>
      <c r="AW932" s="3"/>
    </row>
    <row r="933" spans="34:49">
      <c r="AH933" s="99"/>
      <c r="AL933" s="99"/>
      <c r="AN933" s="99"/>
      <c r="AQ933" s="6"/>
      <c r="AR933" s="6"/>
      <c r="AS933" s="6"/>
      <c r="AT933" s="89"/>
      <c r="AU933" s="100"/>
      <c r="AV933" s="65"/>
      <c r="AW933" s="3"/>
    </row>
    <row r="934" spans="34:49">
      <c r="AH934" s="99"/>
      <c r="AL934" s="99"/>
      <c r="AN934" s="99"/>
      <c r="AQ934" s="6"/>
      <c r="AR934" s="6"/>
      <c r="AS934" s="6"/>
      <c r="AT934" s="89"/>
      <c r="AU934" s="100"/>
      <c r="AV934" s="65"/>
      <c r="AW934" s="3"/>
    </row>
    <row r="935" spans="34:49">
      <c r="AH935" s="99"/>
      <c r="AL935" s="99"/>
      <c r="AN935" s="99"/>
      <c r="AQ935" s="6"/>
      <c r="AR935" s="6"/>
      <c r="AS935" s="6"/>
      <c r="AT935" s="89"/>
      <c r="AU935" s="100"/>
      <c r="AV935" s="65"/>
      <c r="AW935" s="3"/>
    </row>
    <row r="936" spans="34:49">
      <c r="AH936" s="99"/>
      <c r="AL936" s="99"/>
      <c r="AN936" s="99"/>
      <c r="AQ936" s="6"/>
      <c r="AR936" s="6"/>
      <c r="AS936" s="6"/>
      <c r="AT936" s="89"/>
      <c r="AU936" s="100"/>
      <c r="AV936" s="65"/>
      <c r="AW936" s="3"/>
    </row>
    <row r="937" spans="34:49">
      <c r="AH937" s="99"/>
      <c r="AL937" s="99"/>
      <c r="AN937" s="99"/>
      <c r="AQ937" s="6"/>
      <c r="AR937" s="6"/>
      <c r="AS937" s="6"/>
      <c r="AT937" s="89"/>
      <c r="AU937" s="100"/>
      <c r="AV937" s="65"/>
      <c r="AW937" s="3"/>
    </row>
    <row r="938" spans="34:49">
      <c r="AH938" s="99"/>
      <c r="AL938" s="99"/>
      <c r="AN938" s="99"/>
      <c r="AQ938" s="6"/>
      <c r="AR938" s="6"/>
      <c r="AS938" s="6"/>
      <c r="AT938" s="89"/>
      <c r="AU938" s="100"/>
      <c r="AV938" s="65"/>
      <c r="AW938" s="3"/>
    </row>
    <row r="939" spans="34:49">
      <c r="AH939" s="99"/>
      <c r="AL939" s="99"/>
      <c r="AN939" s="99"/>
      <c r="AQ939" s="6"/>
      <c r="AR939" s="6"/>
      <c r="AS939" s="6"/>
      <c r="AT939" s="89"/>
      <c r="AU939" s="100"/>
      <c r="AV939" s="65"/>
      <c r="AW939" s="3"/>
    </row>
    <row r="940" spans="34:49">
      <c r="AH940" s="99"/>
      <c r="AL940" s="99"/>
      <c r="AN940" s="99"/>
      <c r="AQ940" s="6"/>
      <c r="AR940" s="6"/>
      <c r="AS940" s="6"/>
      <c r="AT940" s="89"/>
      <c r="AU940" s="100"/>
      <c r="AV940" s="65"/>
      <c r="AW940" s="3"/>
    </row>
    <row r="941" spans="34:49">
      <c r="AH941" s="99"/>
      <c r="AL941" s="99"/>
      <c r="AN941" s="99"/>
      <c r="AQ941" s="6"/>
      <c r="AR941" s="6"/>
      <c r="AS941" s="6"/>
      <c r="AT941" s="89"/>
      <c r="AU941" s="100"/>
      <c r="AV941" s="65"/>
      <c r="AW941" s="3"/>
    </row>
    <row r="942" spans="34:49">
      <c r="AH942" s="99"/>
      <c r="AL942" s="99"/>
      <c r="AN942" s="99"/>
      <c r="AQ942" s="6"/>
      <c r="AR942" s="6"/>
      <c r="AS942" s="6"/>
      <c r="AT942" s="89"/>
      <c r="AU942" s="100"/>
      <c r="AV942" s="65"/>
      <c r="AW942" s="3"/>
    </row>
    <row r="943" spans="34:49">
      <c r="AH943" s="99"/>
      <c r="AL943" s="99"/>
      <c r="AN943" s="99"/>
      <c r="AQ943" s="6"/>
      <c r="AR943" s="6"/>
      <c r="AS943" s="6"/>
      <c r="AT943" s="89"/>
      <c r="AU943" s="100"/>
      <c r="AV943" s="65"/>
      <c r="AW943" s="3"/>
    </row>
    <row r="944" spans="34:49">
      <c r="AH944" s="99"/>
      <c r="AL944" s="99"/>
      <c r="AN944" s="99"/>
      <c r="AQ944" s="6"/>
      <c r="AR944" s="6"/>
      <c r="AS944" s="6"/>
      <c r="AT944" s="89"/>
      <c r="AU944" s="100"/>
      <c r="AV944" s="65"/>
      <c r="AW944" s="3"/>
    </row>
    <row r="945" spans="34:49">
      <c r="AH945" s="99"/>
      <c r="AL945" s="99"/>
      <c r="AN945" s="99"/>
      <c r="AQ945" s="6"/>
      <c r="AR945" s="6"/>
      <c r="AS945" s="6"/>
      <c r="AT945" s="89"/>
      <c r="AU945" s="100"/>
      <c r="AV945" s="65"/>
      <c r="AW945" s="3"/>
    </row>
    <row r="946" spans="34:49">
      <c r="AH946" s="99"/>
      <c r="AL946" s="99"/>
      <c r="AN946" s="99"/>
      <c r="AQ946" s="6"/>
      <c r="AR946" s="6"/>
      <c r="AS946" s="6"/>
      <c r="AT946" s="89"/>
      <c r="AU946" s="100"/>
      <c r="AV946" s="65"/>
      <c r="AW946" s="3"/>
    </row>
    <row r="947" spans="34:49">
      <c r="AH947" s="99"/>
      <c r="AL947" s="99"/>
      <c r="AN947" s="99"/>
      <c r="AQ947" s="6"/>
      <c r="AR947" s="6"/>
      <c r="AS947" s="6"/>
      <c r="AT947" s="89"/>
      <c r="AU947" s="100"/>
      <c r="AV947" s="65"/>
      <c r="AW947" s="3"/>
    </row>
    <row r="948" spans="34:49">
      <c r="AH948" s="99"/>
      <c r="AL948" s="99"/>
      <c r="AN948" s="99"/>
      <c r="AQ948" s="6"/>
      <c r="AR948" s="6"/>
      <c r="AS948" s="6"/>
      <c r="AT948" s="89"/>
      <c r="AU948" s="100"/>
      <c r="AV948" s="65"/>
      <c r="AW948" s="3"/>
    </row>
    <row r="949" spans="34:49">
      <c r="AH949" s="99"/>
      <c r="AL949" s="99"/>
      <c r="AN949" s="99"/>
      <c r="AQ949" s="6"/>
      <c r="AR949" s="6"/>
      <c r="AS949" s="6"/>
      <c r="AT949" s="89"/>
      <c r="AU949" s="100"/>
      <c r="AV949" s="65"/>
      <c r="AW949" s="3"/>
    </row>
    <row r="950" spans="34:49">
      <c r="AH950" s="99"/>
      <c r="AL950" s="99"/>
      <c r="AN950" s="99"/>
      <c r="AQ950" s="6"/>
      <c r="AR950" s="6"/>
      <c r="AS950" s="6"/>
      <c r="AT950" s="89"/>
      <c r="AU950" s="100"/>
      <c r="AV950" s="65"/>
      <c r="AW950" s="3"/>
    </row>
    <row r="951" spans="34:49">
      <c r="AH951" s="99"/>
      <c r="AL951" s="99"/>
      <c r="AN951" s="99"/>
      <c r="AQ951" s="6"/>
      <c r="AR951" s="6"/>
      <c r="AS951" s="6"/>
      <c r="AT951" s="89"/>
      <c r="AU951" s="100"/>
      <c r="AV951" s="65"/>
      <c r="AW951" s="3"/>
    </row>
    <row r="952" spans="34:49">
      <c r="AH952" s="99"/>
      <c r="AL952" s="99"/>
      <c r="AN952" s="99"/>
      <c r="AQ952" s="6"/>
      <c r="AR952" s="6"/>
      <c r="AS952" s="6"/>
      <c r="AT952" s="89"/>
      <c r="AU952" s="100"/>
      <c r="AV952" s="65"/>
      <c r="AW952" s="3"/>
    </row>
    <row r="953" spans="34:49">
      <c r="AH953" s="99"/>
      <c r="AL953" s="99"/>
      <c r="AN953" s="99"/>
      <c r="AQ953" s="6"/>
      <c r="AR953" s="6"/>
      <c r="AS953" s="6"/>
      <c r="AT953" s="89"/>
      <c r="AU953" s="100"/>
      <c r="AV953" s="65"/>
      <c r="AW953" s="3"/>
    </row>
    <row r="954" spans="34:49">
      <c r="AH954" s="99"/>
      <c r="AL954" s="99"/>
      <c r="AN954" s="99"/>
      <c r="AQ954" s="6"/>
      <c r="AR954" s="6"/>
      <c r="AS954" s="6"/>
      <c r="AT954" s="89"/>
      <c r="AU954" s="100"/>
      <c r="AV954" s="65"/>
      <c r="AW954" s="3"/>
    </row>
    <row r="955" spans="34:49">
      <c r="AH955" s="99"/>
      <c r="AL955" s="99"/>
      <c r="AN955" s="99"/>
      <c r="AQ955" s="6"/>
      <c r="AR955" s="6"/>
      <c r="AS955" s="6"/>
      <c r="AT955" s="89"/>
      <c r="AU955" s="100"/>
      <c r="AV955" s="65"/>
      <c r="AW955" s="3"/>
    </row>
    <row r="956" spans="34:49">
      <c r="AH956" s="99"/>
      <c r="AL956" s="99"/>
      <c r="AN956" s="99"/>
      <c r="AQ956" s="6"/>
      <c r="AR956" s="6"/>
      <c r="AS956" s="6"/>
      <c r="AT956" s="89"/>
      <c r="AU956" s="100"/>
      <c r="AV956" s="65"/>
      <c r="AW956" s="3"/>
    </row>
    <row r="957" spans="34:49">
      <c r="AH957" s="99"/>
      <c r="AL957" s="99"/>
      <c r="AN957" s="99"/>
      <c r="AQ957" s="6"/>
      <c r="AR957" s="6"/>
      <c r="AS957" s="6"/>
      <c r="AT957" s="89"/>
      <c r="AU957" s="100"/>
      <c r="AV957" s="65"/>
      <c r="AW957" s="3"/>
    </row>
    <row r="958" spans="34:49">
      <c r="AH958" s="99"/>
      <c r="AL958" s="99"/>
      <c r="AN958" s="99"/>
      <c r="AQ958" s="6"/>
      <c r="AR958" s="6"/>
      <c r="AS958" s="6"/>
      <c r="AT958" s="89"/>
      <c r="AU958" s="100"/>
      <c r="AV958" s="65"/>
      <c r="AW958" s="3"/>
    </row>
    <row r="959" spans="34:49">
      <c r="AH959" s="99"/>
      <c r="AL959" s="99"/>
      <c r="AN959" s="99"/>
      <c r="AQ959" s="6"/>
      <c r="AR959" s="6"/>
      <c r="AS959" s="6"/>
      <c r="AT959" s="89"/>
      <c r="AU959" s="100"/>
      <c r="AV959" s="65"/>
      <c r="AW959" s="3"/>
    </row>
    <row r="960" spans="34:49">
      <c r="AH960" s="99"/>
      <c r="AL960" s="99"/>
      <c r="AN960" s="99"/>
      <c r="AQ960" s="6"/>
      <c r="AR960" s="6"/>
      <c r="AS960" s="6"/>
      <c r="AT960" s="89"/>
      <c r="AU960" s="100"/>
      <c r="AV960" s="65"/>
      <c r="AW960" s="3"/>
    </row>
    <row r="961" spans="34:49">
      <c r="AH961" s="99"/>
      <c r="AL961" s="99"/>
      <c r="AN961" s="99"/>
      <c r="AQ961" s="6"/>
      <c r="AR961" s="6"/>
      <c r="AS961" s="6"/>
      <c r="AT961" s="89"/>
      <c r="AU961" s="100"/>
      <c r="AV961" s="65"/>
      <c r="AW961" s="3"/>
    </row>
    <row r="962" spans="34:49">
      <c r="AH962" s="99"/>
      <c r="AL962" s="99"/>
      <c r="AN962" s="99"/>
      <c r="AQ962" s="6"/>
      <c r="AR962" s="6"/>
      <c r="AS962" s="6"/>
      <c r="AT962" s="89"/>
      <c r="AU962" s="100"/>
      <c r="AV962" s="65"/>
      <c r="AW962" s="3"/>
    </row>
    <row r="963" spans="34:49">
      <c r="AH963" s="99"/>
      <c r="AL963" s="99"/>
      <c r="AN963" s="99"/>
      <c r="AQ963" s="6"/>
      <c r="AR963" s="6"/>
      <c r="AS963" s="6"/>
      <c r="AT963" s="89"/>
      <c r="AU963" s="100"/>
      <c r="AV963" s="65"/>
      <c r="AW963" s="3"/>
    </row>
    <row r="964" spans="34:49">
      <c r="AH964" s="99"/>
      <c r="AL964" s="99"/>
      <c r="AN964" s="99"/>
      <c r="AQ964" s="6"/>
      <c r="AR964" s="6"/>
      <c r="AS964" s="6"/>
      <c r="AT964" s="89"/>
      <c r="AU964" s="100"/>
      <c r="AV964" s="65"/>
      <c r="AW964" s="3"/>
    </row>
    <row r="965" spans="34:49">
      <c r="AH965" s="99"/>
      <c r="AL965" s="99"/>
      <c r="AN965" s="99"/>
      <c r="AQ965" s="6"/>
      <c r="AR965" s="6"/>
      <c r="AS965" s="6"/>
      <c r="AT965" s="89"/>
      <c r="AU965" s="100"/>
      <c r="AV965" s="65"/>
      <c r="AW965" s="3"/>
    </row>
    <row r="966" spans="34:49">
      <c r="AH966" s="99"/>
      <c r="AL966" s="99"/>
      <c r="AN966" s="99"/>
      <c r="AQ966" s="6"/>
      <c r="AR966" s="6"/>
      <c r="AS966" s="6"/>
      <c r="AT966" s="89"/>
      <c r="AU966" s="100"/>
      <c r="AV966" s="65"/>
      <c r="AW966" s="3"/>
    </row>
    <row r="967" spans="34:49">
      <c r="AH967" s="99"/>
      <c r="AL967" s="99"/>
      <c r="AN967" s="99"/>
      <c r="AQ967" s="6"/>
      <c r="AR967" s="6"/>
      <c r="AS967" s="6"/>
      <c r="AT967" s="89"/>
      <c r="AU967" s="100"/>
      <c r="AV967" s="65"/>
      <c r="AW967" s="3"/>
    </row>
    <row r="968" spans="34:49">
      <c r="AH968" s="99"/>
      <c r="AL968" s="99"/>
      <c r="AN968" s="99"/>
      <c r="AQ968" s="6"/>
      <c r="AR968" s="6"/>
      <c r="AS968" s="6"/>
      <c r="AT968" s="89"/>
      <c r="AU968" s="100"/>
      <c r="AV968" s="65"/>
      <c r="AW968" s="3"/>
    </row>
    <row r="969" spans="34:49">
      <c r="AH969" s="99"/>
      <c r="AL969" s="99"/>
      <c r="AN969" s="99"/>
      <c r="AQ969" s="6"/>
      <c r="AR969" s="6"/>
      <c r="AS969" s="6"/>
      <c r="AT969" s="89"/>
      <c r="AU969" s="100"/>
      <c r="AV969" s="65"/>
      <c r="AW969" s="3"/>
    </row>
    <row r="970" spans="34:49">
      <c r="AH970" s="99"/>
      <c r="AL970" s="99"/>
      <c r="AN970" s="99"/>
      <c r="AQ970" s="6"/>
      <c r="AR970" s="6"/>
      <c r="AS970" s="6"/>
      <c r="AT970" s="89"/>
      <c r="AU970" s="100"/>
      <c r="AV970" s="65"/>
      <c r="AW970" s="3"/>
    </row>
    <row r="971" spans="34:49">
      <c r="AH971" s="99"/>
      <c r="AL971" s="99"/>
      <c r="AN971" s="99"/>
      <c r="AQ971" s="6"/>
      <c r="AR971" s="6"/>
      <c r="AS971" s="6"/>
      <c r="AT971" s="89"/>
      <c r="AU971" s="100"/>
      <c r="AV971" s="65"/>
      <c r="AW971" s="3"/>
    </row>
    <row r="972" spans="34:49">
      <c r="AH972" s="99"/>
      <c r="AL972" s="99"/>
      <c r="AN972" s="99"/>
      <c r="AQ972" s="6"/>
      <c r="AR972" s="6"/>
      <c r="AS972" s="6"/>
      <c r="AT972" s="89"/>
      <c r="AU972" s="100"/>
      <c r="AV972" s="65"/>
      <c r="AW972" s="3"/>
    </row>
    <row r="973" spans="34:49">
      <c r="AH973" s="99"/>
      <c r="AL973" s="99"/>
      <c r="AN973" s="99"/>
      <c r="AQ973" s="6"/>
      <c r="AR973" s="6"/>
      <c r="AS973" s="6"/>
      <c r="AT973" s="89"/>
      <c r="AU973" s="100"/>
      <c r="AV973" s="65"/>
      <c r="AW973" s="3"/>
    </row>
    <row r="974" spans="34:49">
      <c r="AH974" s="99"/>
      <c r="AL974" s="99"/>
      <c r="AN974" s="99"/>
      <c r="AQ974" s="6"/>
      <c r="AR974" s="6"/>
      <c r="AS974" s="6"/>
      <c r="AT974" s="89"/>
      <c r="AU974" s="100"/>
      <c r="AV974" s="65"/>
      <c r="AW974" s="3"/>
    </row>
    <row r="975" spans="34:49">
      <c r="AH975" s="99"/>
      <c r="AL975" s="99"/>
      <c r="AN975" s="99"/>
      <c r="AQ975" s="6"/>
      <c r="AR975" s="6"/>
      <c r="AS975" s="6"/>
      <c r="AT975" s="89"/>
      <c r="AU975" s="100"/>
      <c r="AV975" s="65"/>
      <c r="AW975" s="3"/>
    </row>
    <row r="976" spans="34:49">
      <c r="AH976" s="99"/>
      <c r="AL976" s="99"/>
      <c r="AN976" s="99"/>
      <c r="AQ976" s="6"/>
      <c r="AR976" s="6"/>
      <c r="AS976" s="6"/>
      <c r="AT976" s="89"/>
      <c r="AU976" s="100"/>
      <c r="AV976" s="65"/>
      <c r="AW976" s="3"/>
    </row>
    <row r="977" spans="34:49">
      <c r="AH977" s="99"/>
      <c r="AL977" s="99"/>
      <c r="AN977" s="99"/>
      <c r="AQ977" s="6"/>
      <c r="AR977" s="6"/>
      <c r="AS977" s="6"/>
      <c r="AT977" s="89"/>
      <c r="AU977" s="100"/>
      <c r="AV977" s="65"/>
      <c r="AW977" s="3"/>
    </row>
    <row r="978" spans="34:49">
      <c r="AH978" s="99"/>
      <c r="AL978" s="99"/>
      <c r="AN978" s="99"/>
      <c r="AQ978" s="6"/>
      <c r="AR978" s="6"/>
      <c r="AS978" s="6"/>
      <c r="AT978" s="89"/>
      <c r="AU978" s="100"/>
      <c r="AV978" s="65"/>
      <c r="AW978" s="3"/>
    </row>
    <row r="979" spans="34:49">
      <c r="AH979" s="99"/>
      <c r="AL979" s="99"/>
      <c r="AN979" s="99"/>
      <c r="AQ979" s="6"/>
      <c r="AR979" s="6"/>
      <c r="AS979" s="6"/>
      <c r="AT979" s="89"/>
      <c r="AU979" s="100"/>
      <c r="AV979" s="65"/>
      <c r="AW979" s="3"/>
    </row>
    <row r="980" spans="34:49">
      <c r="AH980" s="99"/>
      <c r="AL980" s="99"/>
      <c r="AN980" s="99"/>
      <c r="AQ980" s="6"/>
      <c r="AR980" s="6"/>
      <c r="AS980" s="6"/>
      <c r="AT980" s="89"/>
      <c r="AU980" s="100"/>
      <c r="AV980" s="65"/>
      <c r="AW980" s="3"/>
    </row>
    <row r="981" spans="34:49">
      <c r="AH981" s="99"/>
      <c r="AL981" s="99"/>
      <c r="AN981" s="99"/>
      <c r="AQ981" s="6"/>
      <c r="AR981" s="6"/>
      <c r="AS981" s="6"/>
      <c r="AT981" s="89"/>
      <c r="AU981" s="100"/>
      <c r="AV981" s="65"/>
      <c r="AW981" s="3"/>
    </row>
    <row r="982" spans="34:49">
      <c r="AH982" s="99"/>
      <c r="AL982" s="99"/>
      <c r="AN982" s="99"/>
      <c r="AQ982" s="6"/>
      <c r="AR982" s="6"/>
      <c r="AS982" s="6"/>
      <c r="AT982" s="89"/>
      <c r="AU982" s="100"/>
      <c r="AV982" s="65"/>
      <c r="AW982" s="3"/>
    </row>
    <row r="983" spans="34:49">
      <c r="AH983" s="99"/>
      <c r="AL983" s="99"/>
      <c r="AN983" s="99"/>
      <c r="AQ983" s="6"/>
      <c r="AR983" s="6"/>
      <c r="AS983" s="6"/>
      <c r="AT983" s="89"/>
      <c r="AU983" s="100"/>
      <c r="AV983" s="65"/>
      <c r="AW983" s="3"/>
    </row>
    <row r="984" spans="34:49">
      <c r="AH984" s="99"/>
      <c r="AL984" s="99"/>
      <c r="AN984" s="99"/>
      <c r="AQ984" s="6"/>
      <c r="AR984" s="6"/>
      <c r="AS984" s="6"/>
      <c r="AT984" s="89"/>
      <c r="AU984" s="100"/>
      <c r="AV984" s="65"/>
      <c r="AW984" s="3"/>
    </row>
    <row r="985" spans="34:49">
      <c r="AH985" s="99"/>
      <c r="AL985" s="99"/>
      <c r="AN985" s="99"/>
      <c r="AQ985" s="6"/>
      <c r="AR985" s="6"/>
      <c r="AS985" s="6"/>
      <c r="AT985" s="89"/>
      <c r="AU985" s="100"/>
      <c r="AV985" s="65"/>
      <c r="AW985" s="3"/>
    </row>
    <row r="986" spans="34:49">
      <c r="AH986" s="99"/>
      <c r="AL986" s="99"/>
      <c r="AN986" s="99"/>
      <c r="AQ986" s="6"/>
      <c r="AR986" s="6"/>
      <c r="AS986" s="6"/>
      <c r="AT986" s="89"/>
      <c r="AU986" s="100"/>
      <c r="AV986" s="65"/>
      <c r="AW986" s="3"/>
    </row>
    <row r="987" spans="34:49">
      <c r="AH987" s="99"/>
      <c r="AL987" s="99"/>
      <c r="AN987" s="99"/>
      <c r="AQ987" s="6"/>
      <c r="AR987" s="6"/>
      <c r="AS987" s="6"/>
      <c r="AT987" s="89"/>
      <c r="AU987" s="100"/>
      <c r="AV987" s="65"/>
      <c r="AW987" s="3"/>
    </row>
    <row r="988" spans="34:49">
      <c r="AH988" s="99"/>
      <c r="AL988" s="99"/>
      <c r="AN988" s="99"/>
      <c r="AQ988" s="6"/>
      <c r="AR988" s="6"/>
      <c r="AS988" s="6"/>
      <c r="AT988" s="89"/>
      <c r="AU988" s="100"/>
      <c r="AV988" s="65"/>
      <c r="AW988" s="3"/>
    </row>
    <row r="989" spans="34:49">
      <c r="AH989" s="99"/>
      <c r="AL989" s="99"/>
      <c r="AN989" s="99"/>
      <c r="AQ989" s="6"/>
      <c r="AR989" s="6"/>
      <c r="AS989" s="6"/>
      <c r="AT989" s="89"/>
      <c r="AU989" s="100"/>
      <c r="AV989" s="65"/>
      <c r="AW989" s="3"/>
    </row>
    <row r="990" spans="34:49">
      <c r="AH990" s="99"/>
      <c r="AL990" s="99"/>
      <c r="AN990" s="99"/>
      <c r="AQ990" s="6"/>
      <c r="AR990" s="6"/>
      <c r="AS990" s="6"/>
      <c r="AT990" s="89"/>
      <c r="AU990" s="100"/>
      <c r="AV990" s="65"/>
      <c r="AW990" s="3"/>
    </row>
    <row r="991" spans="34:49">
      <c r="AH991" s="99"/>
      <c r="AL991" s="99"/>
      <c r="AN991" s="99"/>
      <c r="AQ991" s="6"/>
      <c r="AR991" s="6"/>
      <c r="AS991" s="6"/>
      <c r="AT991" s="89"/>
      <c r="AU991" s="100"/>
      <c r="AV991" s="65"/>
      <c r="AW991" s="3"/>
    </row>
    <row r="992" spans="34:49">
      <c r="AH992" s="99"/>
      <c r="AL992" s="99"/>
      <c r="AN992" s="99"/>
      <c r="AQ992" s="6"/>
      <c r="AR992" s="6"/>
      <c r="AS992" s="6"/>
      <c r="AT992" s="89"/>
      <c r="AU992" s="100"/>
      <c r="AV992" s="65"/>
      <c r="AW992" s="3"/>
    </row>
    <row r="993" spans="34:49">
      <c r="AH993" s="99"/>
      <c r="AL993" s="99"/>
      <c r="AN993" s="99"/>
      <c r="AQ993" s="6"/>
      <c r="AR993" s="6"/>
      <c r="AS993" s="6"/>
      <c r="AT993" s="89"/>
      <c r="AU993" s="100"/>
      <c r="AV993" s="65"/>
      <c r="AW993" s="3"/>
    </row>
    <row r="994" spans="34:49">
      <c r="AH994" s="99"/>
      <c r="AL994" s="99"/>
      <c r="AN994" s="99"/>
      <c r="AQ994" s="6"/>
      <c r="AR994" s="6"/>
      <c r="AS994" s="6"/>
      <c r="AT994" s="89"/>
      <c r="AU994" s="100"/>
      <c r="AV994" s="65"/>
      <c r="AW994" s="3"/>
    </row>
    <row r="995" spans="34:49">
      <c r="AH995" s="99"/>
      <c r="AL995" s="99"/>
      <c r="AN995" s="99"/>
      <c r="AQ995" s="6"/>
      <c r="AR995" s="6"/>
      <c r="AS995" s="6"/>
      <c r="AT995" s="89"/>
      <c r="AU995" s="100"/>
      <c r="AV995" s="65"/>
      <c r="AW995" s="3"/>
    </row>
    <row r="996" spans="34:49">
      <c r="AH996" s="99"/>
      <c r="AL996" s="99"/>
      <c r="AN996" s="99"/>
      <c r="AQ996" s="6"/>
      <c r="AR996" s="6"/>
      <c r="AS996" s="6"/>
      <c r="AT996" s="89"/>
      <c r="AU996" s="100"/>
      <c r="AV996" s="65"/>
      <c r="AW996" s="3"/>
    </row>
    <row r="997" spans="34:49">
      <c r="AH997" s="99"/>
      <c r="AL997" s="99"/>
      <c r="AN997" s="99"/>
      <c r="AQ997" s="6"/>
      <c r="AR997" s="6"/>
      <c r="AS997" s="6"/>
      <c r="AT997" s="89"/>
      <c r="AU997" s="100"/>
      <c r="AV997" s="65"/>
      <c r="AW997" s="3"/>
    </row>
    <row r="998" spans="34:49">
      <c r="AH998" s="99"/>
      <c r="AL998" s="99"/>
      <c r="AN998" s="99"/>
      <c r="AQ998" s="6"/>
      <c r="AR998" s="6"/>
      <c r="AS998" s="6"/>
      <c r="AT998" s="89"/>
      <c r="AU998" s="100"/>
      <c r="AV998" s="65"/>
      <c r="AW998" s="3"/>
    </row>
    <row r="999" spans="34:49">
      <c r="AH999" s="99"/>
      <c r="AL999" s="99"/>
      <c r="AN999" s="99"/>
      <c r="AQ999" s="6"/>
      <c r="AR999" s="6"/>
      <c r="AS999" s="6"/>
      <c r="AT999" s="89"/>
      <c r="AU999" s="100"/>
      <c r="AV999" s="65"/>
      <c r="AW999" s="3"/>
    </row>
    <row r="1000" spans="34:49">
      <c r="AH1000" s="99"/>
      <c r="AL1000" s="99"/>
      <c r="AN1000" s="99"/>
      <c r="AQ1000" s="6"/>
      <c r="AR1000" s="6"/>
      <c r="AS1000" s="6"/>
      <c r="AT1000" s="89"/>
      <c r="AU1000" s="100"/>
      <c r="AV1000" s="65"/>
      <c r="AW1000" s="3"/>
    </row>
    <row r="1001" spans="34:49">
      <c r="AH1001" s="99"/>
      <c r="AL1001" s="99"/>
      <c r="AN1001" s="99"/>
      <c r="AQ1001" s="6"/>
      <c r="AR1001" s="6"/>
      <c r="AS1001" s="6"/>
      <c r="AT1001" s="89"/>
      <c r="AU1001" s="100"/>
      <c r="AV1001" s="65"/>
      <c r="AW1001" s="3"/>
    </row>
    <row r="1002" spans="34:49">
      <c r="AH1002" s="99"/>
      <c r="AL1002" s="99"/>
      <c r="AN1002" s="99"/>
      <c r="AQ1002" s="6"/>
      <c r="AR1002" s="6"/>
      <c r="AS1002" s="6"/>
      <c r="AT1002" s="89"/>
      <c r="AU1002" s="100"/>
      <c r="AV1002" s="65"/>
      <c r="AW1002" s="3"/>
    </row>
    <row r="1003" spans="34:49">
      <c r="AH1003" s="99"/>
      <c r="AL1003" s="99"/>
      <c r="AN1003" s="99"/>
      <c r="AQ1003" s="6"/>
      <c r="AR1003" s="6"/>
      <c r="AS1003" s="6"/>
      <c r="AT1003" s="89"/>
      <c r="AU1003" s="100"/>
      <c r="AV1003" s="65"/>
      <c r="AW1003" s="3"/>
    </row>
    <row r="1004" spans="34:49">
      <c r="AH1004" s="99"/>
      <c r="AL1004" s="99"/>
      <c r="AN1004" s="99"/>
      <c r="AQ1004" s="6"/>
      <c r="AR1004" s="6"/>
      <c r="AS1004" s="6"/>
      <c r="AT1004" s="89"/>
      <c r="AU1004" s="100"/>
      <c r="AV1004" s="65"/>
      <c r="AW1004" s="3"/>
    </row>
    <row r="1005" spans="34:49">
      <c r="AH1005" s="99"/>
      <c r="AL1005" s="99"/>
      <c r="AN1005" s="99"/>
      <c r="AQ1005" s="6"/>
      <c r="AR1005" s="6"/>
      <c r="AS1005" s="6"/>
      <c r="AT1005" s="89"/>
      <c r="AU1005" s="100"/>
      <c r="AV1005" s="65"/>
      <c r="AW1005" s="3"/>
    </row>
    <row r="1006" spans="34:49">
      <c r="AH1006" s="99"/>
      <c r="AL1006" s="99"/>
      <c r="AN1006" s="99"/>
      <c r="AQ1006" s="6"/>
      <c r="AR1006" s="6"/>
      <c r="AS1006" s="6"/>
      <c r="AT1006" s="89"/>
      <c r="AU1006" s="100"/>
      <c r="AV1006" s="65"/>
      <c r="AW1006" s="3"/>
    </row>
    <row r="1007" spans="34:49">
      <c r="AH1007" s="99"/>
      <c r="AL1007" s="99"/>
      <c r="AN1007" s="99"/>
      <c r="AQ1007" s="6"/>
      <c r="AR1007" s="6"/>
      <c r="AS1007" s="6"/>
      <c r="AT1007" s="89"/>
      <c r="AU1007" s="100"/>
      <c r="AV1007" s="65"/>
      <c r="AW1007" s="3"/>
    </row>
    <row r="1008" spans="34:49">
      <c r="AH1008" s="99"/>
      <c r="AL1008" s="99"/>
      <c r="AN1008" s="99"/>
      <c r="AQ1008" s="6"/>
      <c r="AR1008" s="6"/>
      <c r="AS1008" s="6"/>
      <c r="AT1008" s="89"/>
      <c r="AU1008" s="100"/>
      <c r="AV1008" s="65"/>
      <c r="AW1008" s="3"/>
    </row>
    <row r="1009" spans="34:49">
      <c r="AH1009" s="99"/>
      <c r="AL1009" s="99"/>
      <c r="AN1009" s="99"/>
      <c r="AQ1009" s="6"/>
      <c r="AR1009" s="6"/>
      <c r="AS1009" s="6"/>
      <c r="AT1009" s="89"/>
      <c r="AU1009" s="100"/>
      <c r="AV1009" s="65"/>
      <c r="AW1009" s="3"/>
    </row>
    <row r="1010" spans="34:49">
      <c r="AH1010" s="99"/>
      <c r="AL1010" s="99"/>
      <c r="AN1010" s="99"/>
      <c r="AQ1010" s="6"/>
      <c r="AR1010" s="6"/>
      <c r="AS1010" s="6"/>
      <c r="AT1010" s="89"/>
      <c r="AU1010" s="100"/>
      <c r="AV1010" s="65"/>
      <c r="AW1010" s="3"/>
    </row>
    <row r="1011" spans="34:49">
      <c r="AH1011" s="99"/>
      <c r="AL1011" s="99"/>
      <c r="AN1011" s="99"/>
      <c r="AQ1011" s="6"/>
      <c r="AR1011" s="6"/>
      <c r="AS1011" s="6"/>
      <c r="AT1011" s="89"/>
      <c r="AU1011" s="100"/>
      <c r="AV1011" s="65"/>
      <c r="AW1011" s="3"/>
    </row>
    <row r="1012" spans="34:49">
      <c r="AH1012" s="99"/>
      <c r="AL1012" s="99"/>
      <c r="AN1012" s="99"/>
      <c r="AQ1012" s="6"/>
      <c r="AR1012" s="6"/>
      <c r="AS1012" s="6"/>
      <c r="AT1012" s="89"/>
      <c r="AU1012" s="100"/>
      <c r="AV1012" s="65"/>
      <c r="AW1012" s="3"/>
    </row>
    <row r="1013" spans="34:49">
      <c r="AH1013" s="99"/>
      <c r="AL1013" s="99"/>
      <c r="AN1013" s="99"/>
      <c r="AQ1013" s="6"/>
      <c r="AR1013" s="6"/>
      <c r="AS1013" s="6"/>
      <c r="AT1013" s="89"/>
      <c r="AU1013" s="100"/>
      <c r="AV1013" s="65"/>
      <c r="AW1013" s="3"/>
    </row>
    <row r="1014" spans="34:49">
      <c r="AH1014" s="99"/>
      <c r="AL1014" s="99"/>
      <c r="AN1014" s="99"/>
      <c r="AQ1014" s="6"/>
      <c r="AR1014" s="6"/>
      <c r="AS1014" s="6"/>
      <c r="AT1014" s="89"/>
      <c r="AU1014" s="100"/>
      <c r="AV1014" s="65"/>
      <c r="AW1014" s="3"/>
    </row>
    <row r="1015" spans="34:49">
      <c r="AH1015" s="99"/>
      <c r="AL1015" s="99"/>
      <c r="AN1015" s="99"/>
      <c r="AQ1015" s="6"/>
      <c r="AR1015" s="6"/>
      <c r="AS1015" s="6"/>
      <c r="AT1015" s="89"/>
      <c r="AU1015" s="100"/>
      <c r="AV1015" s="65"/>
      <c r="AW1015" s="3"/>
    </row>
    <row r="1016" spans="34:49">
      <c r="AH1016" s="99"/>
      <c r="AL1016" s="99"/>
      <c r="AN1016" s="99"/>
      <c r="AQ1016" s="6"/>
      <c r="AR1016" s="6"/>
      <c r="AS1016" s="6"/>
      <c r="AT1016" s="89"/>
      <c r="AU1016" s="100"/>
      <c r="AV1016" s="65"/>
      <c r="AW1016" s="3"/>
    </row>
    <row r="1017" spans="34:49">
      <c r="AH1017" s="99"/>
      <c r="AL1017" s="99"/>
      <c r="AN1017" s="99"/>
      <c r="AQ1017" s="6"/>
      <c r="AR1017" s="6"/>
      <c r="AS1017" s="6"/>
      <c r="AT1017" s="89"/>
      <c r="AU1017" s="100"/>
      <c r="AV1017" s="65"/>
      <c r="AW1017" s="3"/>
    </row>
    <row r="1018" spans="34:49">
      <c r="AH1018" s="99"/>
      <c r="AL1018" s="99"/>
      <c r="AN1018" s="99"/>
      <c r="AQ1018" s="6"/>
      <c r="AR1018" s="6"/>
      <c r="AS1018" s="6"/>
      <c r="AT1018" s="89"/>
      <c r="AU1018" s="100"/>
      <c r="AV1018" s="65"/>
      <c r="AW1018" s="3"/>
    </row>
    <row r="1019" spans="34:49">
      <c r="AH1019" s="99"/>
      <c r="AL1019" s="99"/>
      <c r="AN1019" s="99"/>
      <c r="AQ1019" s="6"/>
      <c r="AR1019" s="6"/>
      <c r="AS1019" s="6"/>
      <c r="AT1019" s="89"/>
      <c r="AU1019" s="100"/>
      <c r="AV1019" s="65"/>
      <c r="AW1019" s="3"/>
    </row>
    <row r="1020" spans="34:49">
      <c r="AH1020" s="99"/>
      <c r="AL1020" s="99"/>
      <c r="AN1020" s="99"/>
      <c r="AQ1020" s="6"/>
      <c r="AR1020" s="6"/>
      <c r="AS1020" s="6"/>
      <c r="AT1020" s="89"/>
      <c r="AU1020" s="100"/>
      <c r="AV1020" s="65"/>
      <c r="AW1020" s="3"/>
    </row>
    <row r="1021" spans="34:49">
      <c r="AH1021" s="99"/>
      <c r="AL1021" s="99"/>
      <c r="AN1021" s="99"/>
      <c r="AQ1021" s="6"/>
      <c r="AR1021" s="6"/>
      <c r="AS1021" s="6"/>
      <c r="AT1021" s="89"/>
      <c r="AU1021" s="100"/>
      <c r="AV1021" s="65"/>
      <c r="AW1021" s="3"/>
    </row>
    <row r="1022" spans="34:49">
      <c r="AH1022" s="99"/>
      <c r="AL1022" s="99"/>
      <c r="AN1022" s="99"/>
      <c r="AQ1022" s="6"/>
      <c r="AR1022" s="6"/>
      <c r="AS1022" s="6"/>
      <c r="AT1022" s="89"/>
      <c r="AU1022" s="100"/>
      <c r="AV1022" s="65"/>
      <c r="AW1022" s="3"/>
    </row>
    <row r="1023" spans="34:49">
      <c r="AH1023" s="99"/>
      <c r="AL1023" s="99"/>
      <c r="AN1023" s="99"/>
      <c r="AQ1023" s="6"/>
      <c r="AR1023" s="6"/>
      <c r="AS1023" s="6"/>
      <c r="AT1023" s="89"/>
      <c r="AU1023" s="100"/>
      <c r="AV1023" s="65"/>
      <c r="AW1023" s="3"/>
    </row>
    <row r="1024" spans="34:49">
      <c r="AH1024" s="99"/>
      <c r="AL1024" s="99"/>
      <c r="AN1024" s="99"/>
      <c r="AQ1024" s="6"/>
      <c r="AR1024" s="6"/>
      <c r="AS1024" s="6"/>
      <c r="AT1024" s="89"/>
      <c r="AU1024" s="100"/>
      <c r="AV1024" s="65"/>
      <c r="AW1024" s="3"/>
    </row>
    <row r="1025" spans="34:49">
      <c r="AH1025" s="99"/>
      <c r="AL1025" s="99"/>
      <c r="AN1025" s="99"/>
      <c r="AQ1025" s="6"/>
      <c r="AR1025" s="6"/>
      <c r="AS1025" s="6"/>
      <c r="AT1025" s="89"/>
      <c r="AU1025" s="100"/>
      <c r="AV1025" s="65"/>
      <c r="AW1025" s="3"/>
    </row>
    <row r="1026" spans="34:49">
      <c r="AH1026" s="99"/>
      <c r="AL1026" s="99"/>
      <c r="AN1026" s="99"/>
      <c r="AQ1026" s="6"/>
      <c r="AR1026" s="6"/>
      <c r="AS1026" s="6"/>
      <c r="AT1026" s="89"/>
      <c r="AU1026" s="100"/>
      <c r="AV1026" s="65"/>
      <c r="AW1026" s="3"/>
    </row>
    <row r="1027" spans="34:49">
      <c r="AH1027" s="99"/>
      <c r="AL1027" s="99"/>
      <c r="AN1027" s="99"/>
      <c r="AQ1027" s="6"/>
      <c r="AR1027" s="6"/>
      <c r="AS1027" s="6"/>
      <c r="AT1027" s="89"/>
      <c r="AU1027" s="100"/>
      <c r="AV1027" s="65"/>
      <c r="AW1027" s="3"/>
    </row>
    <row r="1028" spans="34:49">
      <c r="AH1028" s="99"/>
      <c r="AL1028" s="99"/>
      <c r="AN1028" s="99"/>
      <c r="AQ1028" s="6"/>
      <c r="AR1028" s="6"/>
      <c r="AS1028" s="6"/>
      <c r="AT1028" s="89"/>
      <c r="AU1028" s="100"/>
      <c r="AV1028" s="65"/>
      <c r="AW1028" s="3"/>
    </row>
    <row r="1029" spans="34:49">
      <c r="AH1029" s="99"/>
      <c r="AL1029" s="99"/>
      <c r="AN1029" s="99"/>
      <c r="AQ1029" s="6"/>
      <c r="AR1029" s="6"/>
      <c r="AS1029" s="6"/>
      <c r="AT1029" s="89"/>
      <c r="AU1029" s="100"/>
      <c r="AV1029" s="65"/>
      <c r="AW1029" s="3"/>
    </row>
    <row r="1030" spans="34:49">
      <c r="AH1030" s="99"/>
      <c r="AL1030" s="99"/>
      <c r="AN1030" s="99"/>
      <c r="AQ1030" s="6"/>
      <c r="AR1030" s="6"/>
      <c r="AS1030" s="6"/>
      <c r="AT1030" s="89"/>
      <c r="AU1030" s="100"/>
      <c r="AV1030" s="65"/>
      <c r="AW1030" s="3"/>
    </row>
    <row r="1031" spans="34:49">
      <c r="AH1031" s="99"/>
      <c r="AL1031" s="99"/>
      <c r="AN1031" s="99"/>
      <c r="AQ1031" s="6"/>
      <c r="AR1031" s="6"/>
      <c r="AS1031" s="6"/>
      <c r="AT1031" s="89"/>
      <c r="AU1031" s="100"/>
      <c r="AV1031" s="65"/>
      <c r="AW1031" s="3"/>
    </row>
    <row r="1032" spans="34:49">
      <c r="AH1032" s="99"/>
      <c r="AL1032" s="99"/>
      <c r="AN1032" s="99"/>
      <c r="AQ1032" s="6"/>
      <c r="AR1032" s="6"/>
      <c r="AS1032" s="6"/>
      <c r="AT1032" s="89"/>
      <c r="AU1032" s="100"/>
      <c r="AV1032" s="65"/>
      <c r="AW1032" s="3"/>
    </row>
    <row r="1033" spans="34:49">
      <c r="AH1033" s="99"/>
      <c r="AL1033" s="99"/>
      <c r="AN1033" s="99"/>
      <c r="AQ1033" s="6"/>
      <c r="AR1033" s="6"/>
      <c r="AS1033" s="6"/>
      <c r="AT1033" s="89"/>
      <c r="AU1033" s="100"/>
      <c r="AV1033" s="65"/>
      <c r="AW1033" s="3"/>
    </row>
    <row r="1034" spans="34:49">
      <c r="AH1034" s="99"/>
      <c r="AL1034" s="99"/>
      <c r="AN1034" s="99"/>
      <c r="AQ1034" s="6"/>
      <c r="AR1034" s="6"/>
      <c r="AS1034" s="6"/>
      <c r="AT1034" s="89"/>
      <c r="AU1034" s="100"/>
      <c r="AV1034" s="65"/>
      <c r="AW1034" s="3"/>
    </row>
    <row r="1035" spans="34:49">
      <c r="AH1035" s="99"/>
      <c r="AL1035" s="99"/>
      <c r="AN1035" s="99"/>
      <c r="AQ1035" s="6"/>
      <c r="AR1035" s="6"/>
      <c r="AS1035" s="6"/>
      <c r="AT1035" s="89"/>
      <c r="AU1035" s="100"/>
      <c r="AV1035" s="65"/>
      <c r="AW1035" s="3"/>
    </row>
    <row r="1036" spans="34:49">
      <c r="AH1036" s="99"/>
      <c r="AL1036" s="99"/>
      <c r="AN1036" s="99"/>
      <c r="AQ1036" s="6"/>
      <c r="AR1036" s="6"/>
      <c r="AS1036" s="6"/>
      <c r="AT1036" s="89"/>
      <c r="AU1036" s="100"/>
      <c r="AV1036" s="65"/>
      <c r="AW1036" s="3"/>
    </row>
    <row r="1037" spans="34:49">
      <c r="AH1037" s="99"/>
      <c r="AL1037" s="99"/>
      <c r="AN1037" s="99"/>
      <c r="AQ1037" s="6"/>
      <c r="AR1037" s="6"/>
      <c r="AS1037" s="6"/>
      <c r="AT1037" s="89"/>
      <c r="AU1037" s="100"/>
      <c r="AV1037" s="65"/>
      <c r="AW1037" s="3"/>
    </row>
    <row r="1038" spans="34:49">
      <c r="AH1038" s="99"/>
      <c r="AL1038" s="99"/>
      <c r="AN1038" s="99"/>
      <c r="AQ1038" s="6"/>
      <c r="AR1038" s="6"/>
      <c r="AS1038" s="6"/>
      <c r="AT1038" s="89"/>
      <c r="AU1038" s="100"/>
      <c r="AV1038" s="65"/>
      <c r="AW1038" s="3"/>
    </row>
    <row r="1039" spans="34:49">
      <c r="AH1039" s="99"/>
      <c r="AL1039" s="99"/>
      <c r="AN1039" s="99"/>
      <c r="AQ1039" s="6"/>
      <c r="AR1039" s="6"/>
      <c r="AS1039" s="6"/>
      <c r="AT1039" s="89"/>
      <c r="AU1039" s="100"/>
      <c r="AV1039" s="65"/>
      <c r="AW1039" s="3"/>
    </row>
    <row r="1040" spans="34:49">
      <c r="AH1040" s="99"/>
      <c r="AL1040" s="99"/>
      <c r="AN1040" s="99"/>
      <c r="AQ1040" s="6"/>
      <c r="AR1040" s="6"/>
      <c r="AS1040" s="6"/>
      <c r="AT1040" s="89"/>
      <c r="AU1040" s="100"/>
      <c r="AV1040" s="65"/>
      <c r="AW1040" s="3"/>
    </row>
    <row r="1041" spans="34:49">
      <c r="AH1041" s="99"/>
      <c r="AL1041" s="99"/>
      <c r="AN1041" s="99"/>
      <c r="AQ1041" s="6"/>
      <c r="AR1041" s="6"/>
      <c r="AS1041" s="6"/>
      <c r="AT1041" s="89"/>
      <c r="AU1041" s="100"/>
      <c r="AV1041" s="65"/>
      <c r="AW1041" s="3"/>
    </row>
    <row r="1042" spans="34:49">
      <c r="AH1042" s="99"/>
      <c r="AL1042" s="99"/>
      <c r="AN1042" s="99"/>
      <c r="AQ1042" s="6"/>
      <c r="AR1042" s="6"/>
      <c r="AS1042" s="6"/>
      <c r="AT1042" s="89"/>
      <c r="AU1042" s="100"/>
      <c r="AV1042" s="65"/>
      <c r="AW1042" s="3"/>
    </row>
    <row r="1043" spans="34:49">
      <c r="AH1043" s="99"/>
      <c r="AL1043" s="99"/>
      <c r="AN1043" s="99"/>
      <c r="AQ1043" s="6"/>
      <c r="AR1043" s="6"/>
      <c r="AS1043" s="6"/>
      <c r="AT1043" s="89"/>
      <c r="AU1043" s="100"/>
      <c r="AV1043" s="65"/>
      <c r="AW1043" s="3"/>
    </row>
    <row r="1044" spans="34:49">
      <c r="AH1044" s="99"/>
      <c r="AL1044" s="99"/>
      <c r="AN1044" s="99"/>
      <c r="AQ1044" s="6"/>
      <c r="AR1044" s="6"/>
      <c r="AS1044" s="6"/>
      <c r="AT1044" s="89"/>
      <c r="AU1044" s="100"/>
      <c r="AV1044" s="65"/>
      <c r="AW1044" s="3"/>
    </row>
    <row r="1045" spans="34:49">
      <c r="AH1045" s="99"/>
      <c r="AL1045" s="99"/>
      <c r="AN1045" s="99"/>
      <c r="AQ1045" s="6"/>
      <c r="AR1045" s="6"/>
      <c r="AS1045" s="6"/>
      <c r="AT1045" s="89"/>
      <c r="AU1045" s="100"/>
      <c r="AV1045" s="65"/>
      <c r="AW1045" s="3"/>
    </row>
    <row r="1046" spans="34:49">
      <c r="AH1046" s="99"/>
      <c r="AL1046" s="99"/>
      <c r="AN1046" s="99"/>
      <c r="AQ1046" s="6"/>
      <c r="AR1046" s="6"/>
      <c r="AS1046" s="6"/>
      <c r="AT1046" s="89"/>
      <c r="AU1046" s="100"/>
      <c r="AV1046" s="65"/>
      <c r="AW1046" s="3"/>
    </row>
    <row r="1047" spans="34:49">
      <c r="AH1047" s="99"/>
      <c r="AL1047" s="99"/>
      <c r="AN1047" s="99"/>
      <c r="AQ1047" s="6"/>
      <c r="AR1047" s="6"/>
      <c r="AS1047" s="6"/>
      <c r="AT1047" s="89"/>
      <c r="AU1047" s="100"/>
      <c r="AV1047" s="65"/>
      <c r="AW1047" s="3"/>
    </row>
    <row r="1048" spans="34:49">
      <c r="AH1048" s="99"/>
      <c r="AL1048" s="99"/>
      <c r="AN1048" s="99"/>
      <c r="AQ1048" s="6"/>
      <c r="AR1048" s="6"/>
      <c r="AS1048" s="6"/>
      <c r="AT1048" s="89"/>
      <c r="AU1048" s="100"/>
      <c r="AV1048" s="65"/>
      <c r="AW1048" s="3"/>
    </row>
    <row r="1049" spans="34:49">
      <c r="AH1049" s="99"/>
      <c r="AL1049" s="99"/>
      <c r="AN1049" s="99"/>
      <c r="AQ1049" s="6"/>
      <c r="AR1049" s="6"/>
      <c r="AS1049" s="6"/>
      <c r="AT1049" s="89"/>
      <c r="AU1049" s="100"/>
      <c r="AV1049" s="65"/>
      <c r="AW1049" s="3"/>
    </row>
    <row r="1050" spans="34:49">
      <c r="AH1050" s="99"/>
      <c r="AL1050" s="99"/>
      <c r="AN1050" s="99"/>
      <c r="AQ1050" s="6"/>
      <c r="AR1050" s="6"/>
      <c r="AS1050" s="6"/>
      <c r="AT1050" s="89"/>
      <c r="AU1050" s="100"/>
      <c r="AV1050" s="65"/>
      <c r="AW1050" s="3"/>
    </row>
    <row r="1051" spans="34:49">
      <c r="AH1051" s="99"/>
      <c r="AL1051" s="99"/>
      <c r="AN1051" s="99"/>
      <c r="AQ1051" s="6"/>
      <c r="AR1051" s="6"/>
      <c r="AS1051" s="6"/>
      <c r="AT1051" s="89"/>
      <c r="AU1051" s="100"/>
      <c r="AV1051" s="65"/>
      <c r="AW1051" s="3"/>
    </row>
    <row r="1052" spans="34:49">
      <c r="AH1052" s="99"/>
      <c r="AL1052" s="99"/>
      <c r="AN1052" s="99"/>
      <c r="AQ1052" s="6"/>
      <c r="AR1052" s="6"/>
      <c r="AS1052" s="6"/>
      <c r="AT1052" s="89"/>
      <c r="AU1052" s="100"/>
      <c r="AV1052" s="65"/>
      <c r="AW1052" s="3"/>
    </row>
    <row r="1053" spans="34:49">
      <c r="AH1053" s="99"/>
      <c r="AL1053" s="99"/>
      <c r="AN1053" s="99"/>
      <c r="AQ1053" s="6"/>
      <c r="AR1053" s="6"/>
      <c r="AS1053" s="6"/>
      <c r="AT1053" s="89"/>
      <c r="AU1053" s="100"/>
      <c r="AV1053" s="65"/>
      <c r="AW1053" s="3"/>
    </row>
    <row r="1054" spans="34:49">
      <c r="AH1054" s="99"/>
      <c r="AL1054" s="99"/>
      <c r="AN1054" s="99"/>
      <c r="AQ1054" s="6"/>
      <c r="AR1054" s="6"/>
      <c r="AS1054" s="6"/>
      <c r="AT1054" s="89"/>
      <c r="AU1054" s="100"/>
      <c r="AV1054" s="65"/>
      <c r="AW1054" s="3"/>
    </row>
    <row r="1055" spans="34:49">
      <c r="AH1055" s="99"/>
      <c r="AL1055" s="99"/>
      <c r="AN1055" s="99"/>
      <c r="AQ1055" s="6"/>
      <c r="AR1055" s="6"/>
      <c r="AS1055" s="6"/>
      <c r="AT1055" s="89"/>
      <c r="AU1055" s="100"/>
      <c r="AV1055" s="65"/>
      <c r="AW1055" s="3"/>
    </row>
    <row r="1056" spans="34:49">
      <c r="AH1056" s="99"/>
      <c r="AL1056" s="99"/>
      <c r="AN1056" s="99"/>
      <c r="AQ1056" s="6"/>
      <c r="AR1056" s="6"/>
      <c r="AS1056" s="6"/>
      <c r="AT1056" s="89"/>
      <c r="AU1056" s="100"/>
      <c r="AV1056" s="65"/>
      <c r="AW1056" s="3"/>
    </row>
    <row r="1057" spans="34:49">
      <c r="AH1057" s="99"/>
      <c r="AL1057" s="99"/>
      <c r="AN1057" s="99"/>
      <c r="AQ1057" s="6"/>
      <c r="AR1057" s="6"/>
      <c r="AS1057" s="6"/>
      <c r="AT1057" s="89"/>
      <c r="AU1057" s="100"/>
      <c r="AV1057" s="65"/>
      <c r="AW1057" s="3"/>
    </row>
    <row r="1058" spans="34:49">
      <c r="AH1058" s="99"/>
      <c r="AL1058" s="99"/>
      <c r="AN1058" s="99"/>
      <c r="AQ1058" s="6"/>
      <c r="AR1058" s="6"/>
      <c r="AS1058" s="6"/>
      <c r="AT1058" s="89"/>
      <c r="AU1058" s="100"/>
      <c r="AV1058" s="65"/>
      <c r="AW1058" s="3"/>
    </row>
    <row r="1059" spans="34:49">
      <c r="AH1059" s="99"/>
      <c r="AL1059" s="99"/>
      <c r="AN1059" s="99"/>
      <c r="AQ1059" s="6"/>
      <c r="AR1059" s="6"/>
      <c r="AS1059" s="6"/>
      <c r="AT1059" s="89"/>
      <c r="AU1059" s="100"/>
      <c r="AV1059" s="65"/>
      <c r="AW1059" s="3"/>
    </row>
    <row r="1060" spans="34:49">
      <c r="AH1060" s="99"/>
      <c r="AL1060" s="99"/>
      <c r="AN1060" s="99"/>
      <c r="AQ1060" s="6"/>
      <c r="AR1060" s="6"/>
      <c r="AS1060" s="6"/>
      <c r="AT1060" s="89"/>
      <c r="AU1060" s="100"/>
      <c r="AV1060" s="65"/>
      <c r="AW1060" s="3"/>
    </row>
    <row r="1061" spans="34:49">
      <c r="AH1061" s="99"/>
      <c r="AL1061" s="99"/>
      <c r="AN1061" s="99"/>
      <c r="AQ1061" s="6"/>
      <c r="AR1061" s="6"/>
      <c r="AS1061" s="6"/>
      <c r="AT1061" s="89"/>
      <c r="AU1061" s="100"/>
      <c r="AV1061" s="65"/>
      <c r="AW1061" s="3"/>
    </row>
    <row r="1062" spans="34:49">
      <c r="AH1062" s="99"/>
      <c r="AL1062" s="99"/>
      <c r="AN1062" s="99"/>
      <c r="AQ1062" s="6"/>
      <c r="AR1062" s="6"/>
      <c r="AS1062" s="6"/>
      <c r="AT1062" s="89"/>
      <c r="AU1062" s="100"/>
      <c r="AV1062" s="65"/>
      <c r="AW1062" s="3"/>
    </row>
    <row r="1063" spans="34:49">
      <c r="AH1063" s="99"/>
      <c r="AL1063" s="99"/>
      <c r="AN1063" s="99"/>
      <c r="AQ1063" s="6"/>
      <c r="AR1063" s="6"/>
      <c r="AS1063" s="6"/>
      <c r="AT1063" s="89"/>
      <c r="AU1063" s="100"/>
      <c r="AV1063" s="65"/>
      <c r="AW1063" s="3"/>
    </row>
    <row r="1064" spans="34:49">
      <c r="AH1064" s="99"/>
      <c r="AL1064" s="99"/>
      <c r="AN1064" s="99"/>
      <c r="AQ1064" s="6"/>
      <c r="AR1064" s="6"/>
      <c r="AS1064" s="6"/>
      <c r="AT1064" s="89"/>
      <c r="AU1064" s="100"/>
      <c r="AV1064" s="65"/>
      <c r="AW1064" s="3"/>
    </row>
    <row r="1065" spans="34:49">
      <c r="AH1065" s="99"/>
      <c r="AL1065" s="99"/>
      <c r="AN1065" s="99"/>
      <c r="AQ1065" s="6"/>
      <c r="AR1065" s="6"/>
      <c r="AS1065" s="6"/>
      <c r="AT1065" s="89"/>
      <c r="AU1065" s="100"/>
      <c r="AV1065" s="65"/>
      <c r="AW1065" s="3"/>
    </row>
    <row r="1066" spans="34:49">
      <c r="AH1066" s="99"/>
      <c r="AL1066" s="99"/>
      <c r="AN1066" s="99"/>
      <c r="AQ1066" s="6"/>
      <c r="AR1066" s="6"/>
      <c r="AS1066" s="6"/>
      <c r="AT1066" s="89"/>
      <c r="AU1066" s="100"/>
      <c r="AV1066" s="65"/>
      <c r="AW1066" s="3"/>
    </row>
    <row r="1067" spans="34:49">
      <c r="AH1067" s="99"/>
      <c r="AL1067" s="99"/>
      <c r="AN1067" s="99"/>
      <c r="AQ1067" s="6"/>
      <c r="AR1067" s="6"/>
      <c r="AS1067" s="6"/>
      <c r="AT1067" s="89"/>
      <c r="AU1067" s="100"/>
      <c r="AV1067" s="65"/>
      <c r="AW1067" s="3"/>
    </row>
    <row r="1068" spans="34:49">
      <c r="AH1068" s="99"/>
      <c r="AL1068" s="99"/>
      <c r="AN1068" s="99"/>
      <c r="AQ1068" s="6"/>
      <c r="AR1068" s="6"/>
      <c r="AS1068" s="6"/>
      <c r="AT1068" s="89"/>
      <c r="AU1068" s="100"/>
      <c r="AV1068" s="65"/>
      <c r="AW1068" s="3"/>
    </row>
    <row r="1069" spans="34:49">
      <c r="AH1069" s="99"/>
      <c r="AL1069" s="99"/>
      <c r="AN1069" s="99"/>
      <c r="AQ1069" s="6"/>
      <c r="AR1069" s="6"/>
      <c r="AS1069" s="6"/>
      <c r="AT1069" s="89"/>
      <c r="AU1069" s="100"/>
      <c r="AV1069" s="65"/>
      <c r="AW1069" s="3"/>
    </row>
    <row r="1070" spans="34:49">
      <c r="AH1070" s="99"/>
      <c r="AL1070" s="99"/>
      <c r="AN1070" s="99"/>
      <c r="AQ1070" s="6"/>
      <c r="AR1070" s="6"/>
      <c r="AS1070" s="6"/>
      <c r="AT1070" s="89"/>
      <c r="AU1070" s="100"/>
      <c r="AV1070" s="65"/>
      <c r="AW1070" s="3"/>
    </row>
    <row r="1071" spans="34:49">
      <c r="AH1071" s="99"/>
      <c r="AL1071" s="99"/>
      <c r="AN1071" s="99"/>
      <c r="AQ1071" s="6"/>
      <c r="AR1071" s="6"/>
      <c r="AS1071" s="6"/>
      <c r="AT1071" s="89"/>
      <c r="AU1071" s="100"/>
      <c r="AV1071" s="65"/>
      <c r="AW1071" s="3"/>
    </row>
    <row r="1072" spans="34:49">
      <c r="AH1072" s="99"/>
      <c r="AL1072" s="99"/>
      <c r="AN1072" s="99"/>
      <c r="AQ1072" s="6"/>
      <c r="AR1072" s="6"/>
      <c r="AS1072" s="6"/>
      <c r="AT1072" s="89"/>
      <c r="AU1072" s="100"/>
      <c r="AV1072" s="65"/>
      <c r="AW1072" s="3"/>
    </row>
    <row r="1073" spans="34:49">
      <c r="AH1073" s="99"/>
      <c r="AL1073" s="99"/>
      <c r="AN1073" s="99"/>
      <c r="AQ1073" s="6"/>
      <c r="AR1073" s="6"/>
      <c r="AS1073" s="6"/>
      <c r="AT1073" s="89"/>
      <c r="AU1073" s="100"/>
      <c r="AV1073" s="65"/>
      <c r="AW1073" s="3"/>
    </row>
    <row r="1074" spans="34:49">
      <c r="AH1074" s="99"/>
      <c r="AL1074" s="99"/>
      <c r="AN1074" s="99"/>
      <c r="AQ1074" s="6"/>
      <c r="AR1074" s="6"/>
      <c r="AS1074" s="6"/>
      <c r="AT1074" s="89"/>
      <c r="AU1074" s="100"/>
      <c r="AV1074" s="65"/>
      <c r="AW1074" s="3"/>
    </row>
    <row r="1075" spans="34:49">
      <c r="AH1075" s="99"/>
      <c r="AL1075" s="99"/>
      <c r="AN1075" s="99"/>
      <c r="AQ1075" s="6"/>
      <c r="AR1075" s="6"/>
      <c r="AS1075" s="6"/>
      <c r="AT1075" s="89"/>
      <c r="AU1075" s="100"/>
      <c r="AV1075" s="65"/>
      <c r="AW1075" s="3"/>
    </row>
    <row r="1076" spans="34:49">
      <c r="AH1076" s="99"/>
      <c r="AL1076" s="99"/>
      <c r="AN1076" s="99"/>
      <c r="AQ1076" s="6"/>
      <c r="AR1076" s="6"/>
      <c r="AS1076" s="6"/>
      <c r="AT1076" s="89"/>
      <c r="AU1076" s="100"/>
      <c r="AV1076" s="65"/>
      <c r="AW1076" s="3"/>
    </row>
    <row r="1077" spans="34:49">
      <c r="AH1077" s="99"/>
      <c r="AL1077" s="99"/>
      <c r="AN1077" s="99"/>
      <c r="AQ1077" s="6"/>
      <c r="AR1077" s="6"/>
      <c r="AS1077" s="6"/>
      <c r="AT1077" s="89"/>
      <c r="AU1077" s="100"/>
      <c r="AV1077" s="65"/>
      <c r="AW1077" s="3"/>
    </row>
    <row r="1078" spans="34:49">
      <c r="AH1078" s="99"/>
      <c r="AL1078" s="99"/>
      <c r="AN1078" s="99"/>
      <c r="AQ1078" s="6"/>
      <c r="AR1078" s="6"/>
      <c r="AS1078" s="6"/>
      <c r="AT1078" s="89"/>
      <c r="AU1078" s="100"/>
      <c r="AV1078" s="65"/>
      <c r="AW1078" s="3"/>
    </row>
    <row r="1079" spans="34:49">
      <c r="AH1079" s="99"/>
      <c r="AL1079" s="99"/>
      <c r="AN1079" s="99"/>
      <c r="AQ1079" s="6"/>
      <c r="AR1079" s="6"/>
      <c r="AS1079" s="6"/>
      <c r="AT1079" s="89"/>
      <c r="AU1079" s="100"/>
      <c r="AV1079" s="65"/>
      <c r="AW1079" s="3"/>
    </row>
    <row r="1080" spans="34:49">
      <c r="AH1080" s="99"/>
      <c r="AL1080" s="99"/>
      <c r="AN1080" s="99"/>
      <c r="AQ1080" s="6"/>
      <c r="AR1080" s="6"/>
      <c r="AS1080" s="6"/>
      <c r="AT1080" s="89"/>
      <c r="AU1080" s="100"/>
      <c r="AV1080" s="65"/>
      <c r="AW1080" s="3"/>
    </row>
    <row r="1081" spans="34:49">
      <c r="AH1081" s="99"/>
      <c r="AL1081" s="99"/>
      <c r="AN1081" s="99"/>
      <c r="AQ1081" s="6"/>
      <c r="AR1081" s="6"/>
      <c r="AS1081" s="6"/>
      <c r="AT1081" s="89"/>
      <c r="AU1081" s="100"/>
      <c r="AV1081" s="65"/>
      <c r="AW1081" s="3"/>
    </row>
    <row r="1082" spans="34:49">
      <c r="AH1082" s="99"/>
      <c r="AL1082" s="99"/>
      <c r="AN1082" s="99"/>
      <c r="AQ1082" s="6"/>
      <c r="AR1082" s="6"/>
      <c r="AS1082" s="6"/>
      <c r="AT1082" s="89"/>
      <c r="AU1082" s="100"/>
      <c r="AV1082" s="65"/>
      <c r="AW1082" s="3"/>
    </row>
    <row r="1083" spans="34:49">
      <c r="AH1083" s="99"/>
      <c r="AL1083" s="99"/>
      <c r="AN1083" s="99"/>
      <c r="AQ1083" s="6"/>
      <c r="AR1083" s="6"/>
      <c r="AS1083" s="6"/>
      <c r="AT1083" s="89"/>
      <c r="AU1083" s="100"/>
      <c r="AV1083" s="65"/>
      <c r="AW1083" s="3"/>
    </row>
    <row r="1084" spans="34:49">
      <c r="AH1084" s="99"/>
      <c r="AL1084" s="99"/>
      <c r="AN1084" s="99"/>
      <c r="AQ1084" s="6"/>
      <c r="AR1084" s="6"/>
      <c r="AS1084" s="6"/>
      <c r="AT1084" s="89"/>
      <c r="AU1084" s="100"/>
      <c r="AV1084" s="65"/>
      <c r="AW1084" s="3"/>
    </row>
    <row r="1085" spans="34:49">
      <c r="AH1085" s="99"/>
      <c r="AL1085" s="99"/>
      <c r="AN1085" s="99"/>
      <c r="AQ1085" s="6"/>
      <c r="AR1085" s="6"/>
      <c r="AS1085" s="6"/>
      <c r="AT1085" s="89"/>
      <c r="AU1085" s="100"/>
      <c r="AV1085" s="65"/>
      <c r="AW1085" s="3"/>
    </row>
    <row r="1086" spans="34:49">
      <c r="AH1086" s="99"/>
      <c r="AL1086" s="99"/>
      <c r="AN1086" s="99"/>
      <c r="AQ1086" s="6"/>
      <c r="AR1086" s="6"/>
      <c r="AS1086" s="6"/>
      <c r="AT1086" s="89"/>
      <c r="AU1086" s="100"/>
      <c r="AV1086" s="65"/>
      <c r="AW1086" s="3"/>
    </row>
    <row r="1087" spans="34:49">
      <c r="AH1087" s="99"/>
      <c r="AL1087" s="99"/>
      <c r="AN1087" s="99"/>
      <c r="AQ1087" s="6"/>
      <c r="AR1087" s="6"/>
      <c r="AS1087" s="6"/>
      <c r="AT1087" s="89"/>
      <c r="AU1087" s="100"/>
      <c r="AV1087" s="65"/>
      <c r="AW1087" s="3"/>
    </row>
    <row r="1088" spans="34:49">
      <c r="AH1088" s="99"/>
      <c r="AL1088" s="99"/>
      <c r="AN1088" s="99"/>
      <c r="AQ1088" s="6"/>
      <c r="AR1088" s="6"/>
      <c r="AS1088" s="6"/>
      <c r="AT1088" s="89"/>
      <c r="AU1088" s="100"/>
      <c r="AV1088" s="65"/>
      <c r="AW1088" s="3"/>
    </row>
    <row r="1089" spans="34:49">
      <c r="AH1089" s="99"/>
      <c r="AL1089" s="99"/>
      <c r="AN1089" s="99"/>
      <c r="AQ1089" s="6"/>
      <c r="AR1089" s="6"/>
      <c r="AS1089" s="6"/>
      <c r="AT1089" s="89"/>
      <c r="AU1089" s="100"/>
      <c r="AV1089" s="65"/>
      <c r="AW1089" s="3"/>
    </row>
    <row r="1090" spans="34:49">
      <c r="AH1090" s="99"/>
      <c r="AL1090" s="99"/>
      <c r="AN1090" s="99"/>
      <c r="AQ1090" s="6"/>
      <c r="AR1090" s="6"/>
      <c r="AS1090" s="6"/>
      <c r="AT1090" s="89"/>
      <c r="AU1090" s="100"/>
      <c r="AV1090" s="65"/>
      <c r="AW1090" s="3"/>
    </row>
    <row r="1091" spans="34:49">
      <c r="AH1091" s="99"/>
      <c r="AL1091" s="99"/>
      <c r="AN1091" s="99"/>
      <c r="AQ1091" s="6"/>
      <c r="AR1091" s="6"/>
      <c r="AS1091" s="6"/>
      <c r="AT1091" s="89"/>
      <c r="AU1091" s="100"/>
      <c r="AV1091" s="65"/>
      <c r="AW1091" s="3"/>
    </row>
    <row r="1092" spans="34:49">
      <c r="AH1092" s="99"/>
      <c r="AL1092" s="99"/>
      <c r="AN1092" s="99"/>
      <c r="AQ1092" s="6"/>
      <c r="AR1092" s="6"/>
      <c r="AS1092" s="6"/>
      <c r="AT1092" s="89"/>
      <c r="AU1092" s="100"/>
      <c r="AV1092" s="65"/>
      <c r="AW1092" s="3"/>
    </row>
    <row r="1093" spans="34:49">
      <c r="AH1093" s="99"/>
      <c r="AL1093" s="99"/>
      <c r="AN1093" s="99"/>
      <c r="AQ1093" s="6"/>
      <c r="AR1093" s="6"/>
      <c r="AS1093" s="6"/>
      <c r="AT1093" s="89"/>
      <c r="AU1093" s="100"/>
      <c r="AV1093" s="65"/>
      <c r="AW1093" s="3"/>
    </row>
    <row r="1094" spans="34:49">
      <c r="AH1094" s="99"/>
      <c r="AL1094" s="99"/>
      <c r="AN1094" s="99"/>
      <c r="AQ1094" s="6"/>
      <c r="AR1094" s="6"/>
      <c r="AS1094" s="6"/>
      <c r="AT1094" s="89"/>
      <c r="AU1094" s="100"/>
      <c r="AV1094" s="65"/>
      <c r="AW1094" s="3"/>
    </row>
    <row r="1095" spans="34:49">
      <c r="AH1095" s="99"/>
      <c r="AL1095" s="99"/>
      <c r="AN1095" s="99"/>
      <c r="AQ1095" s="6"/>
      <c r="AR1095" s="6"/>
      <c r="AS1095" s="6"/>
      <c r="AT1095" s="89"/>
      <c r="AU1095" s="100"/>
      <c r="AV1095" s="65"/>
      <c r="AW1095" s="3"/>
    </row>
    <row r="1096" spans="34:49">
      <c r="AH1096" s="99"/>
      <c r="AL1096" s="99"/>
      <c r="AN1096" s="99"/>
      <c r="AQ1096" s="6"/>
      <c r="AR1096" s="6"/>
      <c r="AS1096" s="6"/>
      <c r="AT1096" s="89"/>
      <c r="AU1096" s="100"/>
      <c r="AV1096" s="65"/>
      <c r="AW1096" s="3"/>
    </row>
    <row r="1097" spans="34:49">
      <c r="AH1097" s="99"/>
      <c r="AL1097" s="99"/>
      <c r="AN1097" s="99"/>
      <c r="AQ1097" s="6"/>
      <c r="AR1097" s="6"/>
      <c r="AS1097" s="6"/>
      <c r="AT1097" s="89"/>
      <c r="AU1097" s="100"/>
      <c r="AV1097" s="65"/>
      <c r="AW1097" s="3"/>
    </row>
    <row r="1098" spans="34:49">
      <c r="AH1098" s="99"/>
      <c r="AL1098" s="99"/>
      <c r="AN1098" s="99"/>
      <c r="AQ1098" s="6"/>
      <c r="AR1098" s="6"/>
      <c r="AS1098" s="6"/>
      <c r="AT1098" s="89"/>
      <c r="AU1098" s="100"/>
      <c r="AV1098" s="65"/>
      <c r="AW1098" s="3"/>
    </row>
    <row r="1099" spans="34:49">
      <c r="AH1099" s="99"/>
      <c r="AL1099" s="99"/>
      <c r="AN1099" s="99"/>
      <c r="AQ1099" s="6"/>
      <c r="AR1099" s="6"/>
      <c r="AS1099" s="6"/>
      <c r="AT1099" s="89"/>
      <c r="AU1099" s="100"/>
      <c r="AV1099" s="65"/>
      <c r="AW1099" s="3"/>
    </row>
    <row r="1100" spans="34:49">
      <c r="AH1100" s="99"/>
      <c r="AL1100" s="99"/>
      <c r="AN1100" s="99"/>
      <c r="AQ1100" s="6"/>
      <c r="AR1100" s="6"/>
      <c r="AS1100" s="6"/>
      <c r="AT1100" s="89"/>
      <c r="AU1100" s="100"/>
      <c r="AV1100" s="65"/>
      <c r="AW1100" s="3"/>
    </row>
    <row r="1101" spans="34:49">
      <c r="AH1101" s="99"/>
      <c r="AL1101" s="99"/>
      <c r="AN1101" s="99"/>
      <c r="AQ1101" s="6"/>
      <c r="AR1101" s="6"/>
      <c r="AS1101" s="6"/>
      <c r="AT1101" s="89"/>
      <c r="AU1101" s="100"/>
      <c r="AV1101" s="65"/>
      <c r="AW1101" s="3"/>
    </row>
    <row r="1102" spans="34:49">
      <c r="AH1102" s="99"/>
      <c r="AL1102" s="99"/>
      <c r="AN1102" s="99"/>
      <c r="AQ1102" s="6"/>
      <c r="AR1102" s="6"/>
      <c r="AS1102" s="6"/>
      <c r="AT1102" s="89"/>
      <c r="AU1102" s="100"/>
      <c r="AV1102" s="65"/>
      <c r="AW1102" s="3"/>
    </row>
    <row r="1103" spans="34:49">
      <c r="AH1103" s="99"/>
      <c r="AL1103" s="99"/>
      <c r="AN1103" s="99"/>
      <c r="AQ1103" s="6"/>
      <c r="AR1103" s="6"/>
      <c r="AS1103" s="6"/>
      <c r="AT1103" s="89"/>
      <c r="AU1103" s="100"/>
      <c r="AV1103" s="65"/>
      <c r="AW1103" s="3"/>
    </row>
    <row r="1104" spans="34:49">
      <c r="AH1104" s="99"/>
      <c r="AL1104" s="99"/>
      <c r="AN1104" s="99"/>
      <c r="AQ1104" s="6"/>
      <c r="AR1104" s="6"/>
      <c r="AS1104" s="6"/>
      <c r="AT1104" s="89"/>
      <c r="AU1104" s="100"/>
      <c r="AV1104" s="65"/>
      <c r="AW1104" s="3"/>
    </row>
    <row r="1105" spans="34:49">
      <c r="AH1105" s="99"/>
      <c r="AL1105" s="99"/>
      <c r="AN1105" s="99"/>
      <c r="AQ1105" s="6"/>
      <c r="AR1105" s="6"/>
      <c r="AS1105" s="6"/>
      <c r="AT1105" s="89"/>
      <c r="AU1105" s="100"/>
      <c r="AV1105" s="65"/>
      <c r="AW1105" s="3"/>
    </row>
    <row r="1106" spans="34:49">
      <c r="AH1106" s="99"/>
      <c r="AL1106" s="99"/>
      <c r="AN1106" s="99"/>
      <c r="AQ1106" s="6"/>
      <c r="AR1106" s="6"/>
      <c r="AS1106" s="6"/>
      <c r="AT1106" s="89"/>
      <c r="AU1106" s="100"/>
      <c r="AV1106" s="65"/>
      <c r="AW1106" s="3"/>
    </row>
    <row r="1107" spans="34:49">
      <c r="AH1107" s="99"/>
      <c r="AL1107" s="99"/>
      <c r="AN1107" s="99"/>
      <c r="AQ1107" s="6"/>
      <c r="AR1107" s="6"/>
      <c r="AS1107" s="6"/>
      <c r="AT1107" s="89"/>
      <c r="AU1107" s="100"/>
      <c r="AV1107" s="65"/>
      <c r="AW1107" s="3"/>
    </row>
    <row r="1108" spans="34:49">
      <c r="AH1108" s="99"/>
      <c r="AL1108" s="99"/>
      <c r="AN1108" s="99"/>
      <c r="AQ1108" s="6"/>
      <c r="AR1108" s="6"/>
      <c r="AS1108" s="6"/>
      <c r="AT1108" s="89"/>
      <c r="AU1108" s="100"/>
      <c r="AV1108" s="65"/>
      <c r="AW1108" s="3"/>
    </row>
    <row r="1109" spans="34:49">
      <c r="AH1109" s="99"/>
      <c r="AL1109" s="99"/>
      <c r="AN1109" s="99"/>
      <c r="AQ1109" s="6"/>
      <c r="AR1109" s="6"/>
      <c r="AS1109" s="6"/>
      <c r="AT1109" s="89"/>
      <c r="AU1109" s="100"/>
      <c r="AV1109" s="65"/>
      <c r="AW1109" s="3"/>
    </row>
    <row r="1110" spans="34:49">
      <c r="AH1110" s="99"/>
      <c r="AL1110" s="99"/>
      <c r="AN1110" s="99"/>
      <c r="AQ1110" s="6"/>
      <c r="AR1110" s="6"/>
      <c r="AS1110" s="6"/>
      <c r="AT1110" s="89"/>
      <c r="AU1110" s="100"/>
      <c r="AV1110" s="65"/>
      <c r="AW1110" s="3"/>
    </row>
    <row r="1111" spans="34:49">
      <c r="AH1111" s="99"/>
      <c r="AL1111" s="99"/>
      <c r="AN1111" s="99"/>
      <c r="AQ1111" s="6"/>
      <c r="AR1111" s="6"/>
      <c r="AS1111" s="6"/>
      <c r="AT1111" s="89"/>
      <c r="AU1111" s="100"/>
      <c r="AV1111" s="65"/>
      <c r="AW1111" s="3"/>
    </row>
    <row r="1112" spans="34:49">
      <c r="AH1112" s="99"/>
      <c r="AL1112" s="99"/>
      <c r="AN1112" s="99"/>
      <c r="AQ1112" s="6"/>
      <c r="AR1112" s="6"/>
      <c r="AS1112" s="6"/>
      <c r="AT1112" s="89"/>
      <c r="AU1112" s="100"/>
      <c r="AV1112" s="65"/>
      <c r="AW1112" s="3"/>
    </row>
    <row r="1113" spans="34:49">
      <c r="AH1113" s="99"/>
      <c r="AL1113" s="99"/>
      <c r="AN1113" s="99"/>
      <c r="AQ1113" s="6"/>
      <c r="AR1113" s="6"/>
      <c r="AS1113" s="6"/>
      <c r="AT1113" s="89"/>
      <c r="AU1113" s="100"/>
      <c r="AV1113" s="65"/>
      <c r="AW1113" s="3"/>
    </row>
    <row r="1114" spans="34:49">
      <c r="AH1114" s="99"/>
      <c r="AL1114" s="99"/>
      <c r="AN1114" s="99"/>
      <c r="AQ1114" s="6"/>
      <c r="AR1114" s="6"/>
      <c r="AS1114" s="6"/>
      <c r="AT1114" s="89"/>
      <c r="AU1114" s="100"/>
      <c r="AV1114" s="65"/>
      <c r="AW1114" s="3"/>
    </row>
    <row r="1115" spans="34:49">
      <c r="AH1115" s="99"/>
      <c r="AL1115" s="99"/>
      <c r="AN1115" s="99"/>
      <c r="AQ1115" s="6"/>
      <c r="AR1115" s="6"/>
      <c r="AS1115" s="6"/>
      <c r="AT1115" s="89"/>
      <c r="AU1115" s="100"/>
      <c r="AV1115" s="65"/>
      <c r="AW1115" s="3"/>
    </row>
    <row r="1116" spans="34:49">
      <c r="AH1116" s="99"/>
      <c r="AL1116" s="99"/>
      <c r="AN1116" s="99"/>
      <c r="AQ1116" s="6"/>
      <c r="AR1116" s="6"/>
      <c r="AS1116" s="6"/>
      <c r="AT1116" s="89"/>
      <c r="AU1116" s="100"/>
      <c r="AV1116" s="65"/>
      <c r="AW1116" s="3"/>
    </row>
    <row r="1117" spans="34:49">
      <c r="AH1117" s="99"/>
      <c r="AL1117" s="99"/>
      <c r="AN1117" s="99"/>
      <c r="AQ1117" s="6"/>
      <c r="AR1117" s="6"/>
      <c r="AS1117" s="6"/>
      <c r="AT1117" s="89"/>
      <c r="AU1117" s="100"/>
      <c r="AV1117" s="65"/>
      <c r="AW1117" s="3"/>
    </row>
    <row r="1118" spans="34:49">
      <c r="AH1118" s="99"/>
      <c r="AL1118" s="99"/>
      <c r="AN1118" s="99"/>
      <c r="AQ1118" s="6"/>
      <c r="AR1118" s="6"/>
      <c r="AS1118" s="6"/>
      <c r="AT1118" s="89"/>
      <c r="AU1118" s="100"/>
      <c r="AV1118" s="65"/>
      <c r="AW1118" s="3"/>
    </row>
    <row r="1119" spans="34:49">
      <c r="AH1119" s="99"/>
      <c r="AL1119" s="99"/>
      <c r="AN1119" s="99"/>
      <c r="AQ1119" s="6"/>
      <c r="AR1119" s="6"/>
      <c r="AS1119" s="6"/>
      <c r="AT1119" s="89"/>
      <c r="AU1119" s="100"/>
      <c r="AV1119" s="65"/>
      <c r="AW1119" s="3"/>
    </row>
    <row r="1120" spans="34:49">
      <c r="AH1120" s="99"/>
      <c r="AL1120" s="99"/>
      <c r="AN1120" s="99"/>
      <c r="AQ1120" s="6"/>
      <c r="AR1120" s="6"/>
      <c r="AS1120" s="6"/>
      <c r="AT1120" s="89"/>
      <c r="AU1120" s="100"/>
      <c r="AV1120" s="65"/>
      <c r="AW1120" s="3"/>
    </row>
    <row r="1121" spans="34:49">
      <c r="AH1121" s="99"/>
      <c r="AL1121" s="99"/>
      <c r="AN1121" s="99"/>
      <c r="AQ1121" s="6"/>
      <c r="AR1121" s="6"/>
      <c r="AS1121" s="6"/>
      <c r="AT1121" s="89"/>
      <c r="AU1121" s="100"/>
      <c r="AV1121" s="65"/>
      <c r="AW1121" s="3"/>
    </row>
    <row r="1122" spans="34:49">
      <c r="AH1122" s="99"/>
      <c r="AL1122" s="99"/>
      <c r="AN1122" s="99"/>
      <c r="AQ1122" s="6"/>
      <c r="AR1122" s="6"/>
      <c r="AS1122" s="6"/>
      <c r="AT1122" s="89"/>
      <c r="AU1122" s="100"/>
      <c r="AV1122" s="65"/>
      <c r="AW1122" s="3"/>
    </row>
    <row r="1123" spans="34:49">
      <c r="AH1123" s="99"/>
      <c r="AL1123" s="99"/>
      <c r="AN1123" s="99"/>
      <c r="AQ1123" s="6"/>
      <c r="AR1123" s="6"/>
      <c r="AS1123" s="6"/>
      <c r="AT1123" s="89"/>
      <c r="AU1123" s="100"/>
      <c r="AV1123" s="65"/>
      <c r="AW1123" s="3"/>
    </row>
    <row r="1124" spans="34:49">
      <c r="AH1124" s="99"/>
      <c r="AL1124" s="99"/>
      <c r="AN1124" s="99"/>
      <c r="AQ1124" s="6"/>
      <c r="AR1124" s="6"/>
      <c r="AS1124" s="6"/>
      <c r="AT1124" s="89"/>
      <c r="AU1124" s="100"/>
      <c r="AV1124" s="65"/>
      <c r="AW1124" s="3"/>
    </row>
    <row r="1125" spans="34:49">
      <c r="AH1125" s="99"/>
      <c r="AL1125" s="99"/>
      <c r="AN1125" s="99"/>
      <c r="AQ1125" s="6"/>
      <c r="AR1125" s="6"/>
      <c r="AS1125" s="6"/>
      <c r="AT1125" s="89"/>
      <c r="AU1125" s="100"/>
      <c r="AV1125" s="65"/>
      <c r="AW1125" s="3"/>
    </row>
    <row r="1126" spans="34:49">
      <c r="AH1126" s="99"/>
      <c r="AL1126" s="99"/>
      <c r="AN1126" s="99"/>
      <c r="AQ1126" s="6"/>
      <c r="AR1126" s="6"/>
      <c r="AS1126" s="6"/>
      <c r="AT1126" s="89"/>
      <c r="AU1126" s="100"/>
      <c r="AV1126" s="65"/>
      <c r="AW1126" s="3"/>
    </row>
    <row r="1127" spans="34:49">
      <c r="AH1127" s="99"/>
      <c r="AL1127" s="99"/>
      <c r="AN1127" s="99"/>
      <c r="AQ1127" s="6"/>
      <c r="AR1127" s="6"/>
      <c r="AS1127" s="6"/>
      <c r="AT1127" s="89"/>
      <c r="AU1127" s="100"/>
      <c r="AV1127" s="65"/>
      <c r="AW1127" s="3"/>
    </row>
    <row r="1128" spans="34:49">
      <c r="AH1128" s="99"/>
      <c r="AL1128" s="99"/>
      <c r="AN1128" s="99"/>
      <c r="AQ1128" s="6"/>
      <c r="AR1128" s="6"/>
      <c r="AS1128" s="6"/>
      <c r="AT1128" s="89"/>
      <c r="AU1128" s="100"/>
      <c r="AV1128" s="65"/>
      <c r="AW1128" s="3"/>
    </row>
    <row r="1129" spans="34:49">
      <c r="AH1129" s="99"/>
      <c r="AL1129" s="99"/>
      <c r="AN1129" s="99"/>
      <c r="AQ1129" s="6"/>
      <c r="AR1129" s="6"/>
      <c r="AS1129" s="6"/>
      <c r="AT1129" s="89"/>
      <c r="AU1129" s="100"/>
      <c r="AV1129" s="65"/>
      <c r="AW1129" s="3"/>
    </row>
    <row r="1130" spans="34:49">
      <c r="AH1130" s="99"/>
      <c r="AL1130" s="99"/>
      <c r="AN1130" s="99"/>
      <c r="AQ1130" s="6"/>
      <c r="AR1130" s="6"/>
      <c r="AS1130" s="6"/>
      <c r="AT1130" s="89"/>
      <c r="AU1130" s="100"/>
      <c r="AV1130" s="65"/>
      <c r="AW1130" s="3"/>
    </row>
    <row r="1131" spans="34:49">
      <c r="AH1131" s="99"/>
      <c r="AL1131" s="99"/>
      <c r="AN1131" s="99"/>
      <c r="AQ1131" s="6"/>
      <c r="AR1131" s="6"/>
      <c r="AS1131" s="6"/>
      <c r="AT1131" s="89"/>
      <c r="AU1131" s="100"/>
      <c r="AV1131" s="65"/>
      <c r="AW1131" s="3"/>
    </row>
    <row r="1132" spans="34:49">
      <c r="AH1132" s="99"/>
      <c r="AL1132" s="99"/>
      <c r="AN1132" s="99"/>
      <c r="AQ1132" s="6"/>
      <c r="AR1132" s="6"/>
      <c r="AS1132" s="6"/>
      <c r="AT1132" s="89"/>
      <c r="AU1132" s="100"/>
      <c r="AV1132" s="65"/>
      <c r="AW1132" s="3"/>
    </row>
    <row r="1133" spans="34:49">
      <c r="AH1133" s="99"/>
      <c r="AL1133" s="99"/>
      <c r="AN1133" s="99"/>
      <c r="AQ1133" s="6"/>
      <c r="AR1133" s="6"/>
      <c r="AS1133" s="6"/>
      <c r="AT1133" s="89"/>
      <c r="AU1133" s="100"/>
      <c r="AV1133" s="65"/>
      <c r="AW1133" s="3"/>
    </row>
    <row r="1134" spans="34:49">
      <c r="AH1134" s="99"/>
      <c r="AL1134" s="99"/>
      <c r="AN1134" s="99"/>
      <c r="AQ1134" s="6"/>
      <c r="AR1134" s="6"/>
      <c r="AS1134" s="6"/>
      <c r="AT1134" s="89"/>
      <c r="AU1134" s="100"/>
      <c r="AV1134" s="65"/>
      <c r="AW1134" s="3"/>
    </row>
    <row r="1135" spans="34:49">
      <c r="AH1135" s="99"/>
      <c r="AL1135" s="99"/>
      <c r="AN1135" s="99"/>
      <c r="AQ1135" s="6"/>
      <c r="AR1135" s="6"/>
      <c r="AS1135" s="6"/>
      <c r="AT1135" s="89"/>
      <c r="AU1135" s="100"/>
      <c r="AV1135" s="65"/>
      <c r="AW1135" s="3"/>
    </row>
    <row r="1136" spans="34:49">
      <c r="AH1136" s="99"/>
      <c r="AL1136" s="99"/>
      <c r="AN1136" s="99"/>
      <c r="AQ1136" s="6"/>
      <c r="AR1136" s="6"/>
      <c r="AS1136" s="6"/>
      <c r="AT1136" s="89"/>
      <c r="AU1136" s="100"/>
      <c r="AV1136" s="65"/>
      <c r="AW1136" s="3"/>
    </row>
    <row r="1137" spans="34:49">
      <c r="AH1137" s="99"/>
      <c r="AL1137" s="99"/>
      <c r="AN1137" s="99"/>
      <c r="AQ1137" s="6"/>
      <c r="AR1137" s="6"/>
      <c r="AS1137" s="6"/>
      <c r="AT1137" s="89"/>
      <c r="AU1137" s="100"/>
      <c r="AV1137" s="65"/>
      <c r="AW1137" s="3"/>
    </row>
    <row r="1138" spans="34:49">
      <c r="AH1138" s="99"/>
      <c r="AL1138" s="99"/>
      <c r="AN1138" s="99"/>
      <c r="AQ1138" s="6"/>
      <c r="AR1138" s="6"/>
      <c r="AS1138" s="6"/>
      <c r="AT1138" s="89"/>
      <c r="AU1138" s="100"/>
      <c r="AV1138" s="65"/>
      <c r="AW1138" s="3"/>
    </row>
    <row r="1139" spans="34:49">
      <c r="AH1139" s="99"/>
      <c r="AL1139" s="99"/>
      <c r="AN1139" s="99"/>
      <c r="AQ1139" s="6"/>
      <c r="AR1139" s="6"/>
      <c r="AS1139" s="6"/>
      <c r="AT1139" s="89"/>
      <c r="AU1139" s="100"/>
      <c r="AV1139" s="65"/>
      <c r="AW1139" s="3"/>
    </row>
    <row r="1140" spans="34:49">
      <c r="AH1140" s="99"/>
      <c r="AL1140" s="99"/>
      <c r="AN1140" s="99"/>
      <c r="AQ1140" s="6"/>
      <c r="AR1140" s="6"/>
      <c r="AS1140" s="6"/>
      <c r="AT1140" s="89"/>
      <c r="AU1140" s="100"/>
      <c r="AV1140" s="65"/>
      <c r="AW1140" s="3"/>
    </row>
    <row r="1141" spans="34:49">
      <c r="AH1141" s="99"/>
      <c r="AL1141" s="99"/>
      <c r="AN1141" s="99"/>
      <c r="AQ1141" s="6"/>
      <c r="AR1141" s="6"/>
      <c r="AS1141" s="6"/>
      <c r="AT1141" s="89"/>
      <c r="AU1141" s="100"/>
      <c r="AV1141" s="65"/>
      <c r="AW1141" s="3"/>
    </row>
    <row r="1142" spans="34:49">
      <c r="AH1142" s="99"/>
      <c r="AL1142" s="99"/>
      <c r="AN1142" s="99"/>
      <c r="AQ1142" s="6"/>
      <c r="AR1142" s="6"/>
      <c r="AS1142" s="6"/>
      <c r="AT1142" s="89"/>
      <c r="AU1142" s="100"/>
      <c r="AV1142" s="65"/>
      <c r="AW1142" s="3"/>
    </row>
    <row r="1143" spans="34:49">
      <c r="AH1143" s="99"/>
      <c r="AL1143" s="99"/>
      <c r="AN1143" s="99"/>
      <c r="AQ1143" s="6"/>
      <c r="AR1143" s="6"/>
      <c r="AS1143" s="6"/>
      <c r="AT1143" s="89"/>
      <c r="AU1143" s="100"/>
      <c r="AV1143" s="65"/>
      <c r="AW1143" s="3"/>
    </row>
    <row r="1144" spans="34:49">
      <c r="AH1144" s="99"/>
      <c r="AL1144" s="99"/>
      <c r="AN1144" s="99"/>
      <c r="AQ1144" s="6"/>
      <c r="AR1144" s="6"/>
      <c r="AS1144" s="6"/>
      <c r="AT1144" s="89"/>
      <c r="AU1144" s="100"/>
      <c r="AV1144" s="65"/>
      <c r="AW1144" s="3"/>
    </row>
    <row r="1145" spans="34:49">
      <c r="AH1145" s="99"/>
      <c r="AL1145" s="99"/>
      <c r="AN1145" s="99"/>
      <c r="AQ1145" s="6"/>
      <c r="AR1145" s="6"/>
      <c r="AS1145" s="6"/>
      <c r="AT1145" s="89"/>
      <c r="AU1145" s="100"/>
      <c r="AV1145" s="65"/>
      <c r="AW1145" s="3"/>
    </row>
    <row r="1146" spans="34:49">
      <c r="AH1146" s="99"/>
      <c r="AL1146" s="99"/>
      <c r="AN1146" s="99"/>
      <c r="AQ1146" s="6"/>
      <c r="AR1146" s="6"/>
      <c r="AS1146" s="6"/>
      <c r="AT1146" s="89"/>
      <c r="AU1146" s="100"/>
      <c r="AV1146" s="65"/>
      <c r="AW1146" s="3"/>
    </row>
    <row r="1147" spans="34:49">
      <c r="AH1147" s="99"/>
      <c r="AL1147" s="99"/>
      <c r="AN1147" s="99"/>
      <c r="AQ1147" s="6"/>
      <c r="AR1147" s="6"/>
      <c r="AS1147" s="6"/>
      <c r="AT1147" s="89"/>
      <c r="AU1147" s="100"/>
      <c r="AV1147" s="65"/>
      <c r="AW1147" s="3"/>
    </row>
    <row r="1148" spans="34:49">
      <c r="AH1148" s="99"/>
      <c r="AL1148" s="99"/>
      <c r="AN1148" s="99"/>
      <c r="AQ1148" s="6"/>
      <c r="AR1148" s="6"/>
      <c r="AS1148" s="6"/>
      <c r="AT1148" s="89"/>
      <c r="AU1148" s="100"/>
      <c r="AV1148" s="65"/>
      <c r="AW1148" s="3"/>
    </row>
    <row r="1149" spans="34:49">
      <c r="AH1149" s="99"/>
      <c r="AL1149" s="99"/>
      <c r="AN1149" s="99"/>
      <c r="AQ1149" s="6"/>
      <c r="AR1149" s="6"/>
      <c r="AS1149" s="6"/>
      <c r="AT1149" s="89"/>
      <c r="AU1149" s="100"/>
      <c r="AV1149" s="65"/>
      <c r="AW1149" s="3"/>
    </row>
    <row r="1150" spans="34:49">
      <c r="AH1150" s="99"/>
      <c r="AL1150" s="99"/>
      <c r="AN1150" s="99"/>
      <c r="AQ1150" s="6"/>
      <c r="AR1150" s="6"/>
      <c r="AS1150" s="6"/>
      <c r="AT1150" s="89"/>
      <c r="AU1150" s="100"/>
      <c r="AV1150" s="65"/>
      <c r="AW1150" s="3"/>
    </row>
    <row r="1151" spans="34:49">
      <c r="AH1151" s="99"/>
      <c r="AL1151" s="99"/>
      <c r="AN1151" s="99"/>
      <c r="AQ1151" s="6"/>
      <c r="AR1151" s="6"/>
      <c r="AS1151" s="6"/>
      <c r="AT1151" s="89"/>
      <c r="AU1151" s="100"/>
      <c r="AV1151" s="65"/>
      <c r="AW1151" s="3"/>
    </row>
    <row r="1152" spans="34:49">
      <c r="AH1152" s="99"/>
      <c r="AL1152" s="99"/>
      <c r="AN1152" s="99"/>
      <c r="AQ1152" s="6"/>
      <c r="AR1152" s="6"/>
      <c r="AS1152" s="6"/>
      <c r="AT1152" s="89"/>
      <c r="AU1152" s="100"/>
      <c r="AV1152" s="65"/>
      <c r="AW1152" s="3"/>
    </row>
    <row r="1153" spans="34:49">
      <c r="AH1153" s="99"/>
      <c r="AL1153" s="99"/>
      <c r="AN1153" s="99"/>
      <c r="AQ1153" s="6"/>
      <c r="AR1153" s="6"/>
      <c r="AS1153" s="6"/>
      <c r="AT1153" s="89"/>
      <c r="AU1153" s="100"/>
      <c r="AV1153" s="65"/>
      <c r="AW1153" s="3"/>
    </row>
    <row r="1154" spans="34:49">
      <c r="AH1154" s="99"/>
      <c r="AL1154" s="99"/>
      <c r="AN1154" s="99"/>
      <c r="AQ1154" s="6"/>
      <c r="AR1154" s="6"/>
      <c r="AS1154" s="6"/>
      <c r="AT1154" s="89"/>
      <c r="AU1154" s="100"/>
      <c r="AV1154" s="65"/>
      <c r="AW1154" s="3"/>
    </row>
    <row r="1155" spans="34:49">
      <c r="AH1155" s="99"/>
      <c r="AL1155" s="99"/>
      <c r="AN1155" s="99"/>
      <c r="AQ1155" s="6"/>
      <c r="AR1155" s="6"/>
      <c r="AS1155" s="6"/>
      <c r="AT1155" s="89"/>
      <c r="AU1155" s="100"/>
      <c r="AV1155" s="65"/>
      <c r="AW1155" s="3"/>
    </row>
    <row r="1156" spans="34:49">
      <c r="AH1156" s="99"/>
      <c r="AL1156" s="99"/>
      <c r="AN1156" s="99"/>
      <c r="AQ1156" s="6"/>
      <c r="AR1156" s="6"/>
      <c r="AS1156" s="6"/>
      <c r="AT1156" s="89"/>
      <c r="AU1156" s="100"/>
      <c r="AV1156" s="65"/>
      <c r="AW1156" s="3"/>
    </row>
    <row r="1157" spans="34:49">
      <c r="AH1157" s="99"/>
      <c r="AL1157" s="99"/>
      <c r="AN1157" s="99"/>
      <c r="AQ1157" s="6"/>
      <c r="AR1157" s="6"/>
      <c r="AS1157" s="6"/>
      <c r="AT1157" s="89"/>
      <c r="AU1157" s="100"/>
      <c r="AV1157" s="65"/>
      <c r="AW1157" s="3"/>
    </row>
    <row r="1158" spans="34:49">
      <c r="AH1158" s="99"/>
      <c r="AL1158" s="99"/>
      <c r="AN1158" s="99"/>
      <c r="AQ1158" s="6"/>
      <c r="AR1158" s="6"/>
      <c r="AS1158" s="6"/>
      <c r="AT1158" s="89"/>
      <c r="AU1158" s="100"/>
      <c r="AV1158" s="65"/>
      <c r="AW1158" s="3"/>
    </row>
    <row r="1159" spans="34:49">
      <c r="AH1159" s="99"/>
      <c r="AL1159" s="99"/>
      <c r="AN1159" s="99"/>
      <c r="AQ1159" s="6"/>
      <c r="AR1159" s="6"/>
      <c r="AS1159" s="6"/>
      <c r="AT1159" s="89"/>
      <c r="AU1159" s="100"/>
      <c r="AV1159" s="65"/>
      <c r="AW1159" s="3"/>
    </row>
    <row r="1160" spans="34:49">
      <c r="AH1160" s="99"/>
      <c r="AL1160" s="99"/>
      <c r="AN1160" s="99"/>
      <c r="AQ1160" s="6"/>
      <c r="AR1160" s="6"/>
      <c r="AS1160" s="6"/>
      <c r="AT1160" s="89"/>
      <c r="AU1160" s="100"/>
      <c r="AV1160" s="65"/>
      <c r="AW1160" s="3"/>
    </row>
    <row r="1161" spans="34:49">
      <c r="AH1161" s="99"/>
      <c r="AL1161" s="99"/>
      <c r="AN1161" s="99"/>
      <c r="AQ1161" s="6"/>
      <c r="AR1161" s="6"/>
      <c r="AS1161" s="6"/>
      <c r="AT1161" s="89"/>
      <c r="AU1161" s="100"/>
      <c r="AV1161" s="65"/>
      <c r="AW1161" s="3"/>
    </row>
    <row r="1162" spans="34:49">
      <c r="AH1162" s="99"/>
      <c r="AL1162" s="99"/>
      <c r="AN1162" s="99"/>
      <c r="AQ1162" s="6"/>
      <c r="AR1162" s="6"/>
      <c r="AS1162" s="6"/>
      <c r="AT1162" s="89"/>
      <c r="AU1162" s="100"/>
      <c r="AV1162" s="65"/>
      <c r="AW1162" s="3"/>
    </row>
    <row r="1163" spans="34:49">
      <c r="AH1163" s="99"/>
      <c r="AL1163" s="99"/>
      <c r="AN1163" s="99"/>
      <c r="AQ1163" s="6"/>
      <c r="AR1163" s="6"/>
      <c r="AS1163" s="6"/>
      <c r="AT1163" s="89"/>
      <c r="AU1163" s="100"/>
      <c r="AV1163" s="65"/>
      <c r="AW1163" s="3"/>
    </row>
    <row r="1164" spans="34:49">
      <c r="AH1164" s="99"/>
      <c r="AL1164" s="99"/>
      <c r="AN1164" s="99"/>
      <c r="AQ1164" s="6"/>
      <c r="AR1164" s="6"/>
      <c r="AS1164" s="6"/>
      <c r="AT1164" s="89"/>
      <c r="AU1164" s="100"/>
      <c r="AV1164" s="65"/>
      <c r="AW1164" s="3"/>
    </row>
    <row r="1165" spans="34:49">
      <c r="AH1165" s="99"/>
      <c r="AL1165" s="99"/>
      <c r="AN1165" s="99"/>
      <c r="AQ1165" s="6"/>
      <c r="AR1165" s="6"/>
      <c r="AS1165" s="6"/>
      <c r="AT1165" s="89"/>
      <c r="AU1165" s="100"/>
      <c r="AV1165" s="65"/>
      <c r="AW1165" s="3"/>
    </row>
    <row r="1166" spans="34:49">
      <c r="AH1166" s="99"/>
      <c r="AL1166" s="99"/>
      <c r="AN1166" s="99"/>
      <c r="AQ1166" s="6"/>
      <c r="AR1166" s="6"/>
      <c r="AS1166" s="6"/>
      <c r="AT1166" s="89"/>
      <c r="AU1166" s="100"/>
      <c r="AV1166" s="65"/>
      <c r="AW1166" s="3"/>
    </row>
    <row r="1167" spans="34:49">
      <c r="AH1167" s="99"/>
      <c r="AL1167" s="99"/>
      <c r="AN1167" s="99"/>
      <c r="AQ1167" s="6"/>
      <c r="AR1167" s="6"/>
      <c r="AS1167" s="6"/>
      <c r="AT1167" s="89"/>
      <c r="AU1167" s="100"/>
      <c r="AV1167" s="65"/>
      <c r="AW1167" s="3"/>
    </row>
    <row r="1168" spans="34:49">
      <c r="AH1168" s="99"/>
      <c r="AL1168" s="99"/>
      <c r="AN1168" s="99"/>
      <c r="AQ1168" s="6"/>
      <c r="AR1168" s="6"/>
      <c r="AS1168" s="6"/>
      <c r="AT1168" s="89"/>
      <c r="AU1168" s="100"/>
      <c r="AV1168" s="65"/>
      <c r="AW1168" s="3"/>
    </row>
    <row r="1169" spans="34:49">
      <c r="AH1169" s="99"/>
      <c r="AL1169" s="99"/>
      <c r="AN1169" s="99"/>
      <c r="AQ1169" s="6"/>
      <c r="AR1169" s="6"/>
      <c r="AS1169" s="6"/>
      <c r="AT1169" s="89"/>
      <c r="AU1169" s="100"/>
      <c r="AV1169" s="65"/>
      <c r="AW1169" s="3"/>
    </row>
    <row r="1170" spans="34:49">
      <c r="AH1170" s="99"/>
      <c r="AL1170" s="99"/>
      <c r="AN1170" s="99"/>
      <c r="AQ1170" s="6"/>
      <c r="AR1170" s="6"/>
      <c r="AS1170" s="6"/>
      <c r="AT1170" s="89"/>
      <c r="AU1170" s="100"/>
      <c r="AV1170" s="65"/>
      <c r="AW1170" s="3"/>
    </row>
    <row r="1171" spans="34:49">
      <c r="AH1171" s="99"/>
      <c r="AL1171" s="99"/>
      <c r="AN1171" s="99"/>
      <c r="AQ1171" s="6"/>
      <c r="AR1171" s="6"/>
      <c r="AS1171" s="6"/>
      <c r="AT1171" s="89"/>
      <c r="AU1171" s="100"/>
      <c r="AV1171" s="65"/>
      <c r="AW1171" s="3"/>
    </row>
    <row r="1172" spans="34:49">
      <c r="AH1172" s="99"/>
      <c r="AL1172" s="99"/>
      <c r="AN1172" s="99"/>
      <c r="AQ1172" s="6"/>
      <c r="AR1172" s="6"/>
      <c r="AS1172" s="6"/>
      <c r="AT1172" s="89"/>
      <c r="AU1172" s="100"/>
      <c r="AV1172" s="65"/>
      <c r="AW1172" s="3"/>
    </row>
    <row r="1173" spans="34:49">
      <c r="AH1173" s="99"/>
      <c r="AL1173" s="99"/>
      <c r="AN1173" s="99"/>
      <c r="AQ1173" s="6"/>
      <c r="AR1173" s="6"/>
      <c r="AS1173" s="6"/>
      <c r="AT1173" s="89"/>
      <c r="AU1173" s="100"/>
      <c r="AV1173" s="65"/>
      <c r="AW1173" s="3"/>
    </row>
    <row r="1174" spans="34:49">
      <c r="AH1174" s="99"/>
      <c r="AL1174" s="99"/>
      <c r="AN1174" s="99"/>
      <c r="AQ1174" s="6"/>
      <c r="AR1174" s="6"/>
      <c r="AS1174" s="6"/>
      <c r="AT1174" s="89"/>
      <c r="AU1174" s="100"/>
      <c r="AV1174" s="65"/>
      <c r="AW1174" s="3"/>
    </row>
    <row r="1175" spans="34:49">
      <c r="AH1175" s="99"/>
      <c r="AL1175" s="99"/>
      <c r="AN1175" s="99"/>
      <c r="AQ1175" s="6"/>
      <c r="AR1175" s="6"/>
      <c r="AS1175" s="6"/>
      <c r="AT1175" s="89"/>
      <c r="AU1175" s="100"/>
      <c r="AV1175" s="65"/>
      <c r="AW1175" s="3"/>
    </row>
    <row r="1176" spans="34:49">
      <c r="AH1176" s="99"/>
      <c r="AL1176" s="99"/>
      <c r="AN1176" s="99"/>
      <c r="AQ1176" s="6"/>
      <c r="AR1176" s="6"/>
      <c r="AS1176" s="6"/>
      <c r="AT1176" s="89"/>
      <c r="AU1176" s="100"/>
      <c r="AV1176" s="65"/>
      <c r="AW1176" s="3"/>
    </row>
    <row r="1177" spans="34:49">
      <c r="AH1177" s="99"/>
      <c r="AL1177" s="99"/>
      <c r="AN1177" s="99"/>
      <c r="AQ1177" s="6"/>
      <c r="AR1177" s="6"/>
      <c r="AS1177" s="6"/>
      <c r="AT1177" s="89"/>
      <c r="AU1177" s="100"/>
      <c r="AV1177" s="65"/>
      <c r="AW1177" s="3"/>
    </row>
    <row r="1178" spans="34:49">
      <c r="AH1178" s="99"/>
      <c r="AL1178" s="99"/>
      <c r="AN1178" s="99"/>
      <c r="AQ1178" s="6"/>
      <c r="AR1178" s="6"/>
      <c r="AS1178" s="6"/>
      <c r="AT1178" s="89"/>
      <c r="AU1178" s="100"/>
      <c r="AV1178" s="65"/>
      <c r="AW1178" s="3"/>
    </row>
    <row r="1179" spans="34:49">
      <c r="AH1179" s="99"/>
      <c r="AL1179" s="99"/>
      <c r="AN1179" s="99"/>
      <c r="AQ1179" s="6"/>
      <c r="AR1179" s="6"/>
      <c r="AS1179" s="6"/>
      <c r="AT1179" s="89"/>
      <c r="AU1179" s="100"/>
      <c r="AV1179" s="65"/>
      <c r="AW1179" s="3"/>
    </row>
    <row r="1180" spans="34:49">
      <c r="AH1180" s="99"/>
      <c r="AL1180" s="99"/>
      <c r="AN1180" s="99"/>
      <c r="AQ1180" s="6"/>
      <c r="AR1180" s="6"/>
      <c r="AS1180" s="6"/>
      <c r="AT1180" s="89"/>
      <c r="AU1180" s="100"/>
      <c r="AV1180" s="65"/>
      <c r="AW1180" s="3"/>
    </row>
    <row r="1181" spans="34:49">
      <c r="AH1181" s="99"/>
      <c r="AL1181" s="99"/>
      <c r="AN1181" s="99"/>
      <c r="AQ1181" s="6"/>
      <c r="AR1181" s="6"/>
      <c r="AS1181" s="6"/>
      <c r="AT1181" s="89"/>
      <c r="AU1181" s="100"/>
      <c r="AV1181" s="65"/>
      <c r="AW1181" s="3"/>
    </row>
    <row r="1182" spans="34:49">
      <c r="AH1182" s="99"/>
      <c r="AL1182" s="99"/>
      <c r="AN1182" s="99"/>
      <c r="AQ1182" s="6"/>
      <c r="AR1182" s="6"/>
      <c r="AS1182" s="6"/>
      <c r="AT1182" s="89"/>
      <c r="AU1182" s="100"/>
      <c r="AV1182" s="65"/>
      <c r="AW1182" s="3"/>
    </row>
    <row r="1183" spans="34:49">
      <c r="AH1183" s="99"/>
      <c r="AL1183" s="99"/>
      <c r="AN1183" s="99"/>
      <c r="AQ1183" s="6"/>
      <c r="AR1183" s="6"/>
      <c r="AS1183" s="6"/>
      <c r="AT1183" s="89"/>
      <c r="AU1183" s="100"/>
      <c r="AV1183" s="65"/>
      <c r="AW1183" s="3"/>
    </row>
    <row r="1184" spans="34:49">
      <c r="AH1184" s="99"/>
      <c r="AL1184" s="99"/>
      <c r="AN1184" s="99"/>
      <c r="AQ1184" s="6"/>
      <c r="AR1184" s="6"/>
      <c r="AS1184" s="6"/>
      <c r="AT1184" s="89"/>
      <c r="AU1184" s="100"/>
      <c r="AV1184" s="65"/>
      <c r="AW1184" s="3"/>
    </row>
    <row r="1185" spans="34:49">
      <c r="AH1185" s="99"/>
      <c r="AL1185" s="99"/>
      <c r="AN1185" s="99"/>
      <c r="AQ1185" s="6"/>
      <c r="AR1185" s="6"/>
      <c r="AS1185" s="6"/>
      <c r="AT1185" s="89"/>
      <c r="AU1185" s="100"/>
      <c r="AV1185" s="65"/>
      <c r="AW1185" s="3"/>
    </row>
    <row r="1186" spans="34:49">
      <c r="AH1186" s="99"/>
      <c r="AL1186" s="99"/>
      <c r="AN1186" s="99"/>
      <c r="AQ1186" s="6"/>
      <c r="AR1186" s="6"/>
      <c r="AS1186" s="6"/>
      <c r="AT1186" s="89"/>
      <c r="AU1186" s="100"/>
      <c r="AV1186" s="65"/>
      <c r="AW1186" s="3"/>
    </row>
    <row r="1187" spans="34:49">
      <c r="AH1187" s="99"/>
      <c r="AL1187" s="99"/>
      <c r="AN1187" s="99"/>
      <c r="AQ1187" s="6"/>
      <c r="AR1187" s="6"/>
      <c r="AS1187" s="6"/>
      <c r="AT1187" s="89"/>
      <c r="AU1187" s="100"/>
      <c r="AV1187" s="65"/>
      <c r="AW1187" s="3"/>
    </row>
    <row r="1188" spans="34:49">
      <c r="AH1188" s="99"/>
      <c r="AL1188" s="99"/>
      <c r="AN1188" s="99"/>
      <c r="AQ1188" s="6"/>
      <c r="AR1188" s="6"/>
      <c r="AS1188" s="6"/>
      <c r="AT1188" s="89"/>
      <c r="AU1188" s="100"/>
      <c r="AV1188" s="65"/>
      <c r="AW1188" s="3"/>
    </row>
    <row r="1189" spans="34:49">
      <c r="AH1189" s="99"/>
      <c r="AL1189" s="99"/>
      <c r="AN1189" s="99"/>
      <c r="AQ1189" s="6"/>
      <c r="AR1189" s="6"/>
      <c r="AS1189" s="6"/>
      <c r="AT1189" s="89"/>
      <c r="AU1189" s="100"/>
      <c r="AV1189" s="65"/>
      <c r="AW1189" s="3"/>
    </row>
    <row r="1190" spans="34:49">
      <c r="AH1190" s="99"/>
      <c r="AL1190" s="99"/>
      <c r="AN1190" s="99"/>
      <c r="AQ1190" s="6"/>
      <c r="AR1190" s="6"/>
      <c r="AS1190" s="6"/>
      <c r="AT1190" s="89"/>
      <c r="AU1190" s="100"/>
      <c r="AV1190" s="65"/>
      <c r="AW1190" s="3"/>
    </row>
    <row r="1191" spans="34:49">
      <c r="AH1191" s="99"/>
      <c r="AL1191" s="99"/>
      <c r="AN1191" s="99"/>
      <c r="AQ1191" s="6"/>
      <c r="AR1191" s="6"/>
      <c r="AS1191" s="6"/>
      <c r="AT1191" s="89"/>
      <c r="AU1191" s="100"/>
      <c r="AV1191" s="65"/>
      <c r="AW1191" s="3"/>
    </row>
    <row r="1192" spans="34:49">
      <c r="AH1192" s="99"/>
      <c r="AL1192" s="99"/>
      <c r="AN1192" s="99"/>
      <c r="AQ1192" s="6"/>
      <c r="AR1192" s="6"/>
      <c r="AS1192" s="6"/>
      <c r="AT1192" s="89"/>
      <c r="AU1192" s="100"/>
      <c r="AV1192" s="65"/>
      <c r="AW1192" s="3"/>
    </row>
    <row r="1193" spans="34:49">
      <c r="AH1193" s="99"/>
      <c r="AL1193" s="99"/>
      <c r="AN1193" s="99"/>
      <c r="AQ1193" s="6"/>
      <c r="AR1193" s="6"/>
      <c r="AS1193" s="6"/>
      <c r="AT1193" s="89"/>
      <c r="AU1193" s="100"/>
      <c r="AV1193" s="65"/>
      <c r="AW1193" s="3"/>
    </row>
    <row r="1194" spans="34:49">
      <c r="AH1194" s="99"/>
      <c r="AL1194" s="99"/>
      <c r="AN1194" s="99"/>
      <c r="AQ1194" s="6"/>
      <c r="AR1194" s="6"/>
      <c r="AS1194" s="6"/>
      <c r="AT1194" s="89"/>
      <c r="AU1194" s="100"/>
      <c r="AV1194" s="65"/>
      <c r="AW1194" s="3"/>
    </row>
    <row r="1195" spans="34:49">
      <c r="AH1195" s="99"/>
      <c r="AL1195" s="99"/>
      <c r="AN1195" s="99"/>
      <c r="AQ1195" s="6"/>
      <c r="AR1195" s="6"/>
      <c r="AS1195" s="6"/>
      <c r="AT1195" s="89"/>
      <c r="AU1195" s="100"/>
      <c r="AV1195" s="65"/>
      <c r="AW1195" s="3"/>
    </row>
    <row r="1196" spans="34:49">
      <c r="AH1196" s="99"/>
      <c r="AL1196" s="99"/>
      <c r="AN1196" s="99"/>
      <c r="AQ1196" s="6"/>
      <c r="AR1196" s="6"/>
      <c r="AS1196" s="6"/>
      <c r="AT1196" s="89"/>
      <c r="AU1196" s="100"/>
      <c r="AV1196" s="65"/>
      <c r="AW1196" s="3"/>
    </row>
    <row r="1197" spans="34:49">
      <c r="AH1197" s="99"/>
      <c r="AL1197" s="99"/>
      <c r="AN1197" s="99"/>
      <c r="AQ1197" s="6"/>
      <c r="AR1197" s="6"/>
      <c r="AS1197" s="6"/>
      <c r="AT1197" s="89"/>
      <c r="AU1197" s="100"/>
      <c r="AV1197" s="65"/>
      <c r="AW1197" s="3"/>
    </row>
    <row r="1198" spans="34:49">
      <c r="AH1198" s="99"/>
      <c r="AL1198" s="99"/>
      <c r="AN1198" s="99"/>
      <c r="AQ1198" s="6"/>
      <c r="AR1198" s="6"/>
      <c r="AS1198" s="6"/>
      <c r="AT1198" s="89"/>
      <c r="AU1198" s="100"/>
      <c r="AV1198" s="65"/>
      <c r="AW1198" s="3"/>
    </row>
    <row r="1199" spans="34:49">
      <c r="AH1199" s="99"/>
      <c r="AL1199" s="99"/>
      <c r="AN1199" s="99"/>
      <c r="AQ1199" s="6"/>
      <c r="AR1199" s="6"/>
      <c r="AS1199" s="6"/>
      <c r="AT1199" s="89"/>
      <c r="AU1199" s="100"/>
      <c r="AV1199" s="65"/>
      <c r="AW1199" s="3"/>
    </row>
    <row r="1200" spans="34:49">
      <c r="AH1200" s="99"/>
      <c r="AL1200" s="99"/>
      <c r="AN1200" s="99"/>
      <c r="AQ1200" s="6"/>
      <c r="AR1200" s="6"/>
      <c r="AS1200" s="6"/>
      <c r="AT1200" s="89"/>
      <c r="AU1200" s="100"/>
      <c r="AV1200" s="65"/>
      <c r="AW1200" s="3"/>
    </row>
    <row r="1201" spans="34:49">
      <c r="AH1201" s="99"/>
      <c r="AL1201" s="99"/>
      <c r="AN1201" s="99"/>
      <c r="AQ1201" s="6"/>
      <c r="AR1201" s="6"/>
      <c r="AS1201" s="6"/>
      <c r="AT1201" s="89"/>
      <c r="AU1201" s="100"/>
      <c r="AV1201" s="65"/>
      <c r="AW1201" s="3"/>
    </row>
    <row r="1202" spans="34:49">
      <c r="AH1202" s="99"/>
      <c r="AL1202" s="99"/>
      <c r="AN1202" s="99"/>
      <c r="AQ1202" s="6"/>
      <c r="AR1202" s="6"/>
      <c r="AS1202" s="6"/>
      <c r="AT1202" s="89"/>
      <c r="AU1202" s="100"/>
      <c r="AV1202" s="65"/>
      <c r="AW1202" s="3"/>
    </row>
    <row r="1203" spans="34:49">
      <c r="AH1203" s="99"/>
      <c r="AL1203" s="99"/>
      <c r="AN1203" s="99"/>
      <c r="AQ1203" s="6"/>
      <c r="AR1203" s="6"/>
      <c r="AS1203" s="6"/>
      <c r="AT1203" s="89"/>
      <c r="AU1203" s="100"/>
      <c r="AV1203" s="65"/>
      <c r="AW1203" s="3"/>
    </row>
    <row r="1204" spans="34:49">
      <c r="AH1204" s="99"/>
      <c r="AL1204" s="99"/>
      <c r="AN1204" s="99"/>
      <c r="AQ1204" s="6"/>
      <c r="AR1204" s="6"/>
      <c r="AS1204" s="6"/>
      <c r="AT1204" s="89"/>
      <c r="AU1204" s="100"/>
      <c r="AV1204" s="65"/>
      <c r="AW1204" s="3"/>
    </row>
    <row r="1205" spans="34:49">
      <c r="AH1205" s="99"/>
      <c r="AL1205" s="99"/>
      <c r="AN1205" s="99"/>
      <c r="AQ1205" s="6"/>
      <c r="AR1205" s="6"/>
      <c r="AS1205" s="6"/>
      <c r="AT1205" s="89"/>
      <c r="AU1205" s="100"/>
      <c r="AV1205" s="65"/>
      <c r="AW1205" s="3"/>
    </row>
    <row r="1206" spans="34:49">
      <c r="AH1206" s="99"/>
      <c r="AL1206" s="99"/>
      <c r="AN1206" s="99"/>
      <c r="AQ1206" s="6"/>
      <c r="AR1206" s="6"/>
      <c r="AS1206" s="6"/>
      <c r="AT1206" s="89"/>
      <c r="AU1206" s="100"/>
      <c r="AV1206" s="65"/>
      <c r="AW1206" s="3"/>
    </row>
    <row r="1207" spans="34:49">
      <c r="AH1207" s="99"/>
      <c r="AL1207" s="99"/>
      <c r="AN1207" s="99"/>
      <c r="AQ1207" s="6"/>
      <c r="AR1207" s="6"/>
      <c r="AS1207" s="6"/>
      <c r="AT1207" s="89"/>
      <c r="AU1207" s="100"/>
      <c r="AV1207" s="65"/>
      <c r="AW1207" s="3"/>
    </row>
    <row r="1208" spans="34:49">
      <c r="AH1208" s="99"/>
      <c r="AL1208" s="99"/>
      <c r="AN1208" s="99"/>
      <c r="AQ1208" s="6"/>
      <c r="AR1208" s="6"/>
      <c r="AS1208" s="6"/>
      <c r="AT1208" s="89"/>
      <c r="AU1208" s="100"/>
      <c r="AV1208" s="65"/>
      <c r="AW1208" s="3"/>
    </row>
    <row r="1209" spans="34:49">
      <c r="AH1209" s="99"/>
      <c r="AL1209" s="99"/>
      <c r="AN1209" s="99"/>
      <c r="AQ1209" s="6"/>
      <c r="AR1209" s="6"/>
      <c r="AS1209" s="6"/>
      <c r="AT1209" s="89"/>
      <c r="AU1209" s="100"/>
      <c r="AV1209" s="65"/>
      <c r="AW1209" s="3"/>
    </row>
    <row r="1210" spans="34:49">
      <c r="AH1210" s="99"/>
      <c r="AL1210" s="99"/>
      <c r="AN1210" s="99"/>
      <c r="AQ1210" s="6"/>
      <c r="AR1210" s="6"/>
      <c r="AS1210" s="6"/>
      <c r="AT1210" s="89"/>
      <c r="AU1210" s="100"/>
      <c r="AV1210" s="65"/>
      <c r="AW1210" s="3"/>
    </row>
    <row r="1211" spans="34:49">
      <c r="AH1211" s="99"/>
      <c r="AL1211" s="99"/>
      <c r="AN1211" s="99"/>
      <c r="AQ1211" s="6"/>
      <c r="AR1211" s="6"/>
      <c r="AS1211" s="6"/>
      <c r="AT1211" s="89"/>
      <c r="AU1211" s="100"/>
      <c r="AV1211" s="65"/>
      <c r="AW1211" s="3"/>
    </row>
    <row r="1212" spans="34:49">
      <c r="AH1212" s="99"/>
      <c r="AL1212" s="99"/>
      <c r="AN1212" s="99"/>
      <c r="AQ1212" s="6"/>
      <c r="AR1212" s="6"/>
      <c r="AS1212" s="6"/>
      <c r="AT1212" s="89"/>
      <c r="AU1212" s="100"/>
      <c r="AV1212" s="65"/>
      <c r="AW1212" s="3"/>
    </row>
    <row r="1213" spans="34:49">
      <c r="AH1213" s="99"/>
      <c r="AL1213" s="99"/>
      <c r="AN1213" s="99"/>
      <c r="AQ1213" s="6"/>
      <c r="AR1213" s="6"/>
      <c r="AS1213" s="6"/>
      <c r="AT1213" s="89"/>
      <c r="AU1213" s="100"/>
      <c r="AV1213" s="65"/>
      <c r="AW1213" s="3"/>
    </row>
    <row r="1214" spans="34:49">
      <c r="AH1214" s="99"/>
      <c r="AL1214" s="99"/>
      <c r="AN1214" s="99"/>
      <c r="AQ1214" s="6"/>
      <c r="AR1214" s="6"/>
      <c r="AS1214" s="6"/>
      <c r="AT1214" s="89"/>
      <c r="AU1214" s="100"/>
      <c r="AV1214" s="65"/>
      <c r="AW1214" s="3"/>
    </row>
    <row r="1215" spans="34:49">
      <c r="AH1215" s="99"/>
      <c r="AL1215" s="99"/>
      <c r="AN1215" s="99"/>
      <c r="AQ1215" s="6"/>
      <c r="AR1215" s="6"/>
      <c r="AS1215" s="6"/>
      <c r="AT1215" s="89"/>
      <c r="AU1215" s="100"/>
      <c r="AV1215" s="65"/>
      <c r="AW1215" s="3"/>
    </row>
    <row r="1216" spans="34:49">
      <c r="AH1216" s="99"/>
      <c r="AL1216" s="99"/>
      <c r="AN1216" s="99"/>
      <c r="AQ1216" s="6"/>
      <c r="AR1216" s="6"/>
      <c r="AS1216" s="6"/>
      <c r="AT1216" s="89"/>
      <c r="AU1216" s="100"/>
      <c r="AV1216" s="65"/>
      <c r="AW1216" s="3"/>
    </row>
    <row r="1217" spans="34:49">
      <c r="AH1217" s="99"/>
      <c r="AL1217" s="99"/>
      <c r="AN1217" s="99"/>
      <c r="AQ1217" s="6"/>
      <c r="AR1217" s="6"/>
      <c r="AS1217" s="6"/>
      <c r="AT1217" s="89"/>
      <c r="AU1217" s="100"/>
      <c r="AV1217" s="65"/>
      <c r="AW1217" s="3"/>
    </row>
    <row r="1218" spans="34:49">
      <c r="AH1218" s="99"/>
      <c r="AL1218" s="99"/>
      <c r="AN1218" s="99"/>
      <c r="AQ1218" s="6"/>
      <c r="AR1218" s="6"/>
      <c r="AS1218" s="6"/>
      <c r="AT1218" s="89"/>
      <c r="AU1218" s="100"/>
      <c r="AV1218" s="65"/>
      <c r="AW1218" s="3"/>
    </row>
    <row r="1219" spans="34:49">
      <c r="AH1219" s="99"/>
      <c r="AL1219" s="99"/>
      <c r="AN1219" s="99"/>
      <c r="AQ1219" s="6"/>
      <c r="AR1219" s="6"/>
      <c r="AS1219" s="6"/>
      <c r="AT1219" s="89"/>
      <c r="AU1219" s="100"/>
      <c r="AV1219" s="65"/>
      <c r="AW1219" s="3"/>
    </row>
    <row r="1220" spans="34:49">
      <c r="AH1220" s="99"/>
      <c r="AL1220" s="99"/>
      <c r="AN1220" s="99"/>
      <c r="AQ1220" s="6"/>
      <c r="AR1220" s="6"/>
      <c r="AS1220" s="6"/>
      <c r="AT1220" s="89"/>
      <c r="AU1220" s="100"/>
      <c r="AV1220" s="65"/>
      <c r="AW1220" s="3"/>
    </row>
    <row r="1221" spans="34:49">
      <c r="AH1221" s="99"/>
      <c r="AL1221" s="99"/>
      <c r="AN1221" s="99"/>
      <c r="AQ1221" s="6"/>
      <c r="AR1221" s="6"/>
      <c r="AS1221" s="6"/>
      <c r="AT1221" s="89"/>
      <c r="AU1221" s="100"/>
      <c r="AV1221" s="65"/>
      <c r="AW1221" s="3"/>
    </row>
    <row r="1222" spans="34:49">
      <c r="AH1222" s="99"/>
      <c r="AL1222" s="99"/>
      <c r="AN1222" s="99"/>
      <c r="AQ1222" s="6"/>
      <c r="AR1222" s="6"/>
      <c r="AS1222" s="6"/>
      <c r="AT1222" s="89"/>
      <c r="AU1222" s="100"/>
      <c r="AV1222" s="65"/>
      <c r="AW1222" s="3"/>
    </row>
    <row r="1223" spans="34:49">
      <c r="AH1223" s="99"/>
      <c r="AL1223" s="99"/>
      <c r="AN1223" s="99"/>
      <c r="AQ1223" s="6"/>
      <c r="AR1223" s="6"/>
      <c r="AS1223" s="6"/>
      <c r="AT1223" s="89"/>
      <c r="AU1223" s="100"/>
      <c r="AV1223" s="65"/>
      <c r="AW1223" s="3"/>
    </row>
    <row r="1224" spans="34:49">
      <c r="AH1224" s="99"/>
      <c r="AL1224" s="99"/>
      <c r="AN1224" s="99"/>
      <c r="AQ1224" s="6"/>
      <c r="AR1224" s="6"/>
      <c r="AS1224" s="6"/>
      <c r="AT1224" s="89"/>
      <c r="AU1224" s="100"/>
      <c r="AV1224" s="65"/>
      <c r="AW1224" s="3"/>
    </row>
    <row r="1225" spans="34:49">
      <c r="AH1225" s="99"/>
      <c r="AL1225" s="99"/>
      <c r="AN1225" s="99"/>
      <c r="AQ1225" s="6"/>
      <c r="AR1225" s="6"/>
      <c r="AS1225" s="6"/>
      <c r="AT1225" s="89"/>
      <c r="AU1225" s="100"/>
      <c r="AV1225" s="65"/>
      <c r="AW1225" s="3"/>
    </row>
    <row r="1226" spans="34:49">
      <c r="AH1226" s="99"/>
      <c r="AL1226" s="99"/>
      <c r="AN1226" s="99"/>
      <c r="AQ1226" s="6"/>
      <c r="AR1226" s="6"/>
      <c r="AS1226" s="6"/>
      <c r="AT1226" s="89"/>
      <c r="AU1226" s="100"/>
      <c r="AV1226" s="65"/>
      <c r="AW1226" s="3"/>
    </row>
    <row r="1227" spans="34:49">
      <c r="AH1227" s="99"/>
      <c r="AL1227" s="99"/>
      <c r="AN1227" s="99"/>
      <c r="AQ1227" s="6"/>
      <c r="AR1227" s="6"/>
      <c r="AS1227" s="6"/>
      <c r="AT1227" s="89"/>
      <c r="AU1227" s="100"/>
      <c r="AV1227" s="65"/>
      <c r="AW1227" s="3"/>
    </row>
    <row r="1228" spans="34:49">
      <c r="AH1228" s="99"/>
      <c r="AL1228" s="99"/>
      <c r="AN1228" s="99"/>
      <c r="AQ1228" s="6"/>
      <c r="AR1228" s="6"/>
      <c r="AS1228" s="6"/>
      <c r="AT1228" s="89"/>
      <c r="AU1228" s="100"/>
      <c r="AV1228" s="65"/>
      <c r="AW1228" s="3"/>
    </row>
    <row r="1229" spans="34:49">
      <c r="AH1229" s="99"/>
      <c r="AL1229" s="99"/>
      <c r="AN1229" s="99"/>
      <c r="AQ1229" s="6"/>
      <c r="AR1229" s="6"/>
      <c r="AS1229" s="6"/>
      <c r="AT1229" s="89"/>
      <c r="AU1229" s="100"/>
      <c r="AV1229" s="65"/>
      <c r="AW1229" s="3"/>
    </row>
    <row r="1230" spans="34:49">
      <c r="AH1230" s="99"/>
      <c r="AL1230" s="99"/>
      <c r="AN1230" s="99"/>
      <c r="AQ1230" s="6"/>
      <c r="AR1230" s="6"/>
      <c r="AS1230" s="6"/>
      <c r="AT1230" s="89"/>
      <c r="AU1230" s="100"/>
      <c r="AV1230" s="65"/>
      <c r="AW1230" s="3"/>
    </row>
    <row r="1231" spans="34:49">
      <c r="AH1231" s="99"/>
      <c r="AL1231" s="99"/>
      <c r="AN1231" s="99"/>
      <c r="AQ1231" s="6"/>
      <c r="AR1231" s="6"/>
      <c r="AS1231" s="6"/>
      <c r="AT1231" s="89"/>
      <c r="AU1231" s="100"/>
      <c r="AV1231" s="65"/>
      <c r="AW1231" s="3"/>
    </row>
    <row r="1232" spans="34:49">
      <c r="AH1232" s="99"/>
      <c r="AL1232" s="99"/>
      <c r="AN1232" s="99"/>
      <c r="AQ1232" s="6"/>
      <c r="AR1232" s="6"/>
      <c r="AS1232" s="6"/>
      <c r="AT1232" s="89"/>
      <c r="AU1232" s="100"/>
      <c r="AV1232" s="65"/>
      <c r="AW1232" s="3"/>
    </row>
    <row r="1233" spans="34:49">
      <c r="AH1233" s="99"/>
      <c r="AL1233" s="99"/>
      <c r="AN1233" s="99"/>
      <c r="AQ1233" s="6"/>
      <c r="AR1233" s="6"/>
      <c r="AS1233" s="6"/>
      <c r="AT1233" s="89"/>
      <c r="AU1233" s="100"/>
      <c r="AV1233" s="65"/>
      <c r="AW1233" s="3"/>
    </row>
    <row r="1234" spans="34:49">
      <c r="AH1234" s="99"/>
      <c r="AL1234" s="99"/>
      <c r="AN1234" s="99"/>
      <c r="AQ1234" s="6"/>
      <c r="AR1234" s="6"/>
      <c r="AS1234" s="6"/>
      <c r="AT1234" s="89"/>
      <c r="AU1234" s="100"/>
      <c r="AV1234" s="65"/>
      <c r="AW1234" s="3"/>
    </row>
    <row r="1235" spans="34:49">
      <c r="AH1235" s="99"/>
      <c r="AL1235" s="99"/>
      <c r="AN1235" s="99"/>
      <c r="AQ1235" s="6"/>
      <c r="AR1235" s="6"/>
      <c r="AS1235" s="6"/>
      <c r="AT1235" s="89"/>
      <c r="AU1235" s="100"/>
      <c r="AV1235" s="65"/>
      <c r="AW1235" s="3"/>
    </row>
    <row r="1236" spans="34:49">
      <c r="AH1236" s="99"/>
      <c r="AL1236" s="99"/>
      <c r="AN1236" s="99"/>
      <c r="AQ1236" s="6"/>
      <c r="AR1236" s="6"/>
      <c r="AS1236" s="6"/>
      <c r="AT1236" s="89"/>
      <c r="AU1236" s="100"/>
      <c r="AV1236" s="65"/>
      <c r="AW1236" s="3"/>
    </row>
    <row r="1237" spans="34:49">
      <c r="AH1237" s="99"/>
      <c r="AL1237" s="99"/>
      <c r="AN1237" s="99"/>
      <c r="AQ1237" s="6"/>
      <c r="AR1237" s="6"/>
      <c r="AS1237" s="6"/>
      <c r="AT1237" s="89"/>
      <c r="AU1237" s="100"/>
      <c r="AV1237" s="65"/>
      <c r="AW1237" s="3"/>
    </row>
    <row r="1238" spans="34:49">
      <c r="AH1238" s="99"/>
      <c r="AL1238" s="99"/>
      <c r="AN1238" s="99"/>
      <c r="AQ1238" s="6"/>
      <c r="AR1238" s="6"/>
      <c r="AS1238" s="6"/>
      <c r="AT1238" s="89"/>
      <c r="AU1238" s="100"/>
      <c r="AV1238" s="65"/>
      <c r="AW1238" s="3"/>
    </row>
    <row r="1239" spans="34:49">
      <c r="AH1239" s="99"/>
      <c r="AL1239" s="99"/>
      <c r="AN1239" s="99"/>
      <c r="AQ1239" s="6"/>
      <c r="AR1239" s="6"/>
      <c r="AS1239" s="6"/>
      <c r="AT1239" s="89"/>
      <c r="AU1239" s="100"/>
      <c r="AV1239" s="65"/>
      <c r="AW1239" s="3"/>
    </row>
    <row r="1240" spans="34:49">
      <c r="AH1240" s="99"/>
      <c r="AL1240" s="99"/>
      <c r="AN1240" s="99"/>
      <c r="AQ1240" s="6"/>
      <c r="AR1240" s="6"/>
      <c r="AS1240" s="6"/>
      <c r="AT1240" s="89"/>
      <c r="AU1240" s="100"/>
      <c r="AV1240" s="65"/>
      <c r="AW1240" s="3"/>
    </row>
    <row r="1241" spans="34:49">
      <c r="AH1241" s="99"/>
      <c r="AL1241" s="99"/>
      <c r="AN1241" s="99"/>
      <c r="AQ1241" s="6"/>
      <c r="AR1241" s="6"/>
      <c r="AS1241" s="6"/>
      <c r="AT1241" s="89"/>
      <c r="AU1241" s="100"/>
      <c r="AV1241" s="65"/>
      <c r="AW1241" s="3"/>
    </row>
    <row r="1242" spans="34:49">
      <c r="AH1242" s="99"/>
      <c r="AL1242" s="99"/>
      <c r="AN1242" s="99"/>
      <c r="AQ1242" s="6"/>
      <c r="AR1242" s="6"/>
      <c r="AS1242" s="6"/>
      <c r="AT1242" s="89"/>
      <c r="AU1242" s="100"/>
      <c r="AV1242" s="65"/>
      <c r="AW1242" s="3"/>
    </row>
    <row r="1243" spans="34:49">
      <c r="AH1243" s="99"/>
      <c r="AL1243" s="99"/>
      <c r="AN1243" s="99"/>
      <c r="AQ1243" s="6"/>
      <c r="AR1243" s="6"/>
      <c r="AS1243" s="6"/>
      <c r="AT1243" s="89"/>
      <c r="AU1243" s="100"/>
      <c r="AV1243" s="65"/>
      <c r="AW1243" s="3"/>
    </row>
    <row r="1244" spans="34:49">
      <c r="AH1244" s="99"/>
      <c r="AL1244" s="99"/>
      <c r="AN1244" s="99"/>
      <c r="AQ1244" s="6"/>
      <c r="AR1244" s="6"/>
      <c r="AS1244" s="6"/>
      <c r="AT1244" s="89"/>
      <c r="AU1244" s="100"/>
      <c r="AV1244" s="65"/>
      <c r="AW1244" s="3"/>
    </row>
    <row r="1245" spans="34:49">
      <c r="AH1245" s="99"/>
      <c r="AL1245" s="99"/>
      <c r="AN1245" s="99"/>
      <c r="AQ1245" s="6"/>
      <c r="AR1245" s="6"/>
      <c r="AS1245" s="6"/>
      <c r="AT1245" s="89"/>
      <c r="AU1245" s="100"/>
      <c r="AV1245" s="65"/>
      <c r="AW1245" s="3"/>
    </row>
    <row r="1246" spans="34:49">
      <c r="AH1246" s="99"/>
      <c r="AL1246" s="99"/>
      <c r="AN1246" s="99"/>
      <c r="AQ1246" s="6"/>
      <c r="AR1246" s="6"/>
      <c r="AS1246" s="6"/>
      <c r="AT1246" s="89"/>
      <c r="AU1246" s="100"/>
      <c r="AV1246" s="65"/>
      <c r="AW1246" s="3"/>
    </row>
    <row r="1247" spans="34:49">
      <c r="AH1247" s="99"/>
      <c r="AL1247" s="99"/>
      <c r="AN1247" s="99"/>
      <c r="AQ1247" s="6"/>
      <c r="AR1247" s="6"/>
      <c r="AS1247" s="6"/>
      <c r="AT1247" s="89"/>
      <c r="AU1247" s="100"/>
      <c r="AV1247" s="65"/>
      <c r="AW1247" s="3"/>
    </row>
    <row r="1248" spans="34:49">
      <c r="AH1248" s="99"/>
      <c r="AL1248" s="99"/>
      <c r="AN1248" s="99"/>
      <c r="AQ1248" s="6"/>
      <c r="AR1248" s="6"/>
      <c r="AS1248" s="6"/>
      <c r="AT1248" s="89"/>
      <c r="AU1248" s="100"/>
      <c r="AV1248" s="65"/>
      <c r="AW1248" s="3"/>
    </row>
    <row r="1249" spans="34:49">
      <c r="AH1249" s="99"/>
      <c r="AL1249" s="99"/>
      <c r="AN1249" s="99"/>
      <c r="AQ1249" s="6"/>
      <c r="AR1249" s="6"/>
      <c r="AS1249" s="6"/>
      <c r="AT1249" s="89"/>
      <c r="AU1249" s="100"/>
      <c r="AV1249" s="65"/>
      <c r="AW1249" s="3"/>
    </row>
    <row r="1250" spans="34:49">
      <c r="AH1250" s="99"/>
      <c r="AL1250" s="99"/>
      <c r="AN1250" s="99"/>
      <c r="AQ1250" s="6"/>
      <c r="AR1250" s="6"/>
      <c r="AS1250" s="6"/>
      <c r="AT1250" s="89"/>
      <c r="AU1250" s="100"/>
      <c r="AV1250" s="65"/>
      <c r="AW1250" s="3"/>
    </row>
    <row r="1251" spans="34:49">
      <c r="AH1251" s="99"/>
      <c r="AL1251" s="99"/>
      <c r="AN1251" s="99"/>
      <c r="AQ1251" s="6"/>
      <c r="AR1251" s="6"/>
      <c r="AS1251" s="6"/>
      <c r="AT1251" s="89"/>
      <c r="AU1251" s="100"/>
      <c r="AV1251" s="65"/>
      <c r="AW1251" s="3"/>
    </row>
    <row r="1252" spans="34:49">
      <c r="AH1252" s="99"/>
      <c r="AL1252" s="99"/>
      <c r="AN1252" s="99"/>
      <c r="AQ1252" s="6"/>
      <c r="AR1252" s="6"/>
      <c r="AS1252" s="6"/>
      <c r="AT1252" s="89"/>
      <c r="AU1252" s="100"/>
      <c r="AV1252" s="65"/>
      <c r="AW1252" s="3"/>
    </row>
    <row r="1253" spans="34:49">
      <c r="AH1253" s="99"/>
      <c r="AL1253" s="99"/>
      <c r="AN1253" s="99"/>
      <c r="AQ1253" s="6"/>
      <c r="AR1253" s="6"/>
      <c r="AS1253" s="6"/>
      <c r="AT1253" s="89"/>
      <c r="AU1253" s="100"/>
      <c r="AV1253" s="65"/>
      <c r="AW1253" s="3"/>
    </row>
    <row r="1254" spans="34:49">
      <c r="AH1254" s="99"/>
      <c r="AL1254" s="99"/>
      <c r="AN1254" s="99"/>
      <c r="AQ1254" s="6"/>
      <c r="AR1254" s="6"/>
      <c r="AS1254" s="6"/>
      <c r="AT1254" s="89"/>
      <c r="AU1254" s="100"/>
      <c r="AV1254" s="65"/>
      <c r="AW1254" s="3"/>
    </row>
    <row r="1255" spans="34:49">
      <c r="AH1255" s="99"/>
      <c r="AL1255" s="99"/>
      <c r="AN1255" s="99"/>
      <c r="AQ1255" s="6"/>
      <c r="AR1255" s="6"/>
      <c r="AS1255" s="6"/>
      <c r="AT1255" s="89"/>
      <c r="AU1255" s="100"/>
      <c r="AV1255" s="65"/>
      <c r="AW1255" s="3"/>
    </row>
    <row r="1256" spans="34:49">
      <c r="AH1256" s="99"/>
      <c r="AL1256" s="99"/>
      <c r="AN1256" s="99"/>
      <c r="AQ1256" s="6"/>
      <c r="AR1256" s="6"/>
      <c r="AS1256" s="6"/>
      <c r="AT1256" s="89"/>
      <c r="AU1256" s="100"/>
      <c r="AV1256" s="65"/>
      <c r="AW1256" s="3"/>
    </row>
    <row r="1257" spans="34:49">
      <c r="AH1257" s="99"/>
      <c r="AL1257" s="99"/>
      <c r="AN1257" s="99"/>
      <c r="AQ1257" s="6"/>
      <c r="AR1257" s="6"/>
      <c r="AS1257" s="6"/>
      <c r="AT1257" s="89"/>
      <c r="AU1257" s="100"/>
      <c r="AV1257" s="65"/>
      <c r="AW1257" s="3"/>
    </row>
    <row r="1258" spans="34:49">
      <c r="AH1258" s="99"/>
      <c r="AL1258" s="99"/>
      <c r="AN1258" s="99"/>
      <c r="AQ1258" s="6"/>
      <c r="AR1258" s="6"/>
      <c r="AS1258" s="6"/>
      <c r="AT1258" s="89"/>
      <c r="AU1258" s="100"/>
      <c r="AV1258" s="65"/>
      <c r="AW1258" s="3"/>
    </row>
    <row r="1259" spans="34:49">
      <c r="AH1259" s="99"/>
      <c r="AL1259" s="99"/>
      <c r="AN1259" s="99"/>
      <c r="AQ1259" s="6"/>
      <c r="AR1259" s="6"/>
      <c r="AS1259" s="6"/>
      <c r="AT1259" s="89"/>
      <c r="AU1259" s="100"/>
      <c r="AV1259" s="65"/>
      <c r="AW1259" s="3"/>
    </row>
    <row r="1260" spans="34:49">
      <c r="AH1260" s="99"/>
      <c r="AL1260" s="99"/>
      <c r="AN1260" s="99"/>
      <c r="AQ1260" s="6"/>
      <c r="AR1260" s="6"/>
      <c r="AS1260" s="6"/>
      <c r="AT1260" s="89"/>
      <c r="AU1260" s="100"/>
      <c r="AV1260" s="65"/>
      <c r="AW1260" s="3"/>
    </row>
    <row r="1261" spans="34:49">
      <c r="AH1261" s="99"/>
      <c r="AL1261" s="99"/>
      <c r="AN1261" s="99"/>
      <c r="AQ1261" s="6"/>
      <c r="AR1261" s="6"/>
      <c r="AS1261" s="6"/>
      <c r="AT1261" s="89"/>
      <c r="AU1261" s="100"/>
      <c r="AV1261" s="65"/>
      <c r="AW1261" s="3"/>
    </row>
    <row r="1262" spans="34:49">
      <c r="AH1262" s="99"/>
      <c r="AL1262" s="99"/>
      <c r="AN1262" s="99"/>
      <c r="AQ1262" s="6"/>
      <c r="AR1262" s="6"/>
      <c r="AS1262" s="6"/>
      <c r="AT1262" s="89"/>
      <c r="AU1262" s="100"/>
      <c r="AV1262" s="65"/>
      <c r="AW1262" s="3"/>
    </row>
    <row r="1263" spans="34:49">
      <c r="AH1263" s="99"/>
      <c r="AL1263" s="99"/>
      <c r="AN1263" s="99"/>
      <c r="AQ1263" s="6"/>
      <c r="AR1263" s="6"/>
      <c r="AS1263" s="6"/>
      <c r="AT1263" s="89"/>
      <c r="AU1263" s="100"/>
      <c r="AV1263" s="65"/>
      <c r="AW1263" s="3"/>
    </row>
    <row r="1264" spans="34:49">
      <c r="AH1264" s="99"/>
      <c r="AL1264" s="99"/>
      <c r="AN1264" s="99"/>
      <c r="AQ1264" s="6"/>
      <c r="AR1264" s="6"/>
      <c r="AS1264" s="6"/>
      <c r="AT1264" s="89"/>
      <c r="AU1264" s="100"/>
      <c r="AV1264" s="65"/>
      <c r="AW1264" s="3"/>
    </row>
    <row r="1265" spans="34:49">
      <c r="AH1265" s="99"/>
      <c r="AL1265" s="99"/>
      <c r="AN1265" s="99"/>
      <c r="AQ1265" s="6"/>
      <c r="AR1265" s="6"/>
      <c r="AS1265" s="6"/>
      <c r="AT1265" s="89"/>
      <c r="AU1265" s="100"/>
      <c r="AV1265" s="65"/>
      <c r="AW1265" s="3"/>
    </row>
    <row r="1266" spans="34:49">
      <c r="AH1266" s="99"/>
      <c r="AL1266" s="99"/>
      <c r="AN1266" s="99"/>
      <c r="AQ1266" s="6"/>
      <c r="AR1266" s="6"/>
      <c r="AS1266" s="6"/>
      <c r="AT1266" s="89"/>
      <c r="AU1266" s="100"/>
      <c r="AV1266" s="65"/>
      <c r="AW1266" s="3"/>
    </row>
    <row r="1267" spans="34:49">
      <c r="AH1267" s="99"/>
      <c r="AL1267" s="99"/>
      <c r="AN1267" s="99"/>
      <c r="AQ1267" s="6"/>
      <c r="AR1267" s="6"/>
      <c r="AS1267" s="6"/>
      <c r="AT1267" s="89"/>
      <c r="AU1267" s="100"/>
      <c r="AV1267" s="65"/>
      <c r="AW1267" s="3"/>
    </row>
    <row r="1268" spans="34:49">
      <c r="AH1268" s="99"/>
      <c r="AL1268" s="99"/>
      <c r="AN1268" s="99"/>
      <c r="AQ1268" s="6"/>
      <c r="AR1268" s="6"/>
      <c r="AS1268" s="6"/>
      <c r="AT1268" s="89"/>
      <c r="AU1268" s="100"/>
      <c r="AV1268" s="65"/>
      <c r="AW1268" s="3"/>
    </row>
    <row r="1269" spans="34:49">
      <c r="AH1269" s="99"/>
      <c r="AL1269" s="99"/>
      <c r="AN1269" s="99"/>
      <c r="AQ1269" s="6"/>
      <c r="AR1269" s="6"/>
      <c r="AS1269" s="6"/>
      <c r="AT1269" s="89"/>
      <c r="AU1269" s="100"/>
      <c r="AV1269" s="65"/>
      <c r="AW1269" s="3"/>
    </row>
    <row r="1270" spans="34:49">
      <c r="AH1270" s="99"/>
      <c r="AL1270" s="99"/>
      <c r="AN1270" s="99"/>
      <c r="AQ1270" s="6"/>
      <c r="AR1270" s="6"/>
      <c r="AS1270" s="6"/>
      <c r="AT1270" s="89"/>
      <c r="AU1270" s="100"/>
      <c r="AV1270" s="65"/>
      <c r="AW1270" s="3"/>
    </row>
    <row r="1271" spans="34:49">
      <c r="AH1271" s="99"/>
      <c r="AL1271" s="99"/>
      <c r="AN1271" s="99"/>
      <c r="AQ1271" s="6"/>
      <c r="AR1271" s="6"/>
      <c r="AS1271" s="6"/>
      <c r="AT1271" s="89"/>
      <c r="AU1271" s="100"/>
      <c r="AV1271" s="65"/>
      <c r="AW1271" s="3"/>
    </row>
    <row r="1272" spans="34:49">
      <c r="AH1272" s="99"/>
      <c r="AL1272" s="99"/>
      <c r="AN1272" s="99"/>
      <c r="AQ1272" s="6"/>
      <c r="AR1272" s="6"/>
      <c r="AS1272" s="6"/>
      <c r="AT1272" s="89"/>
      <c r="AU1272" s="100"/>
      <c r="AV1272" s="65"/>
      <c r="AW1272" s="3"/>
    </row>
    <row r="1273" spans="34:49">
      <c r="AH1273" s="99"/>
      <c r="AL1273" s="99"/>
      <c r="AN1273" s="99"/>
      <c r="AQ1273" s="6"/>
      <c r="AR1273" s="6"/>
      <c r="AS1273" s="6"/>
      <c r="AT1273" s="89"/>
      <c r="AU1273" s="100"/>
      <c r="AV1273" s="65"/>
      <c r="AW1273" s="3"/>
    </row>
    <row r="1274" spans="34:49">
      <c r="AH1274" s="99"/>
      <c r="AL1274" s="99"/>
      <c r="AN1274" s="99"/>
      <c r="AQ1274" s="6"/>
      <c r="AR1274" s="6"/>
      <c r="AS1274" s="6"/>
      <c r="AT1274" s="89"/>
      <c r="AU1274" s="100"/>
      <c r="AV1274" s="65"/>
      <c r="AW1274" s="3"/>
    </row>
    <row r="1275" spans="34:49">
      <c r="AH1275" s="99"/>
      <c r="AL1275" s="99"/>
      <c r="AN1275" s="99"/>
      <c r="AQ1275" s="6"/>
      <c r="AR1275" s="6"/>
      <c r="AS1275" s="6"/>
      <c r="AT1275" s="89"/>
      <c r="AU1275" s="100"/>
      <c r="AV1275" s="65"/>
      <c r="AW1275" s="3"/>
    </row>
    <row r="1276" spans="34:49">
      <c r="AH1276" s="99"/>
      <c r="AL1276" s="99"/>
      <c r="AN1276" s="99"/>
      <c r="AQ1276" s="6"/>
      <c r="AR1276" s="6"/>
      <c r="AS1276" s="6"/>
      <c r="AT1276" s="89"/>
      <c r="AU1276" s="100"/>
      <c r="AV1276" s="65"/>
      <c r="AW1276" s="3"/>
    </row>
    <row r="1277" spans="34:49">
      <c r="AH1277" s="99"/>
      <c r="AL1277" s="99"/>
      <c r="AN1277" s="99"/>
      <c r="AQ1277" s="6"/>
      <c r="AR1277" s="6"/>
      <c r="AS1277" s="6"/>
      <c r="AT1277" s="89"/>
      <c r="AU1277" s="100"/>
      <c r="AV1277" s="65"/>
      <c r="AW1277" s="3"/>
    </row>
    <row r="1278" spans="34:49">
      <c r="AH1278" s="99"/>
      <c r="AL1278" s="99"/>
      <c r="AN1278" s="99"/>
      <c r="AQ1278" s="6"/>
      <c r="AR1278" s="6"/>
      <c r="AS1278" s="6"/>
      <c r="AT1278" s="89"/>
      <c r="AU1278" s="100"/>
      <c r="AV1278" s="65"/>
      <c r="AW1278" s="3"/>
    </row>
    <row r="1279" spans="34:49">
      <c r="AH1279" s="99"/>
      <c r="AL1279" s="99"/>
      <c r="AN1279" s="99"/>
      <c r="AQ1279" s="6"/>
      <c r="AR1279" s="6"/>
      <c r="AS1279" s="6"/>
      <c r="AT1279" s="89"/>
      <c r="AU1279" s="100"/>
      <c r="AV1279" s="65"/>
      <c r="AW1279" s="3"/>
    </row>
    <row r="1280" spans="34:49">
      <c r="AH1280" s="99"/>
      <c r="AL1280" s="99"/>
      <c r="AN1280" s="99"/>
      <c r="AQ1280" s="6"/>
      <c r="AR1280" s="6"/>
      <c r="AS1280" s="6"/>
      <c r="AT1280" s="89"/>
      <c r="AU1280" s="100"/>
      <c r="AV1280" s="65"/>
      <c r="AW1280" s="3"/>
    </row>
    <row r="1281" spans="34:49">
      <c r="AH1281" s="99"/>
      <c r="AL1281" s="99"/>
      <c r="AN1281" s="99"/>
      <c r="AQ1281" s="6"/>
      <c r="AR1281" s="6"/>
      <c r="AS1281" s="6"/>
      <c r="AT1281" s="89"/>
      <c r="AU1281" s="100"/>
      <c r="AV1281" s="65"/>
      <c r="AW1281" s="3"/>
    </row>
    <row r="1282" spans="34:49">
      <c r="AH1282" s="99"/>
      <c r="AL1282" s="99"/>
      <c r="AN1282" s="99"/>
      <c r="AQ1282" s="6"/>
      <c r="AR1282" s="6"/>
      <c r="AS1282" s="6"/>
      <c r="AT1282" s="89"/>
      <c r="AU1282" s="100"/>
      <c r="AV1282" s="65"/>
      <c r="AW1282" s="3"/>
    </row>
    <row r="1283" spans="34:49">
      <c r="AH1283" s="99"/>
      <c r="AL1283" s="99"/>
      <c r="AN1283" s="99"/>
      <c r="AQ1283" s="6"/>
      <c r="AR1283" s="6"/>
      <c r="AS1283" s="6"/>
      <c r="AT1283" s="89"/>
      <c r="AU1283" s="100"/>
      <c r="AV1283" s="65"/>
      <c r="AW1283" s="3"/>
    </row>
    <row r="1284" spans="34:49">
      <c r="AH1284" s="99"/>
      <c r="AL1284" s="99"/>
      <c r="AN1284" s="99"/>
      <c r="AQ1284" s="6"/>
      <c r="AR1284" s="6"/>
      <c r="AS1284" s="6"/>
      <c r="AT1284" s="89"/>
      <c r="AU1284" s="100"/>
      <c r="AV1284" s="65"/>
      <c r="AW1284" s="3"/>
    </row>
    <row r="1285" spans="34:49">
      <c r="AH1285" s="99"/>
      <c r="AL1285" s="99"/>
      <c r="AN1285" s="99"/>
      <c r="AQ1285" s="6"/>
      <c r="AR1285" s="6"/>
      <c r="AS1285" s="6"/>
      <c r="AT1285" s="89"/>
      <c r="AU1285" s="100"/>
      <c r="AV1285" s="65"/>
      <c r="AW1285" s="3"/>
    </row>
    <row r="1286" spans="34:49">
      <c r="AH1286" s="99"/>
      <c r="AL1286" s="99"/>
      <c r="AN1286" s="99"/>
      <c r="AQ1286" s="6"/>
      <c r="AR1286" s="6"/>
      <c r="AS1286" s="6"/>
      <c r="AT1286" s="89"/>
      <c r="AU1286" s="100"/>
      <c r="AV1286" s="65"/>
      <c r="AW1286" s="3"/>
    </row>
    <row r="1287" spans="34:49">
      <c r="AH1287" s="99"/>
      <c r="AL1287" s="99"/>
      <c r="AN1287" s="99"/>
      <c r="AQ1287" s="6"/>
      <c r="AR1287" s="6"/>
      <c r="AS1287" s="6"/>
      <c r="AT1287" s="89"/>
      <c r="AU1287" s="100"/>
      <c r="AV1287" s="65"/>
      <c r="AW1287" s="3"/>
    </row>
    <row r="1288" spans="34:49">
      <c r="AH1288" s="99"/>
      <c r="AL1288" s="99"/>
      <c r="AN1288" s="99"/>
      <c r="AQ1288" s="6"/>
      <c r="AR1288" s="6"/>
      <c r="AS1288" s="6"/>
      <c r="AT1288" s="89"/>
      <c r="AU1288" s="100"/>
      <c r="AV1288" s="65"/>
      <c r="AW1288" s="3"/>
    </row>
    <row r="1289" spans="34:49">
      <c r="AH1289" s="99"/>
      <c r="AL1289" s="99"/>
      <c r="AN1289" s="99"/>
      <c r="AQ1289" s="6"/>
      <c r="AR1289" s="6"/>
      <c r="AS1289" s="6"/>
      <c r="AT1289" s="89"/>
      <c r="AU1289" s="100"/>
      <c r="AV1289" s="65"/>
      <c r="AW1289" s="3"/>
    </row>
    <row r="1290" spans="34:49">
      <c r="AH1290" s="99"/>
      <c r="AL1290" s="99"/>
      <c r="AN1290" s="99"/>
      <c r="AQ1290" s="6"/>
      <c r="AR1290" s="6"/>
      <c r="AS1290" s="6"/>
      <c r="AT1290" s="89"/>
      <c r="AU1290" s="100"/>
      <c r="AV1290" s="65"/>
      <c r="AW1290" s="3"/>
    </row>
    <row r="1291" spans="34:49">
      <c r="AH1291" s="99"/>
      <c r="AL1291" s="99"/>
      <c r="AN1291" s="99"/>
      <c r="AQ1291" s="6"/>
      <c r="AR1291" s="6"/>
      <c r="AS1291" s="6"/>
      <c r="AT1291" s="89"/>
      <c r="AU1291" s="100"/>
      <c r="AV1291" s="65"/>
      <c r="AW1291" s="3"/>
    </row>
    <row r="1292" spans="34:49">
      <c r="AH1292" s="99"/>
      <c r="AL1292" s="99"/>
      <c r="AN1292" s="99"/>
      <c r="AQ1292" s="6"/>
      <c r="AR1292" s="6"/>
      <c r="AS1292" s="6"/>
      <c r="AT1292" s="89"/>
      <c r="AU1292" s="100"/>
      <c r="AV1292" s="65"/>
      <c r="AW1292" s="3"/>
    </row>
    <row r="1293" spans="34:49">
      <c r="AH1293" s="99"/>
      <c r="AL1293" s="99"/>
      <c r="AN1293" s="99"/>
      <c r="AQ1293" s="6"/>
      <c r="AR1293" s="6"/>
      <c r="AS1293" s="6"/>
      <c r="AT1293" s="89"/>
      <c r="AU1293" s="100"/>
      <c r="AV1293" s="65"/>
      <c r="AW1293" s="3"/>
    </row>
    <row r="1294" spans="34:49">
      <c r="AH1294" s="99"/>
      <c r="AL1294" s="99"/>
      <c r="AN1294" s="99"/>
      <c r="AQ1294" s="6"/>
      <c r="AR1294" s="6"/>
      <c r="AS1294" s="6"/>
      <c r="AT1294" s="89"/>
      <c r="AU1294" s="100"/>
      <c r="AV1294" s="65"/>
      <c r="AW1294" s="3"/>
    </row>
    <row r="1295" spans="34:49">
      <c r="AH1295" s="99"/>
      <c r="AL1295" s="99"/>
      <c r="AN1295" s="99"/>
      <c r="AQ1295" s="6"/>
      <c r="AR1295" s="6"/>
      <c r="AS1295" s="6"/>
      <c r="AT1295" s="89"/>
      <c r="AU1295" s="100"/>
      <c r="AV1295" s="65"/>
      <c r="AW1295" s="3"/>
    </row>
    <row r="1296" spans="34:49">
      <c r="AH1296" s="99"/>
      <c r="AL1296" s="99"/>
      <c r="AN1296" s="99"/>
      <c r="AQ1296" s="6"/>
      <c r="AR1296" s="6"/>
      <c r="AS1296" s="6"/>
      <c r="AT1296" s="89"/>
      <c r="AU1296" s="100"/>
      <c r="AV1296" s="65"/>
      <c r="AW1296" s="3"/>
    </row>
    <row r="1297" spans="34:49">
      <c r="AH1297" s="99"/>
      <c r="AL1297" s="99"/>
      <c r="AN1297" s="99"/>
      <c r="AQ1297" s="6"/>
      <c r="AR1297" s="6"/>
      <c r="AS1297" s="6"/>
      <c r="AT1297" s="89"/>
      <c r="AU1297" s="100"/>
      <c r="AV1297" s="65"/>
      <c r="AW1297" s="3"/>
    </row>
    <row r="1298" spans="34:49">
      <c r="AH1298" s="99"/>
      <c r="AL1298" s="99"/>
      <c r="AN1298" s="99"/>
      <c r="AQ1298" s="6"/>
      <c r="AR1298" s="6"/>
      <c r="AS1298" s="6"/>
      <c r="AT1298" s="89"/>
      <c r="AU1298" s="100"/>
      <c r="AV1298" s="65"/>
      <c r="AW1298" s="3"/>
    </row>
    <row r="1299" spans="34:49">
      <c r="AH1299" s="99"/>
      <c r="AL1299" s="99"/>
      <c r="AN1299" s="99"/>
      <c r="AQ1299" s="6"/>
      <c r="AR1299" s="6"/>
      <c r="AS1299" s="6"/>
      <c r="AT1299" s="89"/>
      <c r="AU1299" s="100"/>
      <c r="AV1299" s="65"/>
      <c r="AW1299" s="3"/>
    </row>
    <row r="1300" spans="34:49">
      <c r="AH1300" s="99"/>
      <c r="AL1300" s="99"/>
      <c r="AN1300" s="99"/>
      <c r="AQ1300" s="6"/>
      <c r="AR1300" s="6"/>
      <c r="AS1300" s="6"/>
      <c r="AT1300" s="89"/>
      <c r="AU1300" s="100"/>
      <c r="AV1300" s="65"/>
      <c r="AW1300" s="3"/>
    </row>
    <row r="1301" spans="34:49">
      <c r="AH1301" s="99"/>
      <c r="AL1301" s="99"/>
      <c r="AN1301" s="99"/>
      <c r="AQ1301" s="6"/>
      <c r="AR1301" s="6"/>
      <c r="AS1301" s="6"/>
      <c r="AT1301" s="89"/>
      <c r="AU1301" s="100"/>
      <c r="AV1301" s="65"/>
      <c r="AW1301" s="3"/>
    </row>
    <row r="1302" spans="34:49">
      <c r="AH1302" s="99"/>
      <c r="AL1302" s="99"/>
      <c r="AN1302" s="99"/>
      <c r="AQ1302" s="6"/>
      <c r="AR1302" s="6"/>
      <c r="AS1302" s="6"/>
      <c r="AT1302" s="89"/>
      <c r="AU1302" s="100"/>
      <c r="AV1302" s="65"/>
      <c r="AW1302" s="3"/>
    </row>
    <row r="1303" spans="34:49">
      <c r="AH1303" s="99"/>
      <c r="AL1303" s="99"/>
      <c r="AN1303" s="99"/>
      <c r="AQ1303" s="6"/>
      <c r="AR1303" s="6"/>
      <c r="AS1303" s="6"/>
      <c r="AT1303" s="89"/>
      <c r="AU1303" s="100"/>
      <c r="AV1303" s="65"/>
      <c r="AW1303" s="3"/>
    </row>
    <row r="1304" spans="34:49">
      <c r="AH1304" s="99"/>
      <c r="AL1304" s="99"/>
      <c r="AN1304" s="99"/>
      <c r="AQ1304" s="6"/>
      <c r="AR1304" s="6"/>
      <c r="AS1304" s="6"/>
      <c r="AT1304" s="89"/>
      <c r="AU1304" s="100"/>
      <c r="AV1304" s="65"/>
      <c r="AW1304" s="3"/>
    </row>
    <row r="1305" spans="34:49">
      <c r="AH1305" s="99"/>
      <c r="AL1305" s="99"/>
      <c r="AN1305" s="99"/>
      <c r="AQ1305" s="6"/>
      <c r="AR1305" s="6"/>
      <c r="AS1305" s="6"/>
      <c r="AT1305" s="89"/>
      <c r="AU1305" s="100"/>
      <c r="AV1305" s="65"/>
      <c r="AW1305" s="3"/>
    </row>
    <row r="1306" spans="34:49">
      <c r="AH1306" s="99"/>
      <c r="AL1306" s="99"/>
      <c r="AN1306" s="99"/>
      <c r="AQ1306" s="6"/>
      <c r="AR1306" s="6"/>
      <c r="AS1306" s="6"/>
      <c r="AT1306" s="89"/>
      <c r="AU1306" s="100"/>
      <c r="AV1306" s="65"/>
      <c r="AW1306" s="3"/>
    </row>
    <row r="1307" spans="34:49">
      <c r="AH1307" s="99"/>
      <c r="AL1307" s="99"/>
      <c r="AN1307" s="99"/>
      <c r="AQ1307" s="6"/>
      <c r="AR1307" s="6"/>
      <c r="AS1307" s="6"/>
      <c r="AT1307" s="89"/>
      <c r="AU1307" s="100"/>
      <c r="AV1307" s="65"/>
      <c r="AW1307" s="3"/>
    </row>
    <row r="1308" spans="34:49">
      <c r="AH1308" s="99"/>
      <c r="AL1308" s="99"/>
      <c r="AN1308" s="99"/>
      <c r="AQ1308" s="6"/>
      <c r="AR1308" s="6"/>
      <c r="AS1308" s="6"/>
      <c r="AT1308" s="89"/>
      <c r="AU1308" s="100"/>
      <c r="AV1308" s="65"/>
      <c r="AW1308" s="3"/>
    </row>
    <row r="1309" spans="34:49">
      <c r="AH1309" s="99"/>
      <c r="AL1309" s="99"/>
      <c r="AN1309" s="99"/>
      <c r="AQ1309" s="6"/>
      <c r="AR1309" s="6"/>
      <c r="AS1309" s="6"/>
      <c r="AT1309" s="89"/>
      <c r="AU1309" s="100"/>
      <c r="AV1309" s="65"/>
      <c r="AW1309" s="3"/>
    </row>
    <row r="1310" spans="34:49">
      <c r="AH1310" s="99"/>
      <c r="AL1310" s="99"/>
      <c r="AN1310" s="99"/>
      <c r="AQ1310" s="6"/>
      <c r="AR1310" s="6"/>
      <c r="AS1310" s="6"/>
      <c r="AT1310" s="89"/>
      <c r="AU1310" s="100"/>
      <c r="AV1310" s="65"/>
      <c r="AW1310" s="3"/>
    </row>
    <row r="1311" spans="34:49">
      <c r="AH1311" s="99"/>
      <c r="AL1311" s="99"/>
      <c r="AN1311" s="99"/>
      <c r="AQ1311" s="6"/>
      <c r="AR1311" s="6"/>
      <c r="AS1311" s="6"/>
      <c r="AT1311" s="89"/>
      <c r="AU1311" s="100"/>
      <c r="AV1311" s="65"/>
      <c r="AW1311" s="3"/>
    </row>
    <row r="1312" spans="34:49">
      <c r="AH1312" s="99"/>
      <c r="AL1312" s="99"/>
      <c r="AN1312" s="99"/>
      <c r="AQ1312" s="6"/>
      <c r="AR1312" s="6"/>
      <c r="AS1312" s="6"/>
      <c r="AT1312" s="89"/>
      <c r="AU1312" s="100"/>
      <c r="AV1312" s="65"/>
      <c r="AW1312" s="3"/>
    </row>
    <row r="1313" spans="34:49">
      <c r="AH1313" s="99"/>
      <c r="AL1313" s="99"/>
      <c r="AN1313" s="99"/>
      <c r="AQ1313" s="6"/>
      <c r="AR1313" s="6"/>
      <c r="AS1313" s="6"/>
      <c r="AT1313" s="89"/>
      <c r="AU1313" s="100"/>
      <c r="AV1313" s="65"/>
      <c r="AW1313" s="3"/>
    </row>
    <row r="1314" spans="34:49">
      <c r="AH1314" s="99"/>
      <c r="AL1314" s="99"/>
      <c r="AN1314" s="99"/>
      <c r="AQ1314" s="6"/>
      <c r="AR1314" s="6"/>
      <c r="AS1314" s="6"/>
      <c r="AT1314" s="89"/>
      <c r="AU1314" s="100"/>
      <c r="AV1314" s="65"/>
      <c r="AW1314" s="3"/>
    </row>
    <row r="1315" spans="34:49">
      <c r="AH1315" s="99"/>
      <c r="AL1315" s="99"/>
      <c r="AN1315" s="99"/>
      <c r="AQ1315" s="6"/>
      <c r="AR1315" s="6"/>
      <c r="AS1315" s="6"/>
      <c r="AT1315" s="89"/>
      <c r="AU1315" s="100"/>
      <c r="AV1315" s="65"/>
      <c r="AW1315" s="3"/>
    </row>
    <row r="1316" spans="34:49">
      <c r="AH1316" s="99"/>
      <c r="AL1316" s="99"/>
      <c r="AN1316" s="99"/>
      <c r="AQ1316" s="6"/>
      <c r="AR1316" s="6"/>
      <c r="AS1316" s="6"/>
      <c r="AT1316" s="89"/>
      <c r="AU1316" s="100"/>
      <c r="AV1316" s="65"/>
      <c r="AW1316" s="3"/>
    </row>
    <row r="1317" spans="34:49">
      <c r="AH1317" s="99"/>
      <c r="AL1317" s="99"/>
      <c r="AN1317" s="99"/>
      <c r="AQ1317" s="6"/>
      <c r="AR1317" s="6"/>
      <c r="AS1317" s="6"/>
      <c r="AT1317" s="89"/>
      <c r="AU1317" s="100"/>
      <c r="AV1317" s="65"/>
      <c r="AW1317" s="3"/>
    </row>
    <row r="1318" spans="34:49">
      <c r="AH1318" s="99"/>
      <c r="AL1318" s="99"/>
      <c r="AN1318" s="99"/>
      <c r="AQ1318" s="6"/>
      <c r="AR1318" s="6"/>
      <c r="AS1318" s="6"/>
      <c r="AT1318" s="89"/>
      <c r="AU1318" s="100"/>
      <c r="AV1318" s="65"/>
      <c r="AW1318" s="3"/>
    </row>
    <row r="1319" spans="34:49">
      <c r="AH1319" s="99"/>
      <c r="AL1319" s="99"/>
      <c r="AN1319" s="99"/>
      <c r="AQ1319" s="6"/>
      <c r="AR1319" s="6"/>
      <c r="AS1319" s="6"/>
      <c r="AT1319" s="89"/>
      <c r="AU1319" s="100"/>
      <c r="AV1319" s="65"/>
      <c r="AW1319" s="3"/>
    </row>
    <row r="1320" spans="34:49">
      <c r="AH1320" s="99"/>
      <c r="AL1320" s="99"/>
      <c r="AN1320" s="99"/>
      <c r="AQ1320" s="6"/>
      <c r="AR1320" s="6"/>
      <c r="AS1320" s="6"/>
      <c r="AT1320" s="89"/>
      <c r="AU1320" s="100"/>
      <c r="AV1320" s="65"/>
      <c r="AW1320" s="3"/>
    </row>
    <row r="1321" spans="34:49">
      <c r="AH1321" s="99"/>
      <c r="AL1321" s="99"/>
      <c r="AN1321" s="99"/>
      <c r="AQ1321" s="6"/>
      <c r="AR1321" s="6"/>
      <c r="AS1321" s="6"/>
      <c r="AT1321" s="89"/>
      <c r="AU1321" s="100"/>
      <c r="AV1321" s="65"/>
      <c r="AW1321" s="3"/>
    </row>
    <row r="1322" spans="34:49">
      <c r="AH1322" s="99"/>
      <c r="AL1322" s="99"/>
      <c r="AN1322" s="99"/>
      <c r="AQ1322" s="6"/>
      <c r="AR1322" s="6"/>
      <c r="AS1322" s="6"/>
      <c r="AT1322" s="89"/>
      <c r="AU1322" s="100"/>
      <c r="AV1322" s="65"/>
      <c r="AW1322" s="3"/>
    </row>
    <row r="1323" spans="34:49">
      <c r="AH1323" s="99"/>
      <c r="AL1323" s="99"/>
      <c r="AN1323" s="99"/>
      <c r="AQ1323" s="6"/>
      <c r="AR1323" s="6"/>
      <c r="AS1323" s="6"/>
      <c r="AT1323" s="89"/>
      <c r="AU1323" s="100"/>
      <c r="AV1323" s="65"/>
      <c r="AW1323" s="3"/>
    </row>
    <row r="1324" spans="34:49">
      <c r="AH1324" s="99"/>
      <c r="AL1324" s="99"/>
      <c r="AN1324" s="99"/>
      <c r="AQ1324" s="6"/>
      <c r="AR1324" s="6"/>
      <c r="AS1324" s="6"/>
      <c r="AT1324" s="89"/>
      <c r="AU1324" s="100"/>
      <c r="AV1324" s="65"/>
      <c r="AW1324" s="3"/>
    </row>
    <row r="1325" spans="34:49">
      <c r="AH1325" s="99"/>
      <c r="AL1325" s="99"/>
      <c r="AN1325" s="99"/>
      <c r="AQ1325" s="6"/>
      <c r="AR1325" s="6"/>
      <c r="AS1325" s="6"/>
      <c r="AT1325" s="89"/>
      <c r="AU1325" s="100"/>
      <c r="AV1325" s="65"/>
      <c r="AW1325" s="3"/>
    </row>
    <row r="1326" spans="34:49">
      <c r="AH1326" s="99"/>
      <c r="AL1326" s="99"/>
      <c r="AN1326" s="99"/>
      <c r="AQ1326" s="6"/>
      <c r="AR1326" s="6"/>
      <c r="AS1326" s="6"/>
      <c r="AT1326" s="89"/>
      <c r="AU1326" s="100"/>
      <c r="AV1326" s="65"/>
      <c r="AW1326" s="3"/>
    </row>
    <row r="1327" spans="34:49">
      <c r="AH1327" s="99"/>
      <c r="AL1327" s="99"/>
      <c r="AN1327" s="99"/>
      <c r="AQ1327" s="6"/>
      <c r="AR1327" s="6"/>
      <c r="AS1327" s="6"/>
      <c r="AT1327" s="89"/>
      <c r="AU1327" s="100"/>
      <c r="AV1327" s="65"/>
      <c r="AW1327" s="3"/>
    </row>
    <row r="1328" spans="34:49">
      <c r="AH1328" s="99"/>
      <c r="AL1328" s="99"/>
      <c r="AN1328" s="99"/>
      <c r="AQ1328" s="6"/>
      <c r="AR1328" s="6"/>
      <c r="AS1328" s="6"/>
      <c r="AT1328" s="89"/>
      <c r="AU1328" s="100"/>
      <c r="AV1328" s="65"/>
      <c r="AW1328" s="3"/>
    </row>
    <row r="1329" spans="34:49">
      <c r="AH1329" s="99"/>
      <c r="AL1329" s="99"/>
      <c r="AN1329" s="99"/>
      <c r="AQ1329" s="6"/>
      <c r="AR1329" s="6"/>
      <c r="AS1329" s="6"/>
      <c r="AT1329" s="89"/>
      <c r="AU1329" s="100"/>
      <c r="AV1329" s="65"/>
      <c r="AW1329" s="3"/>
    </row>
    <row r="1330" spans="34:49">
      <c r="AH1330" s="99"/>
      <c r="AL1330" s="99"/>
      <c r="AN1330" s="99"/>
      <c r="AQ1330" s="6"/>
      <c r="AR1330" s="6"/>
      <c r="AS1330" s="6"/>
      <c r="AT1330" s="89"/>
      <c r="AU1330" s="100"/>
      <c r="AV1330" s="65"/>
      <c r="AW1330" s="3"/>
    </row>
    <row r="1331" spans="34:49">
      <c r="AH1331" s="99"/>
      <c r="AL1331" s="99"/>
      <c r="AN1331" s="99"/>
      <c r="AQ1331" s="6"/>
      <c r="AR1331" s="6"/>
      <c r="AS1331" s="6"/>
      <c r="AT1331" s="89"/>
      <c r="AU1331" s="100"/>
      <c r="AV1331" s="65"/>
      <c r="AW1331" s="3"/>
    </row>
    <row r="1332" spans="34:49">
      <c r="AH1332" s="99"/>
      <c r="AL1332" s="99"/>
      <c r="AN1332" s="99"/>
      <c r="AQ1332" s="6"/>
      <c r="AR1332" s="6"/>
      <c r="AS1332" s="6"/>
      <c r="AT1332" s="89"/>
      <c r="AU1332" s="100"/>
      <c r="AV1332" s="65"/>
      <c r="AW1332" s="3"/>
    </row>
    <row r="1333" spans="34:49">
      <c r="AH1333" s="99"/>
      <c r="AL1333" s="99"/>
      <c r="AN1333" s="99"/>
      <c r="AQ1333" s="6"/>
      <c r="AR1333" s="6"/>
      <c r="AS1333" s="6"/>
      <c r="AT1333" s="89"/>
      <c r="AU1333" s="100"/>
      <c r="AV1333" s="65"/>
      <c r="AW1333" s="3"/>
    </row>
    <row r="1334" spans="34:49">
      <c r="AH1334" s="99"/>
      <c r="AL1334" s="99"/>
      <c r="AN1334" s="99"/>
      <c r="AQ1334" s="6"/>
      <c r="AR1334" s="6"/>
      <c r="AS1334" s="6"/>
      <c r="AT1334" s="89"/>
      <c r="AU1334" s="100"/>
      <c r="AV1334" s="65"/>
      <c r="AW1334" s="3"/>
    </row>
    <row r="1335" spans="34:49">
      <c r="AH1335" s="99"/>
      <c r="AL1335" s="99"/>
      <c r="AN1335" s="99"/>
      <c r="AQ1335" s="6"/>
      <c r="AR1335" s="6"/>
      <c r="AS1335" s="6"/>
      <c r="AT1335" s="89"/>
      <c r="AU1335" s="100"/>
      <c r="AV1335" s="65"/>
      <c r="AW1335" s="3"/>
    </row>
    <row r="1336" spans="34:49">
      <c r="AH1336" s="99"/>
      <c r="AL1336" s="99"/>
      <c r="AN1336" s="99"/>
      <c r="AQ1336" s="6"/>
      <c r="AR1336" s="6"/>
      <c r="AS1336" s="6"/>
      <c r="AT1336" s="89"/>
      <c r="AU1336" s="100"/>
      <c r="AV1336" s="65"/>
      <c r="AW1336" s="3"/>
    </row>
    <row r="1337" spans="34:49">
      <c r="AH1337" s="99"/>
      <c r="AL1337" s="99"/>
      <c r="AN1337" s="99"/>
      <c r="AQ1337" s="6"/>
      <c r="AR1337" s="6"/>
      <c r="AS1337" s="6"/>
      <c r="AT1337" s="89"/>
      <c r="AU1337" s="100"/>
      <c r="AV1337" s="65"/>
      <c r="AW1337" s="3"/>
    </row>
    <row r="1338" spans="34:49">
      <c r="AH1338" s="99"/>
      <c r="AL1338" s="99"/>
      <c r="AN1338" s="99"/>
      <c r="AQ1338" s="6"/>
      <c r="AR1338" s="6"/>
      <c r="AS1338" s="6"/>
      <c r="AT1338" s="89"/>
      <c r="AU1338" s="100"/>
      <c r="AV1338" s="65"/>
      <c r="AW1338" s="3"/>
    </row>
    <row r="1339" spans="34:49">
      <c r="AH1339" s="99"/>
      <c r="AL1339" s="99"/>
      <c r="AN1339" s="99"/>
      <c r="AQ1339" s="6"/>
      <c r="AR1339" s="6"/>
      <c r="AS1339" s="6"/>
      <c r="AT1339" s="89"/>
      <c r="AU1339" s="100"/>
      <c r="AV1339" s="65"/>
      <c r="AW1339" s="3"/>
    </row>
    <row r="1340" spans="34:49">
      <c r="AH1340" s="99"/>
      <c r="AL1340" s="99"/>
      <c r="AN1340" s="99"/>
      <c r="AQ1340" s="6"/>
      <c r="AR1340" s="6"/>
      <c r="AS1340" s="6"/>
      <c r="AT1340" s="89"/>
      <c r="AU1340" s="100"/>
      <c r="AV1340" s="65"/>
      <c r="AW1340" s="3"/>
    </row>
    <row r="1341" spans="34:49">
      <c r="AH1341" s="99"/>
      <c r="AL1341" s="99"/>
      <c r="AN1341" s="99"/>
      <c r="AQ1341" s="6"/>
      <c r="AR1341" s="6"/>
      <c r="AS1341" s="6"/>
      <c r="AT1341" s="89"/>
      <c r="AU1341" s="100"/>
      <c r="AV1341" s="65"/>
      <c r="AW1341" s="3"/>
    </row>
    <row r="1342" spans="34:49">
      <c r="AH1342" s="99"/>
      <c r="AL1342" s="99"/>
      <c r="AN1342" s="99"/>
      <c r="AQ1342" s="6"/>
      <c r="AR1342" s="6"/>
      <c r="AS1342" s="6"/>
      <c r="AT1342" s="89"/>
      <c r="AU1342" s="100"/>
      <c r="AV1342" s="65"/>
      <c r="AW1342" s="3"/>
    </row>
    <row r="1343" spans="34:49">
      <c r="AH1343" s="99"/>
      <c r="AL1343" s="99"/>
      <c r="AN1343" s="99"/>
      <c r="AQ1343" s="6"/>
      <c r="AR1343" s="6"/>
      <c r="AS1343" s="6"/>
      <c r="AT1343" s="89"/>
      <c r="AU1343" s="100"/>
      <c r="AV1343" s="65"/>
      <c r="AW1343" s="3"/>
    </row>
    <row r="1344" spans="34:49">
      <c r="AH1344" s="99"/>
      <c r="AL1344" s="99"/>
      <c r="AN1344" s="99"/>
      <c r="AQ1344" s="6"/>
      <c r="AR1344" s="6"/>
      <c r="AS1344" s="6"/>
      <c r="AT1344" s="89"/>
      <c r="AU1344" s="100"/>
      <c r="AV1344" s="65"/>
      <c r="AW1344" s="3"/>
    </row>
    <row r="1345" spans="34:49">
      <c r="AH1345" s="99"/>
      <c r="AL1345" s="99"/>
      <c r="AN1345" s="99"/>
      <c r="AQ1345" s="6"/>
      <c r="AR1345" s="6"/>
      <c r="AS1345" s="6"/>
      <c r="AT1345" s="89"/>
      <c r="AU1345" s="100"/>
      <c r="AV1345" s="65"/>
      <c r="AW1345" s="3"/>
    </row>
    <row r="1346" spans="34:49">
      <c r="AH1346" s="99"/>
      <c r="AL1346" s="99"/>
      <c r="AN1346" s="99"/>
      <c r="AQ1346" s="6"/>
      <c r="AR1346" s="6"/>
      <c r="AS1346" s="6"/>
      <c r="AT1346" s="89"/>
      <c r="AU1346" s="100"/>
      <c r="AV1346" s="65"/>
      <c r="AW1346" s="3"/>
    </row>
    <row r="1347" spans="34:49">
      <c r="AH1347" s="99"/>
      <c r="AL1347" s="99"/>
      <c r="AN1347" s="99"/>
      <c r="AQ1347" s="6"/>
      <c r="AR1347" s="6"/>
      <c r="AS1347" s="6"/>
      <c r="AT1347" s="89"/>
      <c r="AU1347" s="100"/>
      <c r="AV1347" s="65"/>
      <c r="AW1347" s="3"/>
    </row>
    <row r="1348" spans="34:49">
      <c r="AH1348" s="99"/>
      <c r="AL1348" s="99"/>
      <c r="AN1348" s="99"/>
      <c r="AQ1348" s="6"/>
      <c r="AR1348" s="6"/>
      <c r="AS1348" s="6"/>
      <c r="AT1348" s="89"/>
      <c r="AU1348" s="100"/>
      <c r="AV1348" s="65"/>
      <c r="AW1348" s="3"/>
    </row>
    <row r="1349" spans="34:49">
      <c r="AH1349" s="99"/>
      <c r="AL1349" s="99"/>
      <c r="AN1349" s="99"/>
      <c r="AQ1349" s="6"/>
      <c r="AR1349" s="6"/>
      <c r="AS1349" s="6"/>
      <c r="AT1349" s="89"/>
      <c r="AU1349" s="100"/>
      <c r="AV1349" s="65"/>
      <c r="AW1349" s="3"/>
    </row>
    <row r="1350" spans="34:49">
      <c r="AH1350" s="99"/>
      <c r="AL1350" s="99"/>
      <c r="AN1350" s="99"/>
      <c r="AQ1350" s="6"/>
      <c r="AR1350" s="6"/>
      <c r="AS1350" s="6"/>
      <c r="AT1350" s="89"/>
      <c r="AU1350" s="100"/>
      <c r="AV1350" s="65"/>
      <c r="AW1350" s="3"/>
    </row>
    <row r="1351" spans="34:49">
      <c r="AH1351" s="99"/>
      <c r="AL1351" s="99"/>
      <c r="AN1351" s="99"/>
      <c r="AQ1351" s="6"/>
      <c r="AR1351" s="6"/>
      <c r="AS1351" s="6"/>
      <c r="AT1351" s="89"/>
      <c r="AU1351" s="100"/>
      <c r="AV1351" s="65"/>
      <c r="AW1351" s="3"/>
    </row>
    <row r="1352" spans="34:49">
      <c r="AH1352" s="99"/>
      <c r="AL1352" s="99"/>
      <c r="AN1352" s="99"/>
      <c r="AQ1352" s="6"/>
      <c r="AR1352" s="6"/>
      <c r="AS1352" s="6"/>
      <c r="AT1352" s="89"/>
      <c r="AU1352" s="100"/>
      <c r="AV1352" s="65"/>
      <c r="AW1352" s="3"/>
    </row>
    <row r="1353" spans="34:49">
      <c r="AH1353" s="99"/>
      <c r="AL1353" s="99"/>
      <c r="AN1353" s="99"/>
      <c r="AQ1353" s="6"/>
      <c r="AR1353" s="6"/>
      <c r="AS1353" s="6"/>
      <c r="AT1353" s="89"/>
      <c r="AU1353" s="100"/>
      <c r="AV1353" s="65"/>
      <c r="AW1353" s="3"/>
    </row>
    <row r="1354" spans="34:49">
      <c r="AH1354" s="99"/>
      <c r="AL1354" s="99"/>
      <c r="AN1354" s="99"/>
      <c r="AQ1354" s="6"/>
      <c r="AR1354" s="6"/>
      <c r="AS1354" s="6"/>
      <c r="AT1354" s="89"/>
      <c r="AU1354" s="100"/>
      <c r="AV1354" s="65"/>
      <c r="AW1354" s="3"/>
    </row>
    <row r="1355" spans="34:49">
      <c r="AH1355" s="99"/>
      <c r="AL1355" s="99"/>
      <c r="AN1355" s="99"/>
      <c r="AQ1355" s="6"/>
      <c r="AR1355" s="6"/>
      <c r="AS1355" s="6"/>
      <c r="AT1355" s="89"/>
      <c r="AU1355" s="100"/>
      <c r="AV1355" s="65"/>
      <c r="AW1355" s="3"/>
    </row>
    <row r="1356" spans="34:49">
      <c r="AH1356" s="99"/>
      <c r="AL1356" s="99"/>
      <c r="AN1356" s="99"/>
      <c r="AQ1356" s="6"/>
      <c r="AR1356" s="6"/>
      <c r="AS1356" s="6"/>
      <c r="AT1356" s="89"/>
      <c r="AU1356" s="100"/>
      <c r="AV1356" s="65"/>
      <c r="AW1356" s="3"/>
    </row>
    <row r="1357" spans="34:49">
      <c r="AH1357" s="99"/>
      <c r="AL1357" s="99"/>
      <c r="AN1357" s="99"/>
      <c r="AQ1357" s="6"/>
      <c r="AR1357" s="6"/>
      <c r="AS1357" s="6"/>
      <c r="AT1357" s="89"/>
      <c r="AU1357" s="100"/>
      <c r="AV1357" s="65"/>
      <c r="AW1357" s="3"/>
    </row>
    <row r="1358" spans="34:49">
      <c r="AH1358" s="99"/>
      <c r="AL1358" s="99"/>
      <c r="AN1358" s="99"/>
      <c r="AQ1358" s="6"/>
      <c r="AR1358" s="6"/>
      <c r="AS1358" s="6"/>
      <c r="AT1358" s="89"/>
      <c r="AU1358" s="100"/>
      <c r="AV1358" s="65"/>
      <c r="AW1358" s="3"/>
    </row>
    <row r="1359" spans="34:49">
      <c r="AH1359" s="99"/>
      <c r="AL1359" s="99"/>
      <c r="AN1359" s="99"/>
      <c r="AQ1359" s="6"/>
      <c r="AR1359" s="6"/>
      <c r="AS1359" s="6"/>
      <c r="AT1359" s="89"/>
      <c r="AU1359" s="100"/>
      <c r="AV1359" s="65"/>
      <c r="AW1359" s="3"/>
    </row>
    <row r="1360" spans="34:49">
      <c r="AH1360" s="99"/>
      <c r="AL1360" s="99"/>
      <c r="AN1360" s="99"/>
      <c r="AQ1360" s="6"/>
      <c r="AR1360" s="6"/>
      <c r="AS1360" s="6"/>
      <c r="AT1360" s="89"/>
      <c r="AU1360" s="100"/>
      <c r="AV1360" s="65"/>
      <c r="AW1360" s="3"/>
    </row>
    <row r="1361" spans="34:49">
      <c r="AH1361" s="99"/>
      <c r="AL1361" s="99"/>
      <c r="AN1361" s="99"/>
      <c r="AQ1361" s="6"/>
      <c r="AR1361" s="6"/>
      <c r="AS1361" s="6"/>
      <c r="AT1361" s="89"/>
      <c r="AU1361" s="100"/>
      <c r="AV1361" s="65"/>
      <c r="AW1361" s="3"/>
    </row>
    <row r="1362" spans="34:49">
      <c r="AH1362" s="99"/>
      <c r="AL1362" s="99"/>
      <c r="AN1362" s="99"/>
      <c r="AQ1362" s="6"/>
      <c r="AR1362" s="6"/>
      <c r="AS1362" s="6"/>
      <c r="AT1362" s="89"/>
      <c r="AU1362" s="100"/>
      <c r="AV1362" s="65"/>
      <c r="AW1362" s="3"/>
    </row>
    <row r="1363" spans="34:49">
      <c r="AH1363" s="99"/>
      <c r="AL1363" s="99"/>
      <c r="AN1363" s="99"/>
      <c r="AQ1363" s="6"/>
      <c r="AR1363" s="6"/>
      <c r="AS1363" s="6"/>
      <c r="AT1363" s="89"/>
      <c r="AU1363" s="100"/>
      <c r="AV1363" s="65"/>
      <c r="AW1363" s="3"/>
    </row>
    <row r="1364" spans="34:49">
      <c r="AH1364" s="99"/>
      <c r="AL1364" s="99"/>
      <c r="AN1364" s="99"/>
      <c r="AQ1364" s="6"/>
      <c r="AR1364" s="6"/>
      <c r="AS1364" s="6"/>
      <c r="AT1364" s="89"/>
      <c r="AU1364" s="100"/>
      <c r="AV1364" s="65"/>
      <c r="AW1364" s="3"/>
    </row>
    <row r="1365" spans="34:49">
      <c r="AH1365" s="99"/>
      <c r="AL1365" s="99"/>
      <c r="AN1365" s="99"/>
      <c r="AQ1365" s="6"/>
      <c r="AR1365" s="6"/>
      <c r="AS1365" s="6"/>
      <c r="AT1365" s="89"/>
      <c r="AU1365" s="100"/>
      <c r="AV1365" s="65"/>
      <c r="AW1365" s="3"/>
    </row>
    <row r="1366" spans="34:49">
      <c r="AH1366" s="99"/>
      <c r="AL1366" s="99"/>
      <c r="AN1366" s="99"/>
      <c r="AQ1366" s="6"/>
      <c r="AR1366" s="6"/>
      <c r="AS1366" s="6"/>
      <c r="AT1366" s="89"/>
      <c r="AU1366" s="100"/>
      <c r="AV1366" s="65"/>
      <c r="AW1366" s="3"/>
    </row>
    <row r="1367" spans="34:49">
      <c r="AH1367" s="99"/>
      <c r="AL1367" s="99"/>
      <c r="AN1367" s="99"/>
      <c r="AQ1367" s="6"/>
      <c r="AR1367" s="6"/>
      <c r="AS1367" s="6"/>
      <c r="AT1367" s="89"/>
      <c r="AU1367" s="100"/>
      <c r="AV1367" s="65"/>
      <c r="AW1367" s="3"/>
    </row>
    <row r="1368" spans="34:49">
      <c r="AH1368" s="99"/>
      <c r="AL1368" s="99"/>
      <c r="AN1368" s="99"/>
      <c r="AQ1368" s="6"/>
      <c r="AR1368" s="6"/>
      <c r="AS1368" s="6"/>
      <c r="AT1368" s="89"/>
      <c r="AU1368" s="100"/>
      <c r="AV1368" s="65"/>
      <c r="AW1368" s="3"/>
    </row>
    <row r="1369" spans="34:49">
      <c r="AH1369" s="99"/>
      <c r="AL1369" s="99"/>
      <c r="AN1369" s="99"/>
      <c r="AQ1369" s="6"/>
      <c r="AR1369" s="6"/>
      <c r="AS1369" s="6"/>
      <c r="AT1369" s="89"/>
      <c r="AU1369" s="100"/>
      <c r="AV1369" s="65"/>
      <c r="AW1369" s="3"/>
    </row>
    <row r="1370" spans="34:49">
      <c r="AH1370" s="99"/>
      <c r="AL1370" s="99"/>
      <c r="AN1370" s="99"/>
      <c r="AQ1370" s="6"/>
      <c r="AR1370" s="6"/>
      <c r="AS1370" s="6"/>
      <c r="AT1370" s="89"/>
      <c r="AU1370" s="100"/>
      <c r="AV1370" s="65"/>
      <c r="AW1370" s="3"/>
    </row>
    <row r="1371" spans="34:49">
      <c r="AH1371" s="99"/>
      <c r="AL1371" s="99"/>
      <c r="AN1371" s="99"/>
      <c r="AQ1371" s="6"/>
      <c r="AR1371" s="6"/>
      <c r="AS1371" s="6"/>
      <c r="AT1371" s="89"/>
      <c r="AU1371" s="100"/>
      <c r="AV1371" s="65"/>
      <c r="AW1371" s="3"/>
    </row>
    <row r="1372" spans="34:49">
      <c r="AH1372" s="99"/>
      <c r="AL1372" s="99"/>
      <c r="AN1372" s="99"/>
      <c r="AQ1372" s="6"/>
      <c r="AR1372" s="6"/>
      <c r="AS1372" s="6"/>
      <c r="AT1372" s="89"/>
      <c r="AU1372" s="100"/>
      <c r="AV1372" s="65"/>
      <c r="AW1372" s="3"/>
    </row>
    <row r="1373" spans="34:49">
      <c r="AH1373" s="99"/>
      <c r="AL1373" s="99"/>
      <c r="AN1373" s="99"/>
      <c r="AQ1373" s="6"/>
      <c r="AR1373" s="6"/>
      <c r="AS1373" s="6"/>
      <c r="AT1373" s="89"/>
      <c r="AU1373" s="100"/>
      <c r="AV1373" s="65"/>
      <c r="AW1373" s="3"/>
    </row>
    <row r="1374" spans="34:49">
      <c r="AH1374" s="99"/>
      <c r="AL1374" s="99"/>
      <c r="AN1374" s="99"/>
      <c r="AQ1374" s="6"/>
      <c r="AR1374" s="6"/>
      <c r="AS1374" s="6"/>
      <c r="AT1374" s="89"/>
      <c r="AU1374" s="100"/>
      <c r="AV1374" s="65"/>
      <c r="AW1374" s="3"/>
    </row>
    <row r="1375" spans="34:49">
      <c r="AH1375" s="99"/>
      <c r="AL1375" s="99"/>
      <c r="AN1375" s="99"/>
      <c r="AQ1375" s="6"/>
      <c r="AR1375" s="6"/>
      <c r="AS1375" s="6"/>
      <c r="AT1375" s="89"/>
      <c r="AU1375" s="100"/>
      <c r="AV1375" s="65"/>
      <c r="AW1375" s="3"/>
    </row>
    <row r="1376" spans="34:49">
      <c r="AH1376" s="99"/>
      <c r="AL1376" s="99"/>
      <c r="AN1376" s="99"/>
      <c r="AQ1376" s="6"/>
      <c r="AR1376" s="6"/>
      <c r="AS1376" s="6"/>
      <c r="AT1376" s="89"/>
      <c r="AU1376" s="100"/>
      <c r="AV1376" s="65"/>
      <c r="AW1376" s="3"/>
    </row>
    <row r="1377" spans="34:49">
      <c r="AH1377" s="99"/>
      <c r="AL1377" s="99"/>
      <c r="AN1377" s="99"/>
      <c r="AQ1377" s="6"/>
      <c r="AR1377" s="6"/>
      <c r="AS1377" s="6"/>
      <c r="AT1377" s="89"/>
      <c r="AU1377" s="100"/>
      <c r="AV1377" s="65"/>
      <c r="AW1377" s="3"/>
    </row>
    <row r="1378" spans="34:49">
      <c r="AH1378" s="99"/>
      <c r="AL1378" s="99"/>
      <c r="AN1378" s="99"/>
      <c r="AQ1378" s="6"/>
      <c r="AR1378" s="6"/>
      <c r="AS1378" s="6"/>
      <c r="AT1378" s="89"/>
      <c r="AU1378" s="100"/>
      <c r="AV1378" s="65"/>
      <c r="AW1378" s="3"/>
    </row>
    <row r="1379" spans="34:49">
      <c r="AH1379" s="99"/>
      <c r="AL1379" s="99"/>
      <c r="AN1379" s="99"/>
      <c r="AQ1379" s="6"/>
      <c r="AR1379" s="6"/>
      <c r="AS1379" s="6"/>
      <c r="AT1379" s="89"/>
      <c r="AU1379" s="100"/>
      <c r="AV1379" s="65"/>
      <c r="AW1379" s="3"/>
    </row>
    <row r="1380" spans="34:49">
      <c r="AH1380" s="99"/>
      <c r="AL1380" s="99"/>
      <c r="AN1380" s="99"/>
      <c r="AQ1380" s="6"/>
      <c r="AR1380" s="6"/>
      <c r="AS1380" s="6"/>
      <c r="AT1380" s="89"/>
      <c r="AU1380" s="100"/>
      <c r="AV1380" s="65"/>
      <c r="AW1380" s="3"/>
    </row>
    <row r="1381" spans="34:49">
      <c r="AH1381" s="99"/>
      <c r="AL1381" s="99"/>
      <c r="AN1381" s="99"/>
      <c r="AQ1381" s="6"/>
      <c r="AR1381" s="6"/>
      <c r="AS1381" s="6"/>
      <c r="AT1381" s="89"/>
      <c r="AU1381" s="100"/>
      <c r="AV1381" s="65"/>
      <c r="AW1381" s="3"/>
    </row>
    <row r="1382" spans="34:49">
      <c r="AH1382" s="99"/>
      <c r="AL1382" s="99"/>
      <c r="AN1382" s="99"/>
      <c r="AQ1382" s="6"/>
      <c r="AR1382" s="6"/>
      <c r="AS1382" s="6"/>
      <c r="AT1382" s="89"/>
      <c r="AU1382" s="100"/>
      <c r="AV1382" s="65"/>
      <c r="AW1382" s="3"/>
    </row>
    <row r="1383" spans="34:49">
      <c r="AH1383" s="99"/>
      <c r="AL1383" s="99"/>
      <c r="AN1383" s="99"/>
      <c r="AQ1383" s="6"/>
      <c r="AR1383" s="6"/>
      <c r="AS1383" s="6"/>
      <c r="AT1383" s="89"/>
      <c r="AU1383" s="100"/>
      <c r="AV1383" s="65"/>
      <c r="AW1383" s="3"/>
    </row>
    <row r="1384" spans="34:49">
      <c r="AH1384" s="99"/>
      <c r="AL1384" s="99"/>
      <c r="AN1384" s="99"/>
      <c r="AQ1384" s="6"/>
      <c r="AR1384" s="6"/>
      <c r="AS1384" s="6"/>
      <c r="AT1384" s="89"/>
      <c r="AU1384" s="100"/>
      <c r="AV1384" s="65"/>
      <c r="AW1384" s="3"/>
    </row>
    <row r="1385" spans="34:49">
      <c r="AH1385" s="99"/>
      <c r="AL1385" s="99"/>
      <c r="AN1385" s="99"/>
      <c r="AQ1385" s="6"/>
      <c r="AR1385" s="6"/>
      <c r="AS1385" s="6"/>
      <c r="AT1385" s="89"/>
      <c r="AU1385" s="100"/>
      <c r="AV1385" s="65"/>
      <c r="AW1385" s="3"/>
    </row>
    <row r="1386" spans="34:49">
      <c r="AH1386" s="99"/>
      <c r="AL1386" s="99"/>
      <c r="AN1386" s="99"/>
      <c r="AQ1386" s="6"/>
      <c r="AR1386" s="6"/>
      <c r="AS1386" s="6"/>
      <c r="AT1386" s="89"/>
      <c r="AU1386" s="100"/>
      <c r="AV1386" s="65"/>
      <c r="AW1386" s="3"/>
    </row>
    <row r="1387" spans="34:49">
      <c r="AH1387" s="99"/>
      <c r="AL1387" s="99"/>
      <c r="AN1387" s="99"/>
      <c r="AQ1387" s="6"/>
      <c r="AR1387" s="6"/>
      <c r="AS1387" s="6"/>
      <c r="AT1387" s="89"/>
      <c r="AU1387" s="100"/>
      <c r="AV1387" s="65"/>
      <c r="AW1387" s="3"/>
    </row>
    <row r="1388" spans="34:49">
      <c r="AH1388" s="99"/>
      <c r="AL1388" s="99"/>
      <c r="AN1388" s="99"/>
      <c r="AQ1388" s="6"/>
      <c r="AR1388" s="6"/>
      <c r="AS1388" s="6"/>
      <c r="AT1388" s="89"/>
      <c r="AU1388" s="100"/>
      <c r="AV1388" s="65"/>
      <c r="AW1388" s="3"/>
    </row>
    <row r="1389" spans="34:49">
      <c r="AH1389" s="99"/>
      <c r="AL1389" s="99"/>
      <c r="AN1389" s="99"/>
      <c r="AQ1389" s="6"/>
      <c r="AR1389" s="6"/>
      <c r="AS1389" s="6"/>
      <c r="AT1389" s="89"/>
      <c r="AU1389" s="100"/>
      <c r="AV1389" s="65"/>
      <c r="AW1389" s="3"/>
    </row>
    <row r="1390" spans="34:49">
      <c r="AH1390" s="99"/>
      <c r="AL1390" s="99"/>
      <c r="AN1390" s="99"/>
      <c r="AQ1390" s="6"/>
      <c r="AR1390" s="6"/>
      <c r="AS1390" s="6"/>
      <c r="AT1390" s="89"/>
      <c r="AU1390" s="100"/>
      <c r="AV1390" s="65"/>
      <c r="AW1390" s="3"/>
    </row>
    <row r="1391" spans="34:49">
      <c r="AH1391" s="99"/>
      <c r="AL1391" s="99"/>
      <c r="AN1391" s="99"/>
      <c r="AQ1391" s="6"/>
      <c r="AR1391" s="6"/>
      <c r="AS1391" s="6"/>
      <c r="AT1391" s="89"/>
      <c r="AU1391" s="100"/>
      <c r="AV1391" s="65"/>
      <c r="AW1391" s="3"/>
    </row>
    <row r="1392" spans="34:49">
      <c r="AH1392" s="99"/>
      <c r="AL1392" s="99"/>
      <c r="AN1392" s="99"/>
      <c r="AQ1392" s="6"/>
      <c r="AR1392" s="6"/>
      <c r="AS1392" s="6"/>
      <c r="AT1392" s="89"/>
      <c r="AU1392" s="100"/>
      <c r="AV1392" s="65"/>
      <c r="AW1392" s="3"/>
    </row>
    <row r="1393" spans="34:49">
      <c r="AH1393" s="99"/>
      <c r="AL1393" s="99"/>
      <c r="AN1393" s="99"/>
      <c r="AQ1393" s="6"/>
      <c r="AR1393" s="6"/>
      <c r="AS1393" s="6"/>
      <c r="AT1393" s="89"/>
      <c r="AU1393" s="100"/>
      <c r="AV1393" s="65"/>
      <c r="AW1393" s="3"/>
    </row>
    <row r="1394" spans="34:49">
      <c r="AH1394" s="99"/>
      <c r="AL1394" s="99"/>
      <c r="AN1394" s="99"/>
      <c r="AQ1394" s="6"/>
      <c r="AR1394" s="6"/>
      <c r="AS1394" s="6"/>
      <c r="AT1394" s="89"/>
      <c r="AU1394" s="100"/>
      <c r="AV1394" s="65"/>
      <c r="AW1394" s="3"/>
    </row>
    <row r="1395" spans="34:49">
      <c r="AH1395" s="99"/>
      <c r="AL1395" s="99"/>
      <c r="AN1395" s="99"/>
      <c r="AQ1395" s="6"/>
      <c r="AR1395" s="6"/>
      <c r="AS1395" s="6"/>
      <c r="AT1395" s="89"/>
      <c r="AU1395" s="100"/>
      <c r="AV1395" s="65"/>
      <c r="AW1395" s="3"/>
    </row>
    <row r="1396" spans="34:49">
      <c r="AH1396" s="99"/>
      <c r="AL1396" s="99"/>
      <c r="AN1396" s="99"/>
      <c r="AQ1396" s="6"/>
      <c r="AR1396" s="6"/>
      <c r="AS1396" s="6"/>
      <c r="AT1396" s="89"/>
      <c r="AU1396" s="100"/>
      <c r="AV1396" s="65"/>
      <c r="AW1396" s="3"/>
    </row>
    <row r="1397" spans="34:49">
      <c r="AH1397" s="99"/>
      <c r="AL1397" s="99"/>
      <c r="AN1397" s="99"/>
      <c r="AQ1397" s="6"/>
      <c r="AR1397" s="6"/>
      <c r="AS1397" s="6"/>
      <c r="AT1397" s="89"/>
      <c r="AU1397" s="100"/>
      <c r="AV1397" s="65"/>
      <c r="AW1397" s="3"/>
    </row>
    <row r="1398" spans="34:49">
      <c r="AH1398" s="99"/>
      <c r="AL1398" s="99"/>
      <c r="AN1398" s="99"/>
      <c r="AQ1398" s="6"/>
      <c r="AR1398" s="6"/>
      <c r="AS1398" s="6"/>
      <c r="AT1398" s="89"/>
      <c r="AU1398" s="100"/>
      <c r="AV1398" s="65"/>
      <c r="AW1398" s="3"/>
    </row>
    <row r="1399" spans="34:49">
      <c r="AH1399" s="99"/>
      <c r="AL1399" s="99"/>
      <c r="AN1399" s="99"/>
      <c r="AQ1399" s="6"/>
      <c r="AR1399" s="6"/>
      <c r="AS1399" s="6"/>
      <c r="AT1399" s="89"/>
      <c r="AU1399" s="100"/>
      <c r="AV1399" s="65"/>
      <c r="AW1399" s="3"/>
    </row>
    <row r="1400" spans="34:49">
      <c r="AH1400" s="99"/>
      <c r="AL1400" s="99"/>
      <c r="AN1400" s="99"/>
      <c r="AQ1400" s="6"/>
      <c r="AR1400" s="6"/>
      <c r="AS1400" s="6"/>
      <c r="AT1400" s="89"/>
      <c r="AU1400" s="100"/>
      <c r="AV1400" s="65"/>
      <c r="AW1400" s="3"/>
    </row>
    <row r="1401" spans="34:49">
      <c r="AH1401" s="99"/>
      <c r="AL1401" s="99"/>
      <c r="AN1401" s="99"/>
      <c r="AQ1401" s="6"/>
      <c r="AR1401" s="6"/>
      <c r="AS1401" s="6"/>
      <c r="AT1401" s="89"/>
      <c r="AU1401" s="100"/>
      <c r="AV1401" s="65"/>
      <c r="AW1401" s="3"/>
    </row>
    <row r="1402" spans="34:49">
      <c r="AH1402" s="99"/>
      <c r="AL1402" s="99"/>
      <c r="AN1402" s="99"/>
      <c r="AQ1402" s="6"/>
      <c r="AR1402" s="6"/>
      <c r="AS1402" s="6"/>
      <c r="AT1402" s="89"/>
      <c r="AU1402" s="100"/>
      <c r="AV1402" s="65"/>
      <c r="AW1402" s="3"/>
    </row>
    <row r="1403" spans="34:49">
      <c r="AH1403" s="99"/>
      <c r="AL1403" s="99"/>
      <c r="AN1403" s="99"/>
      <c r="AQ1403" s="6"/>
      <c r="AR1403" s="6"/>
      <c r="AS1403" s="6"/>
      <c r="AT1403" s="89"/>
      <c r="AU1403" s="100"/>
      <c r="AV1403" s="65"/>
      <c r="AW1403" s="3"/>
    </row>
    <row r="1404" spans="34:49">
      <c r="AH1404" s="99"/>
      <c r="AL1404" s="99"/>
      <c r="AN1404" s="99"/>
      <c r="AQ1404" s="6"/>
      <c r="AR1404" s="6"/>
      <c r="AS1404" s="6"/>
      <c r="AT1404" s="89"/>
      <c r="AU1404" s="100"/>
      <c r="AV1404" s="65"/>
      <c r="AW1404" s="3"/>
    </row>
    <row r="1405" spans="34:49">
      <c r="AH1405" s="99"/>
      <c r="AL1405" s="99"/>
      <c r="AN1405" s="99"/>
      <c r="AQ1405" s="6"/>
      <c r="AR1405" s="6"/>
      <c r="AS1405" s="6"/>
      <c r="AT1405" s="89"/>
      <c r="AU1405" s="100"/>
      <c r="AV1405" s="65"/>
      <c r="AW1405" s="3"/>
    </row>
    <row r="1406" spans="34:49">
      <c r="AH1406" s="99"/>
      <c r="AL1406" s="99"/>
      <c r="AN1406" s="99"/>
      <c r="AQ1406" s="6"/>
      <c r="AR1406" s="6"/>
      <c r="AS1406" s="6"/>
      <c r="AT1406" s="89"/>
      <c r="AU1406" s="100"/>
      <c r="AV1406" s="65"/>
      <c r="AW1406" s="3"/>
    </row>
    <row r="1407" spans="34:49">
      <c r="AH1407" s="99"/>
      <c r="AL1407" s="99"/>
      <c r="AN1407" s="99"/>
      <c r="AQ1407" s="6"/>
      <c r="AR1407" s="6"/>
      <c r="AS1407" s="6"/>
      <c r="AT1407" s="89"/>
      <c r="AU1407" s="100"/>
      <c r="AV1407" s="65"/>
      <c r="AW1407" s="3"/>
    </row>
    <row r="1408" spans="34:49">
      <c r="AH1408" s="99"/>
      <c r="AL1408" s="99"/>
      <c r="AN1408" s="99"/>
      <c r="AQ1408" s="6"/>
      <c r="AR1408" s="6"/>
      <c r="AS1408" s="6"/>
      <c r="AT1408" s="89"/>
      <c r="AU1408" s="100"/>
      <c r="AV1408" s="65"/>
      <c r="AW1408" s="3"/>
    </row>
    <row r="1409" spans="34:49">
      <c r="AH1409" s="99"/>
      <c r="AL1409" s="99"/>
      <c r="AN1409" s="99"/>
      <c r="AQ1409" s="6"/>
      <c r="AR1409" s="6"/>
      <c r="AS1409" s="6"/>
      <c r="AT1409" s="89"/>
      <c r="AU1409" s="100"/>
      <c r="AV1409" s="65"/>
      <c r="AW1409" s="3"/>
    </row>
    <row r="1410" spans="34:49">
      <c r="AH1410" s="99"/>
      <c r="AL1410" s="99"/>
      <c r="AN1410" s="99"/>
      <c r="AQ1410" s="6"/>
      <c r="AR1410" s="6"/>
      <c r="AS1410" s="6"/>
      <c r="AT1410" s="89"/>
      <c r="AU1410" s="100"/>
      <c r="AV1410" s="65"/>
      <c r="AW1410" s="3"/>
    </row>
    <row r="1411" spans="34:49">
      <c r="AH1411" s="99"/>
      <c r="AL1411" s="99"/>
      <c r="AN1411" s="99"/>
      <c r="AQ1411" s="6"/>
      <c r="AR1411" s="6"/>
      <c r="AS1411" s="6"/>
      <c r="AT1411" s="89"/>
      <c r="AU1411" s="100"/>
      <c r="AV1411" s="65"/>
      <c r="AW1411" s="3"/>
    </row>
    <row r="1412" spans="34:49">
      <c r="AH1412" s="99"/>
      <c r="AL1412" s="99"/>
      <c r="AN1412" s="99"/>
      <c r="AQ1412" s="6"/>
      <c r="AR1412" s="6"/>
      <c r="AS1412" s="6"/>
      <c r="AT1412" s="89"/>
      <c r="AU1412" s="100"/>
      <c r="AV1412" s="65"/>
      <c r="AW1412" s="3"/>
    </row>
    <row r="1413" spans="34:49">
      <c r="AH1413" s="99"/>
      <c r="AL1413" s="99"/>
      <c r="AN1413" s="99"/>
      <c r="AQ1413" s="6"/>
      <c r="AR1413" s="6"/>
      <c r="AS1413" s="6"/>
      <c r="AT1413" s="89"/>
      <c r="AU1413" s="100"/>
      <c r="AV1413" s="65"/>
      <c r="AW1413" s="3"/>
    </row>
    <row r="1414" spans="34:49">
      <c r="AH1414" s="99"/>
      <c r="AL1414" s="99"/>
      <c r="AN1414" s="99"/>
      <c r="AQ1414" s="6"/>
      <c r="AR1414" s="6"/>
      <c r="AS1414" s="6"/>
      <c r="AT1414" s="89"/>
      <c r="AU1414" s="100"/>
      <c r="AV1414" s="65"/>
      <c r="AW1414" s="3"/>
    </row>
    <row r="1415" spans="34:49">
      <c r="AH1415" s="99"/>
      <c r="AL1415" s="99"/>
      <c r="AN1415" s="99"/>
      <c r="AQ1415" s="6"/>
      <c r="AR1415" s="6"/>
      <c r="AS1415" s="6"/>
      <c r="AT1415" s="89"/>
      <c r="AU1415" s="100"/>
      <c r="AV1415" s="65"/>
      <c r="AW1415" s="3"/>
    </row>
    <row r="1416" spans="34:49">
      <c r="AH1416" s="99"/>
      <c r="AL1416" s="99"/>
      <c r="AN1416" s="99"/>
      <c r="AQ1416" s="6"/>
      <c r="AR1416" s="6"/>
      <c r="AS1416" s="6"/>
      <c r="AT1416" s="89"/>
      <c r="AU1416" s="100"/>
      <c r="AV1416" s="65"/>
      <c r="AW1416" s="3"/>
    </row>
    <row r="1417" spans="34:49">
      <c r="AH1417" s="99"/>
      <c r="AL1417" s="99"/>
      <c r="AN1417" s="99"/>
      <c r="AQ1417" s="6"/>
      <c r="AR1417" s="6"/>
      <c r="AS1417" s="6"/>
      <c r="AT1417" s="89"/>
      <c r="AU1417" s="100"/>
      <c r="AV1417" s="65"/>
      <c r="AW1417" s="3"/>
    </row>
    <row r="1418" spans="34:49">
      <c r="AH1418" s="99"/>
      <c r="AL1418" s="99"/>
      <c r="AN1418" s="99"/>
      <c r="AQ1418" s="6"/>
      <c r="AR1418" s="6"/>
      <c r="AS1418" s="6"/>
      <c r="AT1418" s="89"/>
      <c r="AU1418" s="100"/>
      <c r="AV1418" s="65"/>
      <c r="AW1418" s="3"/>
    </row>
    <row r="1419" spans="34:49">
      <c r="AH1419" s="99"/>
      <c r="AL1419" s="99"/>
      <c r="AN1419" s="99"/>
      <c r="AQ1419" s="6"/>
      <c r="AR1419" s="6"/>
      <c r="AS1419" s="6"/>
      <c r="AT1419" s="89"/>
      <c r="AU1419" s="100"/>
      <c r="AV1419" s="65"/>
      <c r="AW1419" s="3"/>
    </row>
    <row r="1420" spans="34:49">
      <c r="AH1420" s="99"/>
      <c r="AL1420" s="99"/>
      <c r="AN1420" s="99"/>
      <c r="AQ1420" s="6"/>
      <c r="AR1420" s="6"/>
      <c r="AS1420" s="6"/>
      <c r="AT1420" s="89"/>
      <c r="AU1420" s="100"/>
      <c r="AV1420" s="65"/>
      <c r="AW1420" s="3"/>
    </row>
    <row r="1421" spans="34:49">
      <c r="AH1421" s="99"/>
      <c r="AL1421" s="99"/>
      <c r="AN1421" s="99"/>
      <c r="AQ1421" s="6"/>
      <c r="AR1421" s="6"/>
      <c r="AS1421" s="6"/>
      <c r="AT1421" s="89"/>
      <c r="AU1421" s="100"/>
      <c r="AV1421" s="65"/>
      <c r="AW1421" s="3"/>
    </row>
    <row r="1422" spans="34:49">
      <c r="AH1422" s="99"/>
      <c r="AL1422" s="99"/>
      <c r="AN1422" s="99"/>
      <c r="AQ1422" s="6"/>
      <c r="AR1422" s="6"/>
      <c r="AS1422" s="6"/>
      <c r="AT1422" s="89"/>
      <c r="AU1422" s="100"/>
      <c r="AV1422" s="65"/>
      <c r="AW1422" s="3"/>
    </row>
    <row r="1423" spans="34:49">
      <c r="AH1423" s="99"/>
      <c r="AL1423" s="99"/>
      <c r="AN1423" s="99"/>
      <c r="AQ1423" s="6"/>
      <c r="AR1423" s="6"/>
      <c r="AS1423" s="6"/>
      <c r="AT1423" s="89"/>
      <c r="AU1423" s="100"/>
      <c r="AV1423" s="65"/>
      <c r="AW1423" s="3"/>
    </row>
    <row r="1424" spans="34:49">
      <c r="AH1424" s="99"/>
      <c r="AL1424" s="99"/>
      <c r="AN1424" s="99"/>
      <c r="AQ1424" s="6"/>
      <c r="AR1424" s="6"/>
      <c r="AS1424" s="6"/>
      <c r="AT1424" s="89"/>
      <c r="AU1424" s="100"/>
      <c r="AV1424" s="65"/>
      <c r="AW1424" s="3"/>
    </row>
    <row r="1425" spans="34:49">
      <c r="AH1425" s="99"/>
      <c r="AL1425" s="99"/>
      <c r="AN1425" s="99"/>
      <c r="AQ1425" s="6"/>
      <c r="AR1425" s="6"/>
      <c r="AS1425" s="6"/>
      <c r="AT1425" s="89"/>
      <c r="AU1425" s="100"/>
      <c r="AV1425" s="65"/>
      <c r="AW1425" s="3"/>
    </row>
    <row r="1426" spans="34:49">
      <c r="AH1426" s="99"/>
      <c r="AL1426" s="99"/>
      <c r="AN1426" s="99"/>
      <c r="AQ1426" s="6"/>
      <c r="AR1426" s="6"/>
      <c r="AS1426" s="6"/>
      <c r="AT1426" s="89"/>
      <c r="AU1426" s="100"/>
      <c r="AV1426" s="65"/>
      <c r="AW1426" s="3"/>
    </row>
    <row r="1427" spans="34:49">
      <c r="AH1427" s="99"/>
      <c r="AL1427" s="99"/>
      <c r="AN1427" s="99"/>
      <c r="AQ1427" s="6"/>
      <c r="AR1427" s="6"/>
      <c r="AS1427" s="6"/>
      <c r="AT1427" s="89"/>
      <c r="AU1427" s="100"/>
      <c r="AV1427" s="65"/>
      <c r="AW1427" s="3"/>
    </row>
    <row r="1428" spans="34:49">
      <c r="AH1428" s="99"/>
      <c r="AL1428" s="99"/>
      <c r="AN1428" s="99"/>
      <c r="AQ1428" s="6"/>
      <c r="AR1428" s="6"/>
      <c r="AS1428" s="6"/>
      <c r="AT1428" s="89"/>
      <c r="AU1428" s="100"/>
      <c r="AV1428" s="65"/>
      <c r="AW1428" s="3"/>
    </row>
    <row r="1429" spans="34:49">
      <c r="AH1429" s="99"/>
      <c r="AL1429" s="99"/>
      <c r="AN1429" s="99"/>
      <c r="AQ1429" s="6"/>
      <c r="AR1429" s="6"/>
      <c r="AS1429" s="6"/>
      <c r="AT1429" s="89"/>
      <c r="AU1429" s="100"/>
      <c r="AV1429" s="65"/>
      <c r="AW1429" s="3"/>
    </row>
    <row r="1430" spans="34:49">
      <c r="AH1430" s="99"/>
      <c r="AL1430" s="99"/>
      <c r="AN1430" s="99"/>
      <c r="AQ1430" s="6"/>
      <c r="AR1430" s="6"/>
      <c r="AS1430" s="6"/>
      <c r="AT1430" s="89"/>
      <c r="AU1430" s="100"/>
      <c r="AV1430" s="65"/>
      <c r="AW1430" s="3"/>
    </row>
    <row r="1431" spans="34:49">
      <c r="AH1431" s="99"/>
      <c r="AL1431" s="99"/>
      <c r="AN1431" s="99"/>
      <c r="AQ1431" s="6"/>
      <c r="AR1431" s="6"/>
      <c r="AS1431" s="6"/>
      <c r="AT1431" s="89"/>
      <c r="AU1431" s="100"/>
      <c r="AV1431" s="65"/>
      <c r="AW1431" s="3"/>
    </row>
    <row r="1432" spans="34:49">
      <c r="AH1432" s="99"/>
      <c r="AL1432" s="99"/>
      <c r="AN1432" s="99"/>
      <c r="AQ1432" s="6"/>
      <c r="AR1432" s="6"/>
      <c r="AS1432" s="6"/>
      <c r="AT1432" s="89"/>
      <c r="AU1432" s="100"/>
      <c r="AV1432" s="65"/>
      <c r="AW1432" s="3"/>
    </row>
    <row r="1433" spans="34:49">
      <c r="AH1433" s="99"/>
      <c r="AL1433" s="99"/>
      <c r="AN1433" s="99"/>
      <c r="AQ1433" s="6"/>
      <c r="AR1433" s="6"/>
      <c r="AS1433" s="6"/>
      <c r="AT1433" s="89"/>
      <c r="AU1433" s="100"/>
      <c r="AV1433" s="65"/>
      <c r="AW1433" s="3"/>
    </row>
    <row r="1434" spans="34:49">
      <c r="AH1434" s="99"/>
      <c r="AL1434" s="99"/>
      <c r="AN1434" s="99"/>
      <c r="AQ1434" s="6"/>
      <c r="AR1434" s="6"/>
      <c r="AS1434" s="6"/>
      <c r="AT1434" s="89"/>
      <c r="AU1434" s="100"/>
      <c r="AV1434" s="65"/>
      <c r="AW1434" s="3"/>
    </row>
    <row r="1435" spans="34:49">
      <c r="AH1435" s="99"/>
      <c r="AL1435" s="99"/>
      <c r="AN1435" s="99"/>
      <c r="AQ1435" s="6"/>
      <c r="AR1435" s="6"/>
      <c r="AS1435" s="6"/>
      <c r="AT1435" s="89"/>
      <c r="AU1435" s="100"/>
      <c r="AV1435" s="65"/>
      <c r="AW1435" s="3"/>
    </row>
    <row r="1436" spans="34:49">
      <c r="AH1436" s="99"/>
      <c r="AL1436" s="99"/>
      <c r="AN1436" s="99"/>
      <c r="AQ1436" s="6"/>
      <c r="AR1436" s="6"/>
      <c r="AS1436" s="6"/>
      <c r="AT1436" s="89"/>
      <c r="AU1436" s="100"/>
      <c r="AV1436" s="65"/>
      <c r="AW1436" s="3"/>
    </row>
    <row r="1437" spans="34:49">
      <c r="AH1437" s="99"/>
      <c r="AL1437" s="99"/>
      <c r="AN1437" s="99"/>
      <c r="AQ1437" s="6"/>
      <c r="AR1437" s="6"/>
      <c r="AS1437" s="6"/>
      <c r="AT1437" s="89"/>
      <c r="AU1437" s="100"/>
      <c r="AV1437" s="65"/>
      <c r="AW1437" s="3"/>
    </row>
    <row r="1438" spans="34:49">
      <c r="AH1438" s="99"/>
      <c r="AL1438" s="99"/>
      <c r="AN1438" s="99"/>
      <c r="AQ1438" s="6"/>
      <c r="AR1438" s="6"/>
      <c r="AS1438" s="6"/>
      <c r="AT1438" s="89"/>
      <c r="AU1438" s="100"/>
      <c r="AV1438" s="65"/>
      <c r="AW1438" s="3"/>
    </row>
    <row r="1439" spans="34:49">
      <c r="AH1439" s="99"/>
      <c r="AL1439" s="99"/>
      <c r="AN1439" s="99"/>
      <c r="AQ1439" s="6"/>
      <c r="AR1439" s="6"/>
      <c r="AS1439" s="6"/>
      <c r="AT1439" s="89"/>
      <c r="AU1439" s="100"/>
      <c r="AV1439" s="65"/>
      <c r="AW1439" s="3"/>
    </row>
    <row r="1440" spans="34:49">
      <c r="AH1440" s="99"/>
      <c r="AL1440" s="99"/>
      <c r="AN1440" s="99"/>
      <c r="AQ1440" s="6"/>
      <c r="AR1440" s="6"/>
      <c r="AS1440" s="6"/>
      <c r="AT1440" s="89"/>
      <c r="AU1440" s="100"/>
      <c r="AV1440" s="65"/>
      <c r="AW1440" s="3"/>
    </row>
    <row r="1441" spans="34:49">
      <c r="AH1441" s="99"/>
      <c r="AL1441" s="99"/>
      <c r="AN1441" s="99"/>
      <c r="AQ1441" s="6"/>
      <c r="AR1441" s="6"/>
      <c r="AS1441" s="6"/>
      <c r="AT1441" s="89"/>
      <c r="AU1441" s="100"/>
      <c r="AV1441" s="65"/>
      <c r="AW1441" s="3"/>
    </row>
    <row r="1442" spans="34:49">
      <c r="AH1442" s="99"/>
      <c r="AL1442" s="99"/>
      <c r="AN1442" s="99"/>
      <c r="AQ1442" s="6"/>
      <c r="AR1442" s="6"/>
      <c r="AS1442" s="6"/>
      <c r="AT1442" s="89"/>
      <c r="AU1442" s="100"/>
      <c r="AV1442" s="65"/>
      <c r="AW1442" s="3"/>
    </row>
    <row r="1443" spans="34:49">
      <c r="AH1443" s="99"/>
      <c r="AL1443" s="99"/>
      <c r="AN1443" s="99"/>
      <c r="AQ1443" s="6"/>
      <c r="AR1443" s="6"/>
      <c r="AS1443" s="6"/>
      <c r="AT1443" s="89"/>
      <c r="AU1443" s="100"/>
      <c r="AV1443" s="65"/>
      <c r="AW1443" s="3"/>
    </row>
    <row r="1444" spans="34:49">
      <c r="AH1444" s="99"/>
      <c r="AL1444" s="99"/>
      <c r="AN1444" s="99"/>
      <c r="AQ1444" s="6"/>
      <c r="AR1444" s="6"/>
      <c r="AS1444" s="6"/>
      <c r="AT1444" s="89"/>
      <c r="AU1444" s="100"/>
      <c r="AV1444" s="65"/>
      <c r="AW1444" s="3"/>
    </row>
    <row r="1445" spans="34:49">
      <c r="AH1445" s="99"/>
      <c r="AL1445" s="99"/>
      <c r="AN1445" s="99"/>
      <c r="AQ1445" s="6"/>
      <c r="AR1445" s="6"/>
      <c r="AS1445" s="6"/>
      <c r="AT1445" s="89"/>
      <c r="AU1445" s="100"/>
      <c r="AV1445" s="65"/>
      <c r="AW1445" s="3"/>
    </row>
    <row r="1446" spans="34:49">
      <c r="AH1446" s="99"/>
      <c r="AL1446" s="99"/>
      <c r="AN1446" s="99"/>
      <c r="AQ1446" s="6"/>
      <c r="AR1446" s="6"/>
      <c r="AS1446" s="6"/>
      <c r="AT1446" s="89"/>
      <c r="AU1446" s="100"/>
      <c r="AV1446" s="65"/>
      <c r="AW1446" s="3"/>
    </row>
    <row r="1447" spans="34:49">
      <c r="AH1447" s="99"/>
      <c r="AL1447" s="99"/>
      <c r="AN1447" s="99"/>
      <c r="AQ1447" s="6"/>
      <c r="AR1447" s="6"/>
      <c r="AS1447" s="6"/>
      <c r="AT1447" s="89"/>
      <c r="AU1447" s="100"/>
      <c r="AV1447" s="65"/>
      <c r="AW1447" s="3"/>
    </row>
    <row r="1448" spans="34:49">
      <c r="AH1448" s="99"/>
      <c r="AL1448" s="99"/>
      <c r="AN1448" s="99"/>
      <c r="AQ1448" s="6"/>
      <c r="AR1448" s="6"/>
      <c r="AS1448" s="6"/>
      <c r="AT1448" s="89"/>
      <c r="AU1448" s="100"/>
      <c r="AV1448" s="65"/>
      <c r="AW1448" s="3"/>
    </row>
    <row r="1449" spans="34:49">
      <c r="AH1449" s="99"/>
      <c r="AL1449" s="99"/>
      <c r="AN1449" s="99"/>
      <c r="AQ1449" s="6"/>
      <c r="AR1449" s="6"/>
      <c r="AS1449" s="6"/>
      <c r="AT1449" s="89"/>
      <c r="AU1449" s="100"/>
      <c r="AV1449" s="65"/>
      <c r="AW1449" s="3"/>
    </row>
    <row r="1450" spans="34:49">
      <c r="AH1450" s="99"/>
      <c r="AL1450" s="99"/>
      <c r="AN1450" s="99"/>
      <c r="AQ1450" s="6"/>
      <c r="AR1450" s="6"/>
      <c r="AS1450" s="6"/>
      <c r="AT1450" s="89"/>
      <c r="AU1450" s="100"/>
      <c r="AV1450" s="65"/>
      <c r="AW1450" s="3"/>
    </row>
    <row r="1451" spans="34:49">
      <c r="AH1451" s="99"/>
      <c r="AL1451" s="99"/>
      <c r="AN1451" s="99"/>
      <c r="AQ1451" s="6"/>
      <c r="AR1451" s="6"/>
      <c r="AS1451" s="6"/>
      <c r="AT1451" s="89"/>
      <c r="AU1451" s="100"/>
      <c r="AV1451" s="65"/>
      <c r="AW1451" s="3"/>
    </row>
    <row r="1452" spans="34:49">
      <c r="AH1452" s="99"/>
      <c r="AL1452" s="99"/>
      <c r="AN1452" s="99"/>
      <c r="AQ1452" s="6"/>
      <c r="AR1452" s="6"/>
      <c r="AS1452" s="6"/>
      <c r="AT1452" s="89"/>
      <c r="AU1452" s="100"/>
      <c r="AV1452" s="65"/>
      <c r="AW1452" s="3"/>
    </row>
    <row r="1453" spans="34:49">
      <c r="AH1453" s="99"/>
      <c r="AL1453" s="99"/>
      <c r="AN1453" s="99"/>
      <c r="AQ1453" s="6"/>
      <c r="AR1453" s="6"/>
      <c r="AS1453" s="6"/>
      <c r="AT1453" s="89"/>
      <c r="AU1453" s="100"/>
      <c r="AV1453" s="65"/>
      <c r="AW1453" s="3"/>
    </row>
    <row r="1454" spans="34:49">
      <c r="AH1454" s="99"/>
      <c r="AL1454" s="99"/>
      <c r="AN1454" s="99"/>
      <c r="AQ1454" s="6"/>
      <c r="AR1454" s="6"/>
      <c r="AS1454" s="6"/>
      <c r="AT1454" s="89"/>
      <c r="AU1454" s="100"/>
      <c r="AV1454" s="65"/>
      <c r="AW1454" s="3"/>
    </row>
    <row r="1455" spans="34:49">
      <c r="AH1455" s="99"/>
      <c r="AL1455" s="99"/>
      <c r="AN1455" s="99"/>
      <c r="AQ1455" s="6"/>
      <c r="AR1455" s="6"/>
      <c r="AS1455" s="6"/>
      <c r="AT1455" s="89"/>
      <c r="AU1455" s="100"/>
      <c r="AV1455" s="65"/>
      <c r="AW1455" s="3"/>
    </row>
    <row r="1456" spans="34:49">
      <c r="AH1456" s="99"/>
      <c r="AL1456" s="99"/>
      <c r="AN1456" s="99"/>
      <c r="AQ1456" s="6"/>
      <c r="AR1456" s="6"/>
      <c r="AS1456" s="6"/>
      <c r="AT1456" s="89"/>
      <c r="AU1456" s="100"/>
      <c r="AV1456" s="65"/>
      <c r="AW1456" s="3"/>
    </row>
    <row r="1457" spans="34:49">
      <c r="AH1457" s="99"/>
      <c r="AL1457" s="99"/>
      <c r="AN1457" s="99"/>
      <c r="AQ1457" s="6"/>
      <c r="AR1457" s="6"/>
      <c r="AS1457" s="6"/>
      <c r="AT1457" s="89"/>
      <c r="AU1457" s="100"/>
      <c r="AV1457" s="65"/>
      <c r="AW1457" s="3"/>
    </row>
    <row r="1458" spans="34:49">
      <c r="AH1458" s="99"/>
      <c r="AL1458" s="99"/>
      <c r="AN1458" s="99"/>
      <c r="AQ1458" s="6"/>
      <c r="AR1458" s="6"/>
      <c r="AS1458" s="6"/>
      <c r="AT1458" s="89"/>
      <c r="AU1458" s="100"/>
      <c r="AV1458" s="65"/>
      <c r="AW1458" s="3"/>
    </row>
    <row r="1459" spans="34:49">
      <c r="AH1459" s="99"/>
      <c r="AL1459" s="99"/>
      <c r="AN1459" s="99"/>
      <c r="AQ1459" s="6"/>
      <c r="AR1459" s="6"/>
      <c r="AS1459" s="6"/>
      <c r="AT1459" s="89"/>
      <c r="AU1459" s="100"/>
      <c r="AV1459" s="65"/>
      <c r="AW1459" s="3"/>
    </row>
    <row r="1460" spans="34:49">
      <c r="AH1460" s="99"/>
      <c r="AL1460" s="99"/>
      <c r="AN1460" s="99"/>
      <c r="AQ1460" s="6"/>
      <c r="AR1460" s="6"/>
      <c r="AS1460" s="6"/>
      <c r="AT1460" s="89"/>
      <c r="AU1460" s="100"/>
      <c r="AV1460" s="65"/>
      <c r="AW1460" s="3"/>
    </row>
    <row r="1461" spans="34:49">
      <c r="AH1461" s="99"/>
      <c r="AL1461" s="99"/>
      <c r="AN1461" s="99"/>
      <c r="AQ1461" s="6"/>
      <c r="AR1461" s="6"/>
      <c r="AS1461" s="6"/>
      <c r="AT1461" s="89"/>
      <c r="AU1461" s="100"/>
      <c r="AV1461" s="65"/>
      <c r="AW1461" s="3"/>
    </row>
    <row r="1462" spans="34:49">
      <c r="AH1462" s="99"/>
      <c r="AL1462" s="99"/>
      <c r="AN1462" s="99"/>
      <c r="AQ1462" s="6"/>
      <c r="AR1462" s="6"/>
      <c r="AS1462" s="6"/>
      <c r="AT1462" s="89"/>
      <c r="AU1462" s="100"/>
      <c r="AV1462" s="65"/>
      <c r="AW1462" s="3"/>
    </row>
    <row r="1463" spans="34:49">
      <c r="AH1463" s="99"/>
      <c r="AL1463" s="99"/>
      <c r="AN1463" s="99"/>
      <c r="AQ1463" s="6"/>
      <c r="AR1463" s="6"/>
      <c r="AS1463" s="6"/>
      <c r="AT1463" s="89"/>
      <c r="AU1463" s="100"/>
      <c r="AV1463" s="65"/>
      <c r="AW1463" s="3"/>
    </row>
    <row r="1464" spans="34:49">
      <c r="AH1464" s="99"/>
      <c r="AL1464" s="99"/>
      <c r="AN1464" s="99"/>
      <c r="AQ1464" s="6"/>
      <c r="AR1464" s="6"/>
      <c r="AS1464" s="6"/>
      <c r="AT1464" s="89"/>
      <c r="AU1464" s="100"/>
      <c r="AV1464" s="65"/>
      <c r="AW1464" s="3"/>
    </row>
    <row r="1465" spans="34:49">
      <c r="AH1465" s="99"/>
      <c r="AL1465" s="99"/>
      <c r="AN1465" s="99"/>
      <c r="AQ1465" s="6"/>
      <c r="AR1465" s="6"/>
      <c r="AS1465" s="6"/>
      <c r="AT1465" s="89"/>
      <c r="AU1465" s="100"/>
      <c r="AV1465" s="65"/>
      <c r="AW1465" s="3"/>
    </row>
    <row r="1466" spans="34:49">
      <c r="AH1466" s="99"/>
      <c r="AL1466" s="99"/>
      <c r="AN1466" s="99"/>
      <c r="AQ1466" s="6"/>
      <c r="AR1466" s="6"/>
      <c r="AS1466" s="6"/>
      <c r="AT1466" s="89"/>
      <c r="AU1466" s="100"/>
      <c r="AV1466" s="65"/>
      <c r="AW1466" s="3"/>
    </row>
    <row r="1467" spans="34:49">
      <c r="AH1467" s="99"/>
      <c r="AL1467" s="99"/>
      <c r="AN1467" s="99"/>
      <c r="AQ1467" s="6"/>
      <c r="AR1467" s="6"/>
      <c r="AS1467" s="6"/>
      <c r="AT1467" s="89"/>
      <c r="AU1467" s="100"/>
      <c r="AV1467" s="65"/>
      <c r="AW1467" s="3"/>
    </row>
    <row r="1468" spans="34:49">
      <c r="AH1468" s="99"/>
      <c r="AL1468" s="99"/>
      <c r="AN1468" s="99"/>
      <c r="AQ1468" s="6"/>
      <c r="AR1468" s="6"/>
      <c r="AS1468" s="6"/>
      <c r="AT1468" s="89"/>
      <c r="AU1468" s="100"/>
      <c r="AV1468" s="65"/>
      <c r="AW1468" s="3"/>
    </row>
    <row r="1469" spans="34:49">
      <c r="AH1469" s="99"/>
      <c r="AL1469" s="99"/>
      <c r="AN1469" s="99"/>
      <c r="AQ1469" s="6"/>
      <c r="AR1469" s="6"/>
      <c r="AS1469" s="6"/>
      <c r="AT1469" s="89"/>
      <c r="AU1469" s="100"/>
      <c r="AV1469" s="65"/>
      <c r="AW1469" s="3"/>
    </row>
    <row r="1470" spans="34:49">
      <c r="AH1470" s="99"/>
      <c r="AL1470" s="99"/>
      <c r="AN1470" s="99"/>
      <c r="AQ1470" s="6"/>
      <c r="AR1470" s="6"/>
      <c r="AS1470" s="6"/>
      <c r="AT1470" s="89"/>
      <c r="AU1470" s="100"/>
      <c r="AV1470" s="65"/>
      <c r="AW1470" s="3"/>
    </row>
    <row r="1471" spans="34:49">
      <c r="AH1471" s="99"/>
      <c r="AL1471" s="99"/>
      <c r="AN1471" s="99"/>
      <c r="AQ1471" s="6"/>
      <c r="AR1471" s="6"/>
      <c r="AS1471" s="6"/>
      <c r="AT1471" s="89"/>
      <c r="AU1471" s="100"/>
      <c r="AV1471" s="65"/>
      <c r="AW1471" s="3"/>
    </row>
    <row r="1472" spans="34:49">
      <c r="AH1472" s="99"/>
      <c r="AL1472" s="99"/>
      <c r="AN1472" s="99"/>
      <c r="AQ1472" s="6"/>
      <c r="AR1472" s="6"/>
      <c r="AS1472" s="6"/>
      <c r="AT1472" s="89"/>
      <c r="AU1472" s="100"/>
      <c r="AV1472" s="65"/>
      <c r="AW1472" s="3"/>
    </row>
    <row r="1473" spans="34:49">
      <c r="AH1473" s="99"/>
      <c r="AL1473" s="99"/>
      <c r="AN1473" s="99"/>
      <c r="AQ1473" s="6"/>
      <c r="AR1473" s="6"/>
      <c r="AS1473" s="6"/>
      <c r="AT1473" s="89"/>
      <c r="AU1473" s="100"/>
      <c r="AV1473" s="65"/>
      <c r="AW1473" s="3"/>
    </row>
    <row r="1474" spans="34:49">
      <c r="AH1474" s="99"/>
      <c r="AL1474" s="99"/>
      <c r="AN1474" s="99"/>
      <c r="AQ1474" s="6"/>
      <c r="AR1474" s="6"/>
      <c r="AS1474" s="6"/>
      <c r="AT1474" s="89"/>
      <c r="AU1474" s="100"/>
      <c r="AV1474" s="65"/>
      <c r="AW1474" s="3"/>
    </row>
    <row r="1475" spans="34:49">
      <c r="AH1475" s="99"/>
      <c r="AL1475" s="99"/>
      <c r="AN1475" s="99"/>
      <c r="AQ1475" s="6"/>
      <c r="AR1475" s="6"/>
      <c r="AS1475" s="6"/>
      <c r="AT1475" s="89"/>
      <c r="AU1475" s="100"/>
      <c r="AV1475" s="65"/>
      <c r="AW1475" s="3"/>
    </row>
    <row r="1476" spans="34:49">
      <c r="AH1476" s="99"/>
      <c r="AL1476" s="99"/>
      <c r="AN1476" s="99"/>
      <c r="AQ1476" s="6"/>
      <c r="AR1476" s="6"/>
      <c r="AS1476" s="6"/>
      <c r="AT1476" s="89"/>
      <c r="AU1476" s="100"/>
      <c r="AV1476" s="65"/>
      <c r="AW1476" s="3"/>
    </row>
    <row r="1477" spans="34:49">
      <c r="AH1477" s="99"/>
      <c r="AL1477" s="99"/>
      <c r="AN1477" s="99"/>
      <c r="AQ1477" s="6"/>
      <c r="AR1477" s="6"/>
      <c r="AS1477" s="6"/>
      <c r="AT1477" s="89"/>
      <c r="AU1477" s="100"/>
      <c r="AV1477" s="65"/>
      <c r="AW1477" s="3"/>
    </row>
    <row r="1478" spans="34:49">
      <c r="AH1478" s="99"/>
      <c r="AL1478" s="99"/>
      <c r="AN1478" s="99"/>
      <c r="AQ1478" s="6"/>
      <c r="AR1478" s="6"/>
      <c r="AS1478" s="6"/>
      <c r="AT1478" s="89"/>
      <c r="AU1478" s="100"/>
      <c r="AV1478" s="65"/>
      <c r="AW1478" s="3"/>
    </row>
    <row r="1479" spans="34:49">
      <c r="AH1479" s="99"/>
      <c r="AL1479" s="99"/>
      <c r="AN1479" s="99"/>
      <c r="AQ1479" s="6"/>
      <c r="AR1479" s="6"/>
      <c r="AS1479" s="6"/>
      <c r="AT1479" s="89"/>
      <c r="AU1479" s="100"/>
      <c r="AV1479" s="65"/>
      <c r="AW1479" s="3"/>
    </row>
    <row r="1480" spans="34:49">
      <c r="AH1480" s="99"/>
      <c r="AL1480" s="99"/>
      <c r="AN1480" s="99"/>
      <c r="AQ1480" s="6"/>
      <c r="AR1480" s="6"/>
      <c r="AS1480" s="6"/>
      <c r="AT1480" s="89"/>
      <c r="AU1480" s="100"/>
      <c r="AV1480" s="65"/>
      <c r="AW1480" s="3"/>
    </row>
    <row r="1481" spans="34:49">
      <c r="AH1481" s="99"/>
      <c r="AL1481" s="99"/>
      <c r="AN1481" s="99"/>
      <c r="AQ1481" s="6"/>
      <c r="AR1481" s="6"/>
      <c r="AS1481" s="6"/>
      <c r="AT1481" s="89"/>
      <c r="AU1481" s="100"/>
      <c r="AV1481" s="65"/>
      <c r="AW1481" s="3"/>
    </row>
    <row r="1482" spans="34:49">
      <c r="AH1482" s="99"/>
      <c r="AL1482" s="99"/>
      <c r="AN1482" s="99"/>
      <c r="AQ1482" s="6"/>
      <c r="AR1482" s="6"/>
      <c r="AS1482" s="6"/>
      <c r="AT1482" s="89"/>
      <c r="AU1482" s="100"/>
      <c r="AV1482" s="65"/>
      <c r="AW1482" s="3"/>
    </row>
    <row r="1483" spans="34:49">
      <c r="AH1483" s="99"/>
      <c r="AL1483" s="99"/>
      <c r="AN1483" s="99"/>
      <c r="AQ1483" s="6"/>
      <c r="AR1483" s="6"/>
      <c r="AS1483" s="6"/>
      <c r="AT1483" s="89"/>
      <c r="AU1483" s="100"/>
      <c r="AV1483" s="65"/>
      <c r="AW1483" s="3"/>
    </row>
    <row r="1484" spans="34:49">
      <c r="AH1484" s="99"/>
      <c r="AL1484" s="99"/>
      <c r="AN1484" s="99"/>
      <c r="AQ1484" s="6"/>
      <c r="AR1484" s="6"/>
      <c r="AS1484" s="6"/>
      <c r="AT1484" s="89"/>
      <c r="AU1484" s="100"/>
      <c r="AV1484" s="65"/>
      <c r="AW1484" s="3"/>
    </row>
    <row r="1485" spans="34:49">
      <c r="AH1485" s="99"/>
      <c r="AL1485" s="99"/>
      <c r="AN1485" s="99"/>
      <c r="AQ1485" s="6"/>
      <c r="AR1485" s="6"/>
      <c r="AS1485" s="6"/>
      <c r="AT1485" s="89"/>
      <c r="AU1485" s="100"/>
      <c r="AV1485" s="65"/>
      <c r="AW1485" s="3"/>
    </row>
    <row r="1486" spans="34:49">
      <c r="AH1486" s="99"/>
      <c r="AL1486" s="99"/>
      <c r="AN1486" s="99"/>
      <c r="AQ1486" s="6"/>
      <c r="AR1486" s="6"/>
      <c r="AS1486" s="6"/>
      <c r="AT1486" s="89"/>
      <c r="AU1486" s="100"/>
      <c r="AV1486" s="65"/>
      <c r="AW1486" s="3"/>
    </row>
    <row r="1487" spans="34:49">
      <c r="AH1487" s="99"/>
      <c r="AL1487" s="99"/>
      <c r="AN1487" s="99"/>
      <c r="AQ1487" s="6"/>
      <c r="AR1487" s="6"/>
      <c r="AS1487" s="6"/>
      <c r="AT1487" s="89"/>
      <c r="AU1487" s="100"/>
      <c r="AV1487" s="65"/>
      <c r="AW1487" s="3"/>
    </row>
    <row r="1488" spans="34:49">
      <c r="AH1488" s="99"/>
      <c r="AL1488" s="99"/>
      <c r="AN1488" s="99"/>
      <c r="AQ1488" s="6"/>
      <c r="AR1488" s="6"/>
      <c r="AS1488" s="6"/>
      <c r="AT1488" s="89"/>
      <c r="AU1488" s="100"/>
      <c r="AV1488" s="65"/>
      <c r="AW1488" s="3"/>
    </row>
    <row r="1489" spans="34:49">
      <c r="AH1489" s="99"/>
      <c r="AL1489" s="99"/>
      <c r="AN1489" s="99"/>
      <c r="AQ1489" s="6"/>
      <c r="AR1489" s="6"/>
      <c r="AS1489" s="6"/>
      <c r="AT1489" s="89"/>
      <c r="AU1489" s="100"/>
      <c r="AV1489" s="65"/>
      <c r="AW1489" s="3"/>
    </row>
    <row r="1490" spans="34:49">
      <c r="AH1490" s="99"/>
      <c r="AL1490" s="99"/>
      <c r="AN1490" s="99"/>
      <c r="AQ1490" s="6"/>
      <c r="AR1490" s="6"/>
      <c r="AS1490" s="6"/>
      <c r="AT1490" s="89"/>
      <c r="AU1490" s="100"/>
      <c r="AV1490" s="65"/>
      <c r="AW1490" s="3"/>
    </row>
    <row r="1491" spans="34:49">
      <c r="AH1491" s="99"/>
      <c r="AL1491" s="99"/>
      <c r="AN1491" s="99"/>
      <c r="AQ1491" s="6"/>
      <c r="AR1491" s="6"/>
      <c r="AS1491" s="6"/>
      <c r="AT1491" s="89"/>
      <c r="AU1491" s="100"/>
      <c r="AV1491" s="65"/>
      <c r="AW1491" s="3"/>
    </row>
    <row r="1492" spans="34:49">
      <c r="AH1492" s="99"/>
      <c r="AL1492" s="99"/>
      <c r="AN1492" s="99"/>
      <c r="AQ1492" s="6"/>
      <c r="AR1492" s="6"/>
      <c r="AS1492" s="6"/>
      <c r="AT1492" s="89"/>
      <c r="AU1492" s="100"/>
      <c r="AV1492" s="65"/>
      <c r="AW1492" s="3"/>
    </row>
    <row r="1493" spans="34:49">
      <c r="AH1493" s="99"/>
      <c r="AL1493" s="99"/>
      <c r="AN1493" s="99"/>
      <c r="AQ1493" s="6"/>
      <c r="AR1493" s="6"/>
      <c r="AS1493" s="6"/>
      <c r="AT1493" s="89"/>
      <c r="AU1493" s="100"/>
      <c r="AV1493" s="65"/>
      <c r="AW1493" s="3"/>
    </row>
    <row r="1494" spans="34:49">
      <c r="AH1494" s="99"/>
      <c r="AL1494" s="99"/>
      <c r="AN1494" s="99"/>
      <c r="AQ1494" s="6"/>
      <c r="AR1494" s="6"/>
      <c r="AS1494" s="6"/>
      <c r="AT1494" s="89"/>
      <c r="AU1494" s="100"/>
      <c r="AV1494" s="65"/>
      <c r="AW1494" s="3"/>
    </row>
    <row r="1495" spans="34:49">
      <c r="AH1495" s="99"/>
      <c r="AL1495" s="99"/>
      <c r="AN1495" s="99"/>
      <c r="AQ1495" s="6"/>
      <c r="AR1495" s="6"/>
      <c r="AS1495" s="6"/>
      <c r="AT1495" s="89"/>
      <c r="AU1495" s="100"/>
      <c r="AV1495" s="65"/>
      <c r="AW1495" s="3"/>
    </row>
    <row r="1496" spans="34:49">
      <c r="AH1496" s="99"/>
      <c r="AL1496" s="99"/>
      <c r="AN1496" s="99"/>
      <c r="AQ1496" s="6"/>
      <c r="AR1496" s="6"/>
      <c r="AS1496" s="6"/>
      <c r="AT1496" s="89"/>
      <c r="AU1496" s="100"/>
      <c r="AV1496" s="65"/>
      <c r="AW1496" s="3"/>
    </row>
    <row r="1497" spans="34:49">
      <c r="AH1497" s="99"/>
      <c r="AL1497" s="99"/>
      <c r="AN1497" s="99"/>
      <c r="AQ1497" s="6"/>
      <c r="AR1497" s="6"/>
      <c r="AS1497" s="6"/>
      <c r="AT1497" s="89"/>
      <c r="AU1497" s="100"/>
      <c r="AV1497" s="65"/>
      <c r="AW1497" s="3"/>
    </row>
    <row r="1498" spans="34:49">
      <c r="AH1498" s="99"/>
      <c r="AL1498" s="99"/>
      <c r="AN1498" s="99"/>
      <c r="AQ1498" s="6"/>
      <c r="AR1498" s="6"/>
      <c r="AS1498" s="6"/>
      <c r="AT1498" s="89"/>
      <c r="AU1498" s="100"/>
      <c r="AV1498" s="65"/>
      <c r="AW1498" s="3"/>
    </row>
    <row r="1499" spans="34:49">
      <c r="AH1499" s="99"/>
      <c r="AL1499" s="99"/>
      <c r="AN1499" s="99"/>
      <c r="AQ1499" s="6"/>
      <c r="AR1499" s="6"/>
      <c r="AS1499" s="6"/>
      <c r="AT1499" s="89"/>
      <c r="AU1499" s="100"/>
      <c r="AV1499" s="65"/>
      <c r="AW1499" s="3"/>
    </row>
    <row r="1500" spans="34:49">
      <c r="AH1500" s="99"/>
      <c r="AL1500" s="99"/>
      <c r="AN1500" s="99"/>
      <c r="AQ1500" s="6"/>
      <c r="AR1500" s="6"/>
      <c r="AS1500" s="6"/>
      <c r="AT1500" s="89"/>
      <c r="AU1500" s="100"/>
      <c r="AV1500" s="65"/>
      <c r="AW1500" s="3"/>
    </row>
    <row r="1501" spans="34:49">
      <c r="AH1501" s="99"/>
      <c r="AL1501" s="99"/>
      <c r="AN1501" s="99"/>
      <c r="AQ1501" s="6"/>
      <c r="AR1501" s="6"/>
      <c r="AS1501" s="6"/>
      <c r="AT1501" s="89"/>
      <c r="AU1501" s="100"/>
      <c r="AV1501" s="65"/>
      <c r="AW1501" s="3"/>
    </row>
    <row r="1502" spans="34:49">
      <c r="AH1502" s="99"/>
      <c r="AL1502" s="99"/>
      <c r="AN1502" s="99"/>
      <c r="AQ1502" s="6"/>
      <c r="AR1502" s="6"/>
      <c r="AS1502" s="6"/>
      <c r="AT1502" s="89"/>
      <c r="AU1502" s="100"/>
      <c r="AV1502" s="65"/>
      <c r="AW1502" s="3"/>
    </row>
    <row r="1503" spans="34:49">
      <c r="AH1503" s="99"/>
      <c r="AL1503" s="99"/>
      <c r="AN1503" s="99"/>
      <c r="AQ1503" s="6"/>
      <c r="AR1503" s="6"/>
      <c r="AS1503" s="6"/>
      <c r="AT1503" s="89"/>
      <c r="AU1503" s="100"/>
      <c r="AV1503" s="65"/>
      <c r="AW1503" s="3"/>
    </row>
    <row r="1504" spans="34:49">
      <c r="AH1504" s="99"/>
      <c r="AL1504" s="99"/>
      <c r="AN1504" s="99"/>
      <c r="AQ1504" s="6"/>
      <c r="AR1504" s="6"/>
      <c r="AS1504" s="6"/>
      <c r="AT1504" s="89"/>
      <c r="AU1504" s="100"/>
      <c r="AV1504" s="65"/>
      <c r="AW1504" s="3"/>
    </row>
    <row r="1505" spans="34:49">
      <c r="AH1505" s="99"/>
      <c r="AL1505" s="99"/>
      <c r="AN1505" s="99"/>
      <c r="AQ1505" s="6"/>
      <c r="AR1505" s="6"/>
      <c r="AS1505" s="6"/>
      <c r="AT1505" s="89"/>
      <c r="AU1505" s="100"/>
      <c r="AV1505" s="65"/>
      <c r="AW1505" s="3"/>
    </row>
    <row r="1506" spans="34:49">
      <c r="AH1506" s="99"/>
      <c r="AL1506" s="99"/>
      <c r="AN1506" s="99"/>
      <c r="AQ1506" s="6"/>
      <c r="AR1506" s="6"/>
      <c r="AS1506" s="6"/>
      <c r="AT1506" s="89"/>
      <c r="AU1506" s="100"/>
      <c r="AV1506" s="65"/>
      <c r="AW1506" s="3"/>
    </row>
    <row r="1507" spans="34:49">
      <c r="AH1507" s="99"/>
      <c r="AL1507" s="99"/>
      <c r="AN1507" s="99"/>
      <c r="AQ1507" s="6"/>
      <c r="AR1507" s="6"/>
      <c r="AS1507" s="6"/>
      <c r="AT1507" s="89"/>
      <c r="AU1507" s="100"/>
      <c r="AV1507" s="65"/>
      <c r="AW1507" s="3"/>
    </row>
    <row r="1508" spans="34:49">
      <c r="AH1508" s="99"/>
      <c r="AL1508" s="99"/>
      <c r="AN1508" s="99"/>
      <c r="AQ1508" s="6"/>
      <c r="AR1508" s="6"/>
      <c r="AS1508" s="6"/>
      <c r="AT1508" s="89"/>
      <c r="AU1508" s="100"/>
      <c r="AV1508" s="65"/>
      <c r="AW1508" s="3"/>
    </row>
    <row r="1509" spans="34:49">
      <c r="AH1509" s="99"/>
      <c r="AL1509" s="99"/>
      <c r="AN1509" s="99"/>
      <c r="AQ1509" s="6"/>
      <c r="AR1509" s="6"/>
      <c r="AS1509" s="6"/>
      <c r="AT1509" s="89"/>
      <c r="AU1509" s="100"/>
      <c r="AV1509" s="65"/>
      <c r="AW1509" s="3"/>
    </row>
    <row r="1510" spans="34:49">
      <c r="AH1510" s="99"/>
      <c r="AL1510" s="99"/>
      <c r="AN1510" s="99"/>
      <c r="AQ1510" s="6"/>
      <c r="AR1510" s="6"/>
      <c r="AS1510" s="6"/>
      <c r="AT1510" s="89"/>
      <c r="AU1510" s="100"/>
      <c r="AV1510" s="65"/>
      <c r="AW1510" s="3"/>
    </row>
    <row r="1511" spans="34:49">
      <c r="AH1511" s="99"/>
      <c r="AL1511" s="99"/>
      <c r="AN1511" s="99"/>
      <c r="AQ1511" s="6"/>
      <c r="AR1511" s="6"/>
      <c r="AS1511" s="6"/>
      <c r="AT1511" s="89"/>
      <c r="AU1511" s="100"/>
      <c r="AV1511" s="65"/>
      <c r="AW1511" s="3"/>
    </row>
    <row r="1512" spans="34:49">
      <c r="AH1512" s="99"/>
      <c r="AL1512" s="99"/>
      <c r="AN1512" s="99"/>
      <c r="AQ1512" s="6"/>
      <c r="AR1512" s="6"/>
      <c r="AS1512" s="6"/>
      <c r="AT1512" s="89"/>
      <c r="AU1512" s="100"/>
      <c r="AV1512" s="65"/>
      <c r="AW1512" s="3"/>
    </row>
    <row r="1513" spans="34:49">
      <c r="AH1513" s="99"/>
      <c r="AL1513" s="99"/>
      <c r="AN1513" s="99"/>
      <c r="AQ1513" s="6"/>
      <c r="AR1513" s="6"/>
      <c r="AS1513" s="6"/>
      <c r="AT1513" s="89"/>
      <c r="AU1513" s="100"/>
      <c r="AV1513" s="65"/>
      <c r="AW1513" s="3"/>
    </row>
    <row r="1514" spans="34:49">
      <c r="AH1514" s="99"/>
      <c r="AL1514" s="99"/>
      <c r="AN1514" s="99"/>
      <c r="AQ1514" s="6"/>
      <c r="AR1514" s="6"/>
      <c r="AS1514" s="6"/>
      <c r="AT1514" s="89"/>
      <c r="AU1514" s="100"/>
      <c r="AV1514" s="65"/>
      <c r="AW1514" s="3"/>
    </row>
    <row r="1515" spans="34:49">
      <c r="AH1515" s="99"/>
      <c r="AL1515" s="99"/>
      <c r="AN1515" s="99"/>
      <c r="AQ1515" s="6"/>
      <c r="AR1515" s="6"/>
      <c r="AS1515" s="6"/>
      <c r="AT1515" s="89"/>
      <c r="AU1515" s="100"/>
      <c r="AV1515" s="65"/>
      <c r="AW1515" s="3"/>
    </row>
    <row r="1516" spans="34:49">
      <c r="AH1516" s="99"/>
      <c r="AL1516" s="99"/>
      <c r="AN1516" s="99"/>
      <c r="AQ1516" s="6"/>
      <c r="AR1516" s="6"/>
      <c r="AS1516" s="6"/>
      <c r="AT1516" s="89"/>
      <c r="AU1516" s="100"/>
      <c r="AV1516" s="65"/>
      <c r="AW1516" s="3"/>
    </row>
    <row r="1517" spans="34:49">
      <c r="AH1517" s="99"/>
      <c r="AL1517" s="99"/>
      <c r="AN1517" s="99"/>
      <c r="AQ1517" s="6"/>
      <c r="AR1517" s="6"/>
      <c r="AS1517" s="6"/>
      <c r="AT1517" s="89"/>
      <c r="AU1517" s="100"/>
      <c r="AV1517" s="65"/>
      <c r="AW1517" s="3"/>
    </row>
    <row r="1518" spans="34:49">
      <c r="AH1518" s="99"/>
      <c r="AL1518" s="99"/>
      <c r="AN1518" s="99"/>
      <c r="AQ1518" s="6"/>
      <c r="AR1518" s="6"/>
      <c r="AS1518" s="6"/>
      <c r="AT1518" s="89"/>
      <c r="AU1518" s="100"/>
      <c r="AV1518" s="65"/>
      <c r="AW1518" s="3"/>
    </row>
    <row r="1519" spans="34:49">
      <c r="AH1519" s="99"/>
      <c r="AL1519" s="99"/>
      <c r="AN1519" s="99"/>
      <c r="AQ1519" s="6"/>
      <c r="AR1519" s="6"/>
      <c r="AS1519" s="6"/>
      <c r="AT1519" s="89"/>
      <c r="AU1519" s="100"/>
      <c r="AV1519" s="65"/>
      <c r="AW1519" s="3"/>
    </row>
    <row r="1520" spans="34:49">
      <c r="AH1520" s="99"/>
      <c r="AL1520" s="99"/>
      <c r="AN1520" s="99"/>
      <c r="AQ1520" s="6"/>
      <c r="AR1520" s="6"/>
      <c r="AS1520" s="6"/>
      <c r="AT1520" s="89"/>
      <c r="AU1520" s="100"/>
      <c r="AV1520" s="65"/>
      <c r="AW1520" s="3"/>
    </row>
    <row r="1521" spans="34:49">
      <c r="AH1521" s="99"/>
      <c r="AL1521" s="99"/>
      <c r="AN1521" s="99"/>
      <c r="AQ1521" s="6"/>
      <c r="AR1521" s="6"/>
      <c r="AS1521" s="6"/>
      <c r="AT1521" s="89"/>
      <c r="AU1521" s="100"/>
      <c r="AV1521" s="65"/>
      <c r="AW1521" s="3"/>
    </row>
    <row r="1522" spans="34:49">
      <c r="AH1522" s="99"/>
      <c r="AL1522" s="99"/>
      <c r="AN1522" s="99"/>
      <c r="AQ1522" s="6"/>
      <c r="AR1522" s="6"/>
      <c r="AS1522" s="6"/>
      <c r="AT1522" s="89"/>
      <c r="AU1522" s="100"/>
      <c r="AV1522" s="65"/>
      <c r="AW1522" s="3"/>
    </row>
    <row r="1523" spans="34:49">
      <c r="AH1523" s="99"/>
      <c r="AL1523" s="99"/>
      <c r="AN1523" s="99"/>
      <c r="AQ1523" s="6"/>
      <c r="AR1523" s="6"/>
      <c r="AS1523" s="6"/>
      <c r="AT1523" s="89"/>
      <c r="AU1523" s="100"/>
      <c r="AV1523" s="65"/>
      <c r="AW1523" s="3"/>
    </row>
    <row r="1524" spans="34:49">
      <c r="AH1524" s="99"/>
      <c r="AL1524" s="99"/>
      <c r="AN1524" s="99"/>
      <c r="AQ1524" s="6"/>
      <c r="AR1524" s="6"/>
      <c r="AS1524" s="6"/>
      <c r="AT1524" s="89"/>
      <c r="AU1524" s="100"/>
      <c r="AV1524" s="65"/>
      <c r="AW1524" s="3"/>
    </row>
    <row r="1525" spans="34:49">
      <c r="AH1525" s="99"/>
      <c r="AL1525" s="99"/>
      <c r="AN1525" s="99"/>
      <c r="AQ1525" s="6"/>
      <c r="AR1525" s="6"/>
      <c r="AS1525" s="6"/>
      <c r="AT1525" s="89"/>
      <c r="AU1525" s="100"/>
      <c r="AV1525" s="65"/>
      <c r="AW1525" s="3"/>
    </row>
    <row r="1526" spans="34:49">
      <c r="AH1526" s="99"/>
      <c r="AL1526" s="99"/>
      <c r="AN1526" s="99"/>
      <c r="AQ1526" s="6"/>
      <c r="AR1526" s="6"/>
      <c r="AS1526" s="6"/>
      <c r="AT1526" s="89"/>
      <c r="AU1526" s="100"/>
      <c r="AV1526" s="65"/>
      <c r="AW1526" s="3"/>
    </row>
    <row r="1527" spans="34:49">
      <c r="AH1527" s="99"/>
      <c r="AL1527" s="99"/>
      <c r="AN1527" s="99"/>
      <c r="AQ1527" s="6"/>
      <c r="AR1527" s="6"/>
      <c r="AS1527" s="6"/>
      <c r="AT1527" s="89"/>
      <c r="AU1527" s="100"/>
      <c r="AV1527" s="65"/>
      <c r="AW1527" s="3"/>
    </row>
    <row r="1528" spans="34:49">
      <c r="AH1528" s="99"/>
      <c r="AL1528" s="99"/>
      <c r="AN1528" s="99"/>
      <c r="AQ1528" s="6"/>
      <c r="AR1528" s="6"/>
      <c r="AS1528" s="6"/>
      <c r="AT1528" s="89"/>
      <c r="AU1528" s="100"/>
      <c r="AV1528" s="65"/>
      <c r="AW1528" s="3"/>
    </row>
    <row r="1529" spans="34:49">
      <c r="AH1529" s="99"/>
      <c r="AL1529" s="99"/>
      <c r="AN1529" s="99"/>
      <c r="AQ1529" s="6"/>
      <c r="AR1529" s="6"/>
      <c r="AS1529" s="6"/>
      <c r="AT1529" s="89"/>
      <c r="AU1529" s="100"/>
      <c r="AV1529" s="65"/>
      <c r="AW1529" s="3"/>
    </row>
    <row r="1530" spans="34:49">
      <c r="AH1530" s="99"/>
      <c r="AL1530" s="99"/>
      <c r="AN1530" s="99"/>
      <c r="AQ1530" s="6"/>
      <c r="AR1530" s="6"/>
      <c r="AS1530" s="6"/>
      <c r="AT1530" s="89"/>
      <c r="AU1530" s="100"/>
      <c r="AV1530" s="65"/>
      <c r="AW1530" s="3"/>
    </row>
    <row r="1531" spans="34:49">
      <c r="AH1531" s="99"/>
      <c r="AL1531" s="99"/>
      <c r="AN1531" s="99"/>
      <c r="AQ1531" s="6"/>
      <c r="AR1531" s="6"/>
      <c r="AS1531" s="6"/>
      <c r="AT1531" s="89"/>
      <c r="AU1531" s="100"/>
      <c r="AV1531" s="65"/>
      <c r="AW1531" s="3"/>
    </row>
    <row r="1532" spans="34:49">
      <c r="AH1532" s="99"/>
      <c r="AL1532" s="99"/>
      <c r="AN1532" s="99"/>
      <c r="AQ1532" s="6"/>
      <c r="AR1532" s="6"/>
      <c r="AS1532" s="6"/>
      <c r="AT1532" s="89"/>
      <c r="AU1532" s="100"/>
      <c r="AV1532" s="65"/>
      <c r="AW1532" s="3"/>
    </row>
    <row r="1533" spans="34:49">
      <c r="AH1533" s="99"/>
      <c r="AL1533" s="99"/>
      <c r="AN1533" s="99"/>
      <c r="AQ1533" s="6"/>
      <c r="AR1533" s="6"/>
      <c r="AS1533" s="6"/>
      <c r="AT1533" s="89"/>
      <c r="AU1533" s="100"/>
      <c r="AV1533" s="65"/>
      <c r="AW1533" s="3"/>
    </row>
    <row r="1534" spans="34:49">
      <c r="AH1534" s="99"/>
      <c r="AL1534" s="99"/>
      <c r="AN1534" s="99"/>
      <c r="AQ1534" s="6"/>
      <c r="AR1534" s="6"/>
      <c r="AS1534" s="6"/>
      <c r="AT1534" s="89"/>
      <c r="AU1534" s="100"/>
      <c r="AV1534" s="65"/>
      <c r="AW1534" s="3"/>
    </row>
    <row r="1535" spans="34:49">
      <c r="AH1535" s="99"/>
      <c r="AL1535" s="99"/>
      <c r="AN1535" s="99"/>
      <c r="AQ1535" s="6"/>
      <c r="AR1535" s="6"/>
      <c r="AS1535" s="6"/>
      <c r="AT1535" s="89"/>
      <c r="AU1535" s="100"/>
      <c r="AV1535" s="65"/>
      <c r="AW1535" s="3"/>
    </row>
    <row r="1536" spans="34:49">
      <c r="AH1536" s="99"/>
      <c r="AL1536" s="99"/>
      <c r="AN1536" s="99"/>
      <c r="AQ1536" s="6"/>
      <c r="AR1536" s="6"/>
      <c r="AS1536" s="6"/>
      <c r="AT1536" s="89"/>
      <c r="AU1536" s="100"/>
      <c r="AV1536" s="65"/>
      <c r="AW1536" s="3"/>
    </row>
    <row r="1537" spans="34:49">
      <c r="AH1537" s="99"/>
      <c r="AL1537" s="99"/>
      <c r="AN1537" s="99"/>
      <c r="AQ1537" s="6"/>
      <c r="AR1537" s="6"/>
      <c r="AS1537" s="6"/>
      <c r="AT1537" s="89"/>
      <c r="AU1537" s="100"/>
      <c r="AV1537" s="65"/>
      <c r="AW1537" s="3"/>
    </row>
    <row r="1538" spans="34:49">
      <c r="AH1538" s="99"/>
      <c r="AL1538" s="99"/>
      <c r="AN1538" s="99"/>
      <c r="AQ1538" s="6"/>
      <c r="AR1538" s="6"/>
      <c r="AS1538" s="6"/>
      <c r="AT1538" s="89"/>
      <c r="AU1538" s="100"/>
      <c r="AV1538" s="65"/>
      <c r="AW1538" s="3"/>
    </row>
    <row r="1539" spans="34:49">
      <c r="AH1539" s="99"/>
      <c r="AL1539" s="99"/>
      <c r="AN1539" s="99"/>
      <c r="AQ1539" s="6"/>
      <c r="AR1539" s="6"/>
      <c r="AS1539" s="6"/>
      <c r="AT1539" s="89"/>
      <c r="AU1539" s="100"/>
      <c r="AV1539" s="65"/>
      <c r="AW1539" s="3"/>
    </row>
    <row r="1540" spans="34:49">
      <c r="AH1540" s="99"/>
      <c r="AL1540" s="99"/>
      <c r="AN1540" s="99"/>
      <c r="AQ1540" s="6"/>
      <c r="AR1540" s="6"/>
      <c r="AS1540" s="6"/>
      <c r="AT1540" s="89"/>
      <c r="AU1540" s="100"/>
      <c r="AV1540" s="65"/>
      <c r="AW1540" s="3"/>
    </row>
    <row r="1541" spans="34:49">
      <c r="AH1541" s="99"/>
      <c r="AL1541" s="99"/>
      <c r="AN1541" s="99"/>
      <c r="AQ1541" s="6"/>
      <c r="AR1541" s="6"/>
      <c r="AS1541" s="6"/>
      <c r="AT1541" s="89"/>
      <c r="AU1541" s="100"/>
      <c r="AV1541" s="65"/>
      <c r="AW1541" s="3"/>
    </row>
    <row r="1542" spans="34:49">
      <c r="AH1542" s="99"/>
      <c r="AL1542" s="99"/>
      <c r="AN1542" s="99"/>
      <c r="AQ1542" s="6"/>
      <c r="AR1542" s="6"/>
      <c r="AS1542" s="6"/>
      <c r="AT1542" s="89"/>
      <c r="AU1542" s="100"/>
      <c r="AV1542" s="65"/>
      <c r="AW1542" s="3"/>
    </row>
    <row r="1543" spans="34:49">
      <c r="AH1543" s="99"/>
      <c r="AL1543" s="99"/>
      <c r="AN1543" s="99"/>
      <c r="AQ1543" s="6"/>
      <c r="AR1543" s="6"/>
      <c r="AS1543" s="6"/>
      <c r="AT1543" s="89"/>
      <c r="AU1543" s="100"/>
      <c r="AV1543" s="65"/>
      <c r="AW1543" s="3"/>
    </row>
    <row r="1544" spans="34:49">
      <c r="AH1544" s="99"/>
      <c r="AL1544" s="99"/>
      <c r="AN1544" s="99"/>
      <c r="AQ1544" s="6"/>
      <c r="AR1544" s="6"/>
      <c r="AS1544" s="6"/>
      <c r="AT1544" s="89"/>
      <c r="AU1544" s="100"/>
      <c r="AV1544" s="65"/>
      <c r="AW1544" s="3"/>
    </row>
    <row r="1545" spans="34:49">
      <c r="AH1545" s="99"/>
      <c r="AL1545" s="99"/>
      <c r="AN1545" s="99"/>
      <c r="AQ1545" s="6"/>
      <c r="AR1545" s="6"/>
      <c r="AS1545" s="6"/>
      <c r="AT1545" s="89"/>
      <c r="AU1545" s="100"/>
      <c r="AV1545" s="65"/>
      <c r="AW1545" s="3"/>
    </row>
    <row r="1546" spans="34:49">
      <c r="AH1546" s="99"/>
      <c r="AL1546" s="99"/>
      <c r="AN1546" s="99"/>
      <c r="AQ1546" s="6"/>
      <c r="AR1546" s="6"/>
      <c r="AS1546" s="6"/>
      <c r="AT1546" s="89"/>
      <c r="AU1546" s="100"/>
      <c r="AV1546" s="65"/>
      <c r="AW1546" s="3"/>
    </row>
    <row r="1547" spans="34:49">
      <c r="AH1547" s="99"/>
      <c r="AL1547" s="99"/>
      <c r="AN1547" s="99"/>
      <c r="AQ1547" s="6"/>
      <c r="AR1547" s="6"/>
      <c r="AS1547" s="6"/>
      <c r="AT1547" s="89"/>
      <c r="AU1547" s="100"/>
      <c r="AV1547" s="65"/>
      <c r="AW1547" s="3"/>
    </row>
    <row r="1548" spans="34:49">
      <c r="AH1548" s="99"/>
      <c r="AL1548" s="99"/>
      <c r="AN1548" s="99"/>
      <c r="AQ1548" s="6"/>
      <c r="AR1548" s="6"/>
      <c r="AS1548" s="6"/>
      <c r="AT1548" s="89"/>
      <c r="AU1548" s="100"/>
      <c r="AV1548" s="65"/>
      <c r="AW1548" s="3"/>
    </row>
    <row r="1549" spans="34:49">
      <c r="AH1549" s="99"/>
      <c r="AL1549" s="99"/>
      <c r="AN1549" s="99"/>
      <c r="AQ1549" s="6"/>
      <c r="AR1549" s="6"/>
      <c r="AS1549" s="6"/>
      <c r="AT1549" s="89"/>
      <c r="AU1549" s="100"/>
      <c r="AV1549" s="65"/>
      <c r="AW1549" s="3"/>
    </row>
    <row r="1550" spans="34:49">
      <c r="AH1550" s="99"/>
      <c r="AL1550" s="99"/>
      <c r="AN1550" s="99"/>
      <c r="AQ1550" s="6"/>
      <c r="AR1550" s="6"/>
      <c r="AS1550" s="6"/>
      <c r="AT1550" s="89"/>
      <c r="AU1550" s="100"/>
      <c r="AV1550" s="65"/>
      <c r="AW1550" s="3"/>
    </row>
    <row r="1551" spans="34:49">
      <c r="AH1551" s="99"/>
      <c r="AL1551" s="99"/>
      <c r="AN1551" s="99"/>
      <c r="AQ1551" s="6"/>
      <c r="AR1551" s="6"/>
      <c r="AS1551" s="6"/>
      <c r="AT1551" s="89"/>
      <c r="AU1551" s="100"/>
      <c r="AV1551" s="65"/>
      <c r="AW1551" s="3"/>
    </row>
    <row r="1552" spans="34:49">
      <c r="AH1552" s="99"/>
      <c r="AL1552" s="99"/>
      <c r="AN1552" s="99"/>
      <c r="AQ1552" s="6"/>
      <c r="AR1552" s="6"/>
      <c r="AS1552" s="6"/>
      <c r="AT1552" s="89"/>
      <c r="AU1552" s="100"/>
      <c r="AV1552" s="65"/>
      <c r="AW1552" s="3"/>
    </row>
    <row r="1553" spans="34:49">
      <c r="AH1553" s="99"/>
      <c r="AL1553" s="99"/>
      <c r="AN1553" s="99"/>
      <c r="AQ1553" s="6"/>
      <c r="AR1553" s="6"/>
      <c r="AS1553" s="6"/>
      <c r="AT1553" s="89"/>
      <c r="AU1553" s="100"/>
      <c r="AV1553" s="65"/>
      <c r="AW1553" s="3"/>
    </row>
    <row r="1554" spans="34:49">
      <c r="AH1554" s="99"/>
      <c r="AL1554" s="99"/>
      <c r="AN1554" s="99"/>
      <c r="AQ1554" s="6"/>
      <c r="AR1554" s="6"/>
      <c r="AS1554" s="6"/>
      <c r="AT1554" s="89"/>
      <c r="AU1554" s="100"/>
      <c r="AV1554" s="65"/>
      <c r="AW1554" s="3"/>
    </row>
    <row r="1555" spans="34:49">
      <c r="AH1555" s="99"/>
      <c r="AL1555" s="99"/>
      <c r="AN1555" s="99"/>
      <c r="AQ1555" s="6"/>
      <c r="AR1555" s="6"/>
      <c r="AS1555" s="6"/>
      <c r="AT1555" s="89"/>
      <c r="AU1555" s="100"/>
      <c r="AV1555" s="65"/>
      <c r="AW1555" s="3"/>
    </row>
    <row r="1556" spans="34:49">
      <c r="AH1556" s="99"/>
      <c r="AL1556" s="99"/>
      <c r="AN1556" s="99"/>
      <c r="AQ1556" s="6"/>
      <c r="AR1556" s="6"/>
      <c r="AS1556" s="6"/>
      <c r="AT1556" s="89"/>
      <c r="AU1556" s="100"/>
      <c r="AV1556" s="65"/>
      <c r="AW1556" s="3"/>
    </row>
    <row r="1557" spans="34:49">
      <c r="AH1557" s="99"/>
      <c r="AL1557" s="99"/>
      <c r="AN1557" s="99"/>
      <c r="AQ1557" s="6"/>
      <c r="AR1557" s="6"/>
      <c r="AS1557" s="6"/>
      <c r="AT1557" s="89"/>
      <c r="AU1557" s="100"/>
      <c r="AV1557" s="65"/>
      <c r="AW1557" s="3"/>
    </row>
    <row r="1558" spans="34:49">
      <c r="AH1558" s="99"/>
      <c r="AL1558" s="99"/>
      <c r="AN1558" s="99"/>
      <c r="AQ1558" s="6"/>
      <c r="AR1558" s="6"/>
      <c r="AS1558" s="6"/>
      <c r="AT1558" s="89"/>
      <c r="AU1558" s="100"/>
      <c r="AV1558" s="65"/>
      <c r="AW1558" s="3"/>
    </row>
    <row r="1559" spans="34:49">
      <c r="AH1559" s="99"/>
      <c r="AL1559" s="99"/>
      <c r="AN1559" s="99"/>
      <c r="AQ1559" s="6"/>
      <c r="AR1559" s="6"/>
      <c r="AS1559" s="6"/>
      <c r="AT1559" s="89"/>
      <c r="AU1559" s="100"/>
      <c r="AV1559" s="65"/>
      <c r="AW1559" s="3"/>
    </row>
    <row r="1560" spans="34:49">
      <c r="AH1560" s="99"/>
      <c r="AL1560" s="99"/>
      <c r="AN1560" s="99"/>
      <c r="AQ1560" s="6"/>
      <c r="AR1560" s="6"/>
      <c r="AS1560" s="6"/>
      <c r="AT1560" s="89"/>
      <c r="AU1560" s="100"/>
      <c r="AV1560" s="65"/>
      <c r="AW1560" s="3"/>
    </row>
    <row r="1561" spans="34:49">
      <c r="AH1561" s="99"/>
      <c r="AL1561" s="99"/>
      <c r="AN1561" s="99"/>
      <c r="AQ1561" s="6"/>
      <c r="AR1561" s="6"/>
      <c r="AS1561" s="6"/>
      <c r="AT1561" s="89"/>
      <c r="AU1561" s="100"/>
      <c r="AV1561" s="65"/>
      <c r="AW1561" s="3"/>
    </row>
    <row r="1562" spans="34:49">
      <c r="AH1562" s="99"/>
      <c r="AL1562" s="99"/>
      <c r="AN1562" s="99"/>
      <c r="AQ1562" s="6"/>
      <c r="AR1562" s="6"/>
      <c r="AS1562" s="6"/>
      <c r="AT1562" s="89"/>
      <c r="AU1562" s="100"/>
      <c r="AV1562" s="65"/>
      <c r="AW1562" s="3"/>
    </row>
    <row r="1563" spans="34:49">
      <c r="AH1563" s="99"/>
      <c r="AL1563" s="99"/>
      <c r="AN1563" s="99"/>
      <c r="AQ1563" s="6"/>
      <c r="AR1563" s="6"/>
      <c r="AS1563" s="6"/>
      <c r="AT1563" s="89"/>
      <c r="AU1563" s="100"/>
      <c r="AV1563" s="65"/>
      <c r="AW1563" s="3"/>
    </row>
    <row r="1564" spans="34:49">
      <c r="AH1564" s="99"/>
      <c r="AL1564" s="99"/>
      <c r="AN1564" s="99"/>
      <c r="AQ1564" s="6"/>
      <c r="AR1564" s="6"/>
      <c r="AS1564" s="6"/>
      <c r="AT1564" s="89"/>
      <c r="AU1564" s="100"/>
      <c r="AV1564" s="65"/>
      <c r="AW1564" s="3"/>
    </row>
    <row r="1565" spans="34:49">
      <c r="AH1565" s="99"/>
      <c r="AL1565" s="99"/>
      <c r="AN1565" s="99"/>
      <c r="AQ1565" s="6"/>
      <c r="AR1565" s="6"/>
      <c r="AS1565" s="6"/>
      <c r="AT1565" s="89"/>
      <c r="AU1565" s="100"/>
      <c r="AV1565" s="65"/>
      <c r="AW1565" s="3"/>
    </row>
    <row r="1566" spans="34:49">
      <c r="AH1566" s="99"/>
      <c r="AL1566" s="99"/>
      <c r="AN1566" s="99"/>
      <c r="AQ1566" s="6"/>
      <c r="AR1566" s="6"/>
      <c r="AS1566" s="6"/>
      <c r="AT1566" s="89"/>
      <c r="AU1566" s="100"/>
      <c r="AV1566" s="65"/>
      <c r="AW1566" s="3"/>
    </row>
    <row r="1567" spans="34:49">
      <c r="AH1567" s="99"/>
      <c r="AL1567" s="99"/>
      <c r="AN1567" s="99"/>
      <c r="AQ1567" s="6"/>
      <c r="AR1567" s="6"/>
      <c r="AS1567" s="6"/>
      <c r="AT1567" s="89"/>
      <c r="AU1567" s="100"/>
      <c r="AV1567" s="65"/>
      <c r="AW1567" s="3"/>
    </row>
    <row r="1568" spans="34:49">
      <c r="AH1568" s="99"/>
      <c r="AL1568" s="99"/>
      <c r="AN1568" s="99"/>
      <c r="AQ1568" s="6"/>
      <c r="AR1568" s="6"/>
      <c r="AS1568" s="6"/>
      <c r="AT1568" s="89"/>
      <c r="AU1568" s="100"/>
      <c r="AV1568" s="65"/>
      <c r="AW1568" s="3"/>
    </row>
    <row r="1569" spans="34:49">
      <c r="AH1569" s="99"/>
      <c r="AL1569" s="99"/>
      <c r="AN1569" s="99"/>
      <c r="AQ1569" s="6"/>
      <c r="AR1569" s="6"/>
      <c r="AS1569" s="6"/>
      <c r="AT1569" s="89"/>
      <c r="AU1569" s="100"/>
      <c r="AV1569" s="65"/>
      <c r="AW1569" s="3"/>
    </row>
    <row r="1570" spans="34:49">
      <c r="AH1570" s="99"/>
      <c r="AL1570" s="99"/>
      <c r="AN1570" s="99"/>
      <c r="AQ1570" s="6"/>
      <c r="AR1570" s="6"/>
      <c r="AS1570" s="6"/>
      <c r="AT1570" s="89"/>
      <c r="AU1570" s="100"/>
      <c r="AV1570" s="65"/>
      <c r="AW1570" s="3"/>
    </row>
    <row r="1571" spans="34:49">
      <c r="AH1571" s="99"/>
      <c r="AL1571" s="99"/>
      <c r="AN1571" s="99"/>
      <c r="AQ1571" s="6"/>
      <c r="AR1571" s="6"/>
      <c r="AS1571" s="6"/>
      <c r="AT1571" s="89"/>
      <c r="AU1571" s="100"/>
      <c r="AV1571" s="65"/>
      <c r="AW1571" s="3"/>
    </row>
    <row r="1572" spans="34:49">
      <c r="AH1572" s="99"/>
      <c r="AL1572" s="99"/>
      <c r="AN1572" s="99"/>
      <c r="AQ1572" s="6"/>
      <c r="AR1572" s="6"/>
      <c r="AS1572" s="6"/>
      <c r="AT1572" s="89"/>
      <c r="AU1572" s="100"/>
      <c r="AV1572" s="65"/>
      <c r="AW1572" s="3"/>
    </row>
    <row r="1573" spans="34:49">
      <c r="AH1573" s="99"/>
      <c r="AL1573" s="99"/>
      <c r="AN1573" s="99"/>
      <c r="AQ1573" s="6"/>
      <c r="AR1573" s="6"/>
      <c r="AS1573" s="6"/>
      <c r="AT1573" s="89"/>
      <c r="AU1573" s="100"/>
      <c r="AV1573" s="65"/>
      <c r="AW1573" s="3"/>
    </row>
    <row r="1574" spans="34:49">
      <c r="AH1574" s="99"/>
      <c r="AL1574" s="99"/>
      <c r="AN1574" s="99"/>
      <c r="AQ1574" s="6"/>
      <c r="AR1574" s="6"/>
      <c r="AS1574" s="6"/>
      <c r="AT1574" s="89"/>
      <c r="AU1574" s="100"/>
      <c r="AV1574" s="65"/>
      <c r="AW1574" s="3"/>
    </row>
    <row r="1575" spans="34:49">
      <c r="AH1575" s="99"/>
      <c r="AL1575" s="99"/>
      <c r="AN1575" s="99"/>
      <c r="AQ1575" s="6"/>
      <c r="AR1575" s="6"/>
      <c r="AS1575" s="6"/>
      <c r="AT1575" s="89"/>
      <c r="AU1575" s="100"/>
      <c r="AV1575" s="65"/>
      <c r="AW1575" s="3"/>
    </row>
    <row r="1576" spans="34:49">
      <c r="AH1576" s="99"/>
      <c r="AL1576" s="99"/>
      <c r="AN1576" s="99"/>
      <c r="AQ1576" s="6"/>
      <c r="AR1576" s="6"/>
      <c r="AS1576" s="6"/>
      <c r="AT1576" s="89"/>
      <c r="AU1576" s="100"/>
      <c r="AV1576" s="65"/>
      <c r="AW1576" s="3"/>
    </row>
    <row r="1577" spans="34:49">
      <c r="AH1577" s="99"/>
      <c r="AL1577" s="99"/>
      <c r="AN1577" s="99"/>
      <c r="AQ1577" s="6"/>
      <c r="AR1577" s="6"/>
      <c r="AS1577" s="6"/>
      <c r="AT1577" s="89"/>
      <c r="AU1577" s="100"/>
      <c r="AV1577" s="65"/>
      <c r="AW1577" s="3"/>
    </row>
    <row r="1578" spans="34:49">
      <c r="AH1578" s="99"/>
      <c r="AL1578" s="99"/>
      <c r="AN1578" s="99"/>
      <c r="AQ1578" s="6"/>
      <c r="AR1578" s="6"/>
      <c r="AS1578" s="6"/>
      <c r="AT1578" s="89"/>
      <c r="AU1578" s="100"/>
      <c r="AV1578" s="65"/>
      <c r="AW1578" s="3"/>
    </row>
    <row r="1579" spans="34:49">
      <c r="AH1579" s="99"/>
      <c r="AL1579" s="99"/>
      <c r="AN1579" s="99"/>
      <c r="AQ1579" s="6"/>
      <c r="AR1579" s="6"/>
      <c r="AS1579" s="6"/>
      <c r="AT1579" s="89"/>
      <c r="AU1579" s="100"/>
      <c r="AV1579" s="65"/>
      <c r="AW1579" s="3"/>
    </row>
    <row r="1580" spans="34:49">
      <c r="AH1580" s="99"/>
      <c r="AL1580" s="99"/>
      <c r="AN1580" s="99"/>
      <c r="AQ1580" s="6"/>
      <c r="AR1580" s="6"/>
      <c r="AS1580" s="6"/>
      <c r="AT1580" s="89"/>
      <c r="AU1580" s="100"/>
      <c r="AV1580" s="65"/>
      <c r="AW1580" s="3"/>
    </row>
    <row r="1581" spans="34:49">
      <c r="AH1581" s="99"/>
      <c r="AL1581" s="99"/>
      <c r="AN1581" s="99"/>
      <c r="AQ1581" s="6"/>
      <c r="AR1581" s="6"/>
      <c r="AS1581" s="6"/>
      <c r="AT1581" s="89"/>
      <c r="AU1581" s="100"/>
      <c r="AV1581" s="65"/>
      <c r="AW1581" s="3"/>
    </row>
    <row r="1582" spans="34:49">
      <c r="AH1582" s="99"/>
      <c r="AL1582" s="99"/>
      <c r="AN1582" s="99"/>
      <c r="AQ1582" s="6"/>
      <c r="AR1582" s="6"/>
      <c r="AS1582" s="6"/>
      <c r="AT1582" s="89"/>
      <c r="AU1582" s="100"/>
      <c r="AV1582" s="65"/>
      <c r="AW1582" s="3"/>
    </row>
    <row r="1583" spans="34:49">
      <c r="AH1583" s="99"/>
      <c r="AL1583" s="99"/>
      <c r="AN1583" s="99"/>
      <c r="AQ1583" s="6"/>
      <c r="AR1583" s="6"/>
      <c r="AS1583" s="6"/>
      <c r="AT1583" s="89"/>
      <c r="AU1583" s="100"/>
      <c r="AV1583" s="65"/>
      <c r="AW1583" s="3"/>
    </row>
    <row r="1584" spans="34:49">
      <c r="AH1584" s="99"/>
      <c r="AL1584" s="99"/>
      <c r="AN1584" s="99"/>
      <c r="AQ1584" s="6"/>
      <c r="AR1584" s="6"/>
      <c r="AS1584" s="6"/>
      <c r="AT1584" s="89"/>
      <c r="AU1584" s="100"/>
      <c r="AV1584" s="65"/>
      <c r="AW1584" s="3"/>
    </row>
    <row r="1585" spans="34:49">
      <c r="AH1585" s="99"/>
      <c r="AL1585" s="99"/>
      <c r="AN1585" s="99"/>
      <c r="AQ1585" s="6"/>
      <c r="AR1585" s="6"/>
      <c r="AS1585" s="6"/>
      <c r="AT1585" s="89"/>
      <c r="AU1585" s="100"/>
      <c r="AV1585" s="65"/>
      <c r="AW1585" s="3"/>
    </row>
    <row r="1586" spans="34:49">
      <c r="AH1586" s="99"/>
      <c r="AL1586" s="99"/>
      <c r="AN1586" s="99"/>
      <c r="AQ1586" s="6"/>
      <c r="AR1586" s="6"/>
      <c r="AS1586" s="6"/>
      <c r="AT1586" s="89"/>
      <c r="AU1586" s="100"/>
      <c r="AV1586" s="65"/>
      <c r="AW1586" s="3"/>
    </row>
    <row r="1587" spans="34:49">
      <c r="AH1587" s="99"/>
      <c r="AL1587" s="99"/>
      <c r="AN1587" s="99"/>
      <c r="AQ1587" s="6"/>
      <c r="AR1587" s="6"/>
      <c r="AS1587" s="6"/>
      <c r="AT1587" s="89"/>
      <c r="AU1587" s="100"/>
      <c r="AV1587" s="65"/>
      <c r="AW1587" s="3"/>
    </row>
    <row r="1588" spans="34:49">
      <c r="AH1588" s="99"/>
      <c r="AL1588" s="99"/>
      <c r="AN1588" s="99"/>
      <c r="AQ1588" s="6"/>
      <c r="AR1588" s="6"/>
      <c r="AS1588" s="6"/>
      <c r="AT1588" s="89"/>
      <c r="AU1588" s="100"/>
      <c r="AV1588" s="65"/>
      <c r="AW1588" s="3"/>
    </row>
    <row r="1589" spans="34:49">
      <c r="AH1589" s="99"/>
      <c r="AL1589" s="99"/>
      <c r="AN1589" s="99"/>
      <c r="AQ1589" s="6"/>
      <c r="AR1589" s="6"/>
      <c r="AS1589" s="6"/>
      <c r="AT1589" s="89"/>
      <c r="AU1589" s="100"/>
      <c r="AV1589" s="65"/>
      <c r="AW1589" s="3"/>
    </row>
    <row r="1590" spans="34:49">
      <c r="AH1590" s="99"/>
      <c r="AL1590" s="99"/>
      <c r="AN1590" s="99"/>
      <c r="AQ1590" s="6"/>
      <c r="AR1590" s="6"/>
      <c r="AS1590" s="6"/>
      <c r="AT1590" s="89"/>
      <c r="AU1590" s="100"/>
      <c r="AV1590" s="65"/>
      <c r="AW1590" s="3"/>
    </row>
    <row r="1591" spans="34:49">
      <c r="AH1591" s="99"/>
      <c r="AL1591" s="99"/>
      <c r="AN1591" s="99"/>
      <c r="AQ1591" s="6"/>
      <c r="AR1591" s="6"/>
      <c r="AS1591" s="6"/>
      <c r="AT1591" s="89"/>
      <c r="AU1591" s="100"/>
      <c r="AV1591" s="65"/>
      <c r="AW1591" s="3"/>
    </row>
    <row r="1592" spans="34:49">
      <c r="AH1592" s="99"/>
      <c r="AL1592" s="99"/>
      <c r="AN1592" s="99"/>
      <c r="AQ1592" s="6"/>
      <c r="AR1592" s="6"/>
      <c r="AS1592" s="6"/>
      <c r="AT1592" s="89"/>
      <c r="AU1592" s="100"/>
      <c r="AV1592" s="65"/>
      <c r="AW1592" s="3"/>
    </row>
    <row r="1593" spans="34:49">
      <c r="AH1593" s="99"/>
      <c r="AL1593" s="99"/>
      <c r="AN1593" s="99"/>
      <c r="AQ1593" s="6"/>
      <c r="AR1593" s="6"/>
      <c r="AS1593" s="6"/>
      <c r="AT1593" s="89"/>
      <c r="AU1593" s="100"/>
      <c r="AV1593" s="65"/>
      <c r="AW1593" s="3"/>
    </row>
    <row r="1594" spans="34:49">
      <c r="AH1594" s="99"/>
      <c r="AL1594" s="99"/>
      <c r="AN1594" s="99"/>
      <c r="AQ1594" s="6"/>
      <c r="AR1594" s="6"/>
      <c r="AS1594" s="6"/>
      <c r="AT1594" s="89"/>
      <c r="AU1594" s="100"/>
      <c r="AV1594" s="65"/>
      <c r="AW1594" s="3"/>
    </row>
    <row r="1595" spans="34:49">
      <c r="AH1595" s="99"/>
      <c r="AL1595" s="99"/>
      <c r="AN1595" s="99"/>
      <c r="AQ1595" s="6"/>
      <c r="AR1595" s="6"/>
      <c r="AS1595" s="6"/>
      <c r="AT1595" s="89"/>
      <c r="AU1595" s="100"/>
      <c r="AV1595" s="65"/>
      <c r="AW1595" s="3"/>
    </row>
    <row r="1596" spans="34:49">
      <c r="AH1596" s="99"/>
      <c r="AL1596" s="99"/>
      <c r="AN1596" s="99"/>
      <c r="AQ1596" s="6"/>
      <c r="AR1596" s="6"/>
      <c r="AS1596" s="6"/>
      <c r="AT1596" s="89"/>
      <c r="AU1596" s="100"/>
      <c r="AV1596" s="65"/>
      <c r="AW1596" s="3"/>
    </row>
    <row r="1597" spans="34:49">
      <c r="AH1597" s="99"/>
      <c r="AL1597" s="99"/>
      <c r="AN1597" s="99"/>
      <c r="AQ1597" s="6"/>
      <c r="AR1597" s="6"/>
      <c r="AS1597" s="6"/>
      <c r="AT1597" s="89"/>
      <c r="AU1597" s="100"/>
      <c r="AV1597" s="65"/>
      <c r="AW1597" s="3"/>
    </row>
    <row r="1598" spans="34:49">
      <c r="AH1598" s="99"/>
      <c r="AL1598" s="99"/>
      <c r="AN1598" s="99"/>
      <c r="AQ1598" s="6"/>
      <c r="AR1598" s="6"/>
      <c r="AS1598" s="6"/>
      <c r="AT1598" s="89"/>
      <c r="AU1598" s="100"/>
      <c r="AV1598" s="65"/>
      <c r="AW1598" s="3"/>
    </row>
    <row r="1599" spans="34:49">
      <c r="AH1599" s="99"/>
      <c r="AL1599" s="99"/>
      <c r="AN1599" s="99"/>
      <c r="AQ1599" s="6"/>
      <c r="AR1599" s="6"/>
      <c r="AS1599" s="6"/>
      <c r="AT1599" s="89"/>
      <c r="AU1599" s="100"/>
      <c r="AV1599" s="65"/>
      <c r="AW1599" s="3"/>
    </row>
    <row r="1600" spans="34:49">
      <c r="AH1600" s="99"/>
      <c r="AL1600" s="99"/>
      <c r="AN1600" s="99"/>
      <c r="AQ1600" s="6"/>
      <c r="AR1600" s="6"/>
      <c r="AS1600" s="6"/>
      <c r="AT1600" s="89"/>
      <c r="AU1600" s="100"/>
      <c r="AV1600" s="65"/>
      <c r="AW1600" s="3"/>
    </row>
    <row r="1601" spans="34:49">
      <c r="AH1601" s="99"/>
      <c r="AL1601" s="99"/>
      <c r="AN1601" s="99"/>
      <c r="AQ1601" s="6"/>
      <c r="AR1601" s="6"/>
      <c r="AS1601" s="6"/>
      <c r="AT1601" s="89"/>
      <c r="AU1601" s="100"/>
      <c r="AV1601" s="65"/>
      <c r="AW1601" s="3"/>
    </row>
    <row r="1602" spans="34:49">
      <c r="AH1602" s="99"/>
      <c r="AL1602" s="99"/>
      <c r="AN1602" s="99"/>
      <c r="AQ1602" s="6"/>
      <c r="AR1602" s="6"/>
      <c r="AS1602" s="6"/>
      <c r="AT1602" s="89"/>
      <c r="AU1602" s="100"/>
      <c r="AV1602" s="65"/>
      <c r="AW1602" s="3"/>
    </row>
    <row r="1603" spans="34:49">
      <c r="AH1603" s="99"/>
      <c r="AL1603" s="99"/>
      <c r="AN1603" s="99"/>
      <c r="AQ1603" s="6"/>
      <c r="AR1603" s="6"/>
      <c r="AS1603" s="6"/>
      <c r="AT1603" s="89"/>
      <c r="AU1603" s="100"/>
      <c r="AV1603" s="65"/>
      <c r="AW1603" s="3"/>
    </row>
    <row r="1604" spans="34:49">
      <c r="AH1604" s="99"/>
      <c r="AL1604" s="99"/>
      <c r="AN1604" s="99"/>
      <c r="AQ1604" s="6"/>
      <c r="AR1604" s="6"/>
      <c r="AS1604" s="6"/>
      <c r="AT1604" s="89"/>
      <c r="AU1604" s="100"/>
      <c r="AV1604" s="65"/>
      <c r="AW1604" s="3"/>
    </row>
    <row r="1605" spans="34:49">
      <c r="AH1605" s="99"/>
      <c r="AL1605" s="99"/>
      <c r="AN1605" s="99"/>
      <c r="AQ1605" s="6"/>
      <c r="AR1605" s="6"/>
      <c r="AS1605" s="6"/>
      <c r="AT1605" s="89"/>
      <c r="AU1605" s="100"/>
      <c r="AV1605" s="65"/>
      <c r="AW1605" s="3"/>
    </row>
    <row r="1606" spans="34:49">
      <c r="AH1606" s="99"/>
      <c r="AL1606" s="99"/>
      <c r="AN1606" s="99"/>
      <c r="AQ1606" s="6"/>
      <c r="AR1606" s="6"/>
      <c r="AS1606" s="6"/>
      <c r="AT1606" s="89"/>
      <c r="AU1606" s="100"/>
      <c r="AV1606" s="65"/>
      <c r="AW1606" s="3"/>
    </row>
    <row r="1607" spans="34:49">
      <c r="AH1607" s="99"/>
      <c r="AL1607" s="99"/>
      <c r="AN1607" s="99"/>
      <c r="AQ1607" s="6"/>
      <c r="AR1607" s="6"/>
      <c r="AS1607" s="6"/>
      <c r="AT1607" s="89"/>
      <c r="AU1607" s="100"/>
      <c r="AV1607" s="65"/>
      <c r="AW1607" s="3"/>
    </row>
    <row r="1608" spans="34:49">
      <c r="AH1608" s="99"/>
      <c r="AL1608" s="99"/>
      <c r="AN1608" s="99"/>
      <c r="AQ1608" s="6"/>
      <c r="AR1608" s="6"/>
      <c r="AS1608" s="6"/>
      <c r="AT1608" s="89"/>
      <c r="AU1608" s="100"/>
      <c r="AV1608" s="65"/>
      <c r="AW1608" s="3"/>
    </row>
    <row r="1609" spans="34:49">
      <c r="AH1609" s="99"/>
      <c r="AL1609" s="99"/>
      <c r="AN1609" s="99"/>
      <c r="AQ1609" s="6"/>
      <c r="AR1609" s="6"/>
      <c r="AS1609" s="6"/>
      <c r="AT1609" s="89"/>
      <c r="AU1609" s="100"/>
      <c r="AV1609" s="65"/>
      <c r="AW1609" s="3"/>
    </row>
    <row r="1610" spans="34:49">
      <c r="AH1610" s="99"/>
      <c r="AL1610" s="99"/>
      <c r="AN1610" s="99"/>
      <c r="AQ1610" s="6"/>
      <c r="AR1610" s="6"/>
      <c r="AS1610" s="6"/>
      <c r="AT1610" s="89"/>
      <c r="AU1610" s="100"/>
      <c r="AV1610" s="65"/>
      <c r="AW1610" s="3"/>
    </row>
    <row r="1611" spans="34:49">
      <c r="AH1611" s="99"/>
      <c r="AL1611" s="99"/>
      <c r="AN1611" s="99"/>
      <c r="AQ1611" s="6"/>
      <c r="AR1611" s="6"/>
      <c r="AS1611" s="6"/>
      <c r="AT1611" s="89"/>
      <c r="AU1611" s="100"/>
      <c r="AV1611" s="65"/>
      <c r="AW1611" s="3"/>
    </row>
    <row r="1612" spans="34:49">
      <c r="AH1612" s="99"/>
      <c r="AL1612" s="99"/>
      <c r="AN1612" s="99"/>
      <c r="AQ1612" s="6"/>
      <c r="AR1612" s="6"/>
      <c r="AS1612" s="6"/>
      <c r="AT1612" s="89"/>
      <c r="AU1612" s="100"/>
      <c r="AV1612" s="65"/>
      <c r="AW1612" s="3"/>
    </row>
    <row r="1613" spans="34:49">
      <c r="AH1613" s="99"/>
      <c r="AL1613" s="99"/>
      <c r="AN1613" s="99"/>
      <c r="AQ1613" s="6"/>
      <c r="AR1613" s="6"/>
      <c r="AS1613" s="6"/>
      <c r="AT1613" s="89"/>
      <c r="AU1613" s="100"/>
      <c r="AV1613" s="65"/>
      <c r="AW1613" s="3"/>
    </row>
    <row r="1614" spans="34:49">
      <c r="AH1614" s="99"/>
      <c r="AL1614" s="99"/>
      <c r="AN1614" s="99"/>
      <c r="AQ1614" s="6"/>
      <c r="AR1614" s="6"/>
      <c r="AS1614" s="6"/>
      <c r="AT1614" s="89"/>
      <c r="AU1614" s="100"/>
      <c r="AV1614" s="65"/>
      <c r="AW1614" s="3"/>
    </row>
    <row r="1615" spans="34:49">
      <c r="AH1615" s="99"/>
      <c r="AL1615" s="99"/>
      <c r="AN1615" s="99"/>
      <c r="AQ1615" s="6"/>
      <c r="AR1615" s="6"/>
      <c r="AS1615" s="6"/>
      <c r="AT1615" s="89"/>
      <c r="AU1615" s="100"/>
      <c r="AV1615" s="65"/>
      <c r="AW1615" s="3"/>
    </row>
    <row r="1616" spans="34:49">
      <c r="AH1616" s="99"/>
      <c r="AL1616" s="99"/>
      <c r="AN1616" s="99"/>
      <c r="AQ1616" s="6"/>
      <c r="AR1616" s="6"/>
      <c r="AS1616" s="6"/>
      <c r="AT1616" s="89"/>
      <c r="AU1616" s="100"/>
      <c r="AV1616" s="65"/>
      <c r="AW1616" s="3"/>
    </row>
    <row r="1617" spans="34:49">
      <c r="AH1617" s="99"/>
      <c r="AL1617" s="99"/>
      <c r="AN1617" s="99"/>
      <c r="AQ1617" s="6"/>
      <c r="AR1617" s="6"/>
      <c r="AS1617" s="6"/>
      <c r="AT1617" s="89"/>
      <c r="AU1617" s="100"/>
      <c r="AV1617" s="65"/>
      <c r="AW1617" s="3"/>
    </row>
    <row r="1618" spans="34:49">
      <c r="AH1618" s="99"/>
      <c r="AL1618" s="99"/>
      <c r="AN1618" s="99"/>
      <c r="AQ1618" s="6"/>
      <c r="AR1618" s="6"/>
      <c r="AS1618" s="6"/>
      <c r="AT1618" s="89"/>
      <c r="AU1618" s="100"/>
      <c r="AV1618" s="65"/>
      <c r="AW1618" s="3"/>
    </row>
    <row r="1619" spans="34:49">
      <c r="AH1619" s="99"/>
      <c r="AL1619" s="99"/>
      <c r="AN1619" s="99"/>
      <c r="AQ1619" s="6"/>
      <c r="AR1619" s="6"/>
      <c r="AS1619" s="6"/>
      <c r="AT1619" s="89"/>
      <c r="AU1619" s="100"/>
      <c r="AV1619" s="65"/>
      <c r="AW1619" s="3"/>
    </row>
    <row r="1620" spans="34:49">
      <c r="AH1620" s="99"/>
      <c r="AL1620" s="99"/>
      <c r="AN1620" s="99"/>
      <c r="AQ1620" s="6"/>
      <c r="AR1620" s="6"/>
      <c r="AS1620" s="6"/>
      <c r="AT1620" s="89"/>
      <c r="AU1620" s="100"/>
      <c r="AV1620" s="65"/>
      <c r="AW1620" s="3"/>
    </row>
    <row r="1621" spans="34:49">
      <c r="AH1621" s="99"/>
      <c r="AL1621" s="99"/>
      <c r="AN1621" s="99"/>
      <c r="AQ1621" s="6"/>
      <c r="AR1621" s="6"/>
      <c r="AS1621" s="6"/>
      <c r="AT1621" s="89"/>
      <c r="AU1621" s="100"/>
      <c r="AV1621" s="65"/>
      <c r="AW1621" s="3"/>
    </row>
    <row r="1622" spans="34:49">
      <c r="AH1622" s="99"/>
      <c r="AL1622" s="99"/>
      <c r="AN1622" s="99"/>
      <c r="AQ1622" s="6"/>
      <c r="AR1622" s="6"/>
      <c r="AS1622" s="6"/>
      <c r="AT1622" s="89"/>
      <c r="AU1622" s="100"/>
      <c r="AV1622" s="65"/>
      <c r="AW1622" s="3"/>
    </row>
    <row r="1623" spans="34:49">
      <c r="AH1623" s="99"/>
      <c r="AL1623" s="99"/>
      <c r="AN1623" s="99"/>
      <c r="AQ1623" s="6"/>
      <c r="AR1623" s="6"/>
      <c r="AS1623" s="6"/>
      <c r="AT1623" s="89"/>
      <c r="AU1623" s="100"/>
      <c r="AV1623" s="65"/>
      <c r="AW1623" s="3"/>
    </row>
    <row r="1624" spans="34:49">
      <c r="AH1624" s="99"/>
      <c r="AL1624" s="99"/>
      <c r="AN1624" s="99"/>
      <c r="AQ1624" s="6"/>
      <c r="AR1624" s="6"/>
      <c r="AS1624" s="6"/>
      <c r="AT1624" s="89"/>
      <c r="AU1624" s="100"/>
      <c r="AV1624" s="65"/>
      <c r="AW1624" s="3"/>
    </row>
    <row r="1625" spans="34:49">
      <c r="AH1625" s="99"/>
      <c r="AL1625" s="99"/>
      <c r="AN1625" s="99"/>
      <c r="AQ1625" s="6"/>
      <c r="AR1625" s="6"/>
      <c r="AS1625" s="6"/>
      <c r="AT1625" s="89"/>
      <c r="AU1625" s="100"/>
      <c r="AV1625" s="65"/>
      <c r="AW1625" s="3"/>
    </row>
    <row r="1626" spans="34:49">
      <c r="AH1626" s="99"/>
      <c r="AL1626" s="99"/>
      <c r="AN1626" s="99"/>
      <c r="AQ1626" s="6"/>
      <c r="AR1626" s="6"/>
      <c r="AS1626" s="6"/>
      <c r="AT1626" s="89"/>
      <c r="AU1626" s="100"/>
      <c r="AV1626" s="65"/>
      <c r="AW1626" s="3"/>
    </row>
    <row r="1627" spans="34:49">
      <c r="AH1627" s="99"/>
      <c r="AL1627" s="99"/>
      <c r="AN1627" s="99"/>
      <c r="AQ1627" s="6"/>
      <c r="AR1627" s="6"/>
      <c r="AS1627" s="6"/>
      <c r="AT1627" s="89"/>
      <c r="AU1627" s="100"/>
      <c r="AV1627" s="65"/>
      <c r="AW1627" s="3"/>
    </row>
    <row r="1628" spans="34:49">
      <c r="AH1628" s="99"/>
      <c r="AL1628" s="99"/>
      <c r="AN1628" s="99"/>
      <c r="AQ1628" s="6"/>
      <c r="AR1628" s="6"/>
      <c r="AS1628" s="6"/>
      <c r="AT1628" s="89"/>
      <c r="AU1628" s="100"/>
      <c r="AV1628" s="65"/>
      <c r="AW1628" s="3"/>
    </row>
    <row r="1629" spans="34:49">
      <c r="AH1629" s="99"/>
      <c r="AL1629" s="99"/>
      <c r="AN1629" s="99"/>
      <c r="AQ1629" s="6"/>
      <c r="AR1629" s="6"/>
      <c r="AS1629" s="6"/>
      <c r="AT1629" s="89"/>
      <c r="AU1629" s="100"/>
      <c r="AV1629" s="65"/>
      <c r="AW1629" s="3"/>
    </row>
    <row r="1630" spans="34:49">
      <c r="AH1630" s="99"/>
      <c r="AL1630" s="99"/>
      <c r="AN1630" s="99"/>
      <c r="AQ1630" s="6"/>
      <c r="AR1630" s="6"/>
      <c r="AS1630" s="6"/>
      <c r="AT1630" s="89"/>
      <c r="AU1630" s="100"/>
      <c r="AV1630" s="65"/>
      <c r="AW1630" s="3"/>
    </row>
    <row r="1631" spans="34:49">
      <c r="AH1631" s="99"/>
      <c r="AL1631" s="99"/>
      <c r="AN1631" s="99"/>
      <c r="AQ1631" s="6"/>
      <c r="AR1631" s="6"/>
      <c r="AS1631" s="6"/>
      <c r="AT1631" s="89"/>
      <c r="AU1631" s="100"/>
      <c r="AV1631" s="65"/>
      <c r="AW1631" s="3"/>
    </row>
    <row r="1632" spans="34:49">
      <c r="AH1632" s="99"/>
      <c r="AL1632" s="99"/>
      <c r="AN1632" s="99"/>
      <c r="AQ1632" s="6"/>
      <c r="AR1632" s="6"/>
      <c r="AS1632" s="6"/>
      <c r="AT1632" s="89"/>
      <c r="AU1632" s="100"/>
      <c r="AV1632" s="65"/>
      <c r="AW1632" s="3"/>
    </row>
    <row r="1633" spans="34:49">
      <c r="AH1633" s="99"/>
      <c r="AL1633" s="99"/>
      <c r="AN1633" s="99"/>
      <c r="AQ1633" s="6"/>
      <c r="AR1633" s="6"/>
      <c r="AS1633" s="6"/>
      <c r="AT1633" s="89"/>
      <c r="AU1633" s="100"/>
      <c r="AV1633" s="65"/>
      <c r="AW1633" s="3"/>
    </row>
    <row r="1634" spans="34:49">
      <c r="AH1634" s="99"/>
      <c r="AL1634" s="99"/>
      <c r="AN1634" s="99"/>
      <c r="AQ1634" s="6"/>
      <c r="AR1634" s="6"/>
      <c r="AS1634" s="6"/>
      <c r="AT1634" s="89"/>
      <c r="AU1634" s="100"/>
      <c r="AV1634" s="65"/>
      <c r="AW1634" s="3"/>
    </row>
    <row r="1635" spans="34:49">
      <c r="AH1635" s="99"/>
      <c r="AL1635" s="99"/>
      <c r="AN1635" s="99"/>
      <c r="AQ1635" s="6"/>
      <c r="AR1635" s="6"/>
      <c r="AS1635" s="6"/>
      <c r="AT1635" s="89"/>
      <c r="AU1635" s="100"/>
      <c r="AV1635" s="65"/>
      <c r="AW1635" s="3"/>
    </row>
    <row r="1636" spans="34:49">
      <c r="AH1636" s="99"/>
      <c r="AL1636" s="99"/>
      <c r="AN1636" s="99"/>
      <c r="AQ1636" s="6"/>
      <c r="AR1636" s="6"/>
      <c r="AS1636" s="6"/>
      <c r="AT1636" s="89"/>
      <c r="AU1636" s="100"/>
      <c r="AV1636" s="65"/>
      <c r="AW1636" s="3"/>
    </row>
    <row r="1637" spans="34:49">
      <c r="AH1637" s="99"/>
      <c r="AL1637" s="99"/>
      <c r="AN1637" s="99"/>
      <c r="AQ1637" s="6"/>
      <c r="AR1637" s="6"/>
      <c r="AS1637" s="6"/>
      <c r="AT1637" s="89"/>
      <c r="AU1637" s="100"/>
      <c r="AV1637" s="65"/>
      <c r="AW1637" s="3"/>
    </row>
    <row r="1638" spans="34:49">
      <c r="AH1638" s="99"/>
      <c r="AL1638" s="99"/>
      <c r="AN1638" s="99"/>
      <c r="AQ1638" s="6"/>
      <c r="AR1638" s="6"/>
      <c r="AS1638" s="6"/>
      <c r="AT1638" s="89"/>
      <c r="AU1638" s="100"/>
      <c r="AV1638" s="65"/>
      <c r="AW1638" s="3"/>
    </row>
    <row r="1639" spans="34:49">
      <c r="AH1639" s="99"/>
      <c r="AL1639" s="99"/>
      <c r="AN1639" s="99"/>
      <c r="AQ1639" s="6"/>
      <c r="AR1639" s="6"/>
      <c r="AS1639" s="6"/>
      <c r="AT1639" s="89"/>
      <c r="AU1639" s="100"/>
      <c r="AV1639" s="65"/>
      <c r="AW1639" s="3"/>
    </row>
    <row r="1640" spans="34:49">
      <c r="AH1640" s="99"/>
      <c r="AL1640" s="99"/>
      <c r="AN1640" s="99"/>
      <c r="AQ1640" s="6"/>
      <c r="AR1640" s="6"/>
      <c r="AS1640" s="6"/>
      <c r="AT1640" s="89"/>
      <c r="AU1640" s="100"/>
      <c r="AV1640" s="65"/>
      <c r="AW1640" s="3"/>
    </row>
    <row r="1641" spans="34:49">
      <c r="AH1641" s="99"/>
      <c r="AL1641" s="99"/>
      <c r="AN1641" s="99"/>
      <c r="AQ1641" s="6"/>
      <c r="AR1641" s="6"/>
      <c r="AS1641" s="6"/>
      <c r="AT1641" s="89"/>
      <c r="AU1641" s="100"/>
      <c r="AV1641" s="65"/>
      <c r="AW1641" s="3"/>
    </row>
    <row r="1642" spans="34:49">
      <c r="AH1642" s="99"/>
      <c r="AL1642" s="99"/>
      <c r="AN1642" s="99"/>
      <c r="AQ1642" s="6"/>
      <c r="AR1642" s="6"/>
      <c r="AS1642" s="6"/>
      <c r="AT1642" s="89"/>
      <c r="AU1642" s="100"/>
      <c r="AV1642" s="65"/>
      <c r="AW1642" s="3"/>
    </row>
    <row r="1643" spans="34:49">
      <c r="AH1643" s="99"/>
      <c r="AL1643" s="99"/>
      <c r="AN1643" s="99"/>
      <c r="AQ1643" s="6"/>
      <c r="AR1643" s="6"/>
      <c r="AS1643" s="6"/>
      <c r="AT1643" s="89"/>
      <c r="AU1643" s="100"/>
      <c r="AV1643" s="65"/>
      <c r="AW1643" s="3"/>
    </row>
    <row r="1644" spans="34:49">
      <c r="AH1644" s="99"/>
      <c r="AL1644" s="99"/>
      <c r="AN1644" s="99"/>
      <c r="AQ1644" s="6"/>
      <c r="AR1644" s="6"/>
      <c r="AS1644" s="6"/>
      <c r="AT1644" s="89"/>
      <c r="AU1644" s="100"/>
      <c r="AV1644" s="65"/>
      <c r="AW1644" s="3"/>
    </row>
    <row r="1645" spans="34:49">
      <c r="AH1645" s="99"/>
      <c r="AL1645" s="99"/>
      <c r="AN1645" s="99"/>
      <c r="AQ1645" s="6"/>
      <c r="AR1645" s="6"/>
      <c r="AS1645" s="6"/>
      <c r="AT1645" s="89"/>
      <c r="AU1645" s="100"/>
      <c r="AV1645" s="65"/>
      <c r="AW1645" s="3"/>
    </row>
    <row r="1646" spans="34:49">
      <c r="AH1646" s="99"/>
      <c r="AL1646" s="99"/>
      <c r="AN1646" s="99"/>
      <c r="AQ1646" s="6"/>
      <c r="AR1646" s="6"/>
      <c r="AS1646" s="6"/>
      <c r="AT1646" s="89"/>
      <c r="AU1646" s="100"/>
      <c r="AV1646" s="65"/>
      <c r="AW1646" s="3"/>
    </row>
    <row r="1647" spans="34:49">
      <c r="AH1647" s="99"/>
      <c r="AL1647" s="99"/>
      <c r="AN1647" s="99"/>
      <c r="AQ1647" s="6"/>
      <c r="AR1647" s="6"/>
      <c r="AS1647" s="6"/>
      <c r="AT1647" s="89"/>
      <c r="AU1647" s="100"/>
      <c r="AV1647" s="65"/>
      <c r="AW1647" s="3"/>
    </row>
    <row r="1648" spans="34:49">
      <c r="AH1648" s="99"/>
      <c r="AL1648" s="99"/>
      <c r="AN1648" s="99"/>
      <c r="AQ1648" s="6"/>
      <c r="AR1648" s="6"/>
      <c r="AS1648" s="6"/>
      <c r="AT1648" s="89"/>
      <c r="AU1648" s="100"/>
      <c r="AV1648" s="65"/>
      <c r="AW1648" s="3"/>
    </row>
    <row r="1649" spans="34:49">
      <c r="AH1649" s="99"/>
      <c r="AL1649" s="99"/>
      <c r="AN1649" s="99"/>
      <c r="AQ1649" s="6"/>
      <c r="AR1649" s="6"/>
      <c r="AS1649" s="6"/>
      <c r="AT1649" s="89"/>
      <c r="AU1649" s="100"/>
      <c r="AV1649" s="65"/>
      <c r="AW1649" s="3"/>
    </row>
    <row r="1650" spans="34:49">
      <c r="AH1650" s="99"/>
      <c r="AL1650" s="99"/>
      <c r="AN1650" s="99"/>
      <c r="AQ1650" s="6"/>
      <c r="AR1650" s="6"/>
      <c r="AS1650" s="6"/>
      <c r="AT1650" s="89"/>
      <c r="AU1650" s="100"/>
      <c r="AV1650" s="65"/>
      <c r="AW1650" s="3"/>
    </row>
    <row r="1651" spans="34:49">
      <c r="AH1651" s="99"/>
      <c r="AL1651" s="99"/>
      <c r="AN1651" s="99"/>
      <c r="AQ1651" s="6"/>
      <c r="AR1651" s="6"/>
      <c r="AS1651" s="6"/>
      <c r="AT1651" s="89"/>
      <c r="AU1651" s="100"/>
      <c r="AV1651" s="65"/>
      <c r="AW1651" s="3"/>
    </row>
    <row r="1652" spans="34:49">
      <c r="AH1652" s="99"/>
      <c r="AL1652" s="99"/>
      <c r="AN1652" s="99"/>
      <c r="AQ1652" s="6"/>
      <c r="AR1652" s="6"/>
      <c r="AS1652" s="6"/>
      <c r="AT1652" s="89"/>
      <c r="AU1652" s="100"/>
      <c r="AV1652" s="65"/>
      <c r="AW1652" s="3"/>
    </row>
    <row r="1653" spans="34:49">
      <c r="AH1653" s="99"/>
      <c r="AL1653" s="99"/>
      <c r="AN1653" s="99"/>
      <c r="AQ1653" s="6"/>
      <c r="AR1653" s="6"/>
      <c r="AS1653" s="6"/>
      <c r="AT1653" s="89"/>
      <c r="AU1653" s="100"/>
      <c r="AV1653" s="65"/>
      <c r="AW1653" s="3"/>
    </row>
    <row r="1654" spans="34:49">
      <c r="AH1654" s="99"/>
      <c r="AL1654" s="99"/>
      <c r="AN1654" s="99"/>
      <c r="AQ1654" s="6"/>
      <c r="AR1654" s="6"/>
      <c r="AS1654" s="6"/>
      <c r="AT1654" s="89"/>
      <c r="AU1654" s="100"/>
      <c r="AV1654" s="65"/>
      <c r="AW1654" s="3"/>
    </row>
    <row r="1655" spans="34:49">
      <c r="AH1655" s="99"/>
      <c r="AL1655" s="99"/>
      <c r="AN1655" s="99"/>
      <c r="AQ1655" s="6"/>
      <c r="AR1655" s="6"/>
      <c r="AS1655" s="6"/>
      <c r="AT1655" s="89"/>
      <c r="AU1655" s="100"/>
      <c r="AV1655" s="65"/>
      <c r="AW1655" s="3"/>
    </row>
    <row r="1656" spans="34:49">
      <c r="AH1656" s="99"/>
      <c r="AL1656" s="99"/>
      <c r="AN1656" s="99"/>
      <c r="AQ1656" s="6"/>
      <c r="AR1656" s="6"/>
      <c r="AS1656" s="6"/>
      <c r="AT1656" s="89"/>
      <c r="AU1656" s="100"/>
      <c r="AV1656" s="65"/>
      <c r="AW1656" s="3"/>
    </row>
    <row r="1657" spans="34:49">
      <c r="AH1657" s="99"/>
      <c r="AL1657" s="99"/>
      <c r="AN1657" s="99"/>
      <c r="AQ1657" s="6"/>
      <c r="AR1657" s="6"/>
      <c r="AS1657" s="6"/>
      <c r="AT1657" s="89"/>
      <c r="AU1657" s="100"/>
      <c r="AV1657" s="65"/>
      <c r="AW1657" s="3"/>
    </row>
    <row r="1658" spans="34:49">
      <c r="AH1658" s="99"/>
      <c r="AL1658" s="99"/>
      <c r="AN1658" s="99"/>
      <c r="AQ1658" s="6"/>
      <c r="AR1658" s="6"/>
      <c r="AS1658" s="6"/>
      <c r="AT1658" s="89"/>
      <c r="AU1658" s="100"/>
      <c r="AV1658" s="65"/>
      <c r="AW1658" s="3"/>
    </row>
    <row r="1659" spans="34:49">
      <c r="AH1659" s="99"/>
      <c r="AL1659" s="99"/>
      <c r="AN1659" s="99"/>
      <c r="AQ1659" s="6"/>
      <c r="AR1659" s="6"/>
      <c r="AS1659" s="6"/>
      <c r="AT1659" s="89"/>
      <c r="AU1659" s="100"/>
      <c r="AV1659" s="65"/>
      <c r="AW1659" s="3"/>
    </row>
    <row r="1660" spans="34:49">
      <c r="AH1660" s="99"/>
      <c r="AL1660" s="99"/>
      <c r="AN1660" s="99"/>
      <c r="AQ1660" s="6"/>
      <c r="AR1660" s="6"/>
      <c r="AS1660" s="6"/>
      <c r="AT1660" s="89"/>
      <c r="AU1660" s="100"/>
      <c r="AV1660" s="65"/>
      <c r="AW1660" s="3"/>
    </row>
    <row r="1661" spans="34:49">
      <c r="AH1661" s="99"/>
      <c r="AL1661" s="99"/>
      <c r="AN1661" s="99"/>
      <c r="AQ1661" s="6"/>
      <c r="AR1661" s="6"/>
      <c r="AS1661" s="6"/>
      <c r="AT1661" s="89"/>
      <c r="AU1661" s="100"/>
      <c r="AV1661" s="65"/>
      <c r="AW1661" s="3"/>
    </row>
    <row r="1662" spans="34:49">
      <c r="AH1662" s="99"/>
      <c r="AL1662" s="99"/>
      <c r="AN1662" s="99"/>
      <c r="AQ1662" s="6"/>
      <c r="AR1662" s="6"/>
      <c r="AS1662" s="6"/>
      <c r="AT1662" s="89"/>
      <c r="AU1662" s="100"/>
      <c r="AV1662" s="65"/>
      <c r="AW1662" s="3"/>
    </row>
    <row r="1663" spans="34:49">
      <c r="AH1663" s="99"/>
      <c r="AL1663" s="99"/>
      <c r="AN1663" s="99"/>
      <c r="AQ1663" s="6"/>
      <c r="AR1663" s="6"/>
      <c r="AS1663" s="6"/>
      <c r="AT1663" s="89"/>
      <c r="AU1663" s="100"/>
      <c r="AV1663" s="65"/>
      <c r="AW1663" s="3"/>
    </row>
    <row r="1664" spans="34:49">
      <c r="AH1664" s="99"/>
      <c r="AL1664" s="99"/>
      <c r="AN1664" s="99"/>
      <c r="AQ1664" s="6"/>
      <c r="AR1664" s="6"/>
      <c r="AS1664" s="6"/>
      <c r="AT1664" s="89"/>
      <c r="AU1664" s="100"/>
      <c r="AV1664" s="65"/>
      <c r="AW1664" s="3"/>
    </row>
    <row r="1665" spans="34:49">
      <c r="AH1665" s="99"/>
      <c r="AL1665" s="99"/>
      <c r="AN1665" s="99"/>
      <c r="AQ1665" s="6"/>
      <c r="AR1665" s="6"/>
      <c r="AS1665" s="6"/>
      <c r="AT1665" s="89"/>
      <c r="AU1665" s="100"/>
      <c r="AV1665" s="65"/>
      <c r="AW1665" s="3"/>
    </row>
    <row r="1666" spans="34:49">
      <c r="AH1666" s="99"/>
      <c r="AL1666" s="99"/>
      <c r="AN1666" s="99"/>
      <c r="AQ1666" s="6"/>
      <c r="AR1666" s="6"/>
      <c r="AS1666" s="6"/>
      <c r="AT1666" s="89"/>
      <c r="AU1666" s="100"/>
      <c r="AV1666" s="65"/>
      <c r="AW1666" s="3"/>
    </row>
    <row r="1667" spans="34:49">
      <c r="AH1667" s="99"/>
      <c r="AL1667" s="99"/>
      <c r="AN1667" s="99"/>
      <c r="AQ1667" s="6"/>
      <c r="AR1667" s="6"/>
      <c r="AS1667" s="6"/>
      <c r="AT1667" s="89"/>
      <c r="AU1667" s="100"/>
      <c r="AV1667" s="65"/>
      <c r="AW1667" s="3"/>
    </row>
    <row r="1668" spans="34:49">
      <c r="AH1668" s="99"/>
      <c r="AL1668" s="99"/>
      <c r="AN1668" s="99"/>
      <c r="AQ1668" s="6"/>
      <c r="AR1668" s="6"/>
      <c r="AS1668" s="6"/>
      <c r="AT1668" s="89"/>
      <c r="AU1668" s="100"/>
      <c r="AV1668" s="65"/>
      <c r="AW1668" s="3"/>
    </row>
    <row r="1669" spans="34:49">
      <c r="AH1669" s="99"/>
      <c r="AL1669" s="99"/>
      <c r="AN1669" s="99"/>
      <c r="AQ1669" s="6"/>
      <c r="AR1669" s="6"/>
      <c r="AS1669" s="6"/>
      <c r="AT1669" s="89"/>
      <c r="AU1669" s="100"/>
      <c r="AV1669" s="65"/>
      <c r="AW1669" s="3"/>
    </row>
    <row r="1670" spans="34:49">
      <c r="AH1670" s="99"/>
      <c r="AL1670" s="99"/>
      <c r="AN1670" s="99"/>
      <c r="AQ1670" s="6"/>
      <c r="AR1670" s="6"/>
      <c r="AS1670" s="6"/>
      <c r="AT1670" s="89"/>
      <c r="AU1670" s="100"/>
      <c r="AV1670" s="65"/>
      <c r="AW1670" s="3"/>
    </row>
    <row r="1671" spans="34:49">
      <c r="AH1671" s="99"/>
      <c r="AL1671" s="99"/>
      <c r="AN1671" s="99"/>
      <c r="AQ1671" s="6"/>
      <c r="AR1671" s="6"/>
      <c r="AS1671" s="6"/>
      <c r="AT1671" s="89"/>
      <c r="AU1671" s="100"/>
      <c r="AV1671" s="65"/>
      <c r="AW1671" s="3"/>
    </row>
    <row r="1672" spans="34:49">
      <c r="AH1672" s="99"/>
      <c r="AL1672" s="99"/>
      <c r="AN1672" s="99"/>
      <c r="AQ1672" s="6"/>
      <c r="AR1672" s="6"/>
      <c r="AS1672" s="6"/>
      <c r="AT1672" s="89"/>
      <c r="AU1672" s="100"/>
      <c r="AV1672" s="65"/>
      <c r="AW1672" s="3"/>
    </row>
    <row r="1673" spans="34:49">
      <c r="AH1673" s="99"/>
      <c r="AL1673" s="99"/>
      <c r="AN1673" s="99"/>
      <c r="AQ1673" s="6"/>
      <c r="AR1673" s="6"/>
      <c r="AS1673" s="6"/>
      <c r="AT1673" s="89"/>
      <c r="AU1673" s="100"/>
      <c r="AV1673" s="65"/>
      <c r="AW1673" s="3"/>
    </row>
    <row r="1674" spans="34:49">
      <c r="AH1674" s="99"/>
      <c r="AL1674" s="99"/>
      <c r="AN1674" s="99"/>
      <c r="AQ1674" s="6"/>
      <c r="AR1674" s="6"/>
      <c r="AS1674" s="6"/>
      <c r="AT1674" s="89"/>
      <c r="AU1674" s="100"/>
      <c r="AV1674" s="65"/>
      <c r="AW1674" s="3"/>
    </row>
    <row r="1675" spans="34:49">
      <c r="AH1675" s="99"/>
      <c r="AL1675" s="99"/>
      <c r="AN1675" s="99"/>
      <c r="AQ1675" s="6"/>
      <c r="AR1675" s="6"/>
      <c r="AS1675" s="6"/>
      <c r="AT1675" s="89"/>
      <c r="AU1675" s="100"/>
      <c r="AV1675" s="65"/>
      <c r="AW1675" s="3"/>
    </row>
    <row r="1676" spans="34:49">
      <c r="AH1676" s="99"/>
      <c r="AL1676" s="99"/>
      <c r="AN1676" s="99"/>
      <c r="AQ1676" s="6"/>
      <c r="AR1676" s="6"/>
      <c r="AS1676" s="6"/>
      <c r="AT1676" s="89"/>
      <c r="AU1676" s="100"/>
      <c r="AV1676" s="65"/>
      <c r="AW1676" s="3"/>
    </row>
    <row r="1677" spans="34:49">
      <c r="AH1677" s="99"/>
      <c r="AL1677" s="99"/>
      <c r="AN1677" s="99"/>
      <c r="AQ1677" s="6"/>
      <c r="AR1677" s="6"/>
      <c r="AS1677" s="6"/>
      <c r="AT1677" s="89"/>
      <c r="AU1677" s="100"/>
      <c r="AV1677" s="65"/>
      <c r="AW1677" s="3"/>
    </row>
    <row r="1678" spans="34:49">
      <c r="AH1678" s="99"/>
      <c r="AL1678" s="99"/>
      <c r="AN1678" s="99"/>
      <c r="AQ1678" s="6"/>
      <c r="AR1678" s="6"/>
      <c r="AS1678" s="6"/>
      <c r="AT1678" s="89"/>
      <c r="AU1678" s="100"/>
      <c r="AV1678" s="65"/>
      <c r="AW1678" s="3"/>
    </row>
    <row r="1679" spans="34:49">
      <c r="AH1679" s="99"/>
      <c r="AL1679" s="99"/>
      <c r="AN1679" s="99"/>
      <c r="AQ1679" s="6"/>
      <c r="AR1679" s="6"/>
      <c r="AS1679" s="6"/>
      <c r="AT1679" s="89"/>
      <c r="AU1679" s="100"/>
      <c r="AV1679" s="65"/>
      <c r="AW1679" s="3"/>
    </row>
    <row r="1680" spans="34:49">
      <c r="AH1680" s="99"/>
      <c r="AL1680" s="99"/>
      <c r="AN1680" s="99"/>
      <c r="AQ1680" s="6"/>
      <c r="AR1680" s="6"/>
      <c r="AS1680" s="6"/>
      <c r="AT1680" s="89"/>
      <c r="AU1680" s="100"/>
      <c r="AV1680" s="65"/>
      <c r="AW1680" s="3"/>
    </row>
    <row r="1681" spans="34:49">
      <c r="AH1681" s="99"/>
      <c r="AL1681" s="99"/>
      <c r="AN1681" s="99"/>
      <c r="AQ1681" s="6"/>
      <c r="AR1681" s="6"/>
      <c r="AS1681" s="6"/>
      <c r="AT1681" s="89"/>
      <c r="AU1681" s="100"/>
      <c r="AV1681" s="65"/>
      <c r="AW1681" s="3"/>
    </row>
    <row r="1682" spans="34:49">
      <c r="AH1682" s="99"/>
      <c r="AL1682" s="99"/>
      <c r="AN1682" s="99"/>
      <c r="AQ1682" s="6"/>
      <c r="AR1682" s="6"/>
      <c r="AS1682" s="6"/>
      <c r="AT1682" s="89"/>
      <c r="AU1682" s="100"/>
      <c r="AV1682" s="65"/>
      <c r="AW1682" s="3"/>
    </row>
    <row r="1683" spans="34:49">
      <c r="AH1683" s="99"/>
      <c r="AL1683" s="99"/>
      <c r="AN1683" s="99"/>
      <c r="AQ1683" s="6"/>
      <c r="AR1683" s="6"/>
      <c r="AS1683" s="6"/>
      <c r="AT1683" s="89"/>
      <c r="AU1683" s="100"/>
      <c r="AV1683" s="65"/>
      <c r="AW1683" s="3"/>
    </row>
    <row r="1684" spans="34:49">
      <c r="AH1684" s="99"/>
      <c r="AL1684" s="99"/>
      <c r="AN1684" s="99"/>
      <c r="AQ1684" s="6"/>
      <c r="AR1684" s="6"/>
      <c r="AS1684" s="6"/>
      <c r="AT1684" s="89"/>
      <c r="AU1684" s="100"/>
      <c r="AV1684" s="65"/>
      <c r="AW1684" s="3"/>
    </row>
    <row r="1685" spans="34:49">
      <c r="AH1685" s="99"/>
      <c r="AL1685" s="99"/>
      <c r="AN1685" s="99"/>
      <c r="AQ1685" s="6"/>
      <c r="AR1685" s="6"/>
      <c r="AS1685" s="6"/>
      <c r="AT1685" s="89"/>
      <c r="AU1685" s="100"/>
      <c r="AV1685" s="65"/>
      <c r="AW1685" s="3"/>
    </row>
    <row r="1686" spans="34:49">
      <c r="AH1686" s="99"/>
      <c r="AL1686" s="99"/>
      <c r="AN1686" s="99"/>
      <c r="AQ1686" s="6"/>
      <c r="AR1686" s="6"/>
      <c r="AS1686" s="6"/>
      <c r="AT1686" s="89"/>
      <c r="AU1686" s="100"/>
      <c r="AV1686" s="65"/>
      <c r="AW1686" s="3"/>
    </row>
    <row r="1687" spans="34:49">
      <c r="AH1687" s="99"/>
      <c r="AL1687" s="99"/>
      <c r="AN1687" s="99"/>
      <c r="AQ1687" s="6"/>
      <c r="AR1687" s="6"/>
      <c r="AS1687" s="6"/>
      <c r="AT1687" s="89"/>
      <c r="AU1687" s="100"/>
      <c r="AV1687" s="65"/>
      <c r="AW1687" s="3"/>
    </row>
    <row r="1688" spans="34:49">
      <c r="AH1688" s="99"/>
      <c r="AL1688" s="99"/>
      <c r="AN1688" s="99"/>
      <c r="AQ1688" s="6"/>
      <c r="AR1688" s="6"/>
      <c r="AS1688" s="6"/>
      <c r="AT1688" s="89"/>
      <c r="AU1688" s="100"/>
      <c r="AV1688" s="65"/>
      <c r="AW1688" s="3"/>
    </row>
    <row r="1689" spans="34:49">
      <c r="AH1689" s="99"/>
      <c r="AL1689" s="99"/>
      <c r="AN1689" s="99"/>
      <c r="AQ1689" s="6"/>
      <c r="AR1689" s="6"/>
      <c r="AS1689" s="6"/>
      <c r="AT1689" s="89"/>
      <c r="AU1689" s="100"/>
      <c r="AV1689" s="65"/>
      <c r="AW1689" s="3"/>
    </row>
    <row r="1690" spans="34:49">
      <c r="AH1690" s="99"/>
      <c r="AL1690" s="99"/>
      <c r="AN1690" s="99"/>
      <c r="AQ1690" s="6"/>
      <c r="AR1690" s="6"/>
      <c r="AS1690" s="6"/>
      <c r="AT1690" s="89"/>
      <c r="AU1690" s="100"/>
      <c r="AV1690" s="65"/>
      <c r="AW1690" s="3"/>
    </row>
    <row r="1691" spans="34:49">
      <c r="AH1691" s="99"/>
      <c r="AL1691" s="99"/>
      <c r="AN1691" s="99"/>
      <c r="AQ1691" s="6"/>
      <c r="AR1691" s="6"/>
      <c r="AS1691" s="6"/>
      <c r="AT1691" s="89"/>
      <c r="AU1691" s="100"/>
      <c r="AV1691" s="65"/>
      <c r="AW1691" s="3"/>
    </row>
    <row r="1692" spans="34:49">
      <c r="AH1692" s="99"/>
      <c r="AL1692" s="99"/>
      <c r="AN1692" s="99"/>
      <c r="AQ1692" s="6"/>
      <c r="AR1692" s="6"/>
      <c r="AS1692" s="6"/>
      <c r="AT1692" s="89"/>
      <c r="AU1692" s="100"/>
      <c r="AV1692" s="65"/>
      <c r="AW1692" s="3"/>
    </row>
    <row r="1693" spans="34:49">
      <c r="AH1693" s="99"/>
      <c r="AL1693" s="99"/>
      <c r="AN1693" s="99"/>
      <c r="AQ1693" s="6"/>
      <c r="AR1693" s="6"/>
      <c r="AS1693" s="6"/>
      <c r="AT1693" s="89"/>
      <c r="AU1693" s="100"/>
      <c r="AV1693" s="65"/>
      <c r="AW1693" s="3"/>
    </row>
    <row r="1694" spans="34:49">
      <c r="AH1694" s="99"/>
      <c r="AL1694" s="99"/>
      <c r="AN1694" s="99"/>
      <c r="AQ1694" s="6"/>
      <c r="AR1694" s="6"/>
      <c r="AS1694" s="6"/>
      <c r="AT1694" s="89"/>
      <c r="AU1694" s="100"/>
      <c r="AV1694" s="65"/>
      <c r="AW1694" s="3"/>
    </row>
    <row r="1695" spans="34:49">
      <c r="AH1695" s="99"/>
      <c r="AL1695" s="99"/>
      <c r="AN1695" s="99"/>
      <c r="AQ1695" s="6"/>
      <c r="AR1695" s="6"/>
      <c r="AS1695" s="6"/>
      <c r="AT1695" s="89"/>
      <c r="AU1695" s="100"/>
      <c r="AV1695" s="65"/>
      <c r="AW1695" s="3"/>
    </row>
    <row r="1696" spans="34:49">
      <c r="AH1696" s="99"/>
      <c r="AL1696" s="99"/>
      <c r="AN1696" s="99"/>
      <c r="AQ1696" s="6"/>
      <c r="AR1696" s="6"/>
      <c r="AS1696" s="6"/>
      <c r="AT1696" s="89"/>
      <c r="AU1696" s="100"/>
      <c r="AV1696" s="65"/>
      <c r="AW1696" s="3"/>
    </row>
    <row r="1697" spans="34:49">
      <c r="AH1697" s="99"/>
      <c r="AL1697" s="99"/>
      <c r="AN1697" s="99"/>
      <c r="AQ1697" s="6"/>
      <c r="AR1697" s="6"/>
      <c r="AS1697" s="6"/>
      <c r="AT1697" s="89"/>
      <c r="AU1697" s="100"/>
      <c r="AV1697" s="65"/>
      <c r="AW1697" s="3"/>
    </row>
    <row r="1698" spans="34:49">
      <c r="AH1698" s="99"/>
      <c r="AL1698" s="99"/>
      <c r="AN1698" s="99"/>
      <c r="AQ1698" s="6"/>
      <c r="AR1698" s="6"/>
      <c r="AS1698" s="6"/>
      <c r="AT1698" s="89"/>
      <c r="AU1698" s="100"/>
      <c r="AV1698" s="65"/>
      <c r="AW1698" s="3"/>
    </row>
    <row r="1699" spans="34:49">
      <c r="AH1699" s="99"/>
      <c r="AL1699" s="99"/>
      <c r="AN1699" s="99"/>
      <c r="AQ1699" s="6"/>
      <c r="AR1699" s="6"/>
      <c r="AS1699" s="6"/>
      <c r="AT1699" s="89"/>
      <c r="AU1699" s="100"/>
      <c r="AV1699" s="65"/>
      <c r="AW1699" s="3"/>
    </row>
    <row r="1700" spans="34:49">
      <c r="AH1700" s="99"/>
      <c r="AL1700" s="99"/>
      <c r="AN1700" s="99"/>
      <c r="AQ1700" s="6"/>
      <c r="AR1700" s="6"/>
      <c r="AS1700" s="6"/>
      <c r="AT1700" s="89"/>
      <c r="AU1700" s="100"/>
      <c r="AV1700" s="65"/>
      <c r="AW1700" s="3"/>
    </row>
    <row r="1701" spans="34:49">
      <c r="AH1701" s="99"/>
      <c r="AL1701" s="99"/>
      <c r="AN1701" s="99"/>
      <c r="AQ1701" s="6"/>
      <c r="AR1701" s="6"/>
      <c r="AS1701" s="6"/>
      <c r="AT1701" s="89"/>
      <c r="AU1701" s="100"/>
      <c r="AV1701" s="65"/>
      <c r="AW1701" s="3"/>
    </row>
    <row r="1702" spans="34:49">
      <c r="AH1702" s="99"/>
      <c r="AL1702" s="99"/>
      <c r="AN1702" s="99"/>
      <c r="AQ1702" s="6"/>
      <c r="AR1702" s="6"/>
      <c r="AS1702" s="6"/>
      <c r="AT1702" s="89"/>
      <c r="AU1702" s="100"/>
      <c r="AV1702" s="65"/>
      <c r="AW1702" s="3"/>
    </row>
    <row r="1703" spans="34:49">
      <c r="AH1703" s="99"/>
      <c r="AL1703" s="99"/>
      <c r="AN1703" s="99"/>
      <c r="AQ1703" s="6"/>
      <c r="AR1703" s="6"/>
      <c r="AS1703" s="6"/>
      <c r="AT1703" s="89"/>
      <c r="AU1703" s="100"/>
      <c r="AV1703" s="65"/>
      <c r="AW1703" s="3"/>
    </row>
    <row r="1704" spans="34:49">
      <c r="AH1704" s="99"/>
      <c r="AL1704" s="99"/>
      <c r="AN1704" s="99"/>
      <c r="AQ1704" s="6"/>
      <c r="AR1704" s="6"/>
      <c r="AS1704" s="6"/>
      <c r="AT1704" s="89"/>
      <c r="AU1704" s="100"/>
      <c r="AV1704" s="65"/>
      <c r="AW1704" s="3"/>
    </row>
    <row r="1705" spans="34:49">
      <c r="AH1705" s="99"/>
      <c r="AL1705" s="99"/>
      <c r="AN1705" s="99"/>
      <c r="AQ1705" s="6"/>
      <c r="AR1705" s="6"/>
      <c r="AS1705" s="6"/>
      <c r="AT1705" s="89"/>
      <c r="AU1705" s="100"/>
      <c r="AV1705" s="65"/>
      <c r="AW1705" s="3"/>
    </row>
    <row r="1706" spans="34:49">
      <c r="AH1706" s="99"/>
      <c r="AL1706" s="99"/>
      <c r="AN1706" s="99"/>
      <c r="AQ1706" s="6"/>
      <c r="AR1706" s="6"/>
      <c r="AS1706" s="6"/>
      <c r="AT1706" s="89"/>
      <c r="AU1706" s="100"/>
      <c r="AV1706" s="65"/>
      <c r="AW1706" s="3"/>
    </row>
    <row r="1707" spans="34:49">
      <c r="AH1707" s="99"/>
      <c r="AL1707" s="99"/>
      <c r="AN1707" s="99"/>
      <c r="AQ1707" s="6"/>
      <c r="AR1707" s="6"/>
      <c r="AS1707" s="6"/>
      <c r="AT1707" s="89"/>
      <c r="AU1707" s="100"/>
      <c r="AV1707" s="65"/>
      <c r="AW1707" s="3"/>
    </row>
    <row r="1708" spans="34:49">
      <c r="AH1708" s="99"/>
      <c r="AL1708" s="99"/>
      <c r="AN1708" s="99"/>
      <c r="AQ1708" s="6"/>
      <c r="AR1708" s="6"/>
      <c r="AS1708" s="6"/>
      <c r="AT1708" s="89"/>
      <c r="AU1708" s="100"/>
      <c r="AV1708" s="65"/>
      <c r="AW1708" s="3"/>
    </row>
    <row r="1709" spans="34:49">
      <c r="AH1709" s="99"/>
      <c r="AL1709" s="99"/>
      <c r="AN1709" s="99"/>
      <c r="AQ1709" s="6"/>
      <c r="AR1709" s="6"/>
      <c r="AS1709" s="6"/>
      <c r="AT1709" s="89"/>
      <c r="AU1709" s="100"/>
      <c r="AV1709" s="65"/>
      <c r="AW1709" s="3"/>
    </row>
    <row r="1710" spans="34:49">
      <c r="AH1710" s="99"/>
      <c r="AL1710" s="99"/>
      <c r="AN1710" s="99"/>
      <c r="AQ1710" s="6"/>
      <c r="AR1710" s="6"/>
      <c r="AS1710" s="6"/>
      <c r="AT1710" s="89"/>
      <c r="AU1710" s="100"/>
      <c r="AV1710" s="65"/>
      <c r="AW1710" s="3"/>
    </row>
    <row r="1711" spans="34:49">
      <c r="AH1711" s="99"/>
      <c r="AL1711" s="99"/>
      <c r="AN1711" s="99"/>
      <c r="AQ1711" s="6"/>
      <c r="AR1711" s="6"/>
      <c r="AS1711" s="6"/>
      <c r="AT1711" s="89"/>
      <c r="AU1711" s="100"/>
      <c r="AV1711" s="65"/>
      <c r="AW1711" s="3"/>
    </row>
    <row r="1712" spans="34:49">
      <c r="AH1712" s="99"/>
      <c r="AL1712" s="99"/>
      <c r="AN1712" s="99"/>
      <c r="AQ1712" s="6"/>
      <c r="AR1712" s="6"/>
      <c r="AS1712" s="6"/>
      <c r="AT1712" s="89"/>
      <c r="AU1712" s="100"/>
      <c r="AV1712" s="65"/>
      <c r="AW1712" s="3"/>
    </row>
    <row r="1713" spans="34:49">
      <c r="AH1713" s="99"/>
      <c r="AL1713" s="99"/>
      <c r="AN1713" s="99"/>
      <c r="AQ1713" s="6"/>
      <c r="AR1713" s="6"/>
      <c r="AS1713" s="6"/>
      <c r="AT1713" s="89"/>
      <c r="AU1713" s="100"/>
      <c r="AV1713" s="65"/>
      <c r="AW1713" s="3"/>
    </row>
    <row r="1714" spans="34:49">
      <c r="AH1714" s="99"/>
      <c r="AL1714" s="99"/>
      <c r="AN1714" s="99"/>
      <c r="AQ1714" s="6"/>
      <c r="AR1714" s="6"/>
      <c r="AS1714" s="6"/>
      <c r="AT1714" s="89"/>
      <c r="AU1714" s="100"/>
      <c r="AV1714" s="65"/>
      <c r="AW1714" s="3"/>
    </row>
    <row r="1715" spans="34:49">
      <c r="AH1715" s="99"/>
      <c r="AL1715" s="99"/>
      <c r="AN1715" s="99"/>
      <c r="AQ1715" s="6"/>
      <c r="AR1715" s="6"/>
      <c r="AS1715" s="6"/>
      <c r="AT1715" s="89"/>
      <c r="AU1715" s="100"/>
      <c r="AV1715" s="65"/>
      <c r="AW1715" s="3"/>
    </row>
    <row r="1716" spans="34:49">
      <c r="AH1716" s="99"/>
      <c r="AL1716" s="99"/>
      <c r="AN1716" s="99"/>
      <c r="AQ1716" s="6"/>
      <c r="AR1716" s="6"/>
      <c r="AS1716" s="6"/>
      <c r="AT1716" s="89"/>
      <c r="AU1716" s="100"/>
      <c r="AV1716" s="65"/>
      <c r="AW1716" s="3"/>
    </row>
    <row r="1717" spans="34:49">
      <c r="AH1717" s="99"/>
      <c r="AL1717" s="99"/>
      <c r="AN1717" s="99"/>
      <c r="AQ1717" s="6"/>
      <c r="AR1717" s="6"/>
      <c r="AS1717" s="6"/>
      <c r="AT1717" s="89"/>
      <c r="AU1717" s="100"/>
      <c r="AV1717" s="65"/>
      <c r="AW1717" s="3"/>
    </row>
    <row r="1718" spans="34:49">
      <c r="AH1718" s="99"/>
      <c r="AL1718" s="99"/>
      <c r="AN1718" s="99"/>
      <c r="AQ1718" s="6"/>
      <c r="AR1718" s="6"/>
      <c r="AS1718" s="6"/>
      <c r="AT1718" s="89"/>
      <c r="AU1718" s="100"/>
      <c r="AV1718" s="65"/>
      <c r="AW1718" s="3"/>
    </row>
    <row r="1719" spans="34:49">
      <c r="AH1719" s="99"/>
      <c r="AL1719" s="99"/>
      <c r="AN1719" s="99"/>
      <c r="AQ1719" s="6"/>
      <c r="AR1719" s="6"/>
      <c r="AS1719" s="6"/>
      <c r="AT1719" s="89"/>
      <c r="AU1719" s="100"/>
      <c r="AV1719" s="65"/>
      <c r="AW1719" s="3"/>
    </row>
    <row r="1720" spans="34:49">
      <c r="AH1720" s="99"/>
      <c r="AL1720" s="99"/>
      <c r="AN1720" s="99"/>
      <c r="AQ1720" s="6"/>
      <c r="AR1720" s="6"/>
      <c r="AS1720" s="6"/>
      <c r="AT1720" s="89"/>
      <c r="AU1720" s="100"/>
      <c r="AV1720" s="65"/>
      <c r="AW1720" s="3"/>
    </row>
    <row r="1721" spans="34:49">
      <c r="AH1721" s="99"/>
      <c r="AL1721" s="99"/>
      <c r="AN1721" s="99"/>
      <c r="AQ1721" s="6"/>
      <c r="AR1721" s="6"/>
      <c r="AS1721" s="6"/>
      <c r="AT1721" s="89"/>
      <c r="AU1721" s="100"/>
      <c r="AV1721" s="65"/>
      <c r="AW1721" s="3"/>
    </row>
    <row r="1722" spans="34:49">
      <c r="AH1722" s="99"/>
      <c r="AL1722" s="99"/>
      <c r="AN1722" s="99"/>
      <c r="AQ1722" s="6"/>
      <c r="AR1722" s="6"/>
      <c r="AS1722" s="6"/>
      <c r="AT1722" s="89"/>
      <c r="AU1722" s="100"/>
      <c r="AV1722" s="65"/>
      <c r="AW1722" s="3"/>
    </row>
    <row r="1723" spans="34:49">
      <c r="AH1723" s="99"/>
      <c r="AL1723" s="99"/>
      <c r="AN1723" s="99"/>
      <c r="AQ1723" s="6"/>
      <c r="AR1723" s="6"/>
      <c r="AS1723" s="6"/>
      <c r="AT1723" s="89"/>
      <c r="AU1723" s="100"/>
      <c r="AV1723" s="65"/>
      <c r="AW1723" s="3"/>
    </row>
    <row r="1724" spans="34:49">
      <c r="AH1724" s="99"/>
      <c r="AL1724" s="99"/>
      <c r="AN1724" s="99"/>
      <c r="AQ1724" s="6"/>
      <c r="AR1724" s="6"/>
      <c r="AS1724" s="6"/>
      <c r="AT1724" s="89"/>
      <c r="AU1724" s="100"/>
      <c r="AV1724" s="65"/>
      <c r="AW1724" s="3"/>
    </row>
    <row r="1725" spans="34:49">
      <c r="AH1725" s="99"/>
      <c r="AL1725" s="99"/>
      <c r="AN1725" s="99"/>
      <c r="AQ1725" s="6"/>
      <c r="AR1725" s="6"/>
      <c r="AS1725" s="6"/>
      <c r="AT1725" s="89"/>
      <c r="AU1725" s="100"/>
      <c r="AV1725" s="65"/>
      <c r="AW1725" s="3"/>
    </row>
    <row r="1726" spans="34:49">
      <c r="AH1726" s="99"/>
      <c r="AL1726" s="99"/>
      <c r="AN1726" s="99"/>
      <c r="AQ1726" s="6"/>
      <c r="AR1726" s="6"/>
      <c r="AS1726" s="6"/>
      <c r="AT1726" s="89"/>
      <c r="AU1726" s="100"/>
      <c r="AV1726" s="65"/>
      <c r="AW1726" s="3"/>
    </row>
    <row r="1727" spans="34:49">
      <c r="AH1727" s="99"/>
      <c r="AL1727" s="99"/>
      <c r="AN1727" s="99"/>
      <c r="AQ1727" s="6"/>
      <c r="AR1727" s="6"/>
      <c r="AS1727" s="6"/>
      <c r="AT1727" s="89"/>
      <c r="AU1727" s="100"/>
      <c r="AV1727" s="65"/>
      <c r="AW1727" s="3"/>
    </row>
    <row r="1728" spans="34:49">
      <c r="AH1728" s="99"/>
      <c r="AL1728" s="99"/>
      <c r="AN1728" s="99"/>
      <c r="AQ1728" s="6"/>
      <c r="AR1728" s="6"/>
      <c r="AS1728" s="6"/>
      <c r="AT1728" s="89"/>
      <c r="AU1728" s="100"/>
      <c r="AV1728" s="65"/>
      <c r="AW1728" s="3"/>
    </row>
    <row r="1729" spans="34:49">
      <c r="AH1729" s="99"/>
      <c r="AL1729" s="99"/>
      <c r="AN1729" s="99"/>
      <c r="AQ1729" s="6"/>
      <c r="AR1729" s="6"/>
      <c r="AS1729" s="6"/>
      <c r="AT1729" s="89"/>
      <c r="AU1729" s="100"/>
      <c r="AV1729" s="65"/>
      <c r="AW1729" s="3"/>
    </row>
    <row r="1730" spans="34:49">
      <c r="AH1730" s="99"/>
      <c r="AL1730" s="99"/>
      <c r="AN1730" s="99"/>
      <c r="AQ1730" s="6"/>
      <c r="AR1730" s="6"/>
      <c r="AS1730" s="6"/>
      <c r="AT1730" s="89"/>
      <c r="AU1730" s="100"/>
      <c r="AV1730" s="65"/>
      <c r="AW1730" s="3"/>
    </row>
    <row r="1731" spans="34:49">
      <c r="AH1731" s="99"/>
      <c r="AL1731" s="99"/>
      <c r="AN1731" s="99"/>
      <c r="AQ1731" s="6"/>
      <c r="AR1731" s="6"/>
      <c r="AS1731" s="6"/>
      <c r="AT1731" s="89"/>
      <c r="AU1731" s="100"/>
      <c r="AV1731" s="65"/>
      <c r="AW1731" s="3"/>
    </row>
    <row r="1732" spans="34:49">
      <c r="AH1732" s="99"/>
      <c r="AL1732" s="99"/>
      <c r="AN1732" s="99"/>
      <c r="AQ1732" s="6"/>
      <c r="AR1732" s="6"/>
      <c r="AS1732" s="6"/>
      <c r="AT1732" s="89"/>
      <c r="AU1732" s="100"/>
      <c r="AV1732" s="65"/>
      <c r="AW1732" s="3"/>
    </row>
    <row r="1733" spans="34:49">
      <c r="AH1733" s="99"/>
      <c r="AL1733" s="99"/>
      <c r="AN1733" s="99"/>
      <c r="AQ1733" s="6"/>
      <c r="AR1733" s="6"/>
      <c r="AS1733" s="6"/>
      <c r="AT1733" s="89"/>
      <c r="AU1733" s="100"/>
      <c r="AV1733" s="65"/>
      <c r="AW1733" s="3"/>
    </row>
    <row r="1734" spans="34:49">
      <c r="AH1734" s="99"/>
      <c r="AL1734" s="99"/>
      <c r="AN1734" s="99"/>
      <c r="AQ1734" s="6"/>
      <c r="AR1734" s="6"/>
      <c r="AS1734" s="6"/>
      <c r="AT1734" s="89"/>
      <c r="AU1734" s="100"/>
      <c r="AV1734" s="65"/>
      <c r="AW1734" s="3"/>
    </row>
    <row r="1735" spans="34:49">
      <c r="AH1735" s="99"/>
      <c r="AL1735" s="99"/>
      <c r="AN1735" s="99"/>
      <c r="AQ1735" s="6"/>
      <c r="AR1735" s="6"/>
      <c r="AS1735" s="6"/>
      <c r="AT1735" s="89"/>
      <c r="AU1735" s="100"/>
      <c r="AV1735" s="65"/>
      <c r="AW1735" s="3"/>
    </row>
    <row r="1736" spans="34:49">
      <c r="AH1736" s="99"/>
      <c r="AL1736" s="99"/>
      <c r="AN1736" s="99"/>
      <c r="AQ1736" s="6"/>
      <c r="AR1736" s="6"/>
      <c r="AS1736" s="6"/>
      <c r="AT1736" s="89"/>
      <c r="AU1736" s="100"/>
      <c r="AV1736" s="65"/>
      <c r="AW1736" s="3"/>
    </row>
    <row r="1737" spans="34:49">
      <c r="AH1737" s="99"/>
      <c r="AL1737" s="99"/>
      <c r="AN1737" s="99"/>
      <c r="AQ1737" s="6"/>
      <c r="AR1737" s="6"/>
      <c r="AS1737" s="6"/>
      <c r="AT1737" s="89"/>
      <c r="AU1737" s="100"/>
      <c r="AV1737" s="65"/>
      <c r="AW1737" s="3"/>
    </row>
    <row r="1738" spans="34:49">
      <c r="AH1738" s="99"/>
      <c r="AL1738" s="99"/>
      <c r="AN1738" s="99"/>
      <c r="AQ1738" s="6"/>
      <c r="AR1738" s="6"/>
      <c r="AS1738" s="6"/>
      <c r="AT1738" s="89"/>
      <c r="AU1738" s="100"/>
      <c r="AV1738" s="65"/>
      <c r="AW1738" s="3"/>
    </row>
    <row r="1739" spans="34:49">
      <c r="AH1739" s="99"/>
      <c r="AL1739" s="99"/>
      <c r="AN1739" s="99"/>
      <c r="AQ1739" s="6"/>
      <c r="AR1739" s="6"/>
      <c r="AS1739" s="6"/>
      <c r="AT1739" s="89"/>
      <c r="AU1739" s="100"/>
      <c r="AV1739" s="65"/>
      <c r="AW1739" s="3"/>
    </row>
    <row r="1740" spans="34:49">
      <c r="AH1740" s="99"/>
      <c r="AL1740" s="99"/>
      <c r="AN1740" s="99"/>
      <c r="AQ1740" s="6"/>
      <c r="AR1740" s="6"/>
      <c r="AS1740" s="6"/>
      <c r="AT1740" s="89"/>
      <c r="AU1740" s="100"/>
      <c r="AV1740" s="65"/>
      <c r="AW1740" s="3"/>
    </row>
    <row r="1741" spans="34:49">
      <c r="AH1741" s="99"/>
      <c r="AL1741" s="99"/>
      <c r="AN1741" s="99"/>
      <c r="AQ1741" s="6"/>
      <c r="AR1741" s="6"/>
      <c r="AS1741" s="6"/>
      <c r="AT1741" s="89"/>
      <c r="AU1741" s="100"/>
      <c r="AV1741" s="65"/>
      <c r="AW1741" s="3"/>
    </row>
    <row r="1742" spans="34:49">
      <c r="AH1742" s="99"/>
      <c r="AL1742" s="99"/>
      <c r="AN1742" s="99"/>
      <c r="AQ1742" s="6"/>
      <c r="AR1742" s="6"/>
      <c r="AS1742" s="6"/>
      <c r="AT1742" s="89"/>
      <c r="AU1742" s="100"/>
      <c r="AV1742" s="65"/>
      <c r="AW1742" s="3"/>
    </row>
    <row r="1743" spans="34:49">
      <c r="AH1743" s="99"/>
      <c r="AL1743" s="99"/>
      <c r="AN1743" s="99"/>
      <c r="AQ1743" s="6"/>
      <c r="AR1743" s="6"/>
      <c r="AS1743" s="6"/>
      <c r="AT1743" s="89"/>
      <c r="AU1743" s="100"/>
      <c r="AV1743" s="65"/>
      <c r="AW1743" s="3"/>
    </row>
    <row r="1744" spans="34:49">
      <c r="AH1744" s="99"/>
      <c r="AL1744" s="99"/>
      <c r="AN1744" s="99"/>
      <c r="AQ1744" s="6"/>
      <c r="AR1744" s="6"/>
      <c r="AS1744" s="6"/>
      <c r="AT1744" s="89"/>
      <c r="AU1744" s="100"/>
      <c r="AV1744" s="65"/>
      <c r="AW1744" s="3"/>
    </row>
    <row r="1745" spans="34:49">
      <c r="AH1745" s="99"/>
      <c r="AL1745" s="99"/>
      <c r="AN1745" s="99"/>
      <c r="AQ1745" s="6"/>
      <c r="AR1745" s="6"/>
      <c r="AS1745" s="6"/>
      <c r="AT1745" s="89"/>
      <c r="AU1745" s="100"/>
      <c r="AV1745" s="65"/>
      <c r="AW1745" s="3"/>
    </row>
    <row r="1746" spans="34:49">
      <c r="AH1746" s="99"/>
      <c r="AL1746" s="99"/>
      <c r="AN1746" s="99"/>
      <c r="AQ1746" s="6"/>
      <c r="AR1746" s="6"/>
      <c r="AS1746" s="6"/>
      <c r="AT1746" s="89"/>
      <c r="AU1746" s="100"/>
      <c r="AV1746" s="65"/>
      <c r="AW1746" s="3"/>
    </row>
    <row r="1747" spans="34:49">
      <c r="AH1747" s="99"/>
      <c r="AL1747" s="99"/>
      <c r="AN1747" s="99"/>
      <c r="AQ1747" s="6"/>
      <c r="AR1747" s="6"/>
      <c r="AS1747" s="6"/>
      <c r="AT1747" s="89"/>
      <c r="AU1747" s="100"/>
      <c r="AV1747" s="65"/>
      <c r="AW1747" s="3"/>
    </row>
    <row r="1748" spans="34:49">
      <c r="AH1748" s="99"/>
      <c r="AL1748" s="99"/>
      <c r="AN1748" s="99"/>
      <c r="AQ1748" s="6"/>
      <c r="AR1748" s="6"/>
      <c r="AS1748" s="6"/>
      <c r="AT1748" s="89"/>
      <c r="AU1748" s="100"/>
      <c r="AV1748" s="65"/>
      <c r="AW1748" s="3"/>
    </row>
    <row r="1749" spans="34:49">
      <c r="AH1749" s="99"/>
      <c r="AL1749" s="99"/>
      <c r="AN1749" s="99"/>
      <c r="AQ1749" s="6"/>
      <c r="AR1749" s="6"/>
      <c r="AS1749" s="6"/>
      <c r="AT1749" s="89"/>
      <c r="AU1749" s="100"/>
      <c r="AV1749" s="65"/>
      <c r="AW1749" s="3"/>
    </row>
    <row r="1750" spans="34:49">
      <c r="AH1750" s="99"/>
      <c r="AL1750" s="99"/>
      <c r="AN1750" s="99"/>
      <c r="AQ1750" s="6"/>
      <c r="AR1750" s="6"/>
      <c r="AS1750" s="6"/>
      <c r="AT1750" s="89"/>
      <c r="AU1750" s="100"/>
      <c r="AV1750" s="65"/>
      <c r="AW1750" s="3"/>
    </row>
    <row r="1751" spans="34:49">
      <c r="AH1751" s="99"/>
      <c r="AL1751" s="99"/>
      <c r="AN1751" s="99"/>
      <c r="AQ1751" s="6"/>
      <c r="AR1751" s="6"/>
      <c r="AS1751" s="6"/>
      <c r="AT1751" s="89"/>
      <c r="AU1751" s="100"/>
      <c r="AV1751" s="65"/>
      <c r="AW1751" s="3"/>
    </row>
    <row r="1752" spans="34:49">
      <c r="AH1752" s="99"/>
      <c r="AL1752" s="99"/>
      <c r="AN1752" s="99"/>
      <c r="AQ1752" s="6"/>
      <c r="AR1752" s="6"/>
      <c r="AS1752" s="6"/>
      <c r="AT1752" s="89"/>
      <c r="AU1752" s="100"/>
      <c r="AV1752" s="65"/>
      <c r="AW1752" s="3"/>
    </row>
    <row r="1753" spans="34:49">
      <c r="AH1753" s="99"/>
      <c r="AL1753" s="99"/>
      <c r="AN1753" s="99"/>
      <c r="AQ1753" s="6"/>
      <c r="AR1753" s="6"/>
      <c r="AS1753" s="6"/>
      <c r="AT1753" s="89"/>
      <c r="AU1753" s="100"/>
      <c r="AV1753" s="65"/>
      <c r="AW1753" s="3"/>
    </row>
    <row r="1754" spans="34:49">
      <c r="AH1754" s="99"/>
      <c r="AL1754" s="99"/>
      <c r="AN1754" s="99"/>
      <c r="AQ1754" s="6"/>
      <c r="AR1754" s="6"/>
      <c r="AS1754" s="6"/>
      <c r="AT1754" s="89"/>
      <c r="AU1754" s="100"/>
      <c r="AV1754" s="65"/>
      <c r="AW1754" s="3"/>
    </row>
    <row r="1755" spans="34:49">
      <c r="AH1755" s="99"/>
      <c r="AL1755" s="99"/>
      <c r="AN1755" s="99"/>
      <c r="AQ1755" s="6"/>
      <c r="AR1755" s="6"/>
      <c r="AS1755" s="6"/>
      <c r="AT1755" s="89"/>
      <c r="AU1755" s="100"/>
      <c r="AV1755" s="65"/>
      <c r="AW1755" s="3"/>
    </row>
    <row r="1756" spans="34:49">
      <c r="AH1756" s="99"/>
      <c r="AL1756" s="99"/>
      <c r="AN1756" s="99"/>
      <c r="AQ1756" s="6"/>
      <c r="AR1756" s="6"/>
      <c r="AS1756" s="6"/>
      <c r="AT1756" s="89"/>
      <c r="AU1756" s="100"/>
      <c r="AV1756" s="65"/>
      <c r="AW1756" s="3"/>
    </row>
    <row r="1757" spans="34:49">
      <c r="AH1757" s="99"/>
      <c r="AL1757" s="99"/>
      <c r="AN1757" s="99"/>
      <c r="AQ1757" s="6"/>
      <c r="AR1757" s="6"/>
      <c r="AS1757" s="6"/>
      <c r="AT1757" s="89"/>
      <c r="AU1757" s="100"/>
      <c r="AV1757" s="65"/>
      <c r="AW1757" s="3"/>
    </row>
    <row r="1758" spans="34:49">
      <c r="AH1758" s="99"/>
      <c r="AL1758" s="99"/>
      <c r="AN1758" s="99"/>
      <c r="AQ1758" s="6"/>
      <c r="AR1758" s="6"/>
      <c r="AS1758" s="6"/>
      <c r="AT1758" s="89"/>
      <c r="AU1758" s="100"/>
      <c r="AV1758" s="65"/>
      <c r="AW1758" s="3"/>
    </row>
    <row r="1759" spans="34:49">
      <c r="AH1759" s="99"/>
      <c r="AL1759" s="99"/>
      <c r="AN1759" s="99"/>
      <c r="AQ1759" s="6"/>
      <c r="AR1759" s="6"/>
      <c r="AS1759" s="6"/>
      <c r="AT1759" s="89"/>
      <c r="AU1759" s="100"/>
      <c r="AV1759" s="65"/>
      <c r="AW1759" s="3"/>
    </row>
    <row r="1760" spans="34:49">
      <c r="AH1760" s="99"/>
      <c r="AL1760" s="99"/>
      <c r="AN1760" s="99"/>
      <c r="AQ1760" s="6"/>
      <c r="AR1760" s="6"/>
      <c r="AS1760" s="6"/>
      <c r="AT1760" s="89"/>
      <c r="AU1760" s="100"/>
      <c r="AV1760" s="65"/>
      <c r="AW1760" s="3"/>
    </row>
    <row r="1761" spans="34:49">
      <c r="AH1761" s="99"/>
      <c r="AL1761" s="99"/>
      <c r="AN1761" s="99"/>
      <c r="AQ1761" s="6"/>
      <c r="AR1761" s="6"/>
      <c r="AS1761" s="6"/>
      <c r="AT1761" s="89"/>
      <c r="AU1761" s="100"/>
      <c r="AV1761" s="65"/>
      <c r="AW1761" s="3"/>
    </row>
    <row r="1762" spans="34:49">
      <c r="AH1762" s="99"/>
      <c r="AL1762" s="99"/>
      <c r="AN1762" s="99"/>
      <c r="AQ1762" s="6"/>
      <c r="AR1762" s="6"/>
      <c r="AS1762" s="6"/>
      <c r="AT1762" s="89"/>
      <c r="AU1762" s="100"/>
      <c r="AV1762" s="65"/>
      <c r="AW1762" s="3"/>
    </row>
    <row r="1763" spans="34:49">
      <c r="AH1763" s="99"/>
      <c r="AL1763" s="99"/>
      <c r="AN1763" s="99"/>
      <c r="AQ1763" s="6"/>
      <c r="AR1763" s="6"/>
      <c r="AS1763" s="6"/>
      <c r="AT1763" s="89"/>
      <c r="AU1763" s="100"/>
      <c r="AV1763" s="65"/>
      <c r="AW1763" s="3"/>
    </row>
    <row r="1764" spans="34:49">
      <c r="AH1764" s="99"/>
      <c r="AL1764" s="99"/>
      <c r="AN1764" s="99"/>
      <c r="AQ1764" s="6"/>
      <c r="AR1764" s="6"/>
      <c r="AS1764" s="6"/>
      <c r="AT1764" s="89"/>
      <c r="AU1764" s="100"/>
      <c r="AV1764" s="65"/>
      <c r="AW1764" s="3"/>
    </row>
    <row r="1765" spans="34:49">
      <c r="AH1765" s="99"/>
      <c r="AL1765" s="99"/>
      <c r="AN1765" s="99"/>
      <c r="AQ1765" s="6"/>
      <c r="AR1765" s="6"/>
      <c r="AS1765" s="6"/>
      <c r="AT1765" s="89"/>
      <c r="AU1765" s="100"/>
      <c r="AV1765" s="65"/>
      <c r="AW1765" s="3"/>
    </row>
    <row r="1766" spans="34:49">
      <c r="AH1766" s="99"/>
      <c r="AL1766" s="99"/>
      <c r="AN1766" s="99"/>
      <c r="AQ1766" s="6"/>
      <c r="AR1766" s="6"/>
      <c r="AS1766" s="6"/>
      <c r="AT1766" s="89"/>
      <c r="AU1766" s="100"/>
      <c r="AV1766" s="65"/>
      <c r="AW1766" s="3"/>
    </row>
    <row r="1767" spans="34:49">
      <c r="AH1767" s="99"/>
      <c r="AL1767" s="99"/>
      <c r="AN1767" s="99"/>
      <c r="AQ1767" s="6"/>
      <c r="AR1767" s="6"/>
      <c r="AS1767" s="6"/>
      <c r="AT1767" s="89"/>
      <c r="AU1767" s="100"/>
      <c r="AV1767" s="65"/>
      <c r="AW1767" s="3"/>
    </row>
    <row r="1768" spans="34:49">
      <c r="AH1768" s="99"/>
      <c r="AL1768" s="99"/>
      <c r="AN1768" s="99"/>
      <c r="AQ1768" s="6"/>
      <c r="AR1768" s="6"/>
      <c r="AS1768" s="6"/>
      <c r="AT1768" s="89"/>
      <c r="AU1768" s="100"/>
      <c r="AV1768" s="65"/>
      <c r="AW1768" s="3"/>
    </row>
    <row r="1769" spans="34:49">
      <c r="AH1769" s="99"/>
      <c r="AL1769" s="99"/>
      <c r="AN1769" s="99"/>
      <c r="AQ1769" s="6"/>
      <c r="AR1769" s="6"/>
      <c r="AS1769" s="6"/>
      <c r="AT1769" s="89"/>
      <c r="AU1769" s="100"/>
      <c r="AV1769" s="65"/>
      <c r="AW1769" s="3"/>
    </row>
    <row r="1770" spans="34:49">
      <c r="AH1770" s="99"/>
      <c r="AL1770" s="99"/>
      <c r="AN1770" s="99"/>
      <c r="AQ1770" s="6"/>
      <c r="AR1770" s="6"/>
      <c r="AS1770" s="6"/>
      <c r="AT1770" s="89"/>
      <c r="AU1770" s="100"/>
      <c r="AV1770" s="65"/>
      <c r="AW1770" s="3"/>
    </row>
    <row r="1771" spans="34:49">
      <c r="AH1771" s="99"/>
      <c r="AL1771" s="99"/>
      <c r="AN1771" s="99"/>
      <c r="AQ1771" s="6"/>
      <c r="AR1771" s="6"/>
      <c r="AS1771" s="6"/>
      <c r="AT1771" s="89"/>
      <c r="AU1771" s="100"/>
      <c r="AV1771" s="65"/>
      <c r="AW1771" s="3"/>
    </row>
    <row r="1772" spans="34:49">
      <c r="AH1772" s="99"/>
      <c r="AL1772" s="99"/>
      <c r="AN1772" s="99"/>
      <c r="AQ1772" s="6"/>
      <c r="AR1772" s="6"/>
      <c r="AS1772" s="6"/>
      <c r="AT1772" s="89"/>
      <c r="AU1772" s="100"/>
      <c r="AV1772" s="65"/>
      <c r="AW1772" s="3"/>
    </row>
    <row r="1773" spans="34:49">
      <c r="AH1773" s="99"/>
      <c r="AL1773" s="99"/>
      <c r="AN1773" s="99"/>
      <c r="AQ1773" s="6"/>
      <c r="AR1773" s="6"/>
      <c r="AS1773" s="6"/>
      <c r="AT1773" s="89"/>
      <c r="AU1773" s="100"/>
      <c r="AV1773" s="65"/>
      <c r="AW1773" s="3"/>
    </row>
    <row r="1774" spans="34:49">
      <c r="AH1774" s="99"/>
      <c r="AL1774" s="99"/>
      <c r="AN1774" s="99"/>
      <c r="AQ1774" s="6"/>
      <c r="AR1774" s="6"/>
      <c r="AS1774" s="6"/>
      <c r="AT1774" s="89"/>
      <c r="AU1774" s="100"/>
      <c r="AV1774" s="65"/>
      <c r="AW1774" s="3"/>
    </row>
    <row r="1775" spans="34:49">
      <c r="AH1775" s="99"/>
      <c r="AL1775" s="99"/>
      <c r="AN1775" s="99"/>
      <c r="AQ1775" s="6"/>
      <c r="AR1775" s="6"/>
      <c r="AS1775" s="6"/>
      <c r="AT1775" s="89"/>
      <c r="AU1775" s="100"/>
      <c r="AV1775" s="65"/>
      <c r="AW1775" s="3"/>
    </row>
    <row r="1776" spans="34:49">
      <c r="AH1776" s="99"/>
      <c r="AL1776" s="99"/>
      <c r="AN1776" s="99"/>
      <c r="AQ1776" s="6"/>
      <c r="AR1776" s="6"/>
      <c r="AS1776" s="6"/>
      <c r="AT1776" s="89"/>
      <c r="AU1776" s="100"/>
      <c r="AV1776" s="65"/>
      <c r="AW1776" s="3"/>
    </row>
    <row r="1777" spans="34:49">
      <c r="AH1777" s="99"/>
      <c r="AL1777" s="99"/>
      <c r="AN1777" s="99"/>
      <c r="AQ1777" s="6"/>
      <c r="AR1777" s="6"/>
      <c r="AS1777" s="6"/>
      <c r="AT1777" s="89"/>
      <c r="AU1777" s="100"/>
      <c r="AV1777" s="65"/>
      <c r="AW1777" s="3"/>
    </row>
    <row r="1778" spans="34:49">
      <c r="AH1778" s="99"/>
      <c r="AL1778" s="99"/>
      <c r="AN1778" s="99"/>
      <c r="AQ1778" s="6"/>
      <c r="AR1778" s="6"/>
      <c r="AS1778" s="6"/>
      <c r="AT1778" s="89"/>
      <c r="AU1778" s="100"/>
      <c r="AV1778" s="65"/>
      <c r="AW1778" s="3"/>
    </row>
    <row r="1779" spans="34:49">
      <c r="AH1779" s="99"/>
      <c r="AL1779" s="99"/>
      <c r="AN1779" s="99"/>
      <c r="AQ1779" s="6"/>
      <c r="AR1779" s="6"/>
      <c r="AS1779" s="6"/>
      <c r="AT1779" s="89"/>
      <c r="AU1779" s="100"/>
      <c r="AV1779" s="65"/>
      <c r="AW1779" s="3"/>
    </row>
    <row r="1780" spans="34:49">
      <c r="AH1780" s="99"/>
      <c r="AL1780" s="99"/>
      <c r="AN1780" s="99"/>
      <c r="AQ1780" s="6"/>
      <c r="AR1780" s="6"/>
      <c r="AS1780" s="6"/>
      <c r="AT1780" s="89"/>
      <c r="AU1780" s="100"/>
      <c r="AV1780" s="65"/>
      <c r="AW1780" s="3"/>
    </row>
    <row r="1781" spans="34:49">
      <c r="AH1781" s="99"/>
      <c r="AL1781" s="99"/>
      <c r="AN1781" s="99"/>
      <c r="AQ1781" s="6"/>
      <c r="AR1781" s="6"/>
      <c r="AS1781" s="6"/>
      <c r="AT1781" s="89"/>
      <c r="AU1781" s="100"/>
      <c r="AV1781" s="65"/>
      <c r="AW1781" s="3"/>
    </row>
    <row r="1782" spans="34:49">
      <c r="AH1782" s="99"/>
      <c r="AL1782" s="99"/>
      <c r="AN1782" s="99"/>
      <c r="AQ1782" s="6"/>
      <c r="AR1782" s="6"/>
      <c r="AS1782" s="6"/>
      <c r="AT1782" s="89"/>
      <c r="AU1782" s="100"/>
      <c r="AV1782" s="65"/>
      <c r="AW1782" s="3"/>
    </row>
    <row r="1783" spans="34:49">
      <c r="AH1783" s="99"/>
      <c r="AL1783" s="99"/>
      <c r="AN1783" s="99"/>
      <c r="AQ1783" s="6"/>
      <c r="AR1783" s="6"/>
      <c r="AS1783" s="6"/>
      <c r="AT1783" s="89"/>
      <c r="AU1783" s="100"/>
      <c r="AV1783" s="65"/>
      <c r="AW1783" s="3"/>
    </row>
    <row r="1784" spans="34:49">
      <c r="AH1784" s="99"/>
      <c r="AL1784" s="99"/>
      <c r="AN1784" s="99"/>
      <c r="AQ1784" s="6"/>
      <c r="AR1784" s="6"/>
      <c r="AS1784" s="6"/>
      <c r="AT1784" s="89"/>
      <c r="AU1784" s="100"/>
      <c r="AV1784" s="65"/>
      <c r="AW1784" s="3"/>
    </row>
    <row r="1785" spans="34:49">
      <c r="AH1785" s="99"/>
      <c r="AL1785" s="99"/>
      <c r="AN1785" s="99"/>
      <c r="AQ1785" s="6"/>
      <c r="AR1785" s="6"/>
      <c r="AS1785" s="6"/>
      <c r="AT1785" s="89"/>
      <c r="AU1785" s="100"/>
      <c r="AV1785" s="65"/>
      <c r="AW1785" s="3"/>
    </row>
    <row r="1786" spans="34:49">
      <c r="AH1786" s="99"/>
      <c r="AL1786" s="99"/>
      <c r="AN1786" s="99"/>
      <c r="AQ1786" s="6"/>
      <c r="AR1786" s="6"/>
      <c r="AS1786" s="6"/>
      <c r="AT1786" s="89"/>
      <c r="AU1786" s="100"/>
      <c r="AV1786" s="65"/>
      <c r="AW1786" s="3"/>
    </row>
    <row r="1787" spans="34:49">
      <c r="AH1787" s="99"/>
      <c r="AL1787" s="99"/>
      <c r="AN1787" s="99"/>
      <c r="AQ1787" s="6"/>
      <c r="AR1787" s="6"/>
      <c r="AS1787" s="6"/>
      <c r="AT1787" s="89"/>
      <c r="AU1787" s="100"/>
      <c r="AV1787" s="65"/>
      <c r="AW1787" s="3"/>
    </row>
    <row r="1788" spans="34:49">
      <c r="AH1788" s="99"/>
      <c r="AL1788" s="99"/>
      <c r="AN1788" s="99"/>
      <c r="AQ1788" s="6"/>
      <c r="AR1788" s="6"/>
      <c r="AS1788" s="6"/>
      <c r="AT1788" s="89"/>
      <c r="AU1788" s="100"/>
      <c r="AV1788" s="65"/>
      <c r="AW1788" s="3"/>
    </row>
    <row r="1789" spans="34:49">
      <c r="AH1789" s="99"/>
      <c r="AL1789" s="99"/>
      <c r="AN1789" s="99"/>
      <c r="AQ1789" s="6"/>
      <c r="AR1789" s="6"/>
      <c r="AS1789" s="6"/>
      <c r="AT1789" s="89"/>
      <c r="AU1789" s="100"/>
      <c r="AV1789" s="65"/>
      <c r="AW1789" s="3"/>
    </row>
    <row r="1790" spans="34:49">
      <c r="AH1790" s="99"/>
      <c r="AL1790" s="99"/>
      <c r="AN1790" s="99"/>
      <c r="AQ1790" s="6"/>
      <c r="AR1790" s="6"/>
      <c r="AS1790" s="6"/>
      <c r="AT1790" s="89"/>
      <c r="AU1790" s="100"/>
      <c r="AV1790" s="65"/>
      <c r="AW1790" s="3"/>
    </row>
    <row r="1791" spans="34:49">
      <c r="AH1791" s="99"/>
      <c r="AL1791" s="99"/>
      <c r="AN1791" s="99"/>
      <c r="AQ1791" s="6"/>
      <c r="AR1791" s="6"/>
      <c r="AS1791" s="6"/>
      <c r="AT1791" s="89"/>
      <c r="AU1791" s="100"/>
      <c r="AV1791" s="65"/>
      <c r="AW1791" s="3"/>
    </row>
    <row r="1792" spans="34:49">
      <c r="AH1792" s="99"/>
      <c r="AL1792" s="99"/>
      <c r="AN1792" s="99"/>
      <c r="AQ1792" s="6"/>
      <c r="AR1792" s="6"/>
      <c r="AS1792" s="6"/>
      <c r="AT1792" s="89"/>
      <c r="AU1792" s="100"/>
      <c r="AV1792" s="65"/>
      <c r="AW1792" s="3"/>
    </row>
    <row r="1793" spans="34:49">
      <c r="AH1793" s="99"/>
      <c r="AL1793" s="99"/>
      <c r="AN1793" s="99"/>
      <c r="AQ1793" s="6"/>
      <c r="AR1793" s="6"/>
      <c r="AS1793" s="6"/>
      <c r="AT1793" s="89"/>
      <c r="AU1793" s="100"/>
      <c r="AV1793" s="65"/>
      <c r="AW1793" s="3"/>
    </row>
    <row r="1794" spans="34:49">
      <c r="AH1794" s="99"/>
      <c r="AL1794" s="99"/>
      <c r="AN1794" s="99"/>
      <c r="AQ1794" s="6"/>
      <c r="AR1794" s="6"/>
      <c r="AS1794" s="6"/>
      <c r="AT1794" s="89"/>
      <c r="AU1794" s="100"/>
      <c r="AV1794" s="65"/>
      <c r="AW1794" s="3"/>
    </row>
    <row r="1795" spans="34:49">
      <c r="AH1795" s="99"/>
      <c r="AL1795" s="99"/>
      <c r="AN1795" s="99"/>
      <c r="AQ1795" s="6"/>
      <c r="AR1795" s="6"/>
      <c r="AS1795" s="6"/>
      <c r="AT1795" s="89"/>
      <c r="AU1795" s="100"/>
      <c r="AV1795" s="65"/>
      <c r="AW1795" s="3"/>
    </row>
    <row r="1796" spans="34:49">
      <c r="AH1796" s="99"/>
      <c r="AL1796" s="99"/>
      <c r="AN1796" s="99"/>
      <c r="AQ1796" s="6"/>
      <c r="AR1796" s="6"/>
      <c r="AS1796" s="6"/>
      <c r="AT1796" s="89"/>
      <c r="AU1796" s="100"/>
      <c r="AV1796" s="65"/>
      <c r="AW1796" s="3"/>
    </row>
    <row r="1797" spans="34:49">
      <c r="AH1797" s="99"/>
      <c r="AL1797" s="99"/>
      <c r="AN1797" s="99"/>
      <c r="AQ1797" s="6"/>
      <c r="AR1797" s="6"/>
      <c r="AS1797" s="6"/>
      <c r="AT1797" s="89"/>
      <c r="AU1797" s="100"/>
      <c r="AV1797" s="65"/>
      <c r="AW1797" s="3"/>
    </row>
    <row r="1798" spans="34:49">
      <c r="AH1798" s="99"/>
      <c r="AL1798" s="99"/>
      <c r="AN1798" s="99"/>
      <c r="AQ1798" s="6"/>
      <c r="AR1798" s="6"/>
      <c r="AS1798" s="6"/>
      <c r="AT1798" s="89"/>
      <c r="AU1798" s="100"/>
      <c r="AV1798" s="65"/>
      <c r="AW1798" s="3"/>
    </row>
    <row r="1799" spans="34:49">
      <c r="AH1799" s="99"/>
      <c r="AL1799" s="99"/>
      <c r="AN1799" s="99"/>
      <c r="AQ1799" s="6"/>
      <c r="AR1799" s="6"/>
      <c r="AS1799" s="6"/>
      <c r="AT1799" s="89"/>
      <c r="AU1799" s="100"/>
      <c r="AV1799" s="65"/>
      <c r="AW1799" s="3"/>
    </row>
    <row r="1800" spans="34:49">
      <c r="AH1800" s="99"/>
      <c r="AL1800" s="99"/>
      <c r="AN1800" s="99"/>
      <c r="AQ1800" s="6"/>
      <c r="AR1800" s="6"/>
      <c r="AS1800" s="6"/>
      <c r="AT1800" s="89"/>
      <c r="AU1800" s="100"/>
      <c r="AV1800" s="65"/>
      <c r="AW1800" s="3"/>
    </row>
    <row r="1801" spans="34:49">
      <c r="AH1801" s="99"/>
      <c r="AL1801" s="99"/>
      <c r="AN1801" s="99"/>
      <c r="AQ1801" s="6"/>
      <c r="AR1801" s="6"/>
      <c r="AS1801" s="6"/>
      <c r="AT1801" s="89"/>
      <c r="AU1801" s="100"/>
      <c r="AV1801" s="65"/>
      <c r="AW1801" s="3"/>
    </row>
    <row r="1802" spans="34:49">
      <c r="AH1802" s="99"/>
      <c r="AL1802" s="99"/>
      <c r="AN1802" s="99"/>
      <c r="AQ1802" s="6"/>
      <c r="AR1802" s="6"/>
      <c r="AS1802" s="6"/>
      <c r="AT1802" s="89"/>
      <c r="AU1802" s="100"/>
      <c r="AV1802" s="65"/>
      <c r="AW1802" s="3"/>
    </row>
    <row r="1803" spans="34:49">
      <c r="AH1803" s="99"/>
      <c r="AL1803" s="99"/>
      <c r="AN1803" s="99"/>
      <c r="AQ1803" s="6"/>
      <c r="AR1803" s="6"/>
      <c r="AS1803" s="6"/>
      <c r="AT1803" s="89"/>
      <c r="AU1803" s="100"/>
      <c r="AV1803" s="65"/>
      <c r="AW1803" s="3"/>
    </row>
    <row r="1804" spans="34:49">
      <c r="AH1804" s="99"/>
      <c r="AL1804" s="99"/>
      <c r="AN1804" s="99"/>
      <c r="AQ1804" s="6"/>
      <c r="AR1804" s="6"/>
      <c r="AS1804" s="6"/>
      <c r="AT1804" s="89"/>
      <c r="AU1804" s="100"/>
      <c r="AV1804" s="65"/>
      <c r="AW1804" s="3"/>
    </row>
    <row r="1805" spans="34:49">
      <c r="AH1805" s="99"/>
      <c r="AL1805" s="99"/>
      <c r="AN1805" s="99"/>
      <c r="AQ1805" s="6"/>
      <c r="AR1805" s="6"/>
      <c r="AS1805" s="6"/>
      <c r="AT1805" s="89"/>
      <c r="AU1805" s="100"/>
      <c r="AV1805" s="65"/>
      <c r="AW1805" s="3"/>
    </row>
    <row r="1806" spans="34:49">
      <c r="AH1806" s="99"/>
      <c r="AL1806" s="99"/>
      <c r="AN1806" s="99"/>
      <c r="AQ1806" s="6"/>
      <c r="AR1806" s="6"/>
      <c r="AS1806" s="6"/>
      <c r="AT1806" s="89"/>
      <c r="AU1806" s="100"/>
      <c r="AV1806" s="65"/>
      <c r="AW1806" s="3"/>
    </row>
    <row r="1807" spans="34:49">
      <c r="AH1807" s="99"/>
      <c r="AL1807" s="99"/>
      <c r="AN1807" s="99"/>
      <c r="AQ1807" s="6"/>
      <c r="AR1807" s="6"/>
      <c r="AS1807" s="6"/>
      <c r="AT1807" s="89"/>
      <c r="AU1807" s="100"/>
      <c r="AV1807" s="65"/>
      <c r="AW1807" s="3"/>
    </row>
    <row r="1808" spans="34:49">
      <c r="AH1808" s="99"/>
      <c r="AL1808" s="99"/>
      <c r="AN1808" s="99"/>
      <c r="AQ1808" s="6"/>
      <c r="AR1808" s="6"/>
      <c r="AS1808" s="6"/>
      <c r="AT1808" s="89"/>
      <c r="AU1808" s="100"/>
      <c r="AV1808" s="65"/>
      <c r="AW1808" s="3"/>
    </row>
    <row r="1809" spans="34:49">
      <c r="AH1809" s="99"/>
      <c r="AL1809" s="99"/>
      <c r="AN1809" s="99"/>
      <c r="AQ1809" s="6"/>
      <c r="AR1809" s="6"/>
      <c r="AS1809" s="6"/>
      <c r="AT1809" s="89"/>
      <c r="AU1809" s="100"/>
      <c r="AV1809" s="65"/>
      <c r="AW1809" s="3"/>
    </row>
    <row r="1810" spans="34:49">
      <c r="AH1810" s="99"/>
      <c r="AL1810" s="99"/>
      <c r="AN1810" s="99"/>
      <c r="AQ1810" s="6"/>
      <c r="AR1810" s="6"/>
      <c r="AS1810" s="6"/>
      <c r="AT1810" s="89"/>
      <c r="AU1810" s="100"/>
      <c r="AV1810" s="65"/>
      <c r="AW1810" s="3"/>
    </row>
    <row r="1811" spans="34:49">
      <c r="AH1811" s="99"/>
      <c r="AL1811" s="99"/>
      <c r="AN1811" s="99"/>
      <c r="AQ1811" s="6"/>
      <c r="AR1811" s="6"/>
      <c r="AS1811" s="6"/>
      <c r="AT1811" s="89"/>
      <c r="AU1811" s="100"/>
      <c r="AV1811" s="65"/>
      <c r="AW1811" s="3"/>
    </row>
    <row r="1812" spans="34:49">
      <c r="AH1812" s="99"/>
      <c r="AL1812" s="99"/>
      <c r="AN1812" s="99"/>
      <c r="AQ1812" s="6"/>
      <c r="AR1812" s="6"/>
      <c r="AS1812" s="6"/>
      <c r="AT1812" s="89"/>
      <c r="AU1812" s="100"/>
      <c r="AV1812" s="65"/>
      <c r="AW1812" s="3"/>
    </row>
    <row r="1813" spans="34:49">
      <c r="AH1813" s="99"/>
      <c r="AL1813" s="99"/>
      <c r="AN1813" s="99"/>
      <c r="AQ1813" s="6"/>
      <c r="AR1813" s="6"/>
      <c r="AS1813" s="6"/>
      <c r="AT1813" s="89"/>
      <c r="AU1813" s="100"/>
      <c r="AV1813" s="65"/>
      <c r="AW1813" s="3"/>
    </row>
    <row r="1814" spans="34:49">
      <c r="AH1814" s="99"/>
      <c r="AL1814" s="99"/>
      <c r="AN1814" s="99"/>
      <c r="AQ1814" s="6"/>
      <c r="AR1814" s="6"/>
      <c r="AS1814" s="6"/>
      <c r="AT1814" s="89"/>
      <c r="AU1814" s="100"/>
      <c r="AV1814" s="65"/>
      <c r="AW1814" s="3"/>
    </row>
    <row r="1815" spans="34:49">
      <c r="AH1815" s="99"/>
      <c r="AL1815" s="99"/>
      <c r="AN1815" s="99"/>
      <c r="AQ1815" s="6"/>
      <c r="AR1815" s="6"/>
      <c r="AS1815" s="6"/>
      <c r="AT1815" s="89"/>
      <c r="AU1815" s="100"/>
      <c r="AV1815" s="65"/>
      <c r="AW1815" s="3"/>
    </row>
    <row r="1816" spans="34:49">
      <c r="AH1816" s="99"/>
      <c r="AL1816" s="99"/>
      <c r="AN1816" s="99"/>
      <c r="AQ1816" s="6"/>
      <c r="AR1816" s="6"/>
      <c r="AS1816" s="6"/>
      <c r="AT1816" s="89"/>
      <c r="AU1816" s="100"/>
      <c r="AV1816" s="65"/>
      <c r="AW1816" s="3"/>
    </row>
    <row r="1817" spans="34:49">
      <c r="AH1817" s="99"/>
      <c r="AL1817" s="99"/>
      <c r="AN1817" s="99"/>
      <c r="AQ1817" s="6"/>
      <c r="AR1817" s="6"/>
      <c r="AS1817" s="6"/>
      <c r="AT1817" s="89"/>
      <c r="AU1817" s="100"/>
      <c r="AV1817" s="65"/>
      <c r="AW1817" s="3"/>
    </row>
    <row r="1818" spans="34:49">
      <c r="AH1818" s="99"/>
      <c r="AL1818" s="99"/>
      <c r="AN1818" s="99"/>
      <c r="AQ1818" s="6"/>
      <c r="AR1818" s="6"/>
      <c r="AS1818" s="6"/>
      <c r="AT1818" s="89"/>
      <c r="AU1818" s="100"/>
      <c r="AV1818" s="65"/>
      <c r="AW1818" s="3"/>
    </row>
    <row r="1819" spans="34:49">
      <c r="AH1819" s="99"/>
      <c r="AL1819" s="99"/>
      <c r="AN1819" s="99"/>
      <c r="AQ1819" s="6"/>
      <c r="AR1819" s="6"/>
      <c r="AS1819" s="6"/>
      <c r="AT1819" s="89"/>
      <c r="AU1819" s="100"/>
      <c r="AV1819" s="65"/>
      <c r="AW1819" s="3"/>
    </row>
    <row r="1820" spans="34:49">
      <c r="AH1820" s="99"/>
      <c r="AL1820" s="99"/>
      <c r="AN1820" s="99"/>
      <c r="AQ1820" s="6"/>
      <c r="AR1820" s="6"/>
      <c r="AS1820" s="6"/>
      <c r="AT1820" s="89"/>
      <c r="AU1820" s="100"/>
      <c r="AV1820" s="65"/>
      <c r="AW1820" s="3"/>
    </row>
    <row r="1821" spans="34:49">
      <c r="AH1821" s="99"/>
      <c r="AL1821" s="99"/>
      <c r="AN1821" s="99"/>
      <c r="AQ1821" s="6"/>
      <c r="AR1821" s="6"/>
      <c r="AS1821" s="6"/>
      <c r="AT1821" s="89"/>
      <c r="AU1821" s="100"/>
      <c r="AV1821" s="65"/>
      <c r="AW1821" s="3"/>
    </row>
    <row r="1822" spans="34:49">
      <c r="AH1822" s="99"/>
      <c r="AL1822" s="99"/>
      <c r="AN1822" s="99"/>
      <c r="AQ1822" s="6"/>
      <c r="AR1822" s="6"/>
      <c r="AS1822" s="6"/>
      <c r="AT1822" s="89"/>
      <c r="AU1822" s="100"/>
      <c r="AV1822" s="65"/>
      <c r="AW1822" s="3"/>
    </row>
    <row r="1823" spans="34:49">
      <c r="AH1823" s="99"/>
      <c r="AL1823" s="99"/>
      <c r="AN1823" s="99"/>
      <c r="AQ1823" s="6"/>
      <c r="AR1823" s="6"/>
      <c r="AS1823" s="6"/>
      <c r="AT1823" s="89"/>
      <c r="AU1823" s="100"/>
      <c r="AV1823" s="65"/>
      <c r="AW1823" s="3"/>
    </row>
    <row r="1824" spans="34:49">
      <c r="AH1824" s="99"/>
      <c r="AL1824" s="99"/>
      <c r="AN1824" s="99"/>
      <c r="AQ1824" s="6"/>
      <c r="AR1824" s="6"/>
      <c r="AS1824" s="6"/>
      <c r="AT1824" s="89"/>
      <c r="AU1824" s="100"/>
      <c r="AV1824" s="65"/>
      <c r="AW1824" s="3"/>
    </row>
    <row r="1825" spans="34:49">
      <c r="AH1825" s="99"/>
      <c r="AL1825" s="99"/>
      <c r="AN1825" s="99"/>
      <c r="AQ1825" s="6"/>
      <c r="AR1825" s="6"/>
      <c r="AS1825" s="6"/>
      <c r="AT1825" s="89"/>
      <c r="AU1825" s="100"/>
      <c r="AV1825" s="65"/>
      <c r="AW1825" s="3"/>
    </row>
    <row r="1826" spans="34:49">
      <c r="AH1826" s="99"/>
      <c r="AL1826" s="99"/>
      <c r="AN1826" s="99"/>
      <c r="AQ1826" s="6"/>
      <c r="AR1826" s="6"/>
      <c r="AS1826" s="6"/>
      <c r="AT1826" s="89"/>
      <c r="AU1826" s="100"/>
      <c r="AV1826" s="65"/>
      <c r="AW1826" s="3"/>
    </row>
    <row r="1827" spans="34:49">
      <c r="AH1827" s="99"/>
      <c r="AL1827" s="99"/>
      <c r="AN1827" s="99"/>
      <c r="AQ1827" s="6"/>
      <c r="AR1827" s="6"/>
      <c r="AS1827" s="6"/>
      <c r="AT1827" s="89"/>
      <c r="AU1827" s="100"/>
      <c r="AV1827" s="65"/>
      <c r="AW1827" s="3"/>
    </row>
    <row r="1828" spans="34:49">
      <c r="AH1828" s="99"/>
      <c r="AL1828" s="99"/>
      <c r="AN1828" s="99"/>
      <c r="AQ1828" s="6"/>
      <c r="AR1828" s="6"/>
      <c r="AS1828" s="6"/>
      <c r="AT1828" s="89"/>
      <c r="AU1828" s="100"/>
      <c r="AV1828" s="65"/>
      <c r="AW1828" s="3"/>
    </row>
    <row r="1829" spans="34:49">
      <c r="AH1829" s="99"/>
      <c r="AL1829" s="99"/>
      <c r="AN1829" s="99"/>
      <c r="AQ1829" s="6"/>
      <c r="AR1829" s="6"/>
      <c r="AS1829" s="6"/>
      <c r="AT1829" s="89"/>
      <c r="AU1829" s="100"/>
      <c r="AV1829" s="65"/>
      <c r="AW1829" s="3"/>
    </row>
    <row r="1830" spans="34:49">
      <c r="AH1830" s="99"/>
      <c r="AL1830" s="99"/>
      <c r="AN1830" s="99"/>
      <c r="AQ1830" s="6"/>
      <c r="AR1830" s="6"/>
      <c r="AS1830" s="6"/>
      <c r="AT1830" s="89"/>
      <c r="AU1830" s="100"/>
      <c r="AV1830" s="65"/>
      <c r="AW1830" s="3"/>
    </row>
    <row r="1831" spans="34:49">
      <c r="AH1831" s="99"/>
      <c r="AL1831" s="99"/>
      <c r="AN1831" s="99"/>
      <c r="AQ1831" s="6"/>
      <c r="AR1831" s="6"/>
      <c r="AS1831" s="6"/>
      <c r="AT1831" s="89"/>
      <c r="AU1831" s="100"/>
      <c r="AV1831" s="65"/>
      <c r="AW1831" s="3"/>
    </row>
    <row r="1832" spans="34:49">
      <c r="AH1832" s="99"/>
      <c r="AL1832" s="99"/>
      <c r="AN1832" s="99"/>
      <c r="AQ1832" s="6"/>
      <c r="AR1832" s="6"/>
      <c r="AS1832" s="6"/>
      <c r="AT1832" s="89"/>
      <c r="AU1832" s="100"/>
      <c r="AV1832" s="65"/>
      <c r="AW1832" s="3"/>
    </row>
    <row r="1833" spans="34:49">
      <c r="AH1833" s="99"/>
      <c r="AL1833" s="99"/>
      <c r="AN1833" s="99"/>
      <c r="AQ1833" s="6"/>
      <c r="AR1833" s="6"/>
      <c r="AS1833" s="6"/>
      <c r="AT1833" s="89"/>
      <c r="AU1833" s="100"/>
      <c r="AV1833" s="65"/>
      <c r="AW1833" s="3"/>
    </row>
    <row r="1834" spans="34:49">
      <c r="AH1834" s="99"/>
      <c r="AL1834" s="99"/>
      <c r="AN1834" s="99"/>
      <c r="AQ1834" s="6"/>
      <c r="AR1834" s="6"/>
      <c r="AS1834" s="6"/>
      <c r="AT1834" s="89"/>
      <c r="AU1834" s="100"/>
      <c r="AV1834" s="65"/>
      <c r="AW1834" s="3"/>
    </row>
    <row r="1835" spans="34:49">
      <c r="AH1835" s="99"/>
      <c r="AL1835" s="99"/>
      <c r="AN1835" s="99"/>
      <c r="AQ1835" s="6"/>
      <c r="AR1835" s="6"/>
      <c r="AS1835" s="6"/>
      <c r="AT1835" s="89"/>
      <c r="AU1835" s="100"/>
      <c r="AV1835" s="65"/>
      <c r="AW1835" s="3"/>
    </row>
    <row r="1836" spans="34:49">
      <c r="AH1836" s="99"/>
      <c r="AL1836" s="99"/>
      <c r="AN1836" s="99"/>
      <c r="AQ1836" s="6"/>
      <c r="AR1836" s="6"/>
      <c r="AS1836" s="6"/>
      <c r="AT1836" s="89"/>
      <c r="AU1836" s="100"/>
      <c r="AV1836" s="65"/>
      <c r="AW1836" s="3"/>
    </row>
    <row r="1837" spans="34:49">
      <c r="AH1837" s="99"/>
      <c r="AL1837" s="99"/>
      <c r="AN1837" s="99"/>
      <c r="AQ1837" s="6"/>
      <c r="AR1837" s="6"/>
      <c r="AS1837" s="6"/>
      <c r="AT1837" s="89"/>
      <c r="AU1837" s="100"/>
      <c r="AV1837" s="65"/>
      <c r="AW1837" s="3"/>
    </row>
    <row r="1838" spans="34:49">
      <c r="AH1838" s="99"/>
      <c r="AL1838" s="99"/>
      <c r="AN1838" s="99"/>
      <c r="AQ1838" s="6"/>
      <c r="AR1838" s="6"/>
      <c r="AS1838" s="6"/>
      <c r="AT1838" s="89"/>
      <c r="AU1838" s="100"/>
      <c r="AV1838" s="65"/>
      <c r="AW1838" s="3"/>
    </row>
    <row r="1839" spans="34:49">
      <c r="AH1839" s="99"/>
      <c r="AL1839" s="99"/>
      <c r="AN1839" s="99"/>
      <c r="AQ1839" s="6"/>
      <c r="AR1839" s="6"/>
      <c r="AS1839" s="6"/>
      <c r="AT1839" s="89"/>
      <c r="AU1839" s="100"/>
      <c r="AV1839" s="65"/>
      <c r="AW1839" s="3"/>
    </row>
    <row r="1840" spans="34:49">
      <c r="AH1840" s="99"/>
      <c r="AL1840" s="99"/>
      <c r="AN1840" s="99"/>
      <c r="AQ1840" s="6"/>
      <c r="AR1840" s="6"/>
      <c r="AS1840" s="6"/>
      <c r="AT1840" s="89"/>
      <c r="AU1840" s="100"/>
      <c r="AV1840" s="65"/>
      <c r="AW1840" s="3"/>
    </row>
    <row r="1841" spans="34:49">
      <c r="AH1841" s="99"/>
      <c r="AL1841" s="99"/>
      <c r="AN1841" s="99"/>
      <c r="AQ1841" s="6"/>
      <c r="AR1841" s="6"/>
      <c r="AS1841" s="6"/>
      <c r="AT1841" s="89"/>
      <c r="AU1841" s="100"/>
      <c r="AV1841" s="65"/>
      <c r="AW1841" s="3"/>
    </row>
    <row r="1842" spans="34:49">
      <c r="AH1842" s="99"/>
      <c r="AL1842" s="99"/>
      <c r="AN1842" s="99"/>
      <c r="AQ1842" s="6"/>
      <c r="AR1842" s="6"/>
      <c r="AS1842" s="6"/>
      <c r="AT1842" s="89"/>
      <c r="AU1842" s="100"/>
      <c r="AV1842" s="65"/>
      <c r="AW1842" s="3"/>
    </row>
    <row r="1843" spans="34:49">
      <c r="AH1843" s="99"/>
      <c r="AL1843" s="99"/>
      <c r="AN1843" s="99"/>
      <c r="AQ1843" s="6"/>
      <c r="AR1843" s="6"/>
      <c r="AS1843" s="6"/>
      <c r="AT1843" s="89"/>
      <c r="AU1843" s="100"/>
      <c r="AV1843" s="65"/>
      <c r="AW1843" s="3"/>
    </row>
    <row r="1844" spans="34:49">
      <c r="AH1844" s="99"/>
      <c r="AL1844" s="99"/>
      <c r="AN1844" s="99"/>
      <c r="AQ1844" s="6"/>
      <c r="AR1844" s="6"/>
      <c r="AS1844" s="6"/>
      <c r="AT1844" s="89"/>
      <c r="AU1844" s="100"/>
      <c r="AV1844" s="65"/>
      <c r="AW1844" s="3"/>
    </row>
    <row r="1845" spans="34:49">
      <c r="AH1845" s="99"/>
      <c r="AL1845" s="99"/>
      <c r="AN1845" s="99"/>
      <c r="AQ1845" s="6"/>
      <c r="AR1845" s="6"/>
      <c r="AS1845" s="6"/>
      <c r="AT1845" s="89"/>
      <c r="AU1845" s="100"/>
      <c r="AV1845" s="65"/>
      <c r="AW1845" s="3"/>
    </row>
    <row r="1846" spans="34:49">
      <c r="AH1846" s="99"/>
      <c r="AL1846" s="99"/>
      <c r="AN1846" s="99"/>
      <c r="AQ1846" s="6"/>
      <c r="AR1846" s="6"/>
      <c r="AS1846" s="6"/>
      <c r="AT1846" s="89"/>
      <c r="AU1846" s="100"/>
      <c r="AV1846" s="65"/>
      <c r="AW1846" s="3"/>
    </row>
    <row r="1847" spans="34:49">
      <c r="AH1847" s="99"/>
      <c r="AL1847" s="99"/>
      <c r="AN1847" s="99"/>
      <c r="AQ1847" s="6"/>
      <c r="AR1847" s="6"/>
      <c r="AS1847" s="6"/>
      <c r="AT1847" s="89"/>
      <c r="AU1847" s="100"/>
      <c r="AV1847" s="65"/>
      <c r="AW1847" s="3"/>
    </row>
    <row r="1848" spans="34:49">
      <c r="AH1848" s="99"/>
      <c r="AL1848" s="99"/>
      <c r="AN1848" s="99"/>
      <c r="AQ1848" s="6"/>
      <c r="AR1848" s="6"/>
      <c r="AS1848" s="6"/>
      <c r="AT1848" s="89"/>
      <c r="AU1848" s="100"/>
      <c r="AV1848" s="65"/>
      <c r="AW1848" s="3"/>
    </row>
    <row r="1849" spans="34:49">
      <c r="AH1849" s="99"/>
      <c r="AL1849" s="99"/>
      <c r="AN1849" s="99"/>
      <c r="AQ1849" s="6"/>
      <c r="AR1849" s="6"/>
      <c r="AS1849" s="6"/>
      <c r="AT1849" s="89"/>
      <c r="AU1849" s="100"/>
      <c r="AV1849" s="65"/>
      <c r="AW1849" s="3"/>
    </row>
    <row r="1850" spans="34:49">
      <c r="AH1850" s="99"/>
      <c r="AL1850" s="99"/>
      <c r="AN1850" s="99"/>
      <c r="AQ1850" s="6"/>
      <c r="AR1850" s="6"/>
      <c r="AS1850" s="6"/>
      <c r="AT1850" s="89"/>
      <c r="AU1850" s="100"/>
      <c r="AV1850" s="65"/>
      <c r="AW1850" s="3"/>
    </row>
    <row r="1851" spans="34:49">
      <c r="AH1851" s="99"/>
      <c r="AL1851" s="99"/>
      <c r="AN1851" s="99"/>
      <c r="AQ1851" s="6"/>
      <c r="AR1851" s="6"/>
      <c r="AS1851" s="6"/>
      <c r="AT1851" s="89"/>
      <c r="AU1851" s="100"/>
      <c r="AV1851" s="65"/>
      <c r="AW1851" s="3"/>
    </row>
    <row r="1852" spans="34:49">
      <c r="AH1852" s="99"/>
      <c r="AL1852" s="99"/>
      <c r="AN1852" s="99"/>
      <c r="AQ1852" s="6"/>
      <c r="AR1852" s="6"/>
      <c r="AS1852" s="6"/>
      <c r="AT1852" s="89"/>
      <c r="AU1852" s="100"/>
      <c r="AV1852" s="65"/>
      <c r="AW1852" s="3"/>
    </row>
    <row r="1853" spans="34:49">
      <c r="AH1853" s="99"/>
      <c r="AL1853" s="99"/>
      <c r="AN1853" s="99"/>
      <c r="AQ1853" s="6"/>
      <c r="AR1853" s="6"/>
      <c r="AS1853" s="6"/>
      <c r="AT1853" s="89"/>
      <c r="AU1853" s="100"/>
      <c r="AV1853" s="65"/>
      <c r="AW1853" s="3"/>
    </row>
    <row r="1854" spans="34:49">
      <c r="AH1854" s="99"/>
      <c r="AL1854" s="99"/>
      <c r="AN1854" s="99"/>
      <c r="AQ1854" s="6"/>
      <c r="AR1854" s="6"/>
      <c r="AS1854" s="6"/>
      <c r="AT1854" s="89"/>
      <c r="AU1854" s="100"/>
      <c r="AV1854" s="65"/>
      <c r="AW1854" s="3"/>
    </row>
    <row r="1855" spans="34:49">
      <c r="AH1855" s="99"/>
      <c r="AL1855" s="99"/>
      <c r="AN1855" s="99"/>
      <c r="AQ1855" s="6"/>
      <c r="AR1855" s="6"/>
      <c r="AS1855" s="6"/>
      <c r="AT1855" s="89"/>
      <c r="AU1855" s="100"/>
      <c r="AV1855" s="65"/>
      <c r="AW1855" s="3"/>
    </row>
    <row r="1856" spans="34:49">
      <c r="AH1856" s="99"/>
      <c r="AL1856" s="99"/>
      <c r="AN1856" s="99"/>
      <c r="AQ1856" s="6"/>
      <c r="AR1856" s="6"/>
      <c r="AS1856" s="6"/>
      <c r="AT1856" s="89"/>
      <c r="AU1856" s="100"/>
      <c r="AV1856" s="65"/>
      <c r="AW1856" s="3"/>
    </row>
    <row r="1857" spans="34:49">
      <c r="AH1857" s="99"/>
      <c r="AL1857" s="99"/>
      <c r="AN1857" s="99"/>
      <c r="AQ1857" s="6"/>
      <c r="AR1857" s="6"/>
      <c r="AS1857" s="6"/>
      <c r="AT1857" s="89"/>
      <c r="AU1857" s="100"/>
      <c r="AV1857" s="65"/>
      <c r="AW1857" s="3"/>
    </row>
    <row r="1858" spans="34:49">
      <c r="AH1858" s="99"/>
      <c r="AL1858" s="99"/>
      <c r="AN1858" s="99"/>
      <c r="AQ1858" s="6"/>
      <c r="AR1858" s="6"/>
      <c r="AS1858" s="6"/>
      <c r="AT1858" s="89"/>
      <c r="AU1858" s="100"/>
      <c r="AV1858" s="65"/>
      <c r="AW1858" s="3"/>
    </row>
    <row r="1859" spans="34:49">
      <c r="AH1859" s="99"/>
      <c r="AL1859" s="99"/>
      <c r="AN1859" s="99"/>
      <c r="AQ1859" s="6"/>
      <c r="AR1859" s="6"/>
      <c r="AS1859" s="6"/>
      <c r="AT1859" s="89"/>
      <c r="AU1859" s="100"/>
      <c r="AV1859" s="65"/>
      <c r="AW1859" s="3"/>
    </row>
    <row r="1860" spans="34:49">
      <c r="AH1860" s="99"/>
      <c r="AL1860" s="99"/>
      <c r="AN1860" s="99"/>
      <c r="AQ1860" s="6"/>
      <c r="AR1860" s="6"/>
      <c r="AS1860" s="6"/>
      <c r="AT1860" s="89"/>
      <c r="AU1860" s="100"/>
      <c r="AV1860" s="65"/>
      <c r="AW1860" s="3"/>
    </row>
    <row r="1861" spans="34:49">
      <c r="AH1861" s="99"/>
      <c r="AL1861" s="99"/>
      <c r="AN1861" s="99"/>
      <c r="AQ1861" s="6"/>
      <c r="AR1861" s="6"/>
      <c r="AS1861" s="6"/>
      <c r="AT1861" s="89"/>
      <c r="AU1861" s="100"/>
      <c r="AV1861" s="65"/>
      <c r="AW1861" s="3"/>
    </row>
    <row r="1862" spans="34:49">
      <c r="AH1862" s="99"/>
      <c r="AL1862" s="99"/>
      <c r="AN1862" s="99"/>
      <c r="AQ1862" s="6"/>
      <c r="AR1862" s="6"/>
      <c r="AS1862" s="6"/>
      <c r="AT1862" s="89"/>
      <c r="AU1862" s="100"/>
      <c r="AV1862" s="65"/>
      <c r="AW1862" s="3"/>
    </row>
    <row r="1863" spans="34:49">
      <c r="AH1863" s="99"/>
      <c r="AL1863" s="99"/>
      <c r="AN1863" s="99"/>
      <c r="AQ1863" s="6"/>
      <c r="AR1863" s="6"/>
      <c r="AS1863" s="6"/>
      <c r="AT1863" s="89"/>
      <c r="AU1863" s="100"/>
      <c r="AV1863" s="65"/>
      <c r="AW1863" s="3"/>
    </row>
    <row r="1864" spans="34:49">
      <c r="AH1864" s="99"/>
      <c r="AL1864" s="99"/>
      <c r="AN1864" s="99"/>
      <c r="AQ1864" s="6"/>
      <c r="AR1864" s="6"/>
      <c r="AS1864" s="6"/>
      <c r="AT1864" s="89"/>
      <c r="AU1864" s="100"/>
      <c r="AV1864" s="65"/>
      <c r="AW1864" s="3"/>
    </row>
    <row r="1865" spans="34:49">
      <c r="AH1865" s="99"/>
      <c r="AL1865" s="99"/>
      <c r="AN1865" s="99"/>
      <c r="AQ1865" s="6"/>
      <c r="AR1865" s="6"/>
      <c r="AS1865" s="6"/>
      <c r="AT1865" s="89"/>
      <c r="AU1865" s="100"/>
      <c r="AV1865" s="65"/>
      <c r="AW1865" s="3"/>
    </row>
    <row r="1866" spans="34:49">
      <c r="AH1866" s="99"/>
      <c r="AL1866" s="99"/>
      <c r="AN1866" s="99"/>
      <c r="AQ1866" s="6"/>
      <c r="AR1866" s="6"/>
      <c r="AS1866" s="6"/>
      <c r="AT1866" s="89"/>
      <c r="AU1866" s="100"/>
      <c r="AV1866" s="65"/>
      <c r="AW1866" s="3"/>
    </row>
    <row r="1867" spans="34:49">
      <c r="AH1867" s="99"/>
      <c r="AL1867" s="99"/>
      <c r="AN1867" s="99"/>
      <c r="AQ1867" s="6"/>
      <c r="AR1867" s="6"/>
      <c r="AS1867" s="6"/>
      <c r="AT1867" s="89"/>
      <c r="AU1867" s="100"/>
      <c r="AV1867" s="65"/>
      <c r="AW1867" s="3"/>
    </row>
    <row r="1868" spans="34:49">
      <c r="AH1868" s="99"/>
      <c r="AL1868" s="99"/>
      <c r="AN1868" s="99"/>
      <c r="AQ1868" s="6"/>
      <c r="AR1868" s="6"/>
      <c r="AS1868" s="6"/>
      <c r="AT1868" s="89"/>
      <c r="AU1868" s="100"/>
      <c r="AV1868" s="65"/>
      <c r="AW1868" s="3"/>
    </row>
    <row r="1869" spans="34:49">
      <c r="AH1869" s="99"/>
      <c r="AL1869" s="99"/>
      <c r="AN1869" s="99"/>
      <c r="AQ1869" s="6"/>
      <c r="AR1869" s="6"/>
      <c r="AS1869" s="6"/>
      <c r="AT1869" s="89"/>
      <c r="AU1869" s="100"/>
      <c r="AV1869" s="65"/>
      <c r="AW1869" s="3"/>
    </row>
    <row r="1870" spans="34:49">
      <c r="AH1870" s="99"/>
      <c r="AL1870" s="99"/>
      <c r="AN1870" s="99"/>
      <c r="AQ1870" s="6"/>
      <c r="AR1870" s="6"/>
      <c r="AS1870" s="6"/>
      <c r="AT1870" s="89"/>
      <c r="AU1870" s="100"/>
      <c r="AV1870" s="65"/>
      <c r="AW1870" s="3"/>
    </row>
    <row r="1871" spans="34:49">
      <c r="AH1871" s="99"/>
      <c r="AL1871" s="99"/>
      <c r="AN1871" s="99"/>
      <c r="AQ1871" s="6"/>
      <c r="AR1871" s="6"/>
      <c r="AS1871" s="6"/>
      <c r="AT1871" s="89"/>
      <c r="AU1871" s="100"/>
      <c r="AV1871" s="65"/>
      <c r="AW1871" s="3"/>
    </row>
    <row r="1872" spans="34:49">
      <c r="AH1872" s="99"/>
      <c r="AL1872" s="99"/>
      <c r="AN1872" s="99"/>
      <c r="AQ1872" s="6"/>
      <c r="AR1872" s="6"/>
      <c r="AS1872" s="6"/>
      <c r="AT1872" s="89"/>
      <c r="AU1872" s="100"/>
      <c r="AV1872" s="65"/>
      <c r="AW1872" s="3"/>
    </row>
    <row r="1873" spans="34:49">
      <c r="AH1873" s="99"/>
      <c r="AL1873" s="99"/>
      <c r="AN1873" s="99"/>
      <c r="AQ1873" s="6"/>
      <c r="AR1873" s="6"/>
      <c r="AS1873" s="6"/>
      <c r="AT1873" s="89"/>
      <c r="AU1873" s="100"/>
      <c r="AV1873" s="65"/>
      <c r="AW1873" s="3"/>
    </row>
    <row r="1874" spans="34:49">
      <c r="AH1874" s="99"/>
      <c r="AL1874" s="99"/>
      <c r="AN1874" s="99"/>
      <c r="AQ1874" s="6"/>
      <c r="AR1874" s="6"/>
      <c r="AS1874" s="6"/>
      <c r="AT1874" s="89"/>
      <c r="AU1874" s="100"/>
      <c r="AV1874" s="65"/>
      <c r="AW1874" s="3"/>
    </row>
    <row r="1875" spans="34:49">
      <c r="AH1875" s="99"/>
      <c r="AL1875" s="99"/>
      <c r="AN1875" s="99"/>
      <c r="AQ1875" s="6"/>
      <c r="AR1875" s="6"/>
      <c r="AS1875" s="6"/>
      <c r="AT1875" s="89"/>
      <c r="AU1875" s="100"/>
      <c r="AV1875" s="65"/>
      <c r="AW1875" s="3"/>
    </row>
    <row r="1876" spans="34:49">
      <c r="AH1876" s="99"/>
      <c r="AL1876" s="99"/>
      <c r="AN1876" s="99"/>
      <c r="AQ1876" s="6"/>
      <c r="AR1876" s="6"/>
      <c r="AS1876" s="6"/>
      <c r="AT1876" s="89"/>
      <c r="AU1876" s="100"/>
      <c r="AV1876" s="65"/>
      <c r="AW1876" s="3"/>
    </row>
    <row r="1877" spans="34:49">
      <c r="AH1877" s="99"/>
      <c r="AL1877" s="99"/>
      <c r="AN1877" s="99"/>
      <c r="AQ1877" s="6"/>
      <c r="AR1877" s="6"/>
      <c r="AS1877" s="6"/>
      <c r="AT1877" s="89"/>
      <c r="AU1877" s="100"/>
      <c r="AV1877" s="65"/>
      <c r="AW1877" s="3"/>
    </row>
    <row r="1878" spans="34:49">
      <c r="AH1878" s="99"/>
      <c r="AL1878" s="99"/>
      <c r="AN1878" s="99"/>
      <c r="AQ1878" s="6"/>
      <c r="AR1878" s="6"/>
      <c r="AS1878" s="6"/>
      <c r="AT1878" s="89"/>
      <c r="AU1878" s="100"/>
      <c r="AV1878" s="65"/>
      <c r="AW1878" s="3"/>
    </row>
    <row r="1879" spans="34:49">
      <c r="AH1879" s="99"/>
      <c r="AL1879" s="99"/>
      <c r="AN1879" s="99"/>
      <c r="AQ1879" s="6"/>
      <c r="AR1879" s="6"/>
      <c r="AS1879" s="6"/>
      <c r="AT1879" s="89"/>
      <c r="AU1879" s="100"/>
      <c r="AV1879" s="65"/>
      <c r="AW1879" s="3"/>
    </row>
    <row r="1880" spans="34:49">
      <c r="AH1880" s="99"/>
      <c r="AL1880" s="99"/>
      <c r="AN1880" s="99"/>
      <c r="AQ1880" s="6"/>
      <c r="AR1880" s="6"/>
      <c r="AS1880" s="6"/>
      <c r="AT1880" s="89"/>
      <c r="AU1880" s="100"/>
      <c r="AV1880" s="65"/>
      <c r="AW1880" s="3"/>
    </row>
    <row r="1881" spans="34:49">
      <c r="AH1881" s="99"/>
      <c r="AL1881" s="99"/>
      <c r="AN1881" s="99"/>
      <c r="AQ1881" s="6"/>
      <c r="AR1881" s="6"/>
      <c r="AS1881" s="6"/>
      <c r="AT1881" s="89"/>
      <c r="AU1881" s="100"/>
      <c r="AV1881" s="65"/>
      <c r="AW1881" s="3"/>
    </row>
    <row r="1882" spans="34:49">
      <c r="AH1882" s="99"/>
      <c r="AL1882" s="99"/>
      <c r="AN1882" s="99"/>
      <c r="AQ1882" s="6"/>
      <c r="AR1882" s="6"/>
      <c r="AS1882" s="6"/>
      <c r="AT1882" s="89"/>
      <c r="AU1882" s="100"/>
      <c r="AV1882" s="65"/>
      <c r="AW1882" s="3"/>
    </row>
    <row r="1883" spans="34:49">
      <c r="AH1883" s="99"/>
      <c r="AL1883" s="99"/>
      <c r="AN1883" s="99"/>
      <c r="AQ1883" s="6"/>
      <c r="AR1883" s="6"/>
      <c r="AS1883" s="6"/>
      <c r="AT1883" s="89"/>
      <c r="AU1883" s="100"/>
      <c r="AV1883" s="65"/>
      <c r="AW1883" s="3"/>
    </row>
    <row r="1884" spans="34:49">
      <c r="AH1884" s="99"/>
      <c r="AL1884" s="99"/>
      <c r="AN1884" s="99"/>
      <c r="AQ1884" s="6"/>
      <c r="AR1884" s="6"/>
      <c r="AS1884" s="6"/>
      <c r="AT1884" s="89"/>
      <c r="AU1884" s="100"/>
      <c r="AV1884" s="65"/>
      <c r="AW1884" s="3"/>
    </row>
    <row r="1885" spans="34:49">
      <c r="AH1885" s="99"/>
      <c r="AL1885" s="99"/>
      <c r="AN1885" s="99"/>
      <c r="AQ1885" s="6"/>
      <c r="AR1885" s="6"/>
      <c r="AS1885" s="6"/>
      <c r="AT1885" s="89"/>
      <c r="AU1885" s="100"/>
      <c r="AV1885" s="65"/>
      <c r="AW1885" s="3"/>
    </row>
    <row r="1886" spans="34:49">
      <c r="AH1886" s="99"/>
      <c r="AL1886" s="99"/>
      <c r="AN1886" s="99"/>
      <c r="AQ1886" s="6"/>
      <c r="AR1886" s="6"/>
      <c r="AS1886" s="6"/>
      <c r="AT1886" s="89"/>
      <c r="AU1886" s="100"/>
      <c r="AV1886" s="65"/>
      <c r="AW1886" s="3"/>
    </row>
    <row r="1887" spans="34:49">
      <c r="AH1887" s="99"/>
      <c r="AL1887" s="99"/>
      <c r="AN1887" s="99"/>
      <c r="AQ1887" s="6"/>
      <c r="AR1887" s="6"/>
      <c r="AS1887" s="6"/>
      <c r="AT1887" s="89"/>
      <c r="AU1887" s="100"/>
      <c r="AV1887" s="65"/>
      <c r="AW1887" s="3"/>
    </row>
    <row r="1888" spans="34:49">
      <c r="AH1888" s="99"/>
      <c r="AL1888" s="99"/>
      <c r="AN1888" s="99"/>
      <c r="AQ1888" s="6"/>
      <c r="AR1888" s="6"/>
      <c r="AS1888" s="6"/>
      <c r="AT1888" s="89"/>
      <c r="AU1888" s="100"/>
      <c r="AV1888" s="65"/>
      <c r="AW1888" s="3"/>
    </row>
    <row r="1889" spans="34:49">
      <c r="AH1889" s="99"/>
      <c r="AL1889" s="99"/>
      <c r="AN1889" s="99"/>
      <c r="AQ1889" s="6"/>
      <c r="AR1889" s="6"/>
      <c r="AS1889" s="6"/>
      <c r="AT1889" s="89"/>
      <c r="AU1889" s="100"/>
      <c r="AV1889" s="65"/>
      <c r="AW1889" s="3"/>
    </row>
    <row r="1890" spans="34:49">
      <c r="AH1890" s="99"/>
      <c r="AL1890" s="99"/>
      <c r="AN1890" s="99"/>
      <c r="AQ1890" s="6"/>
      <c r="AR1890" s="6"/>
      <c r="AS1890" s="6"/>
      <c r="AT1890" s="89"/>
      <c r="AU1890" s="100"/>
      <c r="AV1890" s="65"/>
      <c r="AW1890" s="3"/>
    </row>
    <row r="1891" spans="34:49">
      <c r="AH1891" s="99"/>
      <c r="AL1891" s="99"/>
      <c r="AN1891" s="99"/>
      <c r="AQ1891" s="6"/>
      <c r="AR1891" s="6"/>
      <c r="AS1891" s="6"/>
      <c r="AT1891" s="89"/>
      <c r="AU1891" s="100"/>
      <c r="AV1891" s="65"/>
      <c r="AW1891" s="3"/>
    </row>
    <row r="1892" spans="34:49">
      <c r="AH1892" s="99"/>
      <c r="AL1892" s="99"/>
      <c r="AN1892" s="99"/>
      <c r="AQ1892" s="6"/>
      <c r="AR1892" s="6"/>
      <c r="AS1892" s="6"/>
      <c r="AT1892" s="89"/>
      <c r="AU1892" s="100"/>
      <c r="AV1892" s="65"/>
      <c r="AW1892" s="3"/>
    </row>
    <row r="1893" spans="34:49">
      <c r="AH1893" s="99"/>
      <c r="AL1893" s="99"/>
      <c r="AN1893" s="99"/>
      <c r="AQ1893" s="6"/>
      <c r="AR1893" s="6"/>
      <c r="AS1893" s="6"/>
      <c r="AT1893" s="89"/>
      <c r="AU1893" s="100"/>
      <c r="AV1893" s="65"/>
      <c r="AW1893" s="3"/>
    </row>
    <row r="1894" spans="34:49">
      <c r="AH1894" s="99"/>
      <c r="AL1894" s="99"/>
      <c r="AN1894" s="99"/>
      <c r="AQ1894" s="6"/>
      <c r="AR1894" s="6"/>
      <c r="AS1894" s="6"/>
      <c r="AT1894" s="89"/>
      <c r="AU1894" s="100"/>
      <c r="AV1894" s="65"/>
      <c r="AW1894" s="3"/>
    </row>
    <row r="1895" spans="34:49">
      <c r="AH1895" s="99"/>
      <c r="AL1895" s="99"/>
      <c r="AN1895" s="99"/>
      <c r="AQ1895" s="6"/>
      <c r="AR1895" s="6"/>
      <c r="AS1895" s="6"/>
      <c r="AT1895" s="89"/>
      <c r="AU1895" s="100"/>
      <c r="AV1895" s="65"/>
      <c r="AW1895" s="3"/>
    </row>
    <row r="1896" spans="34:49">
      <c r="AH1896" s="99"/>
      <c r="AL1896" s="99"/>
      <c r="AN1896" s="99"/>
      <c r="AQ1896" s="6"/>
      <c r="AR1896" s="6"/>
      <c r="AS1896" s="6"/>
      <c r="AT1896" s="89"/>
      <c r="AU1896" s="100"/>
      <c r="AV1896" s="65"/>
      <c r="AW1896" s="3"/>
    </row>
    <row r="1897" spans="34:49">
      <c r="AH1897" s="99"/>
      <c r="AL1897" s="99"/>
      <c r="AN1897" s="99"/>
      <c r="AQ1897" s="6"/>
      <c r="AR1897" s="6"/>
      <c r="AS1897" s="6"/>
      <c r="AT1897" s="89"/>
      <c r="AU1897" s="100"/>
      <c r="AV1897" s="65"/>
      <c r="AW1897" s="3"/>
    </row>
    <row r="1898" spans="34:49">
      <c r="AH1898" s="99"/>
      <c r="AL1898" s="99"/>
      <c r="AN1898" s="99"/>
      <c r="AQ1898" s="6"/>
      <c r="AR1898" s="6"/>
      <c r="AS1898" s="6"/>
      <c r="AT1898" s="89"/>
      <c r="AU1898" s="100"/>
      <c r="AV1898" s="65"/>
      <c r="AW1898" s="3"/>
    </row>
    <row r="1899" spans="34:49">
      <c r="AH1899" s="99"/>
      <c r="AL1899" s="99"/>
      <c r="AN1899" s="99"/>
      <c r="AQ1899" s="6"/>
      <c r="AR1899" s="6"/>
      <c r="AS1899" s="6"/>
      <c r="AT1899" s="89"/>
      <c r="AU1899" s="100"/>
      <c r="AV1899" s="65"/>
      <c r="AW1899" s="3"/>
    </row>
    <row r="1900" spans="34:49">
      <c r="AH1900" s="99"/>
      <c r="AL1900" s="99"/>
      <c r="AN1900" s="99"/>
      <c r="AQ1900" s="6"/>
      <c r="AR1900" s="6"/>
      <c r="AS1900" s="6"/>
      <c r="AT1900" s="89"/>
      <c r="AU1900" s="100"/>
      <c r="AV1900" s="65"/>
      <c r="AW1900" s="3"/>
    </row>
    <row r="1901" spans="34:49">
      <c r="AH1901" s="99"/>
      <c r="AL1901" s="99"/>
      <c r="AN1901" s="99"/>
      <c r="AQ1901" s="6"/>
      <c r="AR1901" s="6"/>
      <c r="AS1901" s="6"/>
      <c r="AT1901" s="89"/>
      <c r="AU1901" s="100"/>
      <c r="AV1901" s="65"/>
      <c r="AW1901" s="3"/>
    </row>
    <row r="1902" spans="34:49">
      <c r="AH1902" s="99"/>
      <c r="AL1902" s="99"/>
      <c r="AN1902" s="99"/>
      <c r="AQ1902" s="6"/>
      <c r="AR1902" s="6"/>
      <c r="AS1902" s="6"/>
      <c r="AT1902" s="89"/>
      <c r="AU1902" s="100"/>
      <c r="AV1902" s="65"/>
      <c r="AW1902" s="3"/>
    </row>
    <row r="1903" spans="34:49">
      <c r="AH1903" s="99"/>
      <c r="AL1903" s="99"/>
      <c r="AN1903" s="99"/>
      <c r="AQ1903" s="6"/>
      <c r="AR1903" s="6"/>
      <c r="AS1903" s="6"/>
      <c r="AT1903" s="89"/>
      <c r="AU1903" s="100"/>
      <c r="AV1903" s="65"/>
      <c r="AW1903" s="3"/>
    </row>
    <row r="1904" spans="34:49">
      <c r="AH1904" s="99"/>
      <c r="AL1904" s="99"/>
      <c r="AN1904" s="99"/>
      <c r="AQ1904" s="6"/>
      <c r="AR1904" s="6"/>
      <c r="AS1904" s="6"/>
      <c r="AT1904" s="89"/>
      <c r="AU1904" s="100"/>
      <c r="AV1904" s="65"/>
      <c r="AW1904" s="3"/>
    </row>
    <row r="1905" spans="34:49">
      <c r="AH1905" s="99"/>
      <c r="AL1905" s="99"/>
      <c r="AN1905" s="99"/>
      <c r="AQ1905" s="6"/>
      <c r="AR1905" s="6"/>
      <c r="AS1905" s="6"/>
      <c r="AT1905" s="89"/>
      <c r="AU1905" s="100"/>
      <c r="AV1905" s="65"/>
      <c r="AW1905" s="3"/>
    </row>
    <row r="1906" spans="34:49">
      <c r="AH1906" s="99"/>
      <c r="AL1906" s="99"/>
      <c r="AN1906" s="99"/>
      <c r="AQ1906" s="6"/>
      <c r="AR1906" s="6"/>
      <c r="AS1906" s="6"/>
      <c r="AT1906" s="89"/>
      <c r="AU1906" s="100"/>
      <c r="AV1906" s="65"/>
      <c r="AW1906" s="3"/>
    </row>
    <row r="1907" spans="34:49">
      <c r="AH1907" s="99"/>
      <c r="AL1907" s="99"/>
      <c r="AN1907" s="99"/>
      <c r="AQ1907" s="6"/>
      <c r="AR1907" s="6"/>
      <c r="AS1907" s="6"/>
      <c r="AT1907" s="89"/>
      <c r="AU1907" s="100"/>
      <c r="AV1907" s="65"/>
      <c r="AW1907" s="3"/>
    </row>
    <row r="1908" spans="34:49">
      <c r="AH1908" s="99"/>
      <c r="AL1908" s="99"/>
      <c r="AN1908" s="99"/>
      <c r="AQ1908" s="6"/>
      <c r="AR1908" s="6"/>
      <c r="AS1908" s="6"/>
      <c r="AT1908" s="89"/>
      <c r="AU1908" s="100"/>
      <c r="AV1908" s="65"/>
      <c r="AW1908" s="3"/>
    </row>
    <row r="1909" spans="34:49">
      <c r="AH1909" s="99"/>
      <c r="AL1909" s="99"/>
      <c r="AN1909" s="99"/>
      <c r="AQ1909" s="6"/>
      <c r="AR1909" s="6"/>
      <c r="AS1909" s="6"/>
      <c r="AT1909" s="89"/>
      <c r="AU1909" s="100"/>
      <c r="AV1909" s="65"/>
      <c r="AW1909" s="3"/>
    </row>
    <row r="1910" spans="34:49">
      <c r="AH1910" s="99"/>
      <c r="AL1910" s="99"/>
      <c r="AN1910" s="99"/>
      <c r="AQ1910" s="6"/>
      <c r="AR1910" s="6"/>
      <c r="AS1910" s="6"/>
      <c r="AT1910" s="89"/>
      <c r="AU1910" s="100"/>
      <c r="AV1910" s="65"/>
      <c r="AW1910" s="3"/>
    </row>
    <row r="1911" spans="34:49">
      <c r="AH1911" s="99"/>
      <c r="AL1911" s="99"/>
      <c r="AN1911" s="99"/>
      <c r="AQ1911" s="6"/>
      <c r="AR1911" s="6"/>
      <c r="AS1911" s="6"/>
      <c r="AT1911" s="89"/>
      <c r="AU1911" s="100"/>
      <c r="AV1911" s="65"/>
      <c r="AW1911" s="3"/>
    </row>
    <row r="1912" spans="34:49">
      <c r="AH1912" s="99"/>
      <c r="AL1912" s="99"/>
      <c r="AN1912" s="99"/>
      <c r="AQ1912" s="6"/>
      <c r="AR1912" s="6"/>
      <c r="AS1912" s="6"/>
      <c r="AT1912" s="89"/>
      <c r="AU1912" s="100"/>
      <c r="AV1912" s="65"/>
      <c r="AW1912" s="3"/>
    </row>
    <row r="1913" spans="34:49">
      <c r="AH1913" s="99"/>
      <c r="AL1913" s="99"/>
      <c r="AN1913" s="99"/>
      <c r="AQ1913" s="6"/>
      <c r="AR1913" s="6"/>
      <c r="AS1913" s="6"/>
      <c r="AT1913" s="89"/>
      <c r="AU1913" s="100"/>
      <c r="AV1913" s="65"/>
      <c r="AW1913" s="3"/>
    </row>
    <row r="1914" spans="34:49">
      <c r="AH1914" s="99"/>
      <c r="AL1914" s="99"/>
      <c r="AN1914" s="99"/>
      <c r="AQ1914" s="6"/>
      <c r="AR1914" s="6"/>
      <c r="AS1914" s="6"/>
      <c r="AT1914" s="89"/>
      <c r="AU1914" s="100"/>
      <c r="AV1914" s="65"/>
      <c r="AW1914" s="3"/>
    </row>
    <row r="1915" spans="34:49">
      <c r="AH1915" s="99"/>
      <c r="AL1915" s="99"/>
      <c r="AN1915" s="99"/>
      <c r="AQ1915" s="6"/>
      <c r="AR1915" s="6"/>
      <c r="AS1915" s="6"/>
      <c r="AT1915" s="89"/>
      <c r="AU1915" s="100"/>
      <c r="AV1915" s="65"/>
      <c r="AW1915" s="3"/>
    </row>
    <row r="1916" spans="34:49">
      <c r="AH1916" s="99"/>
      <c r="AL1916" s="99"/>
      <c r="AN1916" s="99"/>
      <c r="AQ1916" s="6"/>
      <c r="AR1916" s="6"/>
      <c r="AS1916" s="6"/>
      <c r="AT1916" s="89"/>
      <c r="AU1916" s="100"/>
      <c r="AV1916" s="65"/>
      <c r="AW1916" s="3"/>
    </row>
    <row r="1917" spans="34:49">
      <c r="AH1917" s="99"/>
      <c r="AL1917" s="99"/>
      <c r="AN1917" s="99"/>
      <c r="AQ1917" s="6"/>
      <c r="AR1917" s="6"/>
      <c r="AS1917" s="6"/>
      <c r="AT1917" s="89"/>
      <c r="AU1917" s="100"/>
      <c r="AV1917" s="65"/>
      <c r="AW1917" s="3"/>
    </row>
    <row r="1918" spans="34:49">
      <c r="AH1918" s="99"/>
      <c r="AL1918" s="99"/>
      <c r="AN1918" s="99"/>
      <c r="AQ1918" s="6"/>
      <c r="AR1918" s="6"/>
      <c r="AS1918" s="6"/>
      <c r="AT1918" s="89"/>
      <c r="AU1918" s="100"/>
      <c r="AV1918" s="65"/>
      <c r="AW1918" s="3"/>
    </row>
    <row r="1919" spans="34:49">
      <c r="AH1919" s="99"/>
      <c r="AL1919" s="99"/>
      <c r="AN1919" s="99"/>
      <c r="AQ1919" s="6"/>
      <c r="AR1919" s="6"/>
      <c r="AS1919" s="6"/>
      <c r="AT1919" s="89"/>
      <c r="AU1919" s="100"/>
      <c r="AV1919" s="65"/>
      <c r="AW1919" s="3"/>
    </row>
    <row r="1920" spans="34:49">
      <c r="AH1920" s="99"/>
      <c r="AL1920" s="99"/>
      <c r="AN1920" s="99"/>
      <c r="AQ1920" s="6"/>
      <c r="AR1920" s="6"/>
      <c r="AS1920" s="6"/>
      <c r="AT1920" s="89"/>
      <c r="AU1920" s="100"/>
      <c r="AV1920" s="65"/>
      <c r="AW1920" s="3"/>
    </row>
    <row r="1921" spans="34:49">
      <c r="AH1921" s="99"/>
      <c r="AL1921" s="99"/>
      <c r="AN1921" s="99"/>
      <c r="AQ1921" s="6"/>
      <c r="AR1921" s="6"/>
      <c r="AS1921" s="6"/>
      <c r="AT1921" s="89"/>
      <c r="AU1921" s="100"/>
      <c r="AV1921" s="65"/>
      <c r="AW1921" s="3"/>
    </row>
    <row r="1922" spans="34:49">
      <c r="AH1922" s="99"/>
      <c r="AL1922" s="99"/>
      <c r="AN1922" s="99"/>
      <c r="AQ1922" s="6"/>
      <c r="AR1922" s="6"/>
      <c r="AS1922" s="6"/>
      <c r="AT1922" s="89"/>
      <c r="AU1922" s="100"/>
      <c r="AV1922" s="65"/>
      <c r="AW1922" s="3"/>
    </row>
    <row r="1923" spans="34:49">
      <c r="AH1923" s="99"/>
      <c r="AL1923" s="99"/>
      <c r="AN1923" s="99"/>
      <c r="AQ1923" s="6"/>
      <c r="AR1923" s="6"/>
      <c r="AS1923" s="6"/>
      <c r="AT1923" s="89"/>
      <c r="AU1923" s="100"/>
      <c r="AV1923" s="65"/>
      <c r="AW1923" s="3"/>
    </row>
    <row r="1924" spans="34:49">
      <c r="AH1924" s="99"/>
      <c r="AL1924" s="99"/>
      <c r="AN1924" s="99"/>
      <c r="AQ1924" s="6"/>
      <c r="AR1924" s="6"/>
      <c r="AS1924" s="6"/>
      <c r="AT1924" s="89"/>
      <c r="AU1924" s="100"/>
      <c r="AV1924" s="65"/>
      <c r="AW1924" s="3"/>
    </row>
    <row r="1925" spans="34:49">
      <c r="AH1925" s="99"/>
      <c r="AL1925" s="99"/>
      <c r="AN1925" s="99"/>
      <c r="AQ1925" s="6"/>
      <c r="AR1925" s="6"/>
      <c r="AS1925" s="6"/>
      <c r="AT1925" s="89"/>
      <c r="AU1925" s="100"/>
      <c r="AV1925" s="65"/>
      <c r="AW1925" s="3"/>
    </row>
    <row r="1926" spans="34:49">
      <c r="AH1926" s="99"/>
      <c r="AL1926" s="99"/>
      <c r="AN1926" s="99"/>
      <c r="AQ1926" s="6"/>
      <c r="AR1926" s="6"/>
      <c r="AS1926" s="6"/>
      <c r="AT1926" s="89"/>
      <c r="AU1926" s="100"/>
      <c r="AV1926" s="65"/>
      <c r="AW1926" s="3"/>
    </row>
    <row r="1927" spans="34:49">
      <c r="AH1927" s="99"/>
      <c r="AL1927" s="99"/>
      <c r="AN1927" s="99"/>
      <c r="AQ1927" s="6"/>
      <c r="AR1927" s="6"/>
      <c r="AS1927" s="6"/>
      <c r="AT1927" s="89"/>
      <c r="AU1927" s="100"/>
      <c r="AV1927" s="65"/>
      <c r="AW1927" s="3"/>
    </row>
    <row r="1928" spans="34:49">
      <c r="AH1928" s="99"/>
      <c r="AL1928" s="99"/>
      <c r="AN1928" s="99"/>
      <c r="AQ1928" s="6"/>
      <c r="AR1928" s="6"/>
      <c r="AS1928" s="6"/>
      <c r="AT1928" s="89"/>
      <c r="AU1928" s="100"/>
      <c r="AV1928" s="65"/>
      <c r="AW1928" s="3"/>
    </row>
    <row r="1929" spans="34:49">
      <c r="AH1929" s="99"/>
      <c r="AL1929" s="99"/>
      <c r="AN1929" s="99"/>
      <c r="AQ1929" s="6"/>
      <c r="AR1929" s="6"/>
      <c r="AS1929" s="6"/>
      <c r="AT1929" s="89"/>
      <c r="AU1929" s="100"/>
      <c r="AV1929" s="65"/>
      <c r="AW1929" s="3"/>
    </row>
    <row r="1930" spans="34:49">
      <c r="AH1930" s="99"/>
      <c r="AL1930" s="99"/>
      <c r="AN1930" s="99"/>
      <c r="AQ1930" s="6"/>
      <c r="AR1930" s="6"/>
      <c r="AS1930" s="6"/>
      <c r="AT1930" s="89"/>
      <c r="AU1930" s="100"/>
      <c r="AV1930" s="65"/>
      <c r="AW1930" s="3"/>
    </row>
    <row r="1931" spans="34:49">
      <c r="AH1931" s="99"/>
      <c r="AL1931" s="99"/>
      <c r="AN1931" s="99"/>
      <c r="AQ1931" s="6"/>
      <c r="AR1931" s="6"/>
      <c r="AS1931" s="6"/>
      <c r="AT1931" s="89"/>
      <c r="AU1931" s="100"/>
      <c r="AV1931" s="65"/>
      <c r="AW1931" s="3"/>
    </row>
    <row r="1932" spans="34:49">
      <c r="AH1932" s="99"/>
      <c r="AL1932" s="99"/>
      <c r="AN1932" s="99"/>
      <c r="AQ1932" s="6"/>
      <c r="AR1932" s="6"/>
      <c r="AS1932" s="6"/>
      <c r="AT1932" s="89"/>
      <c r="AU1932" s="100"/>
      <c r="AV1932" s="65"/>
      <c r="AW1932" s="3"/>
    </row>
    <row r="1933" spans="34:49">
      <c r="AH1933" s="99"/>
      <c r="AL1933" s="99"/>
      <c r="AN1933" s="99"/>
      <c r="AQ1933" s="6"/>
      <c r="AR1933" s="6"/>
      <c r="AS1933" s="6"/>
      <c r="AT1933" s="89"/>
      <c r="AU1933" s="100"/>
      <c r="AV1933" s="65"/>
      <c r="AW1933" s="3"/>
    </row>
    <row r="1934" spans="34:49">
      <c r="AH1934" s="99"/>
      <c r="AL1934" s="99"/>
      <c r="AN1934" s="99"/>
      <c r="AQ1934" s="6"/>
      <c r="AR1934" s="6"/>
      <c r="AS1934" s="6"/>
      <c r="AT1934" s="89"/>
      <c r="AU1934" s="100"/>
      <c r="AV1934" s="65"/>
      <c r="AW1934" s="3"/>
    </row>
    <row r="1935" spans="34:49">
      <c r="AH1935" s="99"/>
      <c r="AL1935" s="99"/>
      <c r="AN1935" s="99"/>
      <c r="AQ1935" s="6"/>
      <c r="AR1935" s="6"/>
      <c r="AS1935" s="6"/>
      <c r="AT1935" s="89"/>
      <c r="AU1935" s="100"/>
      <c r="AV1935" s="65"/>
      <c r="AW1935" s="3"/>
    </row>
    <row r="1936" spans="34:49">
      <c r="AH1936" s="99"/>
      <c r="AL1936" s="99"/>
      <c r="AN1936" s="99"/>
      <c r="AQ1936" s="6"/>
      <c r="AR1936" s="6"/>
      <c r="AS1936" s="6"/>
      <c r="AT1936" s="89"/>
      <c r="AU1936" s="100"/>
      <c r="AV1936" s="65"/>
      <c r="AW1936" s="3"/>
    </row>
    <row r="1937" spans="34:49">
      <c r="AH1937" s="99"/>
      <c r="AL1937" s="99"/>
      <c r="AN1937" s="99"/>
      <c r="AQ1937" s="6"/>
      <c r="AR1937" s="6"/>
      <c r="AS1937" s="6"/>
      <c r="AT1937" s="89"/>
      <c r="AU1937" s="100"/>
      <c r="AV1937" s="65"/>
      <c r="AW1937" s="3"/>
    </row>
    <row r="1938" spans="34:49">
      <c r="AH1938" s="99"/>
      <c r="AL1938" s="99"/>
      <c r="AN1938" s="99"/>
      <c r="AQ1938" s="6"/>
      <c r="AR1938" s="6"/>
      <c r="AS1938" s="6"/>
      <c r="AT1938" s="89"/>
      <c r="AU1938" s="100"/>
      <c r="AV1938" s="65"/>
      <c r="AW1938" s="3"/>
    </row>
    <row r="1939" spans="34:49">
      <c r="AH1939" s="99"/>
      <c r="AL1939" s="99"/>
      <c r="AN1939" s="99"/>
      <c r="AQ1939" s="6"/>
      <c r="AR1939" s="6"/>
      <c r="AS1939" s="6"/>
      <c r="AT1939" s="89"/>
      <c r="AU1939" s="100"/>
      <c r="AV1939" s="65"/>
      <c r="AW1939" s="3"/>
    </row>
    <row r="1940" spans="34:49">
      <c r="AH1940" s="99"/>
      <c r="AL1940" s="99"/>
      <c r="AN1940" s="99"/>
      <c r="AQ1940" s="6"/>
      <c r="AR1940" s="6"/>
      <c r="AS1940" s="6"/>
      <c r="AT1940" s="89"/>
      <c r="AU1940" s="100"/>
      <c r="AV1940" s="65"/>
      <c r="AW1940" s="3"/>
    </row>
    <row r="1941" spans="34:49">
      <c r="AH1941" s="99"/>
      <c r="AL1941" s="99"/>
      <c r="AN1941" s="99"/>
      <c r="AQ1941" s="6"/>
      <c r="AR1941" s="6"/>
      <c r="AS1941" s="6"/>
      <c r="AT1941" s="89"/>
      <c r="AU1941" s="100"/>
      <c r="AV1941" s="65"/>
      <c r="AW1941" s="3"/>
    </row>
    <row r="1942" spans="34:49">
      <c r="AH1942" s="99"/>
      <c r="AL1942" s="99"/>
      <c r="AN1942" s="99"/>
      <c r="AQ1942" s="6"/>
      <c r="AR1942" s="6"/>
      <c r="AS1942" s="6"/>
      <c r="AT1942" s="89"/>
      <c r="AU1942" s="100"/>
      <c r="AV1942" s="65"/>
      <c r="AW1942" s="3"/>
    </row>
    <row r="1943" spans="34:49">
      <c r="AH1943" s="99"/>
      <c r="AL1943" s="99"/>
      <c r="AN1943" s="99"/>
      <c r="AQ1943" s="6"/>
      <c r="AR1943" s="6"/>
      <c r="AS1943" s="6"/>
      <c r="AT1943" s="89"/>
      <c r="AU1943" s="100"/>
      <c r="AV1943" s="65"/>
      <c r="AW1943" s="3"/>
    </row>
    <row r="1944" spans="34:49">
      <c r="AH1944" s="99"/>
      <c r="AL1944" s="99"/>
      <c r="AN1944" s="99"/>
      <c r="AQ1944" s="6"/>
      <c r="AR1944" s="6"/>
      <c r="AS1944" s="6"/>
      <c r="AT1944" s="89"/>
      <c r="AU1944" s="100"/>
      <c r="AV1944" s="65"/>
      <c r="AW1944" s="3"/>
    </row>
    <row r="1945" spans="34:49">
      <c r="AH1945" s="99"/>
      <c r="AL1945" s="99"/>
      <c r="AN1945" s="99"/>
      <c r="AQ1945" s="6"/>
      <c r="AR1945" s="6"/>
      <c r="AS1945" s="6"/>
      <c r="AT1945" s="89"/>
      <c r="AU1945" s="100"/>
      <c r="AV1945" s="65"/>
      <c r="AW1945" s="3"/>
    </row>
    <row r="1946" spans="34:49">
      <c r="AH1946" s="99"/>
      <c r="AL1946" s="99"/>
      <c r="AN1946" s="99"/>
      <c r="AQ1946" s="6"/>
      <c r="AR1946" s="6"/>
      <c r="AS1946" s="6"/>
      <c r="AT1946" s="89"/>
      <c r="AU1946" s="100"/>
      <c r="AV1946" s="65"/>
      <c r="AW1946" s="3"/>
    </row>
    <row r="1947" spans="34:49">
      <c r="AH1947" s="99"/>
      <c r="AL1947" s="99"/>
      <c r="AN1947" s="99"/>
      <c r="AQ1947" s="6"/>
      <c r="AR1947" s="6"/>
      <c r="AS1947" s="6"/>
      <c r="AT1947" s="89"/>
      <c r="AU1947" s="100"/>
      <c r="AV1947" s="65"/>
      <c r="AW1947" s="3"/>
    </row>
    <row r="1948" spans="34:49">
      <c r="AH1948" s="99"/>
      <c r="AL1948" s="99"/>
      <c r="AN1948" s="99"/>
      <c r="AQ1948" s="6"/>
      <c r="AR1948" s="6"/>
      <c r="AS1948" s="6"/>
      <c r="AT1948" s="89"/>
      <c r="AU1948" s="100"/>
      <c r="AV1948" s="65"/>
      <c r="AW1948" s="3"/>
    </row>
    <row r="1949" spans="34:49">
      <c r="AH1949" s="99"/>
      <c r="AL1949" s="99"/>
      <c r="AN1949" s="99"/>
      <c r="AQ1949" s="6"/>
      <c r="AR1949" s="6"/>
      <c r="AS1949" s="6"/>
      <c r="AT1949" s="89"/>
      <c r="AU1949" s="100"/>
      <c r="AV1949" s="65"/>
      <c r="AW1949" s="3"/>
    </row>
    <row r="1950" spans="34:49">
      <c r="AH1950" s="99"/>
      <c r="AL1950" s="99"/>
      <c r="AN1950" s="99"/>
      <c r="AQ1950" s="6"/>
      <c r="AR1950" s="6"/>
      <c r="AS1950" s="6"/>
      <c r="AT1950" s="89"/>
      <c r="AU1950" s="100"/>
      <c r="AV1950" s="65"/>
      <c r="AW1950" s="3"/>
    </row>
    <row r="1951" spans="34:49">
      <c r="AH1951" s="99"/>
      <c r="AL1951" s="99"/>
      <c r="AN1951" s="99"/>
      <c r="AQ1951" s="6"/>
      <c r="AR1951" s="6"/>
      <c r="AS1951" s="6"/>
      <c r="AT1951" s="89"/>
      <c r="AU1951" s="100"/>
      <c r="AV1951" s="65"/>
      <c r="AW1951" s="3"/>
    </row>
    <row r="1952" spans="34:49">
      <c r="AH1952" s="99"/>
      <c r="AL1952" s="99"/>
      <c r="AN1952" s="99"/>
      <c r="AQ1952" s="6"/>
      <c r="AR1952" s="6"/>
      <c r="AS1952" s="6"/>
      <c r="AT1952" s="89"/>
      <c r="AU1952" s="100"/>
      <c r="AV1952" s="65"/>
      <c r="AW1952" s="3"/>
    </row>
    <row r="1953" spans="34:49">
      <c r="AH1953" s="99"/>
      <c r="AL1953" s="99"/>
      <c r="AN1953" s="99"/>
      <c r="AQ1953" s="6"/>
      <c r="AR1953" s="6"/>
      <c r="AS1953" s="6"/>
      <c r="AT1953" s="89"/>
      <c r="AU1953" s="100"/>
      <c r="AV1953" s="65"/>
      <c r="AW1953" s="3"/>
    </row>
    <row r="1954" spans="34:49">
      <c r="AH1954" s="99"/>
      <c r="AL1954" s="99"/>
      <c r="AN1954" s="99"/>
      <c r="AQ1954" s="6"/>
      <c r="AR1954" s="6"/>
      <c r="AS1954" s="6"/>
      <c r="AT1954" s="89"/>
      <c r="AU1954" s="100"/>
      <c r="AV1954" s="65"/>
      <c r="AW1954" s="3"/>
    </row>
    <row r="1955" spans="34:49">
      <c r="AH1955" s="99"/>
      <c r="AL1955" s="99"/>
      <c r="AN1955" s="99"/>
      <c r="AQ1955" s="6"/>
      <c r="AR1955" s="6"/>
      <c r="AS1955" s="6"/>
      <c r="AT1955" s="89"/>
      <c r="AU1955" s="100"/>
      <c r="AV1955" s="65"/>
      <c r="AW1955" s="3"/>
    </row>
    <row r="1956" spans="34:49">
      <c r="AH1956" s="99"/>
      <c r="AL1956" s="99"/>
      <c r="AN1956" s="99"/>
      <c r="AQ1956" s="6"/>
      <c r="AR1956" s="6"/>
      <c r="AS1956" s="6"/>
      <c r="AT1956" s="89"/>
      <c r="AU1956" s="100"/>
      <c r="AV1956" s="65"/>
      <c r="AW1956" s="3"/>
    </row>
    <row r="1957" spans="34:49">
      <c r="AH1957" s="99"/>
      <c r="AL1957" s="99"/>
      <c r="AN1957" s="99"/>
      <c r="AQ1957" s="6"/>
      <c r="AR1957" s="6"/>
      <c r="AS1957" s="6"/>
      <c r="AT1957" s="89"/>
      <c r="AU1957" s="100"/>
      <c r="AV1957" s="65"/>
      <c r="AW1957" s="3"/>
    </row>
    <row r="1958" spans="34:49">
      <c r="AH1958" s="99"/>
      <c r="AL1958" s="99"/>
      <c r="AN1958" s="99"/>
      <c r="AQ1958" s="6"/>
      <c r="AR1958" s="6"/>
      <c r="AS1958" s="6"/>
      <c r="AT1958" s="89"/>
      <c r="AU1958" s="100"/>
      <c r="AV1958" s="65"/>
      <c r="AW1958" s="3"/>
    </row>
    <row r="1959" spans="34:49">
      <c r="AH1959" s="99"/>
      <c r="AL1959" s="99"/>
      <c r="AN1959" s="99"/>
      <c r="AQ1959" s="6"/>
      <c r="AR1959" s="6"/>
      <c r="AS1959" s="6"/>
      <c r="AT1959" s="89"/>
      <c r="AU1959" s="100"/>
      <c r="AV1959" s="65"/>
      <c r="AW1959" s="3"/>
    </row>
    <row r="1960" spans="34:49">
      <c r="AH1960" s="99"/>
      <c r="AL1960" s="99"/>
      <c r="AN1960" s="99"/>
      <c r="AQ1960" s="6"/>
      <c r="AR1960" s="6"/>
      <c r="AS1960" s="6"/>
      <c r="AT1960" s="89"/>
      <c r="AU1960" s="100"/>
      <c r="AV1960" s="65"/>
      <c r="AW1960" s="3"/>
    </row>
    <row r="1961" spans="34:49">
      <c r="AH1961" s="99"/>
      <c r="AL1961" s="99"/>
      <c r="AN1961" s="99"/>
      <c r="AQ1961" s="6"/>
      <c r="AR1961" s="6"/>
      <c r="AS1961" s="6"/>
      <c r="AT1961" s="89"/>
      <c r="AU1961" s="100"/>
      <c r="AV1961" s="65"/>
      <c r="AW1961" s="3"/>
    </row>
    <row r="1962" spans="34:49">
      <c r="AH1962" s="99"/>
      <c r="AL1962" s="99"/>
      <c r="AN1962" s="99"/>
      <c r="AQ1962" s="6"/>
      <c r="AR1962" s="6"/>
      <c r="AS1962" s="6"/>
      <c r="AT1962" s="89"/>
      <c r="AU1962" s="100"/>
      <c r="AV1962" s="65"/>
      <c r="AW1962" s="3"/>
    </row>
    <row r="1963" spans="34:49">
      <c r="AH1963" s="99"/>
      <c r="AL1963" s="99"/>
      <c r="AN1963" s="99"/>
      <c r="AQ1963" s="6"/>
      <c r="AR1963" s="6"/>
      <c r="AS1963" s="6"/>
      <c r="AT1963" s="89"/>
      <c r="AU1963" s="100"/>
      <c r="AV1963" s="65"/>
      <c r="AW1963" s="3"/>
    </row>
    <row r="1964" spans="34:49">
      <c r="AH1964" s="99"/>
      <c r="AL1964" s="99"/>
      <c r="AN1964" s="99"/>
      <c r="AQ1964" s="6"/>
      <c r="AR1964" s="6"/>
      <c r="AS1964" s="6"/>
      <c r="AT1964" s="89"/>
      <c r="AU1964" s="100"/>
      <c r="AV1964" s="65"/>
      <c r="AW1964" s="3"/>
    </row>
    <row r="1965" spans="34:49">
      <c r="AH1965" s="99"/>
      <c r="AL1965" s="99"/>
      <c r="AN1965" s="99"/>
      <c r="AQ1965" s="6"/>
      <c r="AR1965" s="6"/>
      <c r="AS1965" s="6"/>
      <c r="AT1965" s="89"/>
      <c r="AU1965" s="100"/>
      <c r="AV1965" s="65"/>
      <c r="AW1965" s="3"/>
    </row>
    <row r="1966" spans="34:49">
      <c r="AH1966" s="99"/>
      <c r="AL1966" s="99"/>
      <c r="AN1966" s="99"/>
      <c r="AQ1966" s="6"/>
      <c r="AR1966" s="6"/>
      <c r="AS1966" s="6"/>
      <c r="AT1966" s="89"/>
      <c r="AU1966" s="100"/>
      <c r="AV1966" s="65"/>
      <c r="AW1966" s="3"/>
    </row>
    <row r="1967" spans="34:49">
      <c r="AH1967" s="99"/>
      <c r="AL1967" s="99"/>
      <c r="AN1967" s="99"/>
      <c r="AQ1967" s="6"/>
      <c r="AR1967" s="6"/>
      <c r="AS1967" s="6"/>
      <c r="AT1967" s="89"/>
      <c r="AU1967" s="100"/>
      <c r="AV1967" s="65"/>
      <c r="AW1967" s="3"/>
    </row>
    <row r="1968" spans="34:49">
      <c r="AH1968" s="99"/>
      <c r="AL1968" s="99"/>
      <c r="AN1968" s="99"/>
      <c r="AQ1968" s="6"/>
      <c r="AR1968" s="6"/>
      <c r="AS1968" s="6"/>
      <c r="AT1968" s="89"/>
      <c r="AU1968" s="100"/>
      <c r="AV1968" s="65"/>
      <c r="AW1968" s="3"/>
    </row>
    <row r="1969" spans="34:49">
      <c r="AH1969" s="99"/>
      <c r="AL1969" s="99"/>
      <c r="AN1969" s="99"/>
      <c r="AQ1969" s="6"/>
      <c r="AR1969" s="6"/>
      <c r="AS1969" s="6"/>
      <c r="AT1969" s="89"/>
      <c r="AU1969" s="100"/>
      <c r="AV1969" s="65"/>
      <c r="AW1969" s="3"/>
    </row>
    <row r="1970" spans="34:49">
      <c r="AH1970" s="99"/>
      <c r="AL1970" s="99"/>
      <c r="AN1970" s="99"/>
      <c r="AQ1970" s="6"/>
      <c r="AR1970" s="6"/>
      <c r="AS1970" s="6"/>
      <c r="AT1970" s="89"/>
      <c r="AU1970" s="100"/>
      <c r="AV1970" s="65"/>
      <c r="AW1970" s="3"/>
    </row>
    <row r="1971" spans="34:49">
      <c r="AH1971" s="99"/>
      <c r="AL1971" s="99"/>
      <c r="AN1971" s="99"/>
      <c r="AQ1971" s="6"/>
      <c r="AR1971" s="6"/>
      <c r="AS1971" s="6"/>
      <c r="AT1971" s="89"/>
      <c r="AU1971" s="100"/>
      <c r="AV1971" s="65"/>
      <c r="AW1971" s="3"/>
    </row>
    <row r="1972" spans="34:49">
      <c r="AH1972" s="99"/>
      <c r="AL1972" s="99"/>
      <c r="AN1972" s="99"/>
      <c r="AQ1972" s="6"/>
      <c r="AR1972" s="6"/>
      <c r="AS1972" s="6"/>
      <c r="AT1972" s="89"/>
      <c r="AU1972" s="100"/>
      <c r="AV1972" s="65"/>
      <c r="AW1972" s="3"/>
    </row>
    <row r="1973" spans="34:49">
      <c r="AH1973" s="99"/>
      <c r="AL1973" s="99"/>
      <c r="AN1973" s="99"/>
      <c r="AQ1973" s="6"/>
      <c r="AR1973" s="6"/>
      <c r="AS1973" s="6"/>
      <c r="AT1973" s="89"/>
      <c r="AU1973" s="100"/>
      <c r="AV1973" s="65"/>
      <c r="AW1973" s="3"/>
    </row>
    <row r="1974" spans="34:49">
      <c r="AH1974" s="99"/>
      <c r="AL1974" s="99"/>
      <c r="AN1974" s="99"/>
      <c r="AQ1974" s="6"/>
      <c r="AR1974" s="6"/>
      <c r="AS1974" s="6"/>
      <c r="AT1974" s="89"/>
      <c r="AU1974" s="100"/>
      <c r="AV1974" s="65"/>
      <c r="AW1974" s="3"/>
    </row>
    <row r="1975" spans="34:49">
      <c r="AH1975" s="99"/>
      <c r="AL1975" s="99"/>
      <c r="AN1975" s="99"/>
      <c r="AQ1975" s="6"/>
      <c r="AR1975" s="6"/>
      <c r="AS1975" s="6"/>
      <c r="AT1975" s="89"/>
      <c r="AU1975" s="100"/>
      <c r="AV1975" s="65"/>
      <c r="AW1975" s="3"/>
    </row>
    <row r="1976" spans="34:49">
      <c r="AH1976" s="99"/>
      <c r="AL1976" s="99"/>
      <c r="AN1976" s="99"/>
      <c r="AQ1976" s="6"/>
      <c r="AR1976" s="6"/>
      <c r="AS1976" s="6"/>
      <c r="AT1976" s="89"/>
      <c r="AU1976" s="100"/>
      <c r="AV1976" s="65"/>
      <c r="AW1976" s="3"/>
    </row>
    <row r="1977" spans="34:49">
      <c r="AH1977" s="99"/>
      <c r="AL1977" s="99"/>
      <c r="AN1977" s="99"/>
      <c r="AQ1977" s="6"/>
      <c r="AR1977" s="6"/>
      <c r="AS1977" s="6"/>
      <c r="AT1977" s="89"/>
      <c r="AU1977" s="100"/>
      <c r="AV1977" s="65"/>
      <c r="AW1977" s="3"/>
    </row>
    <row r="1978" spans="34:49">
      <c r="AH1978" s="99"/>
      <c r="AL1978" s="99"/>
      <c r="AN1978" s="99"/>
      <c r="AQ1978" s="6"/>
      <c r="AR1978" s="6"/>
      <c r="AS1978" s="6"/>
      <c r="AT1978" s="89"/>
      <c r="AU1978" s="100"/>
      <c r="AV1978" s="65"/>
      <c r="AW1978" s="3"/>
    </row>
    <row r="1979" spans="34:49">
      <c r="AH1979" s="99"/>
      <c r="AL1979" s="99"/>
      <c r="AN1979" s="99"/>
      <c r="AQ1979" s="6"/>
      <c r="AR1979" s="6"/>
      <c r="AS1979" s="6"/>
      <c r="AT1979" s="89"/>
      <c r="AU1979" s="100"/>
      <c r="AV1979" s="65"/>
      <c r="AW1979" s="3"/>
    </row>
    <row r="1980" spans="34:49">
      <c r="AH1980" s="99"/>
      <c r="AL1980" s="99"/>
      <c r="AN1980" s="99"/>
      <c r="AQ1980" s="6"/>
      <c r="AR1980" s="6"/>
      <c r="AS1980" s="6"/>
      <c r="AT1980" s="89"/>
      <c r="AU1980" s="100"/>
      <c r="AV1980" s="65"/>
      <c r="AW1980" s="3"/>
    </row>
    <row r="1981" spans="34:49">
      <c r="AH1981" s="99"/>
      <c r="AL1981" s="99"/>
      <c r="AN1981" s="99"/>
      <c r="AQ1981" s="6"/>
      <c r="AR1981" s="6"/>
      <c r="AS1981" s="6"/>
      <c r="AT1981" s="89"/>
      <c r="AU1981" s="100"/>
      <c r="AV1981" s="65"/>
      <c r="AW1981" s="3"/>
    </row>
    <row r="1982" spans="34:49">
      <c r="AH1982" s="99"/>
      <c r="AL1982" s="99"/>
      <c r="AN1982" s="99"/>
      <c r="AQ1982" s="6"/>
      <c r="AR1982" s="6"/>
      <c r="AS1982" s="6"/>
      <c r="AT1982" s="89"/>
      <c r="AU1982" s="100"/>
      <c r="AV1982" s="65"/>
      <c r="AW1982" s="3"/>
    </row>
    <row r="1983" spans="34:49">
      <c r="AH1983" s="99"/>
      <c r="AL1983" s="99"/>
      <c r="AN1983" s="99"/>
      <c r="AQ1983" s="6"/>
      <c r="AR1983" s="6"/>
      <c r="AS1983" s="6"/>
      <c r="AT1983" s="89"/>
      <c r="AU1983" s="100"/>
      <c r="AV1983" s="65"/>
      <c r="AW1983" s="3"/>
    </row>
    <row r="1984" spans="34:49">
      <c r="AH1984" s="99"/>
      <c r="AL1984" s="99"/>
      <c r="AN1984" s="99"/>
      <c r="AQ1984" s="6"/>
      <c r="AR1984" s="6"/>
      <c r="AS1984" s="6"/>
      <c r="AT1984" s="89"/>
      <c r="AU1984" s="100"/>
      <c r="AV1984" s="65"/>
      <c r="AW1984" s="3"/>
    </row>
    <row r="1985" spans="34:49">
      <c r="AH1985" s="99"/>
      <c r="AL1985" s="99"/>
      <c r="AN1985" s="99"/>
      <c r="AQ1985" s="6"/>
      <c r="AR1985" s="6"/>
      <c r="AS1985" s="6"/>
      <c r="AT1985" s="89"/>
      <c r="AU1985" s="100"/>
      <c r="AV1985" s="65"/>
      <c r="AW1985" s="3"/>
    </row>
    <row r="1986" spans="34:49">
      <c r="AH1986" s="99"/>
      <c r="AL1986" s="99"/>
      <c r="AN1986" s="99"/>
      <c r="AQ1986" s="6"/>
      <c r="AR1986" s="6"/>
      <c r="AS1986" s="6"/>
      <c r="AT1986" s="89"/>
      <c r="AU1986" s="100"/>
      <c r="AV1986" s="65"/>
      <c r="AW1986" s="3"/>
    </row>
    <row r="1987" spans="34:49">
      <c r="AH1987" s="99"/>
      <c r="AL1987" s="99"/>
      <c r="AN1987" s="99"/>
      <c r="AQ1987" s="6"/>
      <c r="AR1987" s="6"/>
      <c r="AS1987" s="6"/>
      <c r="AT1987" s="89"/>
      <c r="AU1987" s="100"/>
      <c r="AV1987" s="65"/>
      <c r="AW1987" s="3"/>
    </row>
    <row r="1988" spans="34:49">
      <c r="AH1988" s="99"/>
      <c r="AL1988" s="99"/>
      <c r="AN1988" s="99"/>
      <c r="AQ1988" s="6"/>
      <c r="AR1988" s="6"/>
      <c r="AS1988" s="6"/>
      <c r="AT1988" s="89"/>
      <c r="AU1988" s="100"/>
      <c r="AV1988" s="65"/>
      <c r="AW1988" s="3"/>
    </row>
    <row r="1989" spans="34:49">
      <c r="AH1989" s="99"/>
      <c r="AL1989" s="99"/>
      <c r="AN1989" s="99"/>
      <c r="AQ1989" s="6"/>
      <c r="AR1989" s="6"/>
      <c r="AS1989" s="6"/>
      <c r="AT1989" s="89"/>
      <c r="AU1989" s="100"/>
      <c r="AV1989" s="65"/>
      <c r="AW1989" s="3"/>
    </row>
    <row r="1990" spans="34:49">
      <c r="AH1990" s="99"/>
      <c r="AL1990" s="99"/>
      <c r="AN1990" s="99"/>
      <c r="AQ1990" s="6"/>
      <c r="AR1990" s="6"/>
      <c r="AS1990" s="6"/>
      <c r="AT1990" s="89"/>
      <c r="AU1990" s="100"/>
      <c r="AV1990" s="65"/>
      <c r="AW1990" s="3"/>
    </row>
    <row r="1991" spans="34:49">
      <c r="AH1991" s="99"/>
      <c r="AL1991" s="99"/>
      <c r="AN1991" s="99"/>
      <c r="AQ1991" s="6"/>
      <c r="AR1991" s="6"/>
      <c r="AS1991" s="6"/>
      <c r="AT1991" s="89"/>
      <c r="AU1991" s="100"/>
      <c r="AV1991" s="65"/>
      <c r="AW1991" s="3"/>
    </row>
    <row r="1992" spans="34:49">
      <c r="AH1992" s="99"/>
      <c r="AL1992" s="99"/>
      <c r="AN1992" s="99"/>
      <c r="AQ1992" s="6"/>
      <c r="AR1992" s="6"/>
      <c r="AS1992" s="6"/>
      <c r="AT1992" s="89"/>
      <c r="AU1992" s="100"/>
      <c r="AV1992" s="65"/>
      <c r="AW1992" s="3"/>
    </row>
    <row r="1993" spans="34:49">
      <c r="AH1993" s="99"/>
      <c r="AL1993" s="99"/>
      <c r="AN1993" s="99"/>
      <c r="AQ1993" s="6"/>
      <c r="AR1993" s="6"/>
      <c r="AS1993" s="6"/>
      <c r="AT1993" s="89"/>
      <c r="AU1993" s="100"/>
      <c r="AV1993" s="65"/>
      <c r="AW1993" s="3"/>
    </row>
    <row r="1994" spans="34:49">
      <c r="AH1994" s="99"/>
      <c r="AL1994" s="99"/>
      <c r="AN1994" s="99"/>
      <c r="AQ1994" s="6"/>
      <c r="AR1994" s="6"/>
      <c r="AS1994" s="6"/>
      <c r="AT1994" s="89"/>
      <c r="AU1994" s="100"/>
      <c r="AV1994" s="65"/>
      <c r="AW1994" s="3"/>
    </row>
    <row r="1995" spans="34:49">
      <c r="AH1995" s="99"/>
      <c r="AL1995" s="99"/>
      <c r="AN1995" s="99"/>
      <c r="AQ1995" s="6"/>
      <c r="AR1995" s="6"/>
      <c r="AS1995" s="6"/>
      <c r="AT1995" s="89"/>
      <c r="AU1995" s="100"/>
      <c r="AV1995" s="65"/>
      <c r="AW1995" s="3"/>
    </row>
    <row r="1996" spans="34:49">
      <c r="AH1996" s="99"/>
      <c r="AL1996" s="99"/>
      <c r="AN1996" s="99"/>
      <c r="AQ1996" s="6"/>
      <c r="AR1996" s="6"/>
      <c r="AS1996" s="6"/>
      <c r="AT1996" s="89"/>
      <c r="AU1996" s="100"/>
      <c r="AV1996" s="65"/>
      <c r="AW1996" s="3"/>
    </row>
    <row r="1997" spans="34:49">
      <c r="AH1997" s="99"/>
      <c r="AL1997" s="99"/>
      <c r="AN1997" s="99"/>
      <c r="AQ1997" s="6"/>
      <c r="AR1997" s="6"/>
      <c r="AS1997" s="6"/>
      <c r="AT1997" s="89"/>
      <c r="AU1997" s="100"/>
      <c r="AV1997" s="65"/>
      <c r="AW1997" s="3"/>
    </row>
    <row r="1998" spans="34:49">
      <c r="AH1998" s="99"/>
      <c r="AL1998" s="99"/>
      <c r="AN1998" s="99"/>
      <c r="AQ1998" s="6"/>
      <c r="AR1998" s="6"/>
      <c r="AS1998" s="6"/>
      <c r="AT1998" s="89"/>
      <c r="AU1998" s="100"/>
      <c r="AV1998" s="65"/>
      <c r="AW1998" s="3"/>
    </row>
    <row r="1999" spans="34:49">
      <c r="AH1999" s="99"/>
      <c r="AL1999" s="99"/>
      <c r="AN1999" s="99"/>
      <c r="AQ1999" s="6"/>
      <c r="AR1999" s="6"/>
      <c r="AS1999" s="6"/>
      <c r="AT1999" s="89"/>
      <c r="AU1999" s="100"/>
      <c r="AV1999" s="65"/>
      <c r="AW1999" s="3"/>
    </row>
    <row r="2000" spans="34:49">
      <c r="AH2000" s="99"/>
      <c r="AL2000" s="99"/>
      <c r="AN2000" s="99"/>
      <c r="AQ2000" s="6"/>
      <c r="AR2000" s="6"/>
      <c r="AS2000" s="6"/>
      <c r="AT2000" s="89"/>
      <c r="AU2000" s="100"/>
      <c r="AV2000" s="65"/>
      <c r="AW2000" s="3"/>
    </row>
    <row r="2001" spans="34:49">
      <c r="AH2001" s="99"/>
      <c r="AL2001" s="99"/>
      <c r="AN2001" s="99"/>
      <c r="AQ2001" s="6"/>
      <c r="AR2001" s="6"/>
      <c r="AS2001" s="6"/>
      <c r="AT2001" s="89"/>
      <c r="AU2001" s="100"/>
      <c r="AV2001" s="65"/>
      <c r="AW2001" s="3"/>
    </row>
    <row r="2002" spans="34:49">
      <c r="AH2002" s="99"/>
      <c r="AL2002" s="99"/>
      <c r="AN2002" s="99"/>
      <c r="AQ2002" s="6"/>
      <c r="AR2002" s="6"/>
      <c r="AS2002" s="6"/>
      <c r="AT2002" s="89"/>
      <c r="AU2002" s="100"/>
      <c r="AV2002" s="65"/>
      <c r="AW2002" s="3"/>
    </row>
    <row r="2003" spans="34:49">
      <c r="AH2003" s="99"/>
      <c r="AL2003" s="99"/>
      <c r="AN2003" s="99"/>
      <c r="AQ2003" s="6"/>
      <c r="AR2003" s="6"/>
      <c r="AS2003" s="6"/>
      <c r="AT2003" s="89"/>
      <c r="AU2003" s="100"/>
      <c r="AV2003" s="65"/>
      <c r="AW2003" s="3"/>
    </row>
    <row r="2004" spans="34:49">
      <c r="AH2004" s="99"/>
      <c r="AL2004" s="99"/>
      <c r="AN2004" s="99"/>
      <c r="AQ2004" s="6"/>
      <c r="AR2004" s="6"/>
      <c r="AS2004" s="6"/>
      <c r="AT2004" s="89"/>
      <c r="AU2004" s="100"/>
      <c r="AV2004" s="65"/>
      <c r="AW2004" s="3"/>
    </row>
    <row r="2005" spans="34:49">
      <c r="AH2005" s="99"/>
      <c r="AL2005" s="99"/>
      <c r="AN2005" s="99"/>
      <c r="AQ2005" s="6"/>
      <c r="AR2005" s="6"/>
      <c r="AS2005" s="6"/>
      <c r="AT2005" s="89"/>
      <c r="AU2005" s="100"/>
      <c r="AV2005" s="65"/>
      <c r="AW2005" s="3"/>
    </row>
    <row r="2006" spans="34:49">
      <c r="AH2006" s="99"/>
      <c r="AL2006" s="99"/>
      <c r="AN2006" s="99"/>
      <c r="AQ2006" s="6"/>
      <c r="AR2006" s="6"/>
      <c r="AS2006" s="6"/>
      <c r="AT2006" s="89"/>
      <c r="AU2006" s="100"/>
      <c r="AV2006" s="65"/>
      <c r="AW2006" s="3"/>
    </row>
    <row r="2007" spans="34:49">
      <c r="AH2007" s="99"/>
      <c r="AL2007" s="99"/>
      <c r="AN2007" s="99"/>
      <c r="AQ2007" s="6"/>
      <c r="AR2007" s="6"/>
      <c r="AS2007" s="6"/>
      <c r="AT2007" s="89"/>
      <c r="AU2007" s="100"/>
      <c r="AV2007" s="65"/>
      <c r="AW2007" s="3"/>
    </row>
    <row r="2008" spans="34:49">
      <c r="AH2008" s="99"/>
      <c r="AL2008" s="99"/>
      <c r="AN2008" s="99"/>
      <c r="AQ2008" s="6"/>
      <c r="AR2008" s="6"/>
      <c r="AS2008" s="6"/>
      <c r="AT2008" s="89"/>
      <c r="AU2008" s="100"/>
      <c r="AV2008" s="65"/>
      <c r="AW2008" s="3"/>
    </row>
    <row r="2009" spans="34:49">
      <c r="AH2009" s="99"/>
      <c r="AL2009" s="99"/>
      <c r="AN2009" s="99"/>
      <c r="AQ2009" s="6"/>
      <c r="AR2009" s="6"/>
      <c r="AS2009" s="6"/>
      <c r="AT2009" s="89"/>
      <c r="AU2009" s="100"/>
      <c r="AV2009" s="65"/>
      <c r="AW2009" s="3"/>
    </row>
    <row r="2010" spans="34:49">
      <c r="AH2010" s="99"/>
      <c r="AL2010" s="99"/>
      <c r="AN2010" s="99"/>
      <c r="AQ2010" s="6"/>
      <c r="AR2010" s="6"/>
      <c r="AS2010" s="6"/>
      <c r="AT2010" s="89"/>
      <c r="AU2010" s="100"/>
      <c r="AV2010" s="65"/>
      <c r="AW2010" s="3"/>
    </row>
    <row r="2011" spans="34:49">
      <c r="AH2011" s="99"/>
      <c r="AL2011" s="99"/>
      <c r="AN2011" s="99"/>
      <c r="AQ2011" s="6"/>
      <c r="AR2011" s="6"/>
      <c r="AS2011" s="6"/>
      <c r="AT2011" s="89"/>
      <c r="AU2011" s="100"/>
      <c r="AV2011" s="65"/>
      <c r="AW2011" s="3"/>
    </row>
    <row r="2012" spans="34:49">
      <c r="AH2012" s="99"/>
      <c r="AL2012" s="99"/>
      <c r="AN2012" s="99"/>
      <c r="AQ2012" s="6"/>
      <c r="AR2012" s="6"/>
      <c r="AS2012" s="6"/>
      <c r="AT2012" s="89"/>
      <c r="AU2012" s="100"/>
      <c r="AV2012" s="65"/>
      <c r="AW2012" s="3"/>
    </row>
    <row r="2013" spans="34:49">
      <c r="AH2013" s="99"/>
      <c r="AL2013" s="99"/>
      <c r="AN2013" s="99"/>
      <c r="AQ2013" s="6"/>
      <c r="AR2013" s="6"/>
      <c r="AS2013" s="6"/>
      <c r="AT2013" s="89"/>
      <c r="AU2013" s="100"/>
      <c r="AV2013" s="65"/>
      <c r="AW2013" s="3"/>
    </row>
    <row r="2014" spans="34:49">
      <c r="AH2014" s="99"/>
      <c r="AL2014" s="99"/>
      <c r="AN2014" s="99"/>
      <c r="AQ2014" s="6"/>
      <c r="AR2014" s="6"/>
      <c r="AS2014" s="6"/>
      <c r="AT2014" s="89"/>
      <c r="AU2014" s="100"/>
      <c r="AV2014" s="65"/>
      <c r="AW2014" s="3"/>
    </row>
    <row r="2015" spans="34:49">
      <c r="AH2015" s="99"/>
      <c r="AL2015" s="99"/>
      <c r="AN2015" s="99"/>
      <c r="AQ2015" s="6"/>
      <c r="AR2015" s="6"/>
      <c r="AS2015" s="6"/>
      <c r="AT2015" s="89"/>
      <c r="AU2015" s="100"/>
      <c r="AV2015" s="65"/>
      <c r="AW2015" s="3"/>
    </row>
    <row r="2016" spans="34:49">
      <c r="AH2016" s="99"/>
      <c r="AL2016" s="99"/>
      <c r="AN2016" s="99"/>
      <c r="AQ2016" s="6"/>
      <c r="AR2016" s="6"/>
      <c r="AS2016" s="6"/>
      <c r="AT2016" s="89"/>
      <c r="AU2016" s="100"/>
      <c r="AV2016" s="65"/>
      <c r="AW2016" s="3"/>
    </row>
    <row r="2017" spans="34:49">
      <c r="AH2017" s="99"/>
      <c r="AL2017" s="99"/>
      <c r="AN2017" s="99"/>
      <c r="AQ2017" s="6"/>
      <c r="AR2017" s="6"/>
      <c r="AS2017" s="6"/>
      <c r="AT2017" s="89"/>
      <c r="AU2017" s="100"/>
      <c r="AV2017" s="65"/>
      <c r="AW2017" s="3"/>
    </row>
    <row r="2018" spans="34:49">
      <c r="AH2018" s="99"/>
      <c r="AL2018" s="99"/>
      <c r="AN2018" s="99"/>
      <c r="AQ2018" s="6"/>
      <c r="AR2018" s="6"/>
      <c r="AS2018" s="6"/>
      <c r="AT2018" s="89"/>
      <c r="AU2018" s="100"/>
      <c r="AV2018" s="65"/>
      <c r="AW2018" s="3"/>
    </row>
    <row r="2019" spans="34:49">
      <c r="AH2019" s="99"/>
      <c r="AL2019" s="99"/>
      <c r="AN2019" s="99"/>
      <c r="AQ2019" s="6"/>
      <c r="AR2019" s="6"/>
      <c r="AS2019" s="6"/>
      <c r="AT2019" s="89"/>
      <c r="AU2019" s="100"/>
      <c r="AV2019" s="65"/>
      <c r="AW2019" s="3"/>
    </row>
    <row r="2020" spans="34:49">
      <c r="AH2020" s="99"/>
      <c r="AL2020" s="99"/>
      <c r="AN2020" s="99"/>
      <c r="AQ2020" s="6"/>
      <c r="AR2020" s="6"/>
      <c r="AS2020" s="6"/>
      <c r="AT2020" s="89"/>
      <c r="AU2020" s="100"/>
      <c r="AV2020" s="65"/>
      <c r="AW2020" s="3"/>
    </row>
    <row r="2021" spans="34:49">
      <c r="AH2021" s="99"/>
      <c r="AL2021" s="99"/>
      <c r="AN2021" s="99"/>
      <c r="AQ2021" s="6"/>
      <c r="AR2021" s="6"/>
      <c r="AS2021" s="6"/>
      <c r="AT2021" s="89"/>
      <c r="AU2021" s="100"/>
      <c r="AV2021" s="65"/>
      <c r="AW2021" s="3"/>
    </row>
    <row r="2022" spans="34:49">
      <c r="AH2022" s="99"/>
      <c r="AL2022" s="99"/>
      <c r="AN2022" s="99"/>
      <c r="AQ2022" s="6"/>
      <c r="AR2022" s="6"/>
      <c r="AS2022" s="6"/>
      <c r="AT2022" s="89"/>
      <c r="AU2022" s="100"/>
      <c r="AV2022" s="65"/>
      <c r="AW2022" s="3"/>
    </row>
    <row r="2023" spans="34:49">
      <c r="AH2023" s="99"/>
      <c r="AL2023" s="99"/>
      <c r="AN2023" s="99"/>
      <c r="AQ2023" s="6"/>
      <c r="AR2023" s="6"/>
      <c r="AS2023" s="6"/>
      <c r="AT2023" s="89"/>
      <c r="AU2023" s="100"/>
      <c r="AV2023" s="65"/>
      <c r="AW2023" s="3"/>
    </row>
    <row r="2024" spans="34:49">
      <c r="AH2024" s="99"/>
      <c r="AL2024" s="99"/>
      <c r="AN2024" s="99"/>
      <c r="AQ2024" s="6"/>
      <c r="AR2024" s="6"/>
      <c r="AS2024" s="6"/>
      <c r="AT2024" s="89"/>
      <c r="AU2024" s="100"/>
      <c r="AV2024" s="65"/>
      <c r="AW2024" s="3"/>
    </row>
    <row r="2025" spans="34:49">
      <c r="AH2025" s="99"/>
      <c r="AL2025" s="99"/>
      <c r="AN2025" s="99"/>
      <c r="AQ2025" s="6"/>
      <c r="AR2025" s="6"/>
      <c r="AS2025" s="6"/>
      <c r="AT2025" s="89"/>
      <c r="AU2025" s="100"/>
      <c r="AV2025" s="65"/>
      <c r="AW2025" s="3"/>
    </row>
    <row r="2026" spans="34:49">
      <c r="AH2026" s="99"/>
      <c r="AL2026" s="99"/>
      <c r="AN2026" s="99"/>
      <c r="AQ2026" s="6"/>
      <c r="AR2026" s="6"/>
      <c r="AS2026" s="6"/>
      <c r="AT2026" s="89"/>
      <c r="AU2026" s="100"/>
      <c r="AV2026" s="65"/>
      <c r="AW2026" s="3"/>
    </row>
    <row r="2027" spans="34:49">
      <c r="AH2027" s="99"/>
      <c r="AL2027" s="99"/>
      <c r="AN2027" s="99"/>
      <c r="AQ2027" s="6"/>
      <c r="AR2027" s="6"/>
      <c r="AS2027" s="6"/>
      <c r="AT2027" s="89"/>
      <c r="AU2027" s="100"/>
      <c r="AV2027" s="65"/>
      <c r="AW2027" s="3"/>
    </row>
    <row r="2028" spans="34:49">
      <c r="AH2028" s="99"/>
      <c r="AL2028" s="99"/>
      <c r="AN2028" s="99"/>
      <c r="AQ2028" s="6"/>
      <c r="AR2028" s="6"/>
      <c r="AS2028" s="6"/>
      <c r="AT2028" s="89"/>
      <c r="AU2028" s="100"/>
      <c r="AV2028" s="65"/>
      <c r="AW2028" s="3"/>
    </row>
    <row r="2029" spans="34:49">
      <c r="AH2029" s="99"/>
      <c r="AL2029" s="99"/>
      <c r="AN2029" s="99"/>
      <c r="AQ2029" s="6"/>
      <c r="AR2029" s="6"/>
      <c r="AS2029" s="6"/>
      <c r="AT2029" s="89"/>
      <c r="AU2029" s="100"/>
      <c r="AV2029" s="65"/>
      <c r="AW2029" s="3"/>
    </row>
    <row r="2030" spans="34:49">
      <c r="AH2030" s="99"/>
      <c r="AL2030" s="99"/>
      <c r="AN2030" s="99"/>
      <c r="AQ2030" s="6"/>
      <c r="AR2030" s="6"/>
      <c r="AS2030" s="6"/>
      <c r="AT2030" s="89"/>
      <c r="AU2030" s="100"/>
      <c r="AV2030" s="65"/>
      <c r="AW2030" s="3"/>
    </row>
    <row r="2031" spans="34:49">
      <c r="AH2031" s="99"/>
      <c r="AL2031" s="99"/>
      <c r="AN2031" s="99"/>
      <c r="AQ2031" s="6"/>
      <c r="AR2031" s="6"/>
      <c r="AS2031" s="6"/>
      <c r="AT2031" s="89"/>
      <c r="AU2031" s="100"/>
      <c r="AV2031" s="65"/>
      <c r="AW2031" s="3"/>
    </row>
    <row r="2032" spans="34:49">
      <c r="AH2032" s="99"/>
      <c r="AL2032" s="99"/>
      <c r="AN2032" s="99"/>
      <c r="AQ2032" s="6"/>
      <c r="AR2032" s="6"/>
      <c r="AS2032" s="6"/>
      <c r="AT2032" s="89"/>
      <c r="AU2032" s="100"/>
      <c r="AV2032" s="65"/>
      <c r="AW2032" s="3"/>
    </row>
    <row r="2033" spans="34:49">
      <c r="AH2033" s="99"/>
      <c r="AL2033" s="99"/>
      <c r="AN2033" s="99"/>
      <c r="AQ2033" s="6"/>
      <c r="AR2033" s="6"/>
      <c r="AS2033" s="6"/>
      <c r="AT2033" s="89"/>
      <c r="AU2033" s="100"/>
      <c r="AV2033" s="65"/>
      <c r="AW2033" s="3"/>
    </row>
    <row r="2034" spans="34:49">
      <c r="AH2034" s="99"/>
      <c r="AL2034" s="99"/>
      <c r="AN2034" s="99"/>
      <c r="AQ2034" s="6"/>
      <c r="AR2034" s="6"/>
      <c r="AS2034" s="6"/>
      <c r="AT2034" s="89"/>
      <c r="AU2034" s="100"/>
      <c r="AV2034" s="65"/>
      <c r="AW2034" s="3"/>
    </row>
    <row r="2035" spans="34:49">
      <c r="AH2035" s="99"/>
      <c r="AL2035" s="99"/>
      <c r="AN2035" s="99"/>
      <c r="AQ2035" s="6"/>
      <c r="AR2035" s="6"/>
      <c r="AS2035" s="6"/>
      <c r="AT2035" s="89"/>
      <c r="AU2035" s="100"/>
      <c r="AV2035" s="65"/>
      <c r="AW2035" s="3"/>
    </row>
    <row r="2036" spans="34:49">
      <c r="AH2036" s="99"/>
      <c r="AL2036" s="99"/>
      <c r="AN2036" s="99"/>
      <c r="AQ2036" s="6"/>
      <c r="AR2036" s="6"/>
      <c r="AS2036" s="6"/>
      <c r="AT2036" s="89"/>
      <c r="AU2036" s="100"/>
      <c r="AV2036" s="65"/>
      <c r="AW2036" s="3"/>
    </row>
    <row r="2037" spans="34:49">
      <c r="AH2037" s="99"/>
      <c r="AL2037" s="99"/>
      <c r="AN2037" s="99"/>
      <c r="AQ2037" s="6"/>
      <c r="AR2037" s="6"/>
      <c r="AS2037" s="6"/>
      <c r="AT2037" s="89"/>
      <c r="AU2037" s="100"/>
      <c r="AV2037" s="65"/>
      <c r="AW2037" s="3"/>
    </row>
    <row r="2038" spans="34:49">
      <c r="AH2038" s="99"/>
      <c r="AL2038" s="99"/>
      <c r="AN2038" s="99"/>
      <c r="AQ2038" s="6"/>
      <c r="AR2038" s="6"/>
      <c r="AS2038" s="6"/>
      <c r="AT2038" s="89"/>
      <c r="AU2038" s="100"/>
      <c r="AV2038" s="65"/>
      <c r="AW2038" s="3"/>
    </row>
    <row r="2039" spans="34:49">
      <c r="AH2039" s="99"/>
      <c r="AL2039" s="99"/>
      <c r="AN2039" s="99"/>
      <c r="AQ2039" s="6"/>
      <c r="AR2039" s="6"/>
      <c r="AS2039" s="6"/>
      <c r="AT2039" s="89"/>
      <c r="AU2039" s="100"/>
      <c r="AV2039" s="65"/>
      <c r="AW2039" s="3"/>
    </row>
    <row r="2040" spans="34:49">
      <c r="AH2040" s="99"/>
      <c r="AL2040" s="99"/>
      <c r="AN2040" s="99"/>
      <c r="AQ2040" s="6"/>
      <c r="AR2040" s="6"/>
      <c r="AS2040" s="6"/>
      <c r="AT2040" s="89"/>
      <c r="AU2040" s="100"/>
      <c r="AV2040" s="65"/>
      <c r="AW2040" s="3"/>
    </row>
    <row r="2041" spans="34:49">
      <c r="AH2041" s="99"/>
      <c r="AL2041" s="99"/>
      <c r="AN2041" s="99"/>
      <c r="AQ2041" s="6"/>
      <c r="AR2041" s="6"/>
      <c r="AS2041" s="6"/>
      <c r="AT2041" s="89"/>
      <c r="AU2041" s="100"/>
      <c r="AV2041" s="65"/>
      <c r="AW2041" s="3"/>
    </row>
    <row r="2042" spans="34:49">
      <c r="AH2042" s="99"/>
      <c r="AL2042" s="99"/>
      <c r="AN2042" s="99"/>
      <c r="AQ2042" s="6"/>
      <c r="AR2042" s="6"/>
      <c r="AS2042" s="6"/>
      <c r="AT2042" s="89"/>
      <c r="AU2042" s="100"/>
      <c r="AV2042" s="65"/>
      <c r="AW2042" s="3"/>
    </row>
    <row r="2043" spans="34:49">
      <c r="AH2043" s="99"/>
      <c r="AL2043" s="99"/>
      <c r="AN2043" s="99"/>
      <c r="AQ2043" s="6"/>
      <c r="AR2043" s="6"/>
      <c r="AS2043" s="6"/>
      <c r="AT2043" s="89"/>
      <c r="AU2043" s="100"/>
      <c r="AV2043" s="65"/>
      <c r="AW2043" s="3"/>
    </row>
    <row r="2044" spans="34:49">
      <c r="AH2044" s="99"/>
      <c r="AL2044" s="99"/>
      <c r="AN2044" s="99"/>
      <c r="AQ2044" s="6"/>
      <c r="AR2044" s="6"/>
      <c r="AS2044" s="6"/>
      <c r="AT2044" s="89"/>
      <c r="AU2044" s="100"/>
      <c r="AV2044" s="65"/>
      <c r="AW2044" s="3"/>
    </row>
    <row r="2045" spans="34:49">
      <c r="AH2045" s="99"/>
      <c r="AL2045" s="99"/>
      <c r="AN2045" s="99"/>
      <c r="AQ2045" s="6"/>
      <c r="AR2045" s="6"/>
      <c r="AS2045" s="6"/>
      <c r="AT2045" s="89"/>
      <c r="AU2045" s="100"/>
      <c r="AV2045" s="65"/>
      <c r="AW2045" s="3"/>
    </row>
    <row r="2046" spans="34:49">
      <c r="AH2046" s="99"/>
      <c r="AL2046" s="99"/>
      <c r="AN2046" s="99"/>
      <c r="AQ2046" s="6"/>
      <c r="AR2046" s="6"/>
      <c r="AS2046" s="6"/>
      <c r="AT2046" s="89"/>
      <c r="AU2046" s="100"/>
      <c r="AV2046" s="65"/>
      <c r="AW2046" s="3"/>
    </row>
    <row r="2047" spans="34:49">
      <c r="AH2047" s="99"/>
      <c r="AL2047" s="99"/>
      <c r="AN2047" s="99"/>
      <c r="AQ2047" s="6"/>
      <c r="AR2047" s="6"/>
      <c r="AS2047" s="6"/>
      <c r="AT2047" s="89"/>
      <c r="AU2047" s="100"/>
      <c r="AV2047" s="65"/>
      <c r="AW2047" s="3"/>
    </row>
    <row r="2048" spans="34:49">
      <c r="AH2048" s="99"/>
      <c r="AL2048" s="99"/>
      <c r="AN2048" s="99"/>
      <c r="AQ2048" s="6"/>
      <c r="AR2048" s="6"/>
      <c r="AS2048" s="6"/>
      <c r="AT2048" s="89"/>
      <c r="AU2048" s="100"/>
      <c r="AV2048" s="65"/>
      <c r="AW2048" s="3"/>
    </row>
    <row r="2049" spans="34:49">
      <c r="AH2049" s="99"/>
      <c r="AL2049" s="99"/>
      <c r="AN2049" s="99"/>
      <c r="AQ2049" s="6"/>
      <c r="AR2049" s="6"/>
      <c r="AS2049" s="6"/>
      <c r="AT2049" s="89"/>
      <c r="AU2049" s="100"/>
      <c r="AV2049" s="65"/>
      <c r="AW2049" s="3"/>
    </row>
    <row r="2050" spans="34:49">
      <c r="AH2050" s="99"/>
      <c r="AL2050" s="99"/>
      <c r="AN2050" s="99"/>
      <c r="AQ2050" s="6"/>
      <c r="AR2050" s="6"/>
      <c r="AS2050" s="6"/>
      <c r="AT2050" s="89"/>
      <c r="AU2050" s="100"/>
      <c r="AV2050" s="65"/>
      <c r="AW2050" s="3"/>
    </row>
    <row r="2051" spans="34:49">
      <c r="AH2051" s="99"/>
      <c r="AL2051" s="99"/>
      <c r="AN2051" s="99"/>
      <c r="AQ2051" s="6"/>
      <c r="AR2051" s="6"/>
      <c r="AS2051" s="6"/>
      <c r="AT2051" s="89"/>
      <c r="AU2051" s="100"/>
      <c r="AV2051" s="65"/>
      <c r="AW2051" s="3"/>
    </row>
    <row r="2052" spans="34:49">
      <c r="AH2052" s="99"/>
      <c r="AL2052" s="99"/>
      <c r="AN2052" s="99"/>
      <c r="AQ2052" s="6"/>
      <c r="AR2052" s="6"/>
      <c r="AS2052" s="6"/>
      <c r="AT2052" s="89"/>
      <c r="AU2052" s="100"/>
      <c r="AV2052" s="65"/>
      <c r="AW2052" s="3"/>
    </row>
    <row r="2053" spans="34:49">
      <c r="AH2053" s="99"/>
      <c r="AL2053" s="99"/>
      <c r="AN2053" s="99"/>
      <c r="AQ2053" s="6"/>
      <c r="AR2053" s="6"/>
      <c r="AS2053" s="6"/>
      <c r="AT2053" s="89"/>
      <c r="AU2053" s="100"/>
      <c r="AV2053" s="65"/>
      <c r="AW2053" s="3"/>
    </row>
    <row r="2054" spans="34:49">
      <c r="AH2054" s="99"/>
      <c r="AL2054" s="99"/>
      <c r="AN2054" s="99"/>
      <c r="AQ2054" s="6"/>
      <c r="AR2054" s="6"/>
      <c r="AS2054" s="6"/>
      <c r="AT2054" s="89"/>
      <c r="AU2054" s="100"/>
      <c r="AV2054" s="65"/>
      <c r="AW2054" s="3"/>
    </row>
    <row r="2055" spans="34:49">
      <c r="AH2055" s="99"/>
      <c r="AL2055" s="99"/>
      <c r="AN2055" s="99"/>
      <c r="AQ2055" s="6"/>
      <c r="AR2055" s="6"/>
      <c r="AS2055" s="6"/>
      <c r="AT2055" s="89"/>
      <c r="AU2055" s="100"/>
      <c r="AV2055" s="65"/>
      <c r="AW2055" s="3"/>
    </row>
    <row r="2056" spans="34:49">
      <c r="AH2056" s="99"/>
      <c r="AL2056" s="99"/>
      <c r="AN2056" s="99"/>
      <c r="AQ2056" s="6"/>
      <c r="AR2056" s="6"/>
      <c r="AS2056" s="6"/>
      <c r="AT2056" s="89"/>
      <c r="AU2056" s="100"/>
      <c r="AV2056" s="65"/>
      <c r="AW2056" s="3"/>
    </row>
    <row r="2057" spans="34:49">
      <c r="AH2057" s="99"/>
      <c r="AL2057" s="99"/>
      <c r="AN2057" s="99"/>
      <c r="AQ2057" s="6"/>
      <c r="AR2057" s="6"/>
      <c r="AS2057" s="6"/>
      <c r="AT2057" s="89"/>
      <c r="AU2057" s="100"/>
      <c r="AV2057" s="65"/>
      <c r="AW2057" s="3"/>
    </row>
    <row r="2058" spans="34:49">
      <c r="AH2058" s="99"/>
      <c r="AL2058" s="99"/>
      <c r="AN2058" s="99"/>
      <c r="AQ2058" s="6"/>
      <c r="AR2058" s="6"/>
      <c r="AS2058" s="6"/>
      <c r="AT2058" s="89"/>
      <c r="AU2058" s="100"/>
      <c r="AV2058" s="65"/>
      <c r="AW2058" s="3"/>
    </row>
    <row r="2059" spans="34:49">
      <c r="AH2059" s="99"/>
      <c r="AL2059" s="99"/>
      <c r="AN2059" s="99"/>
      <c r="AQ2059" s="6"/>
      <c r="AR2059" s="6"/>
      <c r="AS2059" s="6"/>
      <c r="AT2059" s="89"/>
      <c r="AU2059" s="100"/>
      <c r="AV2059" s="65"/>
      <c r="AW2059" s="3"/>
    </row>
    <row r="2060" spans="34:49">
      <c r="AH2060" s="99"/>
      <c r="AL2060" s="99"/>
      <c r="AN2060" s="99"/>
      <c r="AQ2060" s="6"/>
      <c r="AR2060" s="6"/>
      <c r="AS2060" s="6"/>
      <c r="AT2060" s="89"/>
      <c r="AU2060" s="100"/>
      <c r="AV2060" s="65"/>
      <c r="AW2060" s="3"/>
    </row>
    <row r="2061" spans="34:49">
      <c r="AH2061" s="99"/>
      <c r="AL2061" s="99"/>
      <c r="AN2061" s="99"/>
      <c r="AQ2061" s="6"/>
      <c r="AR2061" s="6"/>
      <c r="AS2061" s="6"/>
      <c r="AT2061" s="89"/>
      <c r="AU2061" s="100"/>
      <c r="AV2061" s="65"/>
      <c r="AW2061" s="3"/>
    </row>
    <row r="2062" spans="34:49">
      <c r="AH2062" s="99"/>
      <c r="AL2062" s="99"/>
      <c r="AN2062" s="99"/>
      <c r="AQ2062" s="6"/>
      <c r="AR2062" s="6"/>
      <c r="AS2062" s="6"/>
      <c r="AT2062" s="89"/>
      <c r="AU2062" s="100"/>
      <c r="AV2062" s="65"/>
      <c r="AW2062" s="3"/>
    </row>
    <row r="2063" spans="34:49">
      <c r="AH2063" s="99"/>
      <c r="AL2063" s="99"/>
      <c r="AN2063" s="99"/>
      <c r="AQ2063" s="6"/>
      <c r="AR2063" s="6"/>
      <c r="AS2063" s="6"/>
      <c r="AT2063" s="89"/>
      <c r="AU2063" s="100"/>
      <c r="AV2063" s="65"/>
      <c r="AW2063" s="3"/>
    </row>
    <row r="2064" spans="34:49">
      <c r="AH2064" s="99"/>
      <c r="AL2064" s="99"/>
      <c r="AN2064" s="99"/>
      <c r="AQ2064" s="6"/>
      <c r="AR2064" s="6"/>
      <c r="AS2064" s="6"/>
      <c r="AT2064" s="89"/>
      <c r="AU2064" s="100"/>
      <c r="AV2064" s="65"/>
      <c r="AW2064" s="3"/>
    </row>
    <row r="2065" spans="34:49">
      <c r="AH2065" s="99"/>
      <c r="AL2065" s="99"/>
      <c r="AN2065" s="99"/>
      <c r="AQ2065" s="6"/>
      <c r="AR2065" s="6"/>
      <c r="AS2065" s="6"/>
      <c r="AT2065" s="89"/>
      <c r="AU2065" s="100"/>
      <c r="AV2065" s="65"/>
      <c r="AW2065" s="3"/>
    </row>
    <row r="2066" spans="34:49">
      <c r="AH2066" s="99"/>
      <c r="AL2066" s="99"/>
      <c r="AN2066" s="99"/>
      <c r="AQ2066" s="6"/>
      <c r="AR2066" s="6"/>
      <c r="AS2066" s="6"/>
      <c r="AT2066" s="89"/>
      <c r="AU2066" s="100"/>
      <c r="AV2066" s="65"/>
      <c r="AW2066" s="3"/>
    </row>
    <row r="2067" spans="34:49">
      <c r="AH2067" s="99"/>
      <c r="AL2067" s="99"/>
      <c r="AN2067" s="99"/>
      <c r="AQ2067" s="6"/>
      <c r="AR2067" s="6"/>
      <c r="AS2067" s="6"/>
      <c r="AT2067" s="89"/>
      <c r="AU2067" s="100"/>
      <c r="AV2067" s="65"/>
      <c r="AW2067" s="3"/>
    </row>
    <row r="2068" spans="34:49">
      <c r="AH2068" s="99"/>
      <c r="AL2068" s="99"/>
      <c r="AN2068" s="99"/>
      <c r="AQ2068" s="6"/>
      <c r="AR2068" s="6"/>
      <c r="AS2068" s="6"/>
      <c r="AT2068" s="89"/>
      <c r="AU2068" s="100"/>
      <c r="AV2068" s="65"/>
      <c r="AW2068" s="3"/>
    </row>
    <row r="2069" spans="34:49">
      <c r="AH2069" s="99"/>
      <c r="AL2069" s="99"/>
      <c r="AN2069" s="99"/>
      <c r="AQ2069" s="6"/>
      <c r="AR2069" s="6"/>
      <c r="AS2069" s="6"/>
      <c r="AT2069" s="89"/>
      <c r="AU2069" s="100"/>
      <c r="AV2069" s="65"/>
      <c r="AW2069" s="3"/>
    </row>
    <row r="2070" spans="34:49">
      <c r="AH2070" s="99"/>
      <c r="AL2070" s="99"/>
      <c r="AN2070" s="99"/>
      <c r="AQ2070" s="6"/>
      <c r="AR2070" s="6"/>
      <c r="AS2070" s="6"/>
      <c r="AT2070" s="89"/>
      <c r="AU2070" s="100"/>
      <c r="AV2070" s="65"/>
      <c r="AW2070" s="3"/>
    </row>
    <row r="2071" spans="34:49">
      <c r="AH2071" s="99"/>
      <c r="AL2071" s="99"/>
      <c r="AN2071" s="99"/>
      <c r="AQ2071" s="6"/>
      <c r="AR2071" s="6"/>
      <c r="AS2071" s="6"/>
      <c r="AT2071" s="89"/>
      <c r="AU2071" s="100"/>
      <c r="AV2071" s="65"/>
      <c r="AW2071" s="3"/>
    </row>
    <row r="2072" spans="34:49">
      <c r="AH2072" s="99"/>
      <c r="AL2072" s="99"/>
      <c r="AN2072" s="99"/>
      <c r="AQ2072" s="6"/>
      <c r="AR2072" s="6"/>
      <c r="AS2072" s="6"/>
      <c r="AT2072" s="89"/>
      <c r="AU2072" s="100"/>
      <c r="AV2072" s="65"/>
      <c r="AW2072" s="3"/>
    </row>
    <row r="2073" spans="34:49">
      <c r="AH2073" s="99"/>
      <c r="AL2073" s="99"/>
      <c r="AN2073" s="99"/>
      <c r="AQ2073" s="6"/>
      <c r="AR2073" s="6"/>
      <c r="AS2073" s="6"/>
      <c r="AT2073" s="89"/>
      <c r="AU2073" s="100"/>
      <c r="AV2073" s="65"/>
      <c r="AW2073" s="3"/>
    </row>
    <row r="2074" spans="34:49">
      <c r="AH2074" s="99"/>
      <c r="AL2074" s="99"/>
      <c r="AN2074" s="99"/>
      <c r="AQ2074" s="6"/>
      <c r="AR2074" s="6"/>
      <c r="AS2074" s="6"/>
      <c r="AT2074" s="89"/>
      <c r="AU2074" s="100"/>
      <c r="AV2074" s="65"/>
      <c r="AW2074" s="3"/>
    </row>
    <row r="2075" spans="34:49">
      <c r="AH2075" s="99"/>
      <c r="AL2075" s="99"/>
      <c r="AN2075" s="99"/>
      <c r="AQ2075" s="6"/>
      <c r="AR2075" s="6"/>
      <c r="AS2075" s="6"/>
      <c r="AT2075" s="89"/>
      <c r="AU2075" s="100"/>
      <c r="AV2075" s="65"/>
      <c r="AW2075" s="3"/>
    </row>
    <row r="2076" spans="34:49">
      <c r="AH2076" s="99"/>
      <c r="AL2076" s="99"/>
      <c r="AN2076" s="99"/>
      <c r="AQ2076" s="6"/>
      <c r="AR2076" s="6"/>
      <c r="AS2076" s="6"/>
      <c r="AT2076" s="89"/>
      <c r="AU2076" s="100"/>
      <c r="AV2076" s="65"/>
      <c r="AW2076" s="3"/>
    </row>
    <row r="2077" spans="34:49">
      <c r="AH2077" s="99"/>
      <c r="AL2077" s="99"/>
      <c r="AN2077" s="99"/>
      <c r="AQ2077" s="6"/>
      <c r="AR2077" s="6"/>
      <c r="AS2077" s="6"/>
      <c r="AT2077" s="89"/>
      <c r="AU2077" s="100"/>
      <c r="AV2077" s="65"/>
      <c r="AW2077" s="3"/>
    </row>
    <row r="2078" spans="34:49">
      <c r="AH2078" s="99"/>
      <c r="AL2078" s="99"/>
      <c r="AN2078" s="99"/>
      <c r="AQ2078" s="6"/>
      <c r="AR2078" s="6"/>
      <c r="AS2078" s="6"/>
      <c r="AT2078" s="89"/>
      <c r="AU2078" s="100"/>
      <c r="AV2078" s="65"/>
      <c r="AW2078" s="3"/>
    </row>
    <row r="2079" spans="34:49">
      <c r="AH2079" s="99"/>
      <c r="AL2079" s="99"/>
      <c r="AN2079" s="99"/>
      <c r="AQ2079" s="6"/>
      <c r="AR2079" s="6"/>
      <c r="AS2079" s="6"/>
      <c r="AT2079" s="89"/>
      <c r="AU2079" s="100"/>
      <c r="AV2079" s="65"/>
      <c r="AW2079" s="3"/>
    </row>
    <row r="2080" spans="34:49">
      <c r="AH2080" s="99"/>
      <c r="AL2080" s="99"/>
      <c r="AN2080" s="99"/>
      <c r="AQ2080" s="6"/>
      <c r="AR2080" s="6"/>
      <c r="AS2080" s="6"/>
      <c r="AT2080" s="89"/>
      <c r="AU2080" s="100"/>
      <c r="AV2080" s="65"/>
      <c r="AW2080" s="3"/>
    </row>
    <row r="2081" spans="34:49">
      <c r="AH2081" s="99"/>
      <c r="AL2081" s="99"/>
      <c r="AN2081" s="99"/>
      <c r="AQ2081" s="6"/>
      <c r="AR2081" s="6"/>
      <c r="AS2081" s="6"/>
      <c r="AT2081" s="89"/>
      <c r="AU2081" s="100"/>
      <c r="AV2081" s="65"/>
      <c r="AW2081" s="3"/>
    </row>
    <row r="2082" spans="34:49">
      <c r="AH2082" s="99"/>
      <c r="AL2082" s="99"/>
      <c r="AN2082" s="99"/>
      <c r="AQ2082" s="6"/>
      <c r="AR2082" s="6"/>
      <c r="AS2082" s="6"/>
      <c r="AT2082" s="89"/>
      <c r="AU2082" s="100"/>
      <c r="AV2082" s="65"/>
      <c r="AW2082" s="3"/>
    </row>
    <row r="2083" spans="34:49">
      <c r="AH2083" s="99"/>
      <c r="AL2083" s="99"/>
      <c r="AN2083" s="99"/>
      <c r="AQ2083" s="6"/>
      <c r="AR2083" s="6"/>
      <c r="AS2083" s="6"/>
      <c r="AT2083" s="89"/>
      <c r="AU2083" s="100"/>
      <c r="AV2083" s="65"/>
      <c r="AW2083" s="3"/>
    </row>
    <row r="2084" spans="34:49">
      <c r="AH2084" s="99"/>
      <c r="AL2084" s="99"/>
      <c r="AN2084" s="99"/>
      <c r="AQ2084" s="6"/>
      <c r="AR2084" s="6"/>
      <c r="AS2084" s="6"/>
      <c r="AT2084" s="89"/>
      <c r="AU2084" s="100"/>
      <c r="AV2084" s="65"/>
      <c r="AW2084" s="3"/>
    </row>
    <row r="2085" spans="34:49">
      <c r="AH2085" s="99"/>
      <c r="AL2085" s="99"/>
      <c r="AN2085" s="99"/>
      <c r="AQ2085" s="6"/>
      <c r="AR2085" s="6"/>
      <c r="AS2085" s="6"/>
      <c r="AT2085" s="89"/>
      <c r="AU2085" s="100"/>
      <c r="AV2085" s="65"/>
      <c r="AW2085" s="3"/>
    </row>
    <row r="2086" spans="34:49">
      <c r="AH2086" s="99"/>
      <c r="AL2086" s="99"/>
      <c r="AN2086" s="99"/>
      <c r="AQ2086" s="6"/>
      <c r="AR2086" s="6"/>
      <c r="AS2086" s="6"/>
      <c r="AT2086" s="89"/>
      <c r="AU2086" s="100"/>
      <c r="AV2086" s="65"/>
      <c r="AW2086" s="3"/>
    </row>
    <row r="2087" spans="34:49">
      <c r="AH2087" s="99"/>
      <c r="AL2087" s="99"/>
      <c r="AN2087" s="99"/>
      <c r="AQ2087" s="6"/>
      <c r="AR2087" s="6"/>
      <c r="AS2087" s="6"/>
      <c r="AT2087" s="89"/>
      <c r="AU2087" s="100"/>
      <c r="AV2087" s="65"/>
      <c r="AW2087" s="3"/>
    </row>
    <row r="2088" spans="34:49">
      <c r="AH2088" s="99"/>
      <c r="AL2088" s="99"/>
      <c r="AN2088" s="99"/>
      <c r="AQ2088" s="6"/>
      <c r="AR2088" s="6"/>
      <c r="AS2088" s="6"/>
      <c r="AT2088" s="89"/>
      <c r="AU2088" s="100"/>
      <c r="AV2088" s="65"/>
      <c r="AW2088" s="3"/>
    </row>
    <row r="2089" spans="34:49">
      <c r="AH2089" s="99"/>
      <c r="AL2089" s="99"/>
      <c r="AN2089" s="99"/>
      <c r="AQ2089" s="6"/>
      <c r="AR2089" s="6"/>
      <c r="AS2089" s="6"/>
      <c r="AT2089" s="89"/>
      <c r="AU2089" s="100"/>
      <c r="AV2089" s="65"/>
      <c r="AW2089" s="3"/>
    </row>
    <row r="2090" spans="34:49">
      <c r="AH2090" s="99"/>
      <c r="AL2090" s="99"/>
      <c r="AN2090" s="99"/>
      <c r="AQ2090" s="6"/>
      <c r="AR2090" s="6"/>
      <c r="AS2090" s="6"/>
      <c r="AT2090" s="89"/>
      <c r="AU2090" s="100"/>
      <c r="AV2090" s="65"/>
      <c r="AW2090" s="3"/>
    </row>
    <row r="2091" spans="34:49">
      <c r="AH2091" s="99"/>
      <c r="AL2091" s="99"/>
      <c r="AN2091" s="99"/>
      <c r="AQ2091" s="6"/>
      <c r="AR2091" s="6"/>
      <c r="AS2091" s="6"/>
      <c r="AT2091" s="89"/>
      <c r="AU2091" s="100"/>
      <c r="AV2091" s="65"/>
      <c r="AW2091" s="3"/>
    </row>
    <row r="2092" spans="34:49">
      <c r="AH2092" s="99"/>
      <c r="AL2092" s="99"/>
      <c r="AN2092" s="99"/>
      <c r="AQ2092" s="6"/>
      <c r="AR2092" s="6"/>
      <c r="AS2092" s="6"/>
      <c r="AT2092" s="89"/>
      <c r="AU2092" s="100"/>
      <c r="AV2092" s="65"/>
      <c r="AW2092" s="3"/>
    </row>
    <row r="2093" spans="34:49">
      <c r="AH2093" s="99"/>
      <c r="AL2093" s="99"/>
      <c r="AN2093" s="99"/>
      <c r="AQ2093" s="6"/>
      <c r="AR2093" s="6"/>
      <c r="AS2093" s="6"/>
      <c r="AT2093" s="89"/>
      <c r="AU2093" s="100"/>
      <c r="AV2093" s="65"/>
      <c r="AW2093" s="3"/>
    </row>
    <row r="2094" spans="34:49">
      <c r="AH2094" s="99"/>
      <c r="AL2094" s="99"/>
      <c r="AN2094" s="99"/>
      <c r="AQ2094" s="6"/>
      <c r="AR2094" s="6"/>
      <c r="AS2094" s="6"/>
      <c r="AT2094" s="89"/>
      <c r="AU2094" s="100"/>
      <c r="AV2094" s="65"/>
      <c r="AW2094" s="3"/>
    </row>
    <row r="2095" spans="34:49">
      <c r="AH2095" s="99"/>
      <c r="AL2095" s="99"/>
      <c r="AN2095" s="99"/>
      <c r="AQ2095" s="6"/>
      <c r="AR2095" s="6"/>
      <c r="AS2095" s="6"/>
      <c r="AT2095" s="89"/>
      <c r="AU2095" s="100"/>
      <c r="AV2095" s="65"/>
      <c r="AW2095" s="3"/>
    </row>
    <row r="2096" spans="34:49">
      <c r="AH2096" s="99"/>
      <c r="AL2096" s="99"/>
      <c r="AN2096" s="99"/>
      <c r="AQ2096" s="6"/>
      <c r="AR2096" s="6"/>
      <c r="AS2096" s="6"/>
      <c r="AT2096" s="89"/>
      <c r="AU2096" s="100"/>
      <c r="AV2096" s="65"/>
      <c r="AW2096" s="3"/>
    </row>
    <row r="2097" spans="34:49">
      <c r="AH2097" s="99"/>
      <c r="AL2097" s="99"/>
      <c r="AN2097" s="99"/>
      <c r="AQ2097" s="6"/>
      <c r="AR2097" s="6"/>
      <c r="AS2097" s="6"/>
      <c r="AT2097" s="89"/>
      <c r="AU2097" s="100"/>
      <c r="AV2097" s="65"/>
      <c r="AW2097" s="3"/>
    </row>
    <row r="2098" spans="34:49">
      <c r="AH2098" s="99"/>
      <c r="AL2098" s="99"/>
      <c r="AN2098" s="99"/>
      <c r="AQ2098" s="6"/>
      <c r="AR2098" s="6"/>
      <c r="AS2098" s="6"/>
      <c r="AT2098" s="89"/>
      <c r="AU2098" s="100"/>
      <c r="AV2098" s="65"/>
      <c r="AW2098" s="3"/>
    </row>
    <row r="2099" spans="34:49">
      <c r="AH2099" s="99"/>
      <c r="AL2099" s="99"/>
      <c r="AN2099" s="99"/>
      <c r="AQ2099" s="6"/>
      <c r="AR2099" s="6"/>
      <c r="AS2099" s="6"/>
      <c r="AT2099" s="89"/>
      <c r="AU2099" s="100"/>
      <c r="AV2099" s="65"/>
      <c r="AW2099" s="3"/>
    </row>
    <row r="2100" spans="34:49">
      <c r="AH2100" s="99"/>
      <c r="AL2100" s="99"/>
      <c r="AN2100" s="99"/>
      <c r="AQ2100" s="6"/>
      <c r="AR2100" s="6"/>
      <c r="AS2100" s="6"/>
      <c r="AT2100" s="89"/>
      <c r="AU2100" s="100"/>
      <c r="AV2100" s="65"/>
      <c r="AW2100" s="3"/>
    </row>
    <row r="2101" spans="34:49">
      <c r="AH2101" s="99"/>
      <c r="AL2101" s="99"/>
      <c r="AN2101" s="99"/>
      <c r="AQ2101" s="6"/>
      <c r="AR2101" s="6"/>
      <c r="AS2101" s="6"/>
      <c r="AT2101" s="89"/>
      <c r="AU2101" s="100"/>
      <c r="AV2101" s="65"/>
      <c r="AW2101" s="3"/>
    </row>
    <row r="2102" spans="34:49">
      <c r="AH2102" s="99"/>
      <c r="AL2102" s="99"/>
      <c r="AN2102" s="99"/>
      <c r="AQ2102" s="6"/>
      <c r="AR2102" s="6"/>
      <c r="AS2102" s="6"/>
      <c r="AT2102" s="89"/>
      <c r="AU2102" s="100"/>
      <c r="AV2102" s="65"/>
      <c r="AW2102" s="3"/>
    </row>
    <row r="2103" spans="34:49">
      <c r="AH2103" s="99"/>
      <c r="AL2103" s="99"/>
      <c r="AN2103" s="99"/>
      <c r="AQ2103" s="6"/>
      <c r="AR2103" s="6"/>
      <c r="AS2103" s="6"/>
      <c r="AT2103" s="89"/>
      <c r="AU2103" s="100"/>
      <c r="AV2103" s="65"/>
      <c r="AW2103" s="3"/>
    </row>
    <row r="2104" spans="34:49">
      <c r="AH2104" s="99"/>
      <c r="AL2104" s="99"/>
      <c r="AN2104" s="99"/>
      <c r="AQ2104" s="6"/>
      <c r="AR2104" s="6"/>
      <c r="AS2104" s="6"/>
      <c r="AT2104" s="89"/>
      <c r="AU2104" s="100"/>
      <c r="AV2104" s="65"/>
      <c r="AW2104" s="3"/>
    </row>
    <row r="2105" spans="34:49">
      <c r="AH2105" s="99"/>
      <c r="AL2105" s="99"/>
      <c r="AN2105" s="99"/>
      <c r="AQ2105" s="6"/>
      <c r="AR2105" s="6"/>
      <c r="AS2105" s="6"/>
      <c r="AT2105" s="89"/>
      <c r="AU2105" s="100"/>
      <c r="AV2105" s="65"/>
      <c r="AW2105" s="3"/>
    </row>
    <row r="2106" spans="34:49">
      <c r="AH2106" s="99"/>
      <c r="AL2106" s="99"/>
      <c r="AN2106" s="99"/>
      <c r="AQ2106" s="6"/>
      <c r="AR2106" s="6"/>
      <c r="AS2106" s="6"/>
      <c r="AT2106" s="89"/>
      <c r="AU2106" s="100"/>
      <c r="AV2106" s="65"/>
      <c r="AW2106" s="3"/>
    </row>
    <row r="2107" spans="34:49">
      <c r="AH2107" s="99"/>
      <c r="AL2107" s="99"/>
      <c r="AN2107" s="99"/>
      <c r="AQ2107" s="6"/>
      <c r="AR2107" s="6"/>
      <c r="AS2107" s="6"/>
      <c r="AT2107" s="89"/>
      <c r="AU2107" s="100"/>
      <c r="AV2107" s="65"/>
      <c r="AW2107" s="3"/>
    </row>
    <row r="2108" spans="34:49">
      <c r="AH2108" s="99"/>
      <c r="AL2108" s="99"/>
      <c r="AN2108" s="99"/>
      <c r="AQ2108" s="6"/>
      <c r="AR2108" s="6"/>
      <c r="AS2108" s="6"/>
      <c r="AT2108" s="89"/>
      <c r="AU2108" s="100"/>
      <c r="AV2108" s="65"/>
      <c r="AW2108" s="3"/>
    </row>
    <row r="2109" spans="34:49">
      <c r="AH2109" s="99"/>
      <c r="AL2109" s="99"/>
      <c r="AN2109" s="99"/>
      <c r="AQ2109" s="6"/>
      <c r="AR2109" s="6"/>
      <c r="AS2109" s="6"/>
      <c r="AT2109" s="89"/>
      <c r="AU2109" s="100"/>
      <c r="AV2109" s="65"/>
      <c r="AW2109" s="3"/>
    </row>
    <row r="2110" spans="34:49">
      <c r="AH2110" s="99"/>
      <c r="AL2110" s="99"/>
      <c r="AN2110" s="99"/>
      <c r="AQ2110" s="6"/>
      <c r="AR2110" s="6"/>
      <c r="AS2110" s="6"/>
      <c r="AT2110" s="89"/>
      <c r="AU2110" s="100"/>
      <c r="AV2110" s="65"/>
      <c r="AW2110" s="3"/>
    </row>
    <row r="2111" spans="34:49">
      <c r="AH2111" s="99"/>
      <c r="AL2111" s="99"/>
      <c r="AN2111" s="99"/>
      <c r="AQ2111" s="6"/>
      <c r="AR2111" s="6"/>
      <c r="AS2111" s="6"/>
      <c r="AT2111" s="89"/>
      <c r="AU2111" s="100"/>
      <c r="AV2111" s="65"/>
      <c r="AW2111" s="3"/>
    </row>
  </sheetData>
  <mergeCells count="26">
    <mergeCell ref="AS10:AS11"/>
    <mergeCell ref="AT10:AT11"/>
    <mergeCell ref="AU10:AU11"/>
    <mergeCell ref="AV10:AV11"/>
    <mergeCell ref="AW10:AW11"/>
    <mergeCell ref="AB10:AB11"/>
    <mergeCell ref="AE10:AG10"/>
    <mergeCell ref="AI10:AI11"/>
    <mergeCell ref="AQ10:AQ11"/>
    <mergeCell ref="AR10:AR11"/>
    <mergeCell ref="R10:W11"/>
    <mergeCell ref="A10:Q11"/>
    <mergeCell ref="AA10:AA11"/>
    <mergeCell ref="T24:T25"/>
    <mergeCell ref="U24:U25"/>
    <mergeCell ref="V24:V25"/>
    <mergeCell ref="W24:W25"/>
    <mergeCell ref="E24:G24"/>
    <mergeCell ref="I14:K14"/>
    <mergeCell ref="A24:A25"/>
    <mergeCell ref="B24:B25"/>
    <mergeCell ref="I24:I25"/>
    <mergeCell ref="Q24:Q25"/>
    <mergeCell ref="R24:R25"/>
    <mergeCell ref="S24:S25"/>
    <mergeCell ref="X10:Y11"/>
  </mergeCells>
  <conditionalFormatting sqref="T1:T9 T12:T23 T66:T1048576">
    <cfRule type="containsText" dxfId="125" priority="348" operator="containsText" text="Check">
      <formula>NOT(ISERROR(SEARCH("Check",T1)))</formula>
    </cfRule>
  </conditionalFormatting>
  <conditionalFormatting sqref="W24:W25">
    <cfRule type="top10" dxfId="124" priority="346" rank="1"/>
  </conditionalFormatting>
  <conditionalFormatting sqref="AV10:AV11">
    <cfRule type="top10" dxfId="123" priority="345" rank="1"/>
  </conditionalFormatting>
  <conditionalFormatting sqref="AW10:AW11">
    <cfRule type="top10" dxfId="122" priority="344" rank="1"/>
  </conditionalFormatting>
  <conditionalFormatting sqref="AV1:AV1048576">
    <cfRule type="top10" dxfId="121" priority="342" rank="1"/>
  </conditionalFormatting>
  <conditionalFormatting sqref="AW12:AW2111">
    <cfRule type="containsText" dxfId="120" priority="341" operator="containsText" text="Check">
      <formula>NOT(ISERROR(SEARCH("Check",AW12)))</formula>
    </cfRule>
  </conditionalFormatting>
  <conditionalFormatting sqref="AW1:AW1048576">
    <cfRule type="containsText" dxfId="119" priority="340" operator="containsText" text="OK">
      <formula>NOT(ISERROR(SEARCH("OK",AW1)))</formula>
    </cfRule>
  </conditionalFormatting>
  <conditionalFormatting sqref="W26">
    <cfRule type="containsText" dxfId="118" priority="83" operator="containsText" text="Check">
      <formula>NOT(ISERROR(SEARCH("Check",W26)))</formula>
    </cfRule>
  </conditionalFormatting>
  <conditionalFormatting sqref="W26">
    <cfRule type="containsText" dxfId="117" priority="82" operator="containsText" text="OK">
      <formula>NOT(ISERROR(SEARCH("OK",W26)))</formula>
    </cfRule>
  </conditionalFormatting>
  <conditionalFormatting sqref="W27">
    <cfRule type="containsText" dxfId="116" priority="80" operator="containsText" text="Check">
      <formula>NOT(ISERROR(SEARCH("Check",W27)))</formula>
    </cfRule>
  </conditionalFormatting>
  <conditionalFormatting sqref="W27">
    <cfRule type="containsText" dxfId="115" priority="79" operator="containsText" text="OK">
      <formula>NOT(ISERROR(SEARCH("OK",W27)))</formula>
    </cfRule>
  </conditionalFormatting>
  <conditionalFormatting sqref="W28">
    <cfRule type="containsText" dxfId="114" priority="77" operator="containsText" text="Check">
      <formula>NOT(ISERROR(SEARCH("Check",W28)))</formula>
    </cfRule>
  </conditionalFormatting>
  <conditionalFormatting sqref="W28">
    <cfRule type="containsText" dxfId="113" priority="76" operator="containsText" text="OK">
      <formula>NOT(ISERROR(SEARCH("OK",W28)))</formula>
    </cfRule>
  </conditionalFormatting>
  <conditionalFormatting sqref="W29">
    <cfRule type="containsText" dxfId="112" priority="74" operator="containsText" text="Check">
      <formula>NOT(ISERROR(SEARCH("Check",W29)))</formula>
    </cfRule>
  </conditionalFormatting>
  <conditionalFormatting sqref="W29">
    <cfRule type="containsText" dxfId="111" priority="73" operator="containsText" text="OK">
      <formula>NOT(ISERROR(SEARCH("OK",W29)))</formula>
    </cfRule>
  </conditionalFormatting>
  <conditionalFormatting sqref="W30">
    <cfRule type="containsText" dxfId="110" priority="71" operator="containsText" text="Check">
      <formula>NOT(ISERROR(SEARCH("Check",W30)))</formula>
    </cfRule>
  </conditionalFormatting>
  <conditionalFormatting sqref="W30">
    <cfRule type="containsText" dxfId="109" priority="70" operator="containsText" text="OK">
      <formula>NOT(ISERROR(SEARCH("OK",W30)))</formula>
    </cfRule>
  </conditionalFormatting>
  <conditionalFormatting sqref="W31">
    <cfRule type="containsText" dxfId="108" priority="68" operator="containsText" text="Check">
      <formula>NOT(ISERROR(SEARCH("Check",W31)))</formula>
    </cfRule>
  </conditionalFormatting>
  <conditionalFormatting sqref="W31">
    <cfRule type="containsText" dxfId="107" priority="67" operator="containsText" text="OK">
      <formula>NOT(ISERROR(SEARCH("OK",W31)))</formula>
    </cfRule>
  </conditionalFormatting>
  <conditionalFormatting sqref="W32">
    <cfRule type="containsText" dxfId="106" priority="65" operator="containsText" text="Check">
      <formula>NOT(ISERROR(SEARCH("Check",W32)))</formula>
    </cfRule>
  </conditionalFormatting>
  <conditionalFormatting sqref="W32">
    <cfRule type="containsText" dxfId="105" priority="64" operator="containsText" text="OK">
      <formula>NOT(ISERROR(SEARCH("OK",W32)))</formula>
    </cfRule>
  </conditionalFormatting>
  <conditionalFormatting sqref="W33">
    <cfRule type="containsText" dxfId="104" priority="62" operator="containsText" text="Check">
      <formula>NOT(ISERROR(SEARCH("Check",W33)))</formula>
    </cfRule>
  </conditionalFormatting>
  <conditionalFormatting sqref="W33">
    <cfRule type="containsText" dxfId="103" priority="61" operator="containsText" text="OK">
      <formula>NOT(ISERROR(SEARCH("OK",W33)))</formula>
    </cfRule>
  </conditionalFormatting>
  <conditionalFormatting sqref="W34">
    <cfRule type="containsText" dxfId="102" priority="59" operator="containsText" text="Check">
      <formula>NOT(ISERROR(SEARCH("Check",W34)))</formula>
    </cfRule>
  </conditionalFormatting>
  <conditionalFormatting sqref="W34">
    <cfRule type="containsText" dxfId="101" priority="58" operator="containsText" text="OK">
      <formula>NOT(ISERROR(SEARCH("OK",W34)))</formula>
    </cfRule>
  </conditionalFormatting>
  <conditionalFormatting sqref="W35">
    <cfRule type="containsText" dxfId="100" priority="56" operator="containsText" text="Check">
      <formula>NOT(ISERROR(SEARCH("Check",W35)))</formula>
    </cfRule>
  </conditionalFormatting>
  <conditionalFormatting sqref="W35">
    <cfRule type="containsText" dxfId="99" priority="55" operator="containsText" text="OK">
      <formula>NOT(ISERROR(SEARCH("OK",W35)))</formula>
    </cfRule>
  </conditionalFormatting>
  <conditionalFormatting sqref="W36">
    <cfRule type="containsText" dxfId="98" priority="53" operator="containsText" text="Check">
      <formula>NOT(ISERROR(SEARCH("Check",W36)))</formula>
    </cfRule>
  </conditionalFormatting>
  <conditionalFormatting sqref="W36">
    <cfRule type="containsText" dxfId="97" priority="52" operator="containsText" text="OK">
      <formula>NOT(ISERROR(SEARCH("OK",W36)))</formula>
    </cfRule>
  </conditionalFormatting>
  <conditionalFormatting sqref="W37">
    <cfRule type="containsText" dxfId="96" priority="50" operator="containsText" text="Check">
      <formula>NOT(ISERROR(SEARCH("Check",W37)))</formula>
    </cfRule>
  </conditionalFormatting>
  <conditionalFormatting sqref="W37">
    <cfRule type="containsText" dxfId="95" priority="49" operator="containsText" text="OK">
      <formula>NOT(ISERROR(SEARCH("OK",W37)))</formula>
    </cfRule>
  </conditionalFormatting>
  <conditionalFormatting sqref="W38">
    <cfRule type="containsText" dxfId="94" priority="47" operator="containsText" text="Check">
      <formula>NOT(ISERROR(SEARCH("Check",W38)))</formula>
    </cfRule>
  </conditionalFormatting>
  <conditionalFormatting sqref="W38">
    <cfRule type="containsText" dxfId="93" priority="46" operator="containsText" text="OK">
      <formula>NOT(ISERROR(SEARCH("OK",W38)))</formula>
    </cfRule>
  </conditionalFormatting>
  <conditionalFormatting sqref="W39">
    <cfRule type="containsText" dxfId="92" priority="44" operator="containsText" text="Check">
      <formula>NOT(ISERROR(SEARCH("Check",W39)))</formula>
    </cfRule>
  </conditionalFormatting>
  <conditionalFormatting sqref="W39">
    <cfRule type="containsText" dxfId="91" priority="43" operator="containsText" text="OK">
      <formula>NOT(ISERROR(SEARCH("OK",W39)))</formula>
    </cfRule>
  </conditionalFormatting>
  <conditionalFormatting sqref="W40">
    <cfRule type="containsText" dxfId="90" priority="41" operator="containsText" text="Check">
      <formula>NOT(ISERROR(SEARCH("Check",W40)))</formula>
    </cfRule>
  </conditionalFormatting>
  <conditionalFormatting sqref="W40">
    <cfRule type="containsText" dxfId="89" priority="40" operator="containsText" text="OK">
      <formula>NOT(ISERROR(SEARCH("OK",W40)))</formula>
    </cfRule>
  </conditionalFormatting>
  <conditionalFormatting sqref="W41">
    <cfRule type="containsText" dxfId="88" priority="38" operator="containsText" text="Check">
      <formula>NOT(ISERROR(SEARCH("Check",W41)))</formula>
    </cfRule>
  </conditionalFormatting>
  <conditionalFormatting sqref="W41">
    <cfRule type="containsText" dxfId="87" priority="37" operator="containsText" text="OK">
      <formula>NOT(ISERROR(SEARCH("OK",W41)))</formula>
    </cfRule>
  </conditionalFormatting>
  <conditionalFormatting sqref="W42">
    <cfRule type="containsText" dxfId="86" priority="35" operator="containsText" text="Check">
      <formula>NOT(ISERROR(SEARCH("Check",W42)))</formula>
    </cfRule>
  </conditionalFormatting>
  <conditionalFormatting sqref="W42">
    <cfRule type="containsText" dxfId="85" priority="34" operator="containsText" text="OK">
      <formula>NOT(ISERROR(SEARCH("OK",W42)))</formula>
    </cfRule>
  </conditionalFormatting>
  <conditionalFormatting sqref="W43">
    <cfRule type="containsText" dxfId="84" priority="32" operator="containsText" text="Check">
      <formula>NOT(ISERROR(SEARCH("Check",W43)))</formula>
    </cfRule>
  </conditionalFormatting>
  <conditionalFormatting sqref="W43">
    <cfRule type="containsText" dxfId="83" priority="31" operator="containsText" text="OK">
      <formula>NOT(ISERROR(SEARCH("OK",W43)))</formula>
    </cfRule>
  </conditionalFormatting>
  <conditionalFormatting sqref="W44">
    <cfRule type="containsText" dxfId="82" priority="29" operator="containsText" text="Check">
      <formula>NOT(ISERROR(SEARCH("Check",W44)))</formula>
    </cfRule>
  </conditionalFormatting>
  <conditionalFormatting sqref="W44">
    <cfRule type="containsText" dxfId="81" priority="28" operator="containsText" text="OK">
      <formula>NOT(ISERROR(SEARCH("OK",W44)))</formula>
    </cfRule>
  </conditionalFormatting>
  <conditionalFormatting sqref="W45">
    <cfRule type="containsText" dxfId="80" priority="26" operator="containsText" text="Check">
      <formula>NOT(ISERROR(SEARCH("Check",W45)))</formula>
    </cfRule>
  </conditionalFormatting>
  <conditionalFormatting sqref="W45">
    <cfRule type="containsText" dxfId="79" priority="25" operator="containsText" text="OK">
      <formula>NOT(ISERROR(SEARCH("OK",W45)))</formula>
    </cfRule>
  </conditionalFormatting>
  <conditionalFormatting sqref="W46">
    <cfRule type="containsText" dxfId="78" priority="23" operator="containsText" text="Check">
      <formula>NOT(ISERROR(SEARCH("Check",W46)))</formula>
    </cfRule>
  </conditionalFormatting>
  <conditionalFormatting sqref="W46">
    <cfRule type="containsText" dxfId="77" priority="22" operator="containsText" text="OK">
      <formula>NOT(ISERROR(SEARCH("OK",W46)))</formula>
    </cfRule>
  </conditionalFormatting>
  <conditionalFormatting sqref="W47">
    <cfRule type="containsText" dxfId="76" priority="20" operator="containsText" text="Check">
      <formula>NOT(ISERROR(SEARCH("Check",W47)))</formula>
    </cfRule>
  </conditionalFormatting>
  <conditionalFormatting sqref="W47">
    <cfRule type="containsText" dxfId="75" priority="19" operator="containsText" text="OK">
      <formula>NOT(ISERROR(SEARCH("OK",W47)))</formula>
    </cfRule>
  </conditionalFormatting>
  <conditionalFormatting sqref="W48">
    <cfRule type="containsText" dxfId="74" priority="17" operator="containsText" text="Check">
      <formula>NOT(ISERROR(SEARCH("Check",W48)))</formula>
    </cfRule>
  </conditionalFormatting>
  <conditionalFormatting sqref="W48">
    <cfRule type="containsText" dxfId="73" priority="16" operator="containsText" text="OK">
      <formula>NOT(ISERROR(SEARCH("OK",W48)))</formula>
    </cfRule>
  </conditionalFormatting>
  <conditionalFormatting sqref="W49">
    <cfRule type="containsText" dxfId="72" priority="14" operator="containsText" text="Check">
      <formula>NOT(ISERROR(SEARCH("Check",W49)))</formula>
    </cfRule>
  </conditionalFormatting>
  <conditionalFormatting sqref="W49">
    <cfRule type="containsText" dxfId="71" priority="13" operator="containsText" text="OK">
      <formula>NOT(ISERROR(SEARCH("OK",W49)))</formula>
    </cfRule>
  </conditionalFormatting>
  <conditionalFormatting sqref="W50">
    <cfRule type="containsText" dxfId="70" priority="11" operator="containsText" text="Check">
      <formula>NOT(ISERROR(SEARCH("Check",W50)))</formula>
    </cfRule>
  </conditionalFormatting>
  <conditionalFormatting sqref="W50">
    <cfRule type="containsText" dxfId="69" priority="10" operator="containsText" text="OK">
      <formula>NOT(ISERROR(SEARCH("OK",W50)))</formula>
    </cfRule>
  </conditionalFormatting>
  <conditionalFormatting sqref="W51">
    <cfRule type="containsText" dxfId="68" priority="8" operator="containsText" text="Check">
      <formula>NOT(ISERROR(SEARCH("Check",W51)))</formula>
    </cfRule>
  </conditionalFormatting>
  <conditionalFormatting sqref="W51">
    <cfRule type="containsText" dxfId="67" priority="7" operator="containsText" text="OK">
      <formula>NOT(ISERROR(SEARCH("OK",W51)))</formula>
    </cfRule>
  </conditionalFormatting>
  <conditionalFormatting sqref="W52">
    <cfRule type="containsText" dxfId="66" priority="5" operator="containsText" text="Check">
      <formula>NOT(ISERROR(SEARCH("Check",W52)))</formula>
    </cfRule>
  </conditionalFormatting>
  <conditionalFormatting sqref="W52">
    <cfRule type="containsText" dxfId="65" priority="4" operator="containsText" text="OK">
      <formula>NOT(ISERROR(SEARCH("OK",W52)))</formula>
    </cfRule>
  </conditionalFormatting>
  <conditionalFormatting sqref="W53">
    <cfRule type="containsText" dxfId="64" priority="2" operator="containsText" text="Check">
      <formula>NOT(ISERROR(SEARCH("Check",W53)))</formula>
    </cfRule>
  </conditionalFormatting>
  <conditionalFormatting sqref="W53">
    <cfRule type="containsText" dxfId="63" priority="1" operator="containsText" text="OK">
      <formula>NOT(ISERROR(SEARCH("OK",W53)))</formula>
    </cfRule>
  </conditionalFormatting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Data!$A$3:$A$82</xm:f>
          </x14:formula1>
          <xm:sqref>I14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5B3F9-A54E-4453-86C8-BF09278D46A6}">
  <sheetPr codeName="Sheet5">
    <tabColor rgb="FF006666"/>
  </sheetPr>
  <dimension ref="A1:BA2111"/>
  <sheetViews>
    <sheetView showGridLines="0" tabSelected="1" topLeftCell="A10" zoomScale="130" zoomScaleNormal="130" zoomScaleSheetLayoutView="100" workbookViewId="0">
      <selection activeCell="H17" sqref="H17"/>
    </sheetView>
  </sheetViews>
  <sheetFormatPr defaultColWidth="7.33203125" defaultRowHeight="13.8"/>
  <cols>
    <col min="1" max="1" width="13.44140625" style="1" customWidth="1"/>
    <col min="2" max="4" width="4.6640625" style="1" customWidth="1"/>
    <col min="5" max="8" width="4.6640625" style="34" customWidth="1"/>
    <col min="9" max="9" width="4.6640625" style="1" customWidth="1"/>
    <col min="10" max="10" width="6.44140625" style="1" customWidth="1"/>
    <col min="11" max="11" width="4.6640625" style="1" customWidth="1"/>
    <col min="12" max="12" width="4.6640625" style="34" customWidth="1"/>
    <col min="13" max="13" width="4.6640625" style="1" customWidth="1"/>
    <col min="14" max="14" width="4.6640625" style="34" customWidth="1"/>
    <col min="15" max="20" width="4.6640625" style="1" customWidth="1"/>
    <col min="21" max="21" width="4.6640625" style="34" customWidth="1"/>
    <col min="22" max="22" width="5.44140625" style="1" bestFit="1" customWidth="1"/>
    <col min="23" max="24" width="4.6640625" style="1" customWidth="1"/>
    <col min="25" max="25" width="7.6640625" style="1" customWidth="1"/>
    <col min="26" max="26" width="8.109375" style="1" customWidth="1"/>
    <col min="27" max="27" width="13.6640625" style="88" bestFit="1" customWidth="1"/>
    <col min="28" max="34" width="7.33203125" style="89"/>
    <col min="35" max="35" width="10.44140625" style="51" bestFit="1" customWidth="1"/>
    <col min="36" max="37" width="7.33203125" style="88"/>
    <col min="38" max="38" width="7.33203125" style="89"/>
    <col min="39" max="39" width="7.33203125" style="51"/>
    <col min="40" max="40" width="7.33203125" style="89"/>
    <col min="41" max="41" width="7.33203125" style="51"/>
    <col min="42" max="43" width="7.33203125" style="99"/>
    <col min="44" max="50" width="7.33203125" style="51"/>
    <col min="51" max="52" width="0" style="1" hidden="1" customWidth="1"/>
    <col min="53" max="53" width="3" style="11" customWidth="1"/>
    <col min="54" max="16384" width="7.33203125" style="1"/>
  </cols>
  <sheetData>
    <row r="1" spans="1:50" ht="12.75" hidden="1" customHeight="1">
      <c r="A1" s="82"/>
      <c r="B1" s="82"/>
      <c r="C1" s="82"/>
      <c r="D1" s="82"/>
      <c r="E1" s="73"/>
      <c r="F1" s="73"/>
      <c r="G1" s="73"/>
      <c r="H1" s="73"/>
      <c r="I1" s="82"/>
      <c r="J1" s="82"/>
      <c r="K1" s="82"/>
      <c r="L1" s="73"/>
      <c r="M1" s="82"/>
      <c r="N1" s="73"/>
      <c r="O1" s="82"/>
      <c r="P1" s="82"/>
      <c r="Q1" s="73"/>
      <c r="R1" s="73"/>
      <c r="S1" s="74"/>
      <c r="T1" s="74"/>
      <c r="U1" s="75"/>
      <c r="V1" s="74"/>
      <c r="W1" s="74"/>
      <c r="X1" s="76"/>
      <c r="AA1" s="101"/>
      <c r="AB1" s="66"/>
      <c r="AC1" s="66"/>
      <c r="AD1" s="66"/>
      <c r="AE1" s="66"/>
      <c r="AF1" s="66"/>
      <c r="AG1" s="66"/>
      <c r="AH1" s="66"/>
      <c r="AI1" s="101"/>
      <c r="AJ1" s="101"/>
      <c r="AK1" s="101"/>
      <c r="AL1" s="66"/>
      <c r="AM1" s="101"/>
      <c r="AN1" s="66"/>
      <c r="AO1" s="101"/>
      <c r="AP1" s="102"/>
      <c r="AQ1" s="102"/>
      <c r="AR1" s="101"/>
      <c r="AS1" s="101"/>
      <c r="AT1" s="101"/>
      <c r="AU1" s="101"/>
      <c r="AV1" s="101"/>
      <c r="AW1" s="101"/>
      <c r="AX1" s="101"/>
    </row>
    <row r="2" spans="1:50" ht="12.75" hidden="1" customHeight="1">
      <c r="A2" s="83"/>
      <c r="B2" s="83"/>
      <c r="C2" s="83"/>
      <c r="D2" s="83"/>
      <c r="E2" s="77"/>
      <c r="F2" s="77"/>
      <c r="G2" s="77"/>
      <c r="H2" s="77"/>
      <c r="I2" s="83"/>
      <c r="J2" s="83"/>
      <c r="K2" s="83"/>
      <c r="L2" s="77"/>
      <c r="M2" s="83"/>
      <c r="N2" s="77"/>
      <c r="O2" s="83"/>
      <c r="P2" s="83"/>
      <c r="Q2" s="77"/>
      <c r="R2" s="77"/>
      <c r="X2" s="78"/>
      <c r="AA2" s="101"/>
      <c r="AB2" s="66"/>
      <c r="AC2" s="66"/>
      <c r="AD2" s="66"/>
      <c r="AE2" s="66"/>
      <c r="AF2" s="66"/>
      <c r="AG2" s="66"/>
      <c r="AH2" s="66"/>
      <c r="AI2" s="101"/>
      <c r="AJ2" s="101"/>
      <c r="AK2" s="101"/>
      <c r="AL2" s="66"/>
      <c r="AM2" s="101"/>
      <c r="AN2" s="66"/>
      <c r="AO2" s="101"/>
      <c r="AP2" s="102"/>
      <c r="AQ2" s="102"/>
      <c r="AR2" s="101"/>
      <c r="AS2" s="101"/>
      <c r="AT2" s="101"/>
      <c r="AU2" s="101"/>
      <c r="AV2" s="101"/>
      <c r="AW2" s="101"/>
      <c r="AX2" s="101"/>
    </row>
    <row r="3" spans="1:50" ht="12.75" hidden="1" customHeight="1">
      <c r="A3" s="83"/>
      <c r="B3" s="83"/>
      <c r="C3" s="83"/>
      <c r="D3" s="83"/>
      <c r="E3" s="77"/>
      <c r="F3" s="77"/>
      <c r="G3" s="77"/>
      <c r="H3" s="77"/>
      <c r="I3" s="83"/>
      <c r="J3" s="83"/>
      <c r="K3" s="83"/>
      <c r="L3" s="77"/>
      <c r="M3" s="83"/>
      <c r="N3" s="77"/>
      <c r="O3" s="83"/>
      <c r="P3" s="83"/>
      <c r="Q3" s="77"/>
      <c r="R3" s="77"/>
      <c r="X3" s="78"/>
      <c r="AA3" s="101"/>
      <c r="AB3" s="66"/>
      <c r="AC3" s="66"/>
      <c r="AD3" s="66"/>
      <c r="AE3" s="66"/>
      <c r="AF3" s="66"/>
      <c r="AG3" s="66"/>
      <c r="AH3" s="66"/>
      <c r="AI3" s="101"/>
      <c r="AJ3" s="101"/>
      <c r="AK3" s="101"/>
      <c r="AL3" s="66"/>
      <c r="AM3" s="101"/>
      <c r="AN3" s="66"/>
      <c r="AO3" s="101"/>
      <c r="AP3" s="102"/>
      <c r="AQ3" s="102"/>
      <c r="AR3" s="101"/>
      <c r="AS3" s="101"/>
      <c r="AT3" s="101"/>
      <c r="AU3" s="101"/>
      <c r="AV3" s="101"/>
      <c r="AW3" s="101"/>
      <c r="AX3" s="101"/>
    </row>
    <row r="4" spans="1:50" ht="12.75" hidden="1" customHeight="1">
      <c r="A4" s="83"/>
      <c r="B4" s="83"/>
      <c r="C4" s="83"/>
      <c r="D4" s="83"/>
      <c r="E4" s="77"/>
      <c r="F4" s="77"/>
      <c r="G4" s="77"/>
      <c r="H4" s="77"/>
      <c r="I4" s="83"/>
      <c r="J4" s="83"/>
      <c r="K4" s="83"/>
      <c r="L4" s="77"/>
      <c r="M4" s="83"/>
      <c r="N4" s="77"/>
      <c r="O4" s="83"/>
      <c r="P4" s="83"/>
      <c r="Q4" s="77"/>
      <c r="R4" s="77"/>
      <c r="X4" s="78"/>
      <c r="AA4" s="101"/>
      <c r="AB4" s="66"/>
      <c r="AC4" s="66"/>
      <c r="AD4" s="66"/>
      <c r="AE4" s="66"/>
      <c r="AF4" s="66"/>
      <c r="AG4" s="66"/>
      <c r="AH4" s="66"/>
      <c r="AI4" s="101"/>
      <c r="AJ4" s="101"/>
      <c r="AK4" s="101"/>
      <c r="AL4" s="66"/>
      <c r="AM4" s="101"/>
      <c r="AN4" s="66"/>
      <c r="AO4" s="101"/>
      <c r="AP4" s="102"/>
      <c r="AQ4" s="102"/>
      <c r="AR4" s="101"/>
      <c r="AS4" s="101"/>
      <c r="AT4" s="101"/>
      <c r="AU4" s="101"/>
      <c r="AV4" s="101"/>
      <c r="AW4" s="101"/>
      <c r="AX4" s="101"/>
    </row>
    <row r="5" spans="1:50" ht="12.75" hidden="1" customHeight="1">
      <c r="A5" s="83"/>
      <c r="B5" s="83"/>
      <c r="C5" s="83"/>
      <c r="D5" s="83"/>
      <c r="E5" s="77"/>
      <c r="F5" s="77"/>
      <c r="G5" s="77"/>
      <c r="H5" s="77"/>
      <c r="I5" s="83"/>
      <c r="J5" s="83"/>
      <c r="K5" s="83"/>
      <c r="L5" s="77"/>
      <c r="M5" s="83"/>
      <c r="N5" s="77"/>
      <c r="O5" s="83"/>
      <c r="P5" s="83"/>
      <c r="Q5" s="77"/>
      <c r="R5" s="77"/>
      <c r="X5" s="78"/>
      <c r="AA5" s="101"/>
      <c r="AB5" s="66"/>
      <c r="AC5" s="66"/>
      <c r="AD5" s="66"/>
      <c r="AE5" s="66"/>
      <c r="AF5" s="66"/>
      <c r="AG5" s="66"/>
      <c r="AH5" s="66"/>
      <c r="AI5" s="101"/>
      <c r="AJ5" s="101"/>
      <c r="AK5" s="101"/>
      <c r="AL5" s="66"/>
      <c r="AM5" s="101"/>
      <c r="AN5" s="66"/>
      <c r="AO5" s="101"/>
      <c r="AP5" s="102"/>
      <c r="AQ5" s="102"/>
      <c r="AR5" s="101"/>
      <c r="AS5" s="101"/>
      <c r="AT5" s="101"/>
      <c r="AU5" s="101"/>
      <c r="AV5" s="101"/>
      <c r="AW5" s="101"/>
      <c r="AX5" s="101"/>
    </row>
    <row r="6" spans="1:50" ht="12.75" hidden="1" customHeight="1">
      <c r="A6" s="83"/>
      <c r="B6" s="83"/>
      <c r="C6" s="83"/>
      <c r="D6" s="83"/>
      <c r="E6" s="77"/>
      <c r="F6" s="77"/>
      <c r="G6" s="77"/>
      <c r="H6" s="77"/>
      <c r="I6" s="83"/>
      <c r="J6" s="83"/>
      <c r="K6" s="83"/>
      <c r="L6" s="77"/>
      <c r="M6" s="83"/>
      <c r="N6" s="77"/>
      <c r="O6" s="83"/>
      <c r="P6" s="83"/>
      <c r="Q6" s="77"/>
      <c r="R6" s="77"/>
      <c r="X6" s="78"/>
      <c r="AA6" s="101"/>
      <c r="AB6" s="66"/>
      <c r="AC6" s="66"/>
      <c r="AD6" s="66"/>
      <c r="AE6" s="66"/>
      <c r="AF6" s="66"/>
      <c r="AG6" s="66"/>
      <c r="AH6" s="66"/>
      <c r="AI6" s="101"/>
      <c r="AJ6" s="101"/>
      <c r="AK6" s="101"/>
      <c r="AL6" s="66"/>
      <c r="AM6" s="101"/>
      <c r="AN6" s="66"/>
      <c r="AO6" s="101"/>
      <c r="AP6" s="102"/>
      <c r="AQ6" s="102"/>
      <c r="AR6" s="101"/>
      <c r="AS6" s="101"/>
      <c r="AT6" s="101"/>
      <c r="AU6" s="101"/>
      <c r="AV6" s="101"/>
      <c r="AW6" s="101"/>
      <c r="AX6" s="101"/>
    </row>
    <row r="7" spans="1:50" ht="12.75" hidden="1" customHeight="1">
      <c r="A7" s="83"/>
      <c r="B7" s="83"/>
      <c r="C7" s="83"/>
      <c r="D7" s="83"/>
      <c r="E7" s="77"/>
      <c r="F7" s="77"/>
      <c r="G7" s="77"/>
      <c r="H7" s="77"/>
      <c r="I7" s="83"/>
      <c r="J7" s="83"/>
      <c r="K7" s="83"/>
      <c r="L7" s="77"/>
      <c r="M7" s="83"/>
      <c r="N7" s="77"/>
      <c r="O7" s="83"/>
      <c r="P7" s="83"/>
      <c r="Q7" s="77"/>
      <c r="R7" s="77"/>
      <c r="X7" s="78"/>
      <c r="AA7" s="101"/>
      <c r="AB7" s="66"/>
      <c r="AC7" s="66"/>
      <c r="AD7" s="66"/>
      <c r="AE7" s="66"/>
      <c r="AF7" s="66"/>
      <c r="AG7" s="66"/>
      <c r="AH7" s="66"/>
      <c r="AI7" s="101"/>
      <c r="AJ7" s="101"/>
      <c r="AK7" s="101"/>
      <c r="AL7" s="66"/>
      <c r="AM7" s="101"/>
      <c r="AN7" s="66"/>
      <c r="AO7" s="101"/>
      <c r="AP7" s="102"/>
      <c r="AQ7" s="102"/>
      <c r="AR7" s="101"/>
      <c r="AS7" s="101"/>
      <c r="AT7" s="101"/>
      <c r="AU7" s="101"/>
      <c r="AV7" s="101"/>
      <c r="AW7" s="101"/>
      <c r="AX7" s="101"/>
    </row>
    <row r="8" spans="1:50" ht="12.75" hidden="1" customHeight="1">
      <c r="A8" s="83"/>
      <c r="B8" s="83"/>
      <c r="C8" s="83"/>
      <c r="D8" s="83"/>
      <c r="E8" s="77"/>
      <c r="F8" s="77"/>
      <c r="G8" s="77"/>
      <c r="H8" s="77"/>
      <c r="I8" s="83"/>
      <c r="J8" s="83"/>
      <c r="K8" s="83"/>
      <c r="L8" s="77"/>
      <c r="M8" s="83"/>
      <c r="N8" s="77"/>
      <c r="O8" s="83"/>
      <c r="P8" s="83"/>
      <c r="Q8" s="77"/>
      <c r="R8" s="77"/>
      <c r="X8" s="78"/>
      <c r="AA8" s="101"/>
      <c r="AB8" s="66"/>
      <c r="AC8" s="66"/>
      <c r="AD8" s="66"/>
      <c r="AE8" s="66"/>
      <c r="AF8" s="66"/>
      <c r="AG8" s="66"/>
      <c r="AH8" s="66"/>
      <c r="AI8" s="101"/>
      <c r="AJ8" s="101"/>
      <c r="AK8" s="101"/>
      <c r="AL8" s="66"/>
      <c r="AM8" s="101"/>
      <c r="AN8" s="66"/>
      <c r="AO8" s="101"/>
      <c r="AP8" s="102"/>
      <c r="AQ8" s="102"/>
      <c r="AR8" s="101"/>
      <c r="AS8" s="101"/>
      <c r="AT8" s="101"/>
      <c r="AU8" s="101"/>
      <c r="AV8" s="101"/>
      <c r="AW8" s="101"/>
      <c r="AX8" s="101"/>
    </row>
    <row r="9" spans="1:50" ht="12.75" hidden="1" customHeight="1">
      <c r="A9" s="83"/>
      <c r="B9" s="83"/>
      <c r="C9" s="83"/>
      <c r="D9" s="83"/>
      <c r="E9" s="77"/>
      <c r="F9" s="77"/>
      <c r="G9" s="77"/>
      <c r="H9" s="77"/>
      <c r="I9" s="83"/>
      <c r="J9" s="83"/>
      <c r="K9" s="83"/>
      <c r="L9" s="77"/>
      <c r="M9" s="83"/>
      <c r="N9" s="77"/>
      <c r="O9" s="83"/>
      <c r="P9" s="83"/>
      <c r="Q9" s="77"/>
      <c r="R9" s="77"/>
      <c r="X9" s="78"/>
      <c r="AA9" s="101"/>
      <c r="AB9" s="66"/>
      <c r="AC9" s="66"/>
      <c r="AD9" s="66"/>
      <c r="AE9" s="66"/>
      <c r="AF9" s="66"/>
      <c r="AG9" s="66"/>
      <c r="AH9" s="66"/>
      <c r="AI9" s="101"/>
      <c r="AJ9" s="101"/>
      <c r="AK9" s="101"/>
      <c r="AL9" s="66"/>
      <c r="AM9" s="101"/>
      <c r="AN9" s="66"/>
      <c r="AO9" s="101"/>
      <c r="AP9" s="102"/>
      <c r="AQ9" s="102"/>
      <c r="AR9" s="101"/>
      <c r="AS9" s="101"/>
      <c r="AT9" s="101"/>
      <c r="AU9" s="101"/>
      <c r="AV9" s="101"/>
      <c r="AW9" s="101"/>
      <c r="AX9" s="101"/>
    </row>
    <row r="10" spans="1:50" ht="20.25" customHeight="1">
      <c r="A10" s="120" t="s">
        <v>189</v>
      </c>
      <c r="B10" s="121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16"/>
      <c r="T10" s="116"/>
      <c r="U10" s="116"/>
      <c r="V10" s="116"/>
      <c r="W10" s="116"/>
      <c r="X10" s="117"/>
      <c r="Y10" s="132" t="s">
        <v>232</v>
      </c>
      <c r="Z10" s="132"/>
      <c r="AA10" s="124" t="s">
        <v>101</v>
      </c>
      <c r="AB10" s="124" t="s">
        <v>197</v>
      </c>
      <c r="AC10" s="103" t="s">
        <v>198</v>
      </c>
      <c r="AD10" s="103" t="s">
        <v>199</v>
      </c>
      <c r="AE10" s="152" t="s">
        <v>166</v>
      </c>
      <c r="AF10" s="153"/>
      <c r="AG10" s="153"/>
      <c r="AH10" s="154"/>
      <c r="AI10" s="104" t="s">
        <v>19</v>
      </c>
      <c r="AJ10" s="124" t="s">
        <v>200</v>
      </c>
      <c r="AK10" s="104" t="s">
        <v>21</v>
      </c>
      <c r="AL10" s="105" t="s">
        <v>207</v>
      </c>
      <c r="AM10" s="103" t="s">
        <v>208</v>
      </c>
      <c r="AN10" s="105" t="s">
        <v>209</v>
      </c>
      <c r="AO10" s="103" t="s">
        <v>210</v>
      </c>
      <c r="AP10" s="106" t="s">
        <v>211</v>
      </c>
      <c r="AQ10" s="106" t="s">
        <v>212</v>
      </c>
      <c r="AR10" s="134" t="s">
        <v>213</v>
      </c>
      <c r="AS10" s="134" t="s">
        <v>214</v>
      </c>
      <c r="AT10" s="134" t="s">
        <v>215</v>
      </c>
      <c r="AU10" s="134" t="s">
        <v>216</v>
      </c>
      <c r="AV10" s="135" t="s">
        <v>187</v>
      </c>
      <c r="AW10" s="124" t="s">
        <v>193</v>
      </c>
      <c r="AX10" s="124" t="s">
        <v>188</v>
      </c>
    </row>
    <row r="11" spans="1:50" ht="12.75" customHeight="1">
      <c r="A11" s="122"/>
      <c r="B11" s="123"/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18"/>
      <c r="T11" s="118"/>
      <c r="U11" s="118"/>
      <c r="V11" s="118"/>
      <c r="W11" s="118"/>
      <c r="X11" s="119"/>
      <c r="Y11" s="132"/>
      <c r="Z11" s="132"/>
      <c r="AA11" s="124"/>
      <c r="AB11" s="124"/>
      <c r="AC11" s="103" t="s">
        <v>203</v>
      </c>
      <c r="AD11" s="103" t="s">
        <v>182</v>
      </c>
      <c r="AE11" s="103" t="s">
        <v>30</v>
      </c>
      <c r="AF11" s="103" t="s">
        <v>194</v>
      </c>
      <c r="AG11" s="103" t="s">
        <v>133</v>
      </c>
      <c r="AH11" s="107" t="s">
        <v>39</v>
      </c>
      <c r="AI11" s="104" t="s">
        <v>23</v>
      </c>
      <c r="AJ11" s="124"/>
      <c r="AK11" s="104" t="s">
        <v>180</v>
      </c>
      <c r="AL11" s="103" t="s">
        <v>182</v>
      </c>
      <c r="AM11" s="103" t="s">
        <v>182</v>
      </c>
      <c r="AN11" s="103" t="s">
        <v>182</v>
      </c>
      <c r="AO11" s="103" t="s">
        <v>182</v>
      </c>
      <c r="AP11" s="106" t="s">
        <v>147</v>
      </c>
      <c r="AQ11" s="106" t="s">
        <v>147</v>
      </c>
      <c r="AR11" s="134"/>
      <c r="AS11" s="134"/>
      <c r="AT11" s="134"/>
      <c r="AU11" s="134"/>
      <c r="AV11" s="135"/>
      <c r="AW11" s="124"/>
      <c r="AX11" s="124"/>
    </row>
    <row r="12" spans="1:50" ht="15" customHeight="1">
      <c r="A12" s="80" t="s">
        <v>0</v>
      </c>
      <c r="B12" s="81"/>
      <c r="C12" s="81"/>
      <c r="D12" s="81"/>
      <c r="E12" s="10"/>
      <c r="F12" s="10"/>
      <c r="G12" s="10"/>
      <c r="H12" s="10"/>
      <c r="I12" s="90"/>
      <c r="J12" s="90"/>
      <c r="K12" s="90"/>
      <c r="L12" s="10"/>
      <c r="M12" s="90"/>
      <c r="N12" s="10"/>
      <c r="O12" s="90"/>
      <c r="P12" s="90"/>
      <c r="Q12" s="90"/>
      <c r="R12" s="90"/>
      <c r="S12" s="90"/>
      <c r="T12" s="90"/>
      <c r="U12" s="10"/>
      <c r="V12" s="90"/>
      <c r="W12" s="90"/>
      <c r="X12" s="4"/>
      <c r="Y12" s="108" t="s">
        <v>230</v>
      </c>
      <c r="Z12" s="109">
        <v>200</v>
      </c>
      <c r="AA12" s="88" t="s">
        <v>219</v>
      </c>
      <c r="AB12" s="89" t="s">
        <v>220</v>
      </c>
      <c r="AC12" s="89">
        <v>0</v>
      </c>
      <c r="AD12" s="89">
        <v>2.4</v>
      </c>
      <c r="AE12" s="89">
        <v>120</v>
      </c>
      <c r="AF12" s="89">
        <v>80.000000000000028</v>
      </c>
      <c r="AG12" s="89">
        <v>8.0000000000000036</v>
      </c>
      <c r="AH12" s="89">
        <v>10.000000000000004</v>
      </c>
      <c r="AI12" s="99" cm="1">
        <f t="array" ref="AI12">_xll.DCEPropSectDblAngle(AF12, AE12, AG12, AH12, "Area")/100</f>
        <v>30.720000000000017</v>
      </c>
      <c r="AJ12" s="88" t="s">
        <v>221</v>
      </c>
      <c r="AK12" s="89">
        <v>-38.261412789338316</v>
      </c>
      <c r="AL12" s="89">
        <v>0.9</v>
      </c>
      <c r="AM12" s="99">
        <f>AL12*AD12</f>
        <v>2.16</v>
      </c>
      <c r="AN12" s="89">
        <v>0.8</v>
      </c>
      <c r="AO12" s="99">
        <f>AN12*AD12</f>
        <v>1.92</v>
      </c>
      <c r="AP12" s="99" cm="1">
        <f t="array" ref="AP12">_xll.DCEPropSectDblAngle(AF12, AE12, AG12, AH12, "rx")/10</f>
        <v>2.3245071162148201</v>
      </c>
      <c r="AQ12" s="99" cm="1">
        <f t="array" ref="AQ12">_xll.DCEPropSectDblAngle(AF12, AE12, AG12, AH12, "ry")/10</f>
        <v>5.8506409905240293</v>
      </c>
      <c r="AR12" s="6">
        <f>AM12*100/AP12</f>
        <v>92.922924818457858</v>
      </c>
      <c r="AS12" s="6">
        <f>AO12*100/AQ12</f>
        <v>32.816917037119886</v>
      </c>
      <c r="AT12" s="6">
        <f>MAX(AR12,AS12)</f>
        <v>92.922924818457858</v>
      </c>
      <c r="AU12" s="89">
        <f t="shared" ref="AU12:AU76" si="0">IF(AK12&lt;0,$Z$12,$Z$13)</f>
        <v>200</v>
      </c>
      <c r="AV12" s="100" cm="1">
        <f t="array" ref="AV12">IF(AK12&gt;0,1,_xll.DCETCVN5575FactorPhi7121(AT12*SQRT($K$17/206000),"c"))</f>
        <v>0.54493996911196685</v>
      </c>
      <c r="AW12" s="65">
        <f>ABS(AK12)/(AV12*AI12*$K$17*$K$19)*10</f>
        <v>0.11110322768919398</v>
      </c>
      <c r="AX12" s="3" t="str">
        <f>IF(AND(AT12&lt;=AU12,AW12&lt;=1),"OK","Check")</f>
        <v>OK</v>
      </c>
    </row>
    <row r="13" spans="1:50">
      <c r="A13" s="5" t="s">
        <v>168</v>
      </c>
      <c r="B13" s="90"/>
      <c r="C13" s="90"/>
      <c r="D13" s="90"/>
      <c r="E13" s="10"/>
      <c r="F13" s="10"/>
      <c r="G13" s="10"/>
      <c r="H13" s="10"/>
      <c r="I13" s="90"/>
      <c r="J13" s="90"/>
      <c r="K13" s="90"/>
      <c r="L13" s="10"/>
      <c r="M13" s="90"/>
      <c r="N13" s="10"/>
      <c r="O13" s="90"/>
      <c r="P13" s="90"/>
      <c r="Q13" s="90"/>
      <c r="R13" s="90"/>
      <c r="S13" s="90"/>
      <c r="T13" s="90"/>
      <c r="U13" s="10"/>
      <c r="V13" s="90"/>
      <c r="W13" s="90"/>
      <c r="X13" s="4"/>
      <c r="Y13" s="108" t="s">
        <v>231</v>
      </c>
      <c r="Z13" s="109">
        <v>400</v>
      </c>
      <c r="AA13" s="88" t="s">
        <v>219</v>
      </c>
      <c r="AB13" s="89" t="s">
        <v>220</v>
      </c>
      <c r="AC13" s="89">
        <v>0.6</v>
      </c>
      <c r="AD13" s="89">
        <v>2.4</v>
      </c>
      <c r="AE13" s="89">
        <v>120</v>
      </c>
      <c r="AF13" s="89">
        <v>80.000000000000028</v>
      </c>
      <c r="AG13" s="89">
        <v>8.0000000000000036</v>
      </c>
      <c r="AH13" s="89">
        <v>10.000000000000004</v>
      </c>
      <c r="AI13" s="99" cm="1">
        <f t="array" ref="AI13">_xll.DCEPropSectDblAngle(AF13, AE13, AG13, AH13, "Area")/100</f>
        <v>30.720000000000017</v>
      </c>
      <c r="AJ13" s="88" t="s">
        <v>221</v>
      </c>
      <c r="AK13" s="88">
        <v>-38.261412789338316</v>
      </c>
      <c r="AL13" s="89">
        <v>0.9</v>
      </c>
      <c r="AM13" s="99">
        <f t="shared" ref="AM13:AM76" si="1">AL13*AD13</f>
        <v>2.16</v>
      </c>
      <c r="AN13" s="89">
        <v>0.8</v>
      </c>
      <c r="AO13" s="99">
        <f t="shared" ref="AO13:AO76" si="2">AN13*AD13</f>
        <v>1.92</v>
      </c>
      <c r="AP13" s="99" cm="1">
        <f t="array" ref="AP13">_xll.DCEPropSectDblAngle(AF13, AE13, AG13, AH13, "rx")/10</f>
        <v>2.3245071162148201</v>
      </c>
      <c r="AQ13" s="99" cm="1">
        <f t="array" ref="AQ13">_xll.DCEPropSectDblAngle(AF13, AE13, AG13, AH13, "ry")/10</f>
        <v>5.8506409905240293</v>
      </c>
      <c r="AR13" s="6">
        <f t="shared" ref="AR13:AR76" si="3">AM13*100/AP13</f>
        <v>92.922924818457858</v>
      </c>
      <c r="AS13" s="6">
        <f t="shared" ref="AS13:AS76" si="4">AO13*100/AQ13</f>
        <v>32.816917037119886</v>
      </c>
      <c r="AT13" s="6">
        <f t="shared" ref="AT13:AT76" si="5">MAX(AR13,AS13)</f>
        <v>92.922924818457858</v>
      </c>
      <c r="AU13" s="89">
        <f t="shared" si="0"/>
        <v>200</v>
      </c>
      <c r="AV13" s="100" cm="1">
        <f t="array" ref="AV13">IF(AK13&gt;0,1,_xll.DCETCVN5575FactorPhi7121(AT13*SQRT($K$17/206000),"c"))</f>
        <v>0.54493996911196685</v>
      </c>
      <c r="AW13" s="65">
        <f t="shared" ref="AW13:AW76" si="6">ABS(AK13)/(AV13*AI13*$K$17*$K$19)*10</f>
        <v>0.11110322768919398</v>
      </c>
      <c r="AX13" s="3" t="str">
        <f t="shared" ref="AX13:AX76" si="7">IF(AND(AT13&lt;=AU13,AW13&lt;=1),"OK","Check")</f>
        <v>OK</v>
      </c>
    </row>
    <row r="14" spans="1:50" ht="15" customHeight="1">
      <c r="A14" s="84" t="s">
        <v>105</v>
      </c>
      <c r="B14" s="90"/>
      <c r="C14" s="90"/>
      <c r="D14" s="90"/>
      <c r="E14" s="10"/>
      <c r="F14" s="10"/>
      <c r="G14" s="10"/>
      <c r="H14" s="10"/>
      <c r="I14" s="91"/>
      <c r="J14" s="131" t="s">
        <v>237</v>
      </c>
      <c r="K14" s="131"/>
      <c r="L14" s="131"/>
      <c r="M14" s="92"/>
      <c r="N14" s="10"/>
      <c r="O14" s="91"/>
      <c r="P14" s="91"/>
      <c r="Q14" s="91"/>
      <c r="R14" s="91"/>
      <c r="S14" s="90"/>
      <c r="T14" s="90"/>
      <c r="U14" s="10"/>
      <c r="V14" s="90"/>
      <c r="W14" s="90"/>
      <c r="X14" s="4"/>
      <c r="AA14" s="88" t="s">
        <v>219</v>
      </c>
      <c r="AB14" s="89" t="s">
        <v>220</v>
      </c>
      <c r="AC14" s="89">
        <v>1.2</v>
      </c>
      <c r="AD14" s="89">
        <v>2.4</v>
      </c>
      <c r="AE14" s="89">
        <v>120</v>
      </c>
      <c r="AF14" s="89">
        <v>80.000000000000028</v>
      </c>
      <c r="AG14" s="89">
        <v>8.0000000000000036</v>
      </c>
      <c r="AH14" s="89">
        <v>10.000000000000004</v>
      </c>
      <c r="AI14" s="99" cm="1">
        <f t="array" ref="AI14">_xll.DCEPropSectDblAngle(AF14, AE14, AG14, AH14, "Area")/100</f>
        <v>30.720000000000017</v>
      </c>
      <c r="AJ14" s="88" t="s">
        <v>221</v>
      </c>
      <c r="AK14" s="88">
        <v>-38.261412789338316</v>
      </c>
      <c r="AL14" s="89">
        <v>0.9</v>
      </c>
      <c r="AM14" s="99">
        <f t="shared" si="1"/>
        <v>2.16</v>
      </c>
      <c r="AN14" s="89">
        <v>0.8</v>
      </c>
      <c r="AO14" s="99">
        <f t="shared" si="2"/>
        <v>1.92</v>
      </c>
      <c r="AP14" s="99" cm="1">
        <f t="array" ref="AP14">_xll.DCEPropSectDblAngle(AF14, AE14, AG14, AH14, "rx")/10</f>
        <v>2.3245071162148201</v>
      </c>
      <c r="AQ14" s="99" cm="1">
        <f t="array" ref="AQ14">_xll.DCEPropSectDblAngle(AF14, AE14, AG14, AH14, "ry")/10</f>
        <v>5.8506409905240293</v>
      </c>
      <c r="AR14" s="6">
        <f t="shared" si="3"/>
        <v>92.922924818457858</v>
      </c>
      <c r="AS14" s="6">
        <f t="shared" si="4"/>
        <v>32.816917037119886</v>
      </c>
      <c r="AT14" s="6">
        <f t="shared" si="5"/>
        <v>92.922924818457858</v>
      </c>
      <c r="AU14" s="89">
        <f t="shared" si="0"/>
        <v>200</v>
      </c>
      <c r="AV14" s="100" cm="1">
        <f t="array" ref="AV14">IF(AK14&gt;0,1,_xll.DCETCVN5575FactorPhi7121(AT14*SQRT($K$17/206000),"c"))</f>
        <v>0.54493996911196685</v>
      </c>
      <c r="AW14" s="65">
        <f t="shared" si="6"/>
        <v>0.11110322768919398</v>
      </c>
      <c r="AX14" s="3" t="str">
        <f t="shared" si="7"/>
        <v>OK</v>
      </c>
    </row>
    <row r="15" spans="1:50" ht="15">
      <c r="A15" s="84" t="s">
        <v>169</v>
      </c>
      <c r="B15" s="90"/>
      <c r="C15" s="90"/>
      <c r="D15" s="90"/>
      <c r="E15" s="10"/>
      <c r="F15" s="10"/>
      <c r="G15" s="10"/>
      <c r="H15" s="10"/>
      <c r="I15" s="91"/>
      <c r="J15" s="93" t="s">
        <v>173</v>
      </c>
      <c r="K15" s="94">
        <f>VLOOKUP(J14,Data!$A$3:$D$82,3,FALSE)</f>
        <v>240</v>
      </c>
      <c r="L15" s="10" t="s">
        <v>22</v>
      </c>
      <c r="M15" s="10"/>
      <c r="N15" s="10"/>
      <c r="O15" s="91"/>
      <c r="P15" s="91"/>
      <c r="Q15" s="91"/>
      <c r="R15" s="91"/>
      <c r="S15" s="90"/>
      <c r="T15" s="90"/>
      <c r="U15" s="10"/>
      <c r="V15" s="90"/>
      <c r="W15" s="90"/>
      <c r="X15" s="4"/>
      <c r="AA15" s="88" t="s">
        <v>219</v>
      </c>
      <c r="AB15" s="89" t="s">
        <v>220</v>
      </c>
      <c r="AC15" s="89">
        <v>1.8</v>
      </c>
      <c r="AD15" s="89">
        <v>2.4</v>
      </c>
      <c r="AE15" s="89">
        <v>120</v>
      </c>
      <c r="AF15" s="89">
        <v>80.000000000000028</v>
      </c>
      <c r="AG15" s="89">
        <v>8.0000000000000036</v>
      </c>
      <c r="AH15" s="89">
        <v>10.000000000000004</v>
      </c>
      <c r="AI15" s="99" cm="1">
        <f t="array" ref="AI15">_xll.DCEPropSectDblAngle(AF15, AE15, AG15, AH15, "Area")/100</f>
        <v>30.720000000000017</v>
      </c>
      <c r="AJ15" s="88" t="s">
        <v>221</v>
      </c>
      <c r="AK15" s="88">
        <v>-38.261412789338316</v>
      </c>
      <c r="AL15" s="89">
        <v>0.9</v>
      </c>
      <c r="AM15" s="99">
        <f t="shared" si="1"/>
        <v>2.16</v>
      </c>
      <c r="AN15" s="89">
        <v>0.8</v>
      </c>
      <c r="AO15" s="99">
        <f t="shared" si="2"/>
        <v>1.92</v>
      </c>
      <c r="AP15" s="99" cm="1">
        <f t="array" ref="AP15">_xll.DCEPropSectDblAngle(AF15, AE15, AG15, AH15, "rx")/10</f>
        <v>2.3245071162148201</v>
      </c>
      <c r="AQ15" s="99" cm="1">
        <f t="array" ref="AQ15">_xll.DCEPropSectDblAngle(AF15, AE15, AG15, AH15, "ry")/10</f>
        <v>5.8506409905240293</v>
      </c>
      <c r="AR15" s="6">
        <f t="shared" si="3"/>
        <v>92.922924818457858</v>
      </c>
      <c r="AS15" s="6">
        <f t="shared" si="4"/>
        <v>32.816917037119886</v>
      </c>
      <c r="AT15" s="6">
        <f t="shared" si="5"/>
        <v>92.922924818457858</v>
      </c>
      <c r="AU15" s="89">
        <f t="shared" si="0"/>
        <v>200</v>
      </c>
      <c r="AV15" s="100" cm="1">
        <f t="array" ref="AV15">IF(AK15&gt;0,1,_xll.DCETCVN5575FactorPhi7121(AT15*SQRT($K$17/206000),"c"))</f>
        <v>0.54493996911196685</v>
      </c>
      <c r="AW15" s="65">
        <f t="shared" si="6"/>
        <v>0.11110322768919398</v>
      </c>
      <c r="AX15" s="3" t="str">
        <f t="shared" si="7"/>
        <v>OK</v>
      </c>
    </row>
    <row r="16" spans="1:50" ht="15">
      <c r="A16" s="84" t="s">
        <v>170</v>
      </c>
      <c r="B16" s="90"/>
      <c r="C16" s="90"/>
      <c r="D16" s="90"/>
      <c r="E16" s="10"/>
      <c r="F16" s="10"/>
      <c r="G16" s="10"/>
      <c r="H16" s="10"/>
      <c r="I16" s="91"/>
      <c r="J16" s="93" t="s">
        <v>174</v>
      </c>
      <c r="K16" s="94">
        <f>VLOOKUP(J14,Data!$A$3:$D$82,4,FALSE)</f>
        <v>380</v>
      </c>
      <c r="L16" s="10" t="s">
        <v>22</v>
      </c>
      <c r="M16" s="10"/>
      <c r="N16" s="10"/>
      <c r="O16" s="91"/>
      <c r="P16" s="91"/>
      <c r="Q16" s="91"/>
      <c r="R16" s="91"/>
      <c r="S16" s="90"/>
      <c r="T16" s="90"/>
      <c r="U16" s="10"/>
      <c r="V16" s="90"/>
      <c r="W16" s="90"/>
      <c r="X16" s="4"/>
      <c r="AA16" s="88" t="s">
        <v>219</v>
      </c>
      <c r="AB16" s="89" t="s">
        <v>220</v>
      </c>
      <c r="AC16" s="89">
        <v>2.4</v>
      </c>
      <c r="AD16" s="89">
        <v>2.4</v>
      </c>
      <c r="AE16" s="89">
        <v>120</v>
      </c>
      <c r="AF16" s="89">
        <v>80.000000000000028</v>
      </c>
      <c r="AG16" s="89">
        <v>8.0000000000000036</v>
      </c>
      <c r="AH16" s="89">
        <v>10.000000000000004</v>
      </c>
      <c r="AI16" s="99" cm="1">
        <f t="array" ref="AI16">_xll.DCEPropSectDblAngle(AF16, AE16, AG16, AH16, "Area")/100</f>
        <v>30.720000000000017</v>
      </c>
      <c r="AJ16" s="88" t="s">
        <v>221</v>
      </c>
      <c r="AK16" s="88">
        <v>-38.261412789338316</v>
      </c>
      <c r="AL16" s="89">
        <v>0.9</v>
      </c>
      <c r="AM16" s="99">
        <f t="shared" si="1"/>
        <v>2.16</v>
      </c>
      <c r="AN16" s="89">
        <v>0.8</v>
      </c>
      <c r="AO16" s="99">
        <f t="shared" si="2"/>
        <v>1.92</v>
      </c>
      <c r="AP16" s="99" cm="1">
        <f t="array" ref="AP16">_xll.DCEPropSectDblAngle(AF16, AE16, AG16, AH16, "rx")/10</f>
        <v>2.3245071162148201</v>
      </c>
      <c r="AQ16" s="99" cm="1">
        <f t="array" ref="AQ16">_xll.DCEPropSectDblAngle(AF16, AE16, AG16, AH16, "ry")/10</f>
        <v>5.8506409905240293</v>
      </c>
      <c r="AR16" s="6">
        <f t="shared" si="3"/>
        <v>92.922924818457858</v>
      </c>
      <c r="AS16" s="6">
        <f t="shared" si="4"/>
        <v>32.816917037119886</v>
      </c>
      <c r="AT16" s="6">
        <f t="shared" si="5"/>
        <v>92.922924818457858</v>
      </c>
      <c r="AU16" s="89">
        <f t="shared" si="0"/>
        <v>200</v>
      </c>
      <c r="AV16" s="100" cm="1">
        <f t="array" ref="AV16">IF(AK16&gt;0,1,_xll.DCETCVN5575FactorPhi7121(AT16*SQRT($K$17/206000),"c"))</f>
        <v>0.54493996911196685</v>
      </c>
      <c r="AW16" s="65">
        <f t="shared" si="6"/>
        <v>0.11110322768919398</v>
      </c>
      <c r="AX16" s="3" t="str">
        <f t="shared" si="7"/>
        <v>OK</v>
      </c>
    </row>
    <row r="17" spans="1:50" ht="15">
      <c r="A17" s="84" t="s">
        <v>171</v>
      </c>
      <c r="B17" s="90"/>
      <c r="C17" s="90"/>
      <c r="D17" s="90"/>
      <c r="E17" s="10"/>
      <c r="F17" s="10"/>
      <c r="G17" s="10"/>
      <c r="H17" s="10"/>
      <c r="I17" s="91"/>
      <c r="J17" s="93" t="s">
        <v>175</v>
      </c>
      <c r="K17" s="95">
        <f>K15/K18</f>
        <v>228.57142857142856</v>
      </c>
      <c r="L17" s="10" t="s">
        <v>22</v>
      </c>
      <c r="M17" s="10"/>
      <c r="N17" s="10"/>
      <c r="O17" s="91"/>
      <c r="P17" s="91"/>
      <c r="Q17" s="91"/>
      <c r="R17" s="91"/>
      <c r="S17" s="90"/>
      <c r="T17" s="90"/>
      <c r="U17" s="10"/>
      <c r="V17" s="90"/>
      <c r="W17" s="90"/>
      <c r="X17" s="4"/>
      <c r="AA17" s="88" t="s">
        <v>219</v>
      </c>
      <c r="AB17" s="89" t="s">
        <v>220</v>
      </c>
      <c r="AC17" s="89">
        <v>0</v>
      </c>
      <c r="AD17" s="89">
        <v>2.4</v>
      </c>
      <c r="AE17" s="89">
        <v>120</v>
      </c>
      <c r="AF17" s="89">
        <v>80.000000000000028</v>
      </c>
      <c r="AG17" s="89">
        <v>8.0000000000000036</v>
      </c>
      <c r="AH17" s="89">
        <v>10.000000000000004</v>
      </c>
      <c r="AI17" s="99" cm="1">
        <f t="array" ref="AI17">_xll.DCEPropSectDblAngle(AF17, AE17, AG17, AH17, "Area")/100</f>
        <v>30.720000000000017</v>
      </c>
      <c r="AJ17" s="88" t="s">
        <v>226</v>
      </c>
      <c r="AK17" s="88">
        <v>-38.614202101566981</v>
      </c>
      <c r="AL17" s="89">
        <v>0.9</v>
      </c>
      <c r="AM17" s="99">
        <f t="shared" si="1"/>
        <v>2.16</v>
      </c>
      <c r="AN17" s="89">
        <v>0.8</v>
      </c>
      <c r="AO17" s="99">
        <f t="shared" si="2"/>
        <v>1.92</v>
      </c>
      <c r="AP17" s="99" cm="1">
        <f t="array" ref="AP17">_xll.DCEPropSectDblAngle(AF17, AE17, AG17, AH17, "rx")/10</f>
        <v>2.3245071162148201</v>
      </c>
      <c r="AQ17" s="99" cm="1">
        <f t="array" ref="AQ17">_xll.DCEPropSectDblAngle(AF17, AE17, AG17, AH17, "ry")/10</f>
        <v>5.8506409905240293</v>
      </c>
      <c r="AR17" s="6">
        <f t="shared" si="3"/>
        <v>92.922924818457858</v>
      </c>
      <c r="AS17" s="6">
        <f t="shared" si="4"/>
        <v>32.816917037119886</v>
      </c>
      <c r="AT17" s="6">
        <f t="shared" si="5"/>
        <v>92.922924818457858</v>
      </c>
      <c r="AU17" s="89">
        <f t="shared" si="0"/>
        <v>200</v>
      </c>
      <c r="AV17" s="100" cm="1">
        <f t="array" ref="AV17">IF(AK17&gt;0,1,_xll.DCETCVN5575FactorPhi7121(AT17*SQRT($K$17/206000),"c"))</f>
        <v>0.54493996911196685</v>
      </c>
      <c r="AW17" s="65">
        <f t="shared" si="6"/>
        <v>0.11212765487118705</v>
      </c>
      <c r="AX17" s="3" t="str">
        <f t="shared" si="7"/>
        <v>OK</v>
      </c>
    </row>
    <row r="18" spans="1:50" ht="15">
      <c r="A18" s="84" t="s">
        <v>177</v>
      </c>
      <c r="B18" s="90"/>
      <c r="C18" s="90"/>
      <c r="D18" s="90"/>
      <c r="E18" s="10"/>
      <c r="F18" s="10"/>
      <c r="G18" s="10"/>
      <c r="H18" s="10"/>
      <c r="I18" s="91"/>
      <c r="J18" s="96" t="s">
        <v>178</v>
      </c>
      <c r="K18" s="9">
        <f>VLOOKUP(J14,Data!$A$3:$E$82,5,FALSE)</f>
        <v>1.05</v>
      </c>
      <c r="L18" s="10"/>
      <c r="M18" s="90"/>
      <c r="N18" s="10"/>
      <c r="O18" s="91"/>
      <c r="P18" s="91"/>
      <c r="Q18" s="91"/>
      <c r="R18" s="91"/>
      <c r="S18" s="90"/>
      <c r="T18" s="90"/>
      <c r="U18" s="10"/>
      <c r="V18" s="90"/>
      <c r="W18" s="90"/>
      <c r="X18" s="4"/>
      <c r="AA18" s="88" t="s">
        <v>219</v>
      </c>
      <c r="AB18" s="89" t="s">
        <v>220</v>
      </c>
      <c r="AC18" s="89">
        <v>0.6</v>
      </c>
      <c r="AD18" s="89">
        <v>2.4</v>
      </c>
      <c r="AE18" s="89">
        <v>120</v>
      </c>
      <c r="AF18" s="89">
        <v>80.000000000000028</v>
      </c>
      <c r="AG18" s="89">
        <v>8.0000000000000036</v>
      </c>
      <c r="AH18" s="89">
        <v>10.000000000000004</v>
      </c>
      <c r="AI18" s="99" cm="1">
        <f t="array" ref="AI18">_xll.DCEPropSectDblAngle(AF18, AE18, AG18, AH18, "Area")/100</f>
        <v>30.720000000000017</v>
      </c>
      <c r="AJ18" s="88" t="s">
        <v>226</v>
      </c>
      <c r="AK18" s="88">
        <v>-38.614202101566981</v>
      </c>
      <c r="AL18" s="89">
        <v>0.9</v>
      </c>
      <c r="AM18" s="99">
        <f t="shared" si="1"/>
        <v>2.16</v>
      </c>
      <c r="AN18" s="89">
        <v>0.8</v>
      </c>
      <c r="AO18" s="99">
        <f t="shared" si="2"/>
        <v>1.92</v>
      </c>
      <c r="AP18" s="99" cm="1">
        <f t="array" ref="AP18">_xll.DCEPropSectDblAngle(AF18, AE18, AG18, AH18, "rx")/10</f>
        <v>2.3245071162148201</v>
      </c>
      <c r="AQ18" s="99" cm="1">
        <f t="array" ref="AQ18">_xll.DCEPropSectDblAngle(AF18, AE18, AG18, AH18, "ry")/10</f>
        <v>5.8506409905240293</v>
      </c>
      <c r="AR18" s="6">
        <f t="shared" si="3"/>
        <v>92.922924818457858</v>
      </c>
      <c r="AS18" s="6">
        <f t="shared" si="4"/>
        <v>32.816917037119886</v>
      </c>
      <c r="AT18" s="6">
        <f t="shared" si="5"/>
        <v>92.922924818457858</v>
      </c>
      <c r="AU18" s="89">
        <f t="shared" si="0"/>
        <v>200</v>
      </c>
      <c r="AV18" s="100" cm="1">
        <f t="array" ref="AV18">IF(AK18&gt;0,1,_xll.DCETCVN5575FactorPhi7121(AT18*SQRT($K$17/206000),"c"))</f>
        <v>0.54493996911196685</v>
      </c>
      <c r="AW18" s="65">
        <f t="shared" si="6"/>
        <v>0.11212765487118705</v>
      </c>
      <c r="AX18" s="3" t="str">
        <f t="shared" si="7"/>
        <v>OK</v>
      </c>
    </row>
    <row r="19" spans="1:50" ht="15">
      <c r="A19" s="84" t="s">
        <v>172</v>
      </c>
      <c r="B19" s="90"/>
      <c r="C19" s="90"/>
      <c r="D19" s="90"/>
      <c r="E19" s="10"/>
      <c r="F19" s="10"/>
      <c r="G19" s="10"/>
      <c r="H19" s="10"/>
      <c r="I19" s="91"/>
      <c r="J19" s="96" t="s">
        <v>176</v>
      </c>
      <c r="K19" s="97">
        <v>0.9</v>
      </c>
      <c r="L19" s="10"/>
      <c r="M19" s="90"/>
      <c r="N19" s="10"/>
      <c r="O19" s="91"/>
      <c r="P19" s="91"/>
      <c r="Q19" s="91"/>
      <c r="R19" s="91"/>
      <c r="S19" s="90"/>
      <c r="T19" s="90"/>
      <c r="U19" s="10"/>
      <c r="V19" s="90"/>
      <c r="W19" s="90"/>
      <c r="X19" s="4"/>
      <c r="AA19" s="88" t="s">
        <v>219</v>
      </c>
      <c r="AB19" s="89" t="s">
        <v>220</v>
      </c>
      <c r="AC19" s="89">
        <v>1.2</v>
      </c>
      <c r="AD19" s="89">
        <v>2.4</v>
      </c>
      <c r="AE19" s="89">
        <v>120</v>
      </c>
      <c r="AF19" s="89">
        <v>80.000000000000028</v>
      </c>
      <c r="AG19" s="89">
        <v>8.0000000000000036</v>
      </c>
      <c r="AH19" s="89">
        <v>10.000000000000004</v>
      </c>
      <c r="AI19" s="99" cm="1">
        <f t="array" ref="AI19">_xll.DCEPropSectDblAngle(AF19, AE19, AG19, AH19, "Area")/100</f>
        <v>30.720000000000017</v>
      </c>
      <c r="AJ19" s="88" t="s">
        <v>226</v>
      </c>
      <c r="AK19" s="88">
        <v>-38.614202101566981</v>
      </c>
      <c r="AL19" s="89">
        <v>0.9</v>
      </c>
      <c r="AM19" s="99">
        <f t="shared" si="1"/>
        <v>2.16</v>
      </c>
      <c r="AN19" s="89">
        <v>0.8</v>
      </c>
      <c r="AO19" s="99">
        <f t="shared" si="2"/>
        <v>1.92</v>
      </c>
      <c r="AP19" s="99" cm="1">
        <f t="array" ref="AP19">_xll.DCEPropSectDblAngle(AF19, AE19, AG19, AH19, "rx")/10</f>
        <v>2.3245071162148201</v>
      </c>
      <c r="AQ19" s="99" cm="1">
        <f t="array" ref="AQ19">_xll.DCEPropSectDblAngle(AF19, AE19, AG19, AH19, "ry")/10</f>
        <v>5.8506409905240293</v>
      </c>
      <c r="AR19" s="6">
        <f t="shared" si="3"/>
        <v>92.922924818457858</v>
      </c>
      <c r="AS19" s="6">
        <f t="shared" si="4"/>
        <v>32.816917037119886</v>
      </c>
      <c r="AT19" s="6">
        <f t="shared" si="5"/>
        <v>92.922924818457858</v>
      </c>
      <c r="AU19" s="89">
        <f t="shared" si="0"/>
        <v>200</v>
      </c>
      <c r="AV19" s="100" cm="1">
        <f t="array" ref="AV19">IF(AK19&gt;0,1,_xll.DCETCVN5575FactorPhi7121(AT19*SQRT($K$17/206000),"c"))</f>
        <v>0.54493996911196685</v>
      </c>
      <c r="AW19" s="65">
        <f t="shared" si="6"/>
        <v>0.11212765487118705</v>
      </c>
      <c r="AX19" s="3" t="str">
        <f t="shared" si="7"/>
        <v>OK</v>
      </c>
    </row>
    <row r="20" spans="1:50">
      <c r="A20" s="84" t="s">
        <v>192</v>
      </c>
      <c r="B20" s="90"/>
      <c r="C20" s="90"/>
      <c r="D20" s="90"/>
      <c r="E20" s="10"/>
      <c r="F20" s="10"/>
      <c r="G20" s="10"/>
      <c r="H20" s="10"/>
      <c r="I20" s="91"/>
      <c r="J20" s="96"/>
      <c r="K20" s="97"/>
      <c r="L20" s="10"/>
      <c r="M20" s="90"/>
      <c r="N20" s="10"/>
      <c r="O20" s="91"/>
      <c r="P20" s="91"/>
      <c r="Q20" s="91"/>
      <c r="R20" s="91"/>
      <c r="S20" s="90"/>
      <c r="T20" s="90"/>
      <c r="U20" s="10"/>
      <c r="V20" s="90"/>
      <c r="W20" s="90"/>
      <c r="X20" s="4"/>
      <c r="AA20" s="88" t="s">
        <v>219</v>
      </c>
      <c r="AB20" s="89" t="s">
        <v>220</v>
      </c>
      <c r="AC20" s="89">
        <v>1.8</v>
      </c>
      <c r="AD20" s="89">
        <v>2.4</v>
      </c>
      <c r="AE20" s="89">
        <v>120</v>
      </c>
      <c r="AF20" s="89">
        <v>80.000000000000028</v>
      </c>
      <c r="AG20" s="89">
        <v>8.0000000000000036</v>
      </c>
      <c r="AH20" s="89">
        <v>10.000000000000004</v>
      </c>
      <c r="AI20" s="99" cm="1">
        <f t="array" ref="AI20">_xll.DCEPropSectDblAngle(AF20, AE20, AG20, AH20, "Area")/100</f>
        <v>30.720000000000017</v>
      </c>
      <c r="AJ20" s="88" t="s">
        <v>226</v>
      </c>
      <c r="AK20" s="88">
        <v>-38.614202101566981</v>
      </c>
      <c r="AL20" s="89">
        <v>0.9</v>
      </c>
      <c r="AM20" s="99">
        <f t="shared" si="1"/>
        <v>2.16</v>
      </c>
      <c r="AN20" s="89">
        <v>0.8</v>
      </c>
      <c r="AO20" s="99">
        <f t="shared" si="2"/>
        <v>1.92</v>
      </c>
      <c r="AP20" s="99" cm="1">
        <f t="array" ref="AP20">_xll.DCEPropSectDblAngle(AF20, AE20, AG20, AH20, "rx")/10</f>
        <v>2.3245071162148201</v>
      </c>
      <c r="AQ20" s="99" cm="1">
        <f t="array" ref="AQ20">_xll.DCEPropSectDblAngle(AF20, AE20, AG20, AH20, "ry")/10</f>
        <v>5.8506409905240293</v>
      </c>
      <c r="AR20" s="6">
        <f t="shared" si="3"/>
        <v>92.922924818457858</v>
      </c>
      <c r="AS20" s="6">
        <f t="shared" si="4"/>
        <v>32.816917037119886</v>
      </c>
      <c r="AT20" s="6">
        <f t="shared" si="5"/>
        <v>92.922924818457858</v>
      </c>
      <c r="AU20" s="89">
        <f t="shared" si="0"/>
        <v>200</v>
      </c>
      <c r="AV20" s="100" cm="1">
        <f t="array" ref="AV20">IF(AK20&gt;0,1,_xll.DCETCVN5575FactorPhi7121(AT20*SQRT($K$17/206000),"c"))</f>
        <v>0.54493996911196685</v>
      </c>
      <c r="AW20" s="65">
        <f t="shared" si="6"/>
        <v>0.11212765487118705</v>
      </c>
      <c r="AX20" s="3" t="str">
        <f t="shared" si="7"/>
        <v>OK</v>
      </c>
    </row>
    <row r="21" spans="1:50">
      <c r="A21" s="84" t="s">
        <v>233</v>
      </c>
      <c r="B21" s="90"/>
      <c r="C21" s="90"/>
      <c r="D21" s="90"/>
      <c r="E21" s="10"/>
      <c r="F21" s="10"/>
      <c r="G21" s="10"/>
      <c r="H21" s="10"/>
      <c r="I21" s="91"/>
      <c r="J21" s="96"/>
      <c r="K21" s="97"/>
      <c r="L21" s="10"/>
      <c r="M21" s="90"/>
      <c r="N21" s="10"/>
      <c r="O21" s="91"/>
      <c r="P21" s="91"/>
      <c r="Q21" s="91"/>
      <c r="R21" s="91"/>
      <c r="S21" s="90"/>
      <c r="T21" s="90"/>
      <c r="U21" s="10"/>
      <c r="V21" s="90"/>
      <c r="W21" s="90"/>
      <c r="X21" s="4"/>
      <c r="AA21" s="88" t="s">
        <v>219</v>
      </c>
      <c r="AB21" s="89" t="s">
        <v>220</v>
      </c>
      <c r="AC21" s="89">
        <v>2.4</v>
      </c>
      <c r="AD21" s="89">
        <v>2.4</v>
      </c>
      <c r="AE21" s="89">
        <v>120</v>
      </c>
      <c r="AF21" s="89">
        <v>80.000000000000028</v>
      </c>
      <c r="AG21" s="89">
        <v>8.0000000000000036</v>
      </c>
      <c r="AH21" s="89">
        <v>10.000000000000004</v>
      </c>
      <c r="AI21" s="99" cm="1">
        <f t="array" ref="AI21">_xll.DCEPropSectDblAngle(AF21, AE21, AG21, AH21, "Area")/100</f>
        <v>30.720000000000017</v>
      </c>
      <c r="AJ21" s="88" t="s">
        <v>226</v>
      </c>
      <c r="AK21" s="88">
        <v>-38.614202101566981</v>
      </c>
      <c r="AL21" s="89">
        <v>0.9</v>
      </c>
      <c r="AM21" s="99">
        <f t="shared" si="1"/>
        <v>2.16</v>
      </c>
      <c r="AN21" s="89">
        <v>0.8</v>
      </c>
      <c r="AO21" s="99">
        <f t="shared" si="2"/>
        <v>1.92</v>
      </c>
      <c r="AP21" s="99" cm="1">
        <f t="array" ref="AP21">_xll.DCEPropSectDblAngle(AF21, AE21, AG21, AH21, "rx")/10</f>
        <v>2.3245071162148201</v>
      </c>
      <c r="AQ21" s="99" cm="1">
        <f t="array" ref="AQ21">_xll.DCEPropSectDblAngle(AF21, AE21, AG21, AH21, "ry")/10</f>
        <v>5.8506409905240293</v>
      </c>
      <c r="AR21" s="6">
        <f t="shared" si="3"/>
        <v>92.922924818457858</v>
      </c>
      <c r="AS21" s="6">
        <f t="shared" si="4"/>
        <v>32.816917037119886</v>
      </c>
      <c r="AT21" s="6">
        <f t="shared" si="5"/>
        <v>92.922924818457858</v>
      </c>
      <c r="AU21" s="89">
        <f t="shared" si="0"/>
        <v>200</v>
      </c>
      <c r="AV21" s="100" cm="1">
        <f t="array" ref="AV21">IF(AK21&gt;0,1,_xll.DCETCVN5575FactorPhi7121(AT21*SQRT($K$17/206000),"c"))</f>
        <v>0.54493996911196685</v>
      </c>
      <c r="AW21" s="65">
        <f t="shared" si="6"/>
        <v>0.11212765487118705</v>
      </c>
      <c r="AX21" s="3" t="str">
        <f t="shared" si="7"/>
        <v>OK</v>
      </c>
    </row>
    <row r="22" spans="1:50">
      <c r="A22" s="85"/>
      <c r="B22" s="90"/>
      <c r="C22" s="90"/>
      <c r="D22" s="90"/>
      <c r="E22" s="10"/>
      <c r="F22" s="10"/>
      <c r="G22" s="10"/>
      <c r="H22" s="10"/>
      <c r="I22" s="91"/>
      <c r="J22" s="96"/>
      <c r="K22" s="97"/>
      <c r="L22" s="10"/>
      <c r="M22" s="90"/>
      <c r="N22" s="10"/>
      <c r="O22" s="91"/>
      <c r="P22" s="91"/>
      <c r="Q22" s="91"/>
      <c r="R22" s="91"/>
      <c r="S22" s="90"/>
      <c r="T22" s="90"/>
      <c r="U22" s="10"/>
      <c r="V22" s="90"/>
      <c r="W22" s="90"/>
      <c r="X22" s="4"/>
      <c r="AA22" s="88" t="s">
        <v>219</v>
      </c>
      <c r="AB22" s="89" t="s">
        <v>220</v>
      </c>
      <c r="AC22" s="89">
        <v>0</v>
      </c>
      <c r="AD22" s="89">
        <v>2.4</v>
      </c>
      <c r="AE22" s="89">
        <v>120</v>
      </c>
      <c r="AF22" s="89">
        <v>80.000000000000028</v>
      </c>
      <c r="AG22" s="89">
        <v>8.0000000000000036</v>
      </c>
      <c r="AH22" s="89">
        <v>10.000000000000004</v>
      </c>
      <c r="AI22" s="99" cm="1">
        <f t="array" ref="AI22">_xll.DCEPropSectDblAngle(AF22, AE22, AG22, AH22, "Area")/100</f>
        <v>30.720000000000017</v>
      </c>
      <c r="AJ22" s="88" t="s">
        <v>227</v>
      </c>
      <c r="AK22" s="88">
        <v>-41.162769559193833</v>
      </c>
      <c r="AL22" s="89">
        <v>0.9</v>
      </c>
      <c r="AM22" s="99">
        <f t="shared" si="1"/>
        <v>2.16</v>
      </c>
      <c r="AN22" s="89">
        <v>0.8</v>
      </c>
      <c r="AO22" s="99">
        <f t="shared" si="2"/>
        <v>1.92</v>
      </c>
      <c r="AP22" s="99" cm="1">
        <f t="array" ref="AP22">_xll.DCEPropSectDblAngle(AF22, AE22, AG22, AH22, "rx")/10</f>
        <v>2.3245071162148201</v>
      </c>
      <c r="AQ22" s="99" cm="1">
        <f t="array" ref="AQ22">_xll.DCEPropSectDblAngle(AF22, AE22, AG22, AH22, "ry")/10</f>
        <v>5.8506409905240293</v>
      </c>
      <c r="AR22" s="6">
        <f t="shared" si="3"/>
        <v>92.922924818457858</v>
      </c>
      <c r="AS22" s="6">
        <f t="shared" si="4"/>
        <v>32.816917037119886</v>
      </c>
      <c r="AT22" s="6">
        <f t="shared" si="5"/>
        <v>92.922924818457858</v>
      </c>
      <c r="AU22" s="89">
        <f t="shared" si="0"/>
        <v>200</v>
      </c>
      <c r="AV22" s="100" cm="1">
        <f t="array" ref="AV22">IF(AK22&gt;0,1,_xll.DCETCVN5575FactorPhi7121(AT22*SQRT($K$17/206000),"c"))</f>
        <v>0.54493996911196685</v>
      </c>
      <c r="AW22" s="65">
        <f t="shared" si="6"/>
        <v>0.1195281675518084</v>
      </c>
      <c r="AX22" s="3" t="str">
        <f t="shared" si="7"/>
        <v>OK</v>
      </c>
    </row>
    <row r="23" spans="1:50">
      <c r="A23" s="5" t="s">
        <v>179</v>
      </c>
      <c r="B23" s="90"/>
      <c r="C23" s="90"/>
      <c r="D23" s="90"/>
      <c r="E23" s="10"/>
      <c r="F23" s="10"/>
      <c r="G23" s="10"/>
      <c r="H23" s="10"/>
      <c r="I23" s="90"/>
      <c r="J23" s="90"/>
      <c r="K23" s="90"/>
      <c r="L23" s="10"/>
      <c r="M23" s="90"/>
      <c r="N23" s="10"/>
      <c r="O23" s="90"/>
      <c r="P23" s="90"/>
      <c r="Q23" s="90"/>
      <c r="R23" s="90"/>
      <c r="S23" s="90"/>
      <c r="T23" s="90"/>
      <c r="U23" s="10"/>
      <c r="V23" s="72"/>
      <c r="W23" s="72"/>
      <c r="X23" s="79"/>
      <c r="AA23" s="88" t="s">
        <v>219</v>
      </c>
      <c r="AB23" s="89" t="s">
        <v>220</v>
      </c>
      <c r="AC23" s="89">
        <v>0.6</v>
      </c>
      <c r="AD23" s="89">
        <v>2.4</v>
      </c>
      <c r="AE23" s="89">
        <v>120</v>
      </c>
      <c r="AF23" s="89">
        <v>80.000000000000028</v>
      </c>
      <c r="AG23" s="89">
        <v>8.0000000000000036</v>
      </c>
      <c r="AH23" s="89">
        <v>10.000000000000004</v>
      </c>
      <c r="AI23" s="99" cm="1">
        <f t="array" ref="AI23">_xll.DCEPropSectDblAngle(AF23, AE23, AG23, AH23, "Area")/100</f>
        <v>30.720000000000017</v>
      </c>
      <c r="AJ23" s="88" t="s">
        <v>227</v>
      </c>
      <c r="AK23" s="88">
        <v>-41.162769559193833</v>
      </c>
      <c r="AL23" s="89">
        <v>0.9</v>
      </c>
      <c r="AM23" s="99">
        <f t="shared" si="1"/>
        <v>2.16</v>
      </c>
      <c r="AN23" s="89">
        <v>0.8</v>
      </c>
      <c r="AO23" s="99">
        <f t="shared" si="2"/>
        <v>1.92</v>
      </c>
      <c r="AP23" s="99" cm="1">
        <f t="array" ref="AP23">_xll.DCEPropSectDblAngle(AF23, AE23, AG23, AH23, "rx")/10</f>
        <v>2.3245071162148201</v>
      </c>
      <c r="AQ23" s="99" cm="1">
        <f t="array" ref="AQ23">_xll.DCEPropSectDblAngle(AF23, AE23, AG23, AH23, "ry")/10</f>
        <v>5.8506409905240293</v>
      </c>
      <c r="AR23" s="6">
        <f t="shared" si="3"/>
        <v>92.922924818457858</v>
      </c>
      <c r="AS23" s="6">
        <f t="shared" si="4"/>
        <v>32.816917037119886</v>
      </c>
      <c r="AT23" s="6">
        <f t="shared" si="5"/>
        <v>92.922924818457858</v>
      </c>
      <c r="AU23" s="89">
        <f t="shared" si="0"/>
        <v>200</v>
      </c>
      <c r="AV23" s="100" cm="1">
        <f t="array" ref="AV23">IF(AK23&gt;0,1,_xll.DCETCVN5575FactorPhi7121(AT23*SQRT($K$17/206000),"c"))</f>
        <v>0.54493996911196685</v>
      </c>
      <c r="AW23" s="65">
        <f t="shared" si="6"/>
        <v>0.1195281675518084</v>
      </c>
      <c r="AX23" s="3" t="str">
        <f t="shared" si="7"/>
        <v>OK</v>
      </c>
    </row>
    <row r="24" spans="1:50" ht="14.25" customHeight="1">
      <c r="A24" s="127" t="s">
        <v>101</v>
      </c>
      <c r="B24" s="127" t="s">
        <v>197</v>
      </c>
      <c r="C24" s="69" t="s">
        <v>198</v>
      </c>
      <c r="D24" s="69" t="s">
        <v>199</v>
      </c>
      <c r="E24" s="128" t="s">
        <v>217</v>
      </c>
      <c r="F24" s="129"/>
      <c r="G24" s="129"/>
      <c r="H24" s="130"/>
      <c r="I24" s="70" t="s">
        <v>19</v>
      </c>
      <c r="J24" s="127" t="s">
        <v>200</v>
      </c>
      <c r="K24" s="70" t="s">
        <v>21</v>
      </c>
      <c r="L24" s="71" t="s">
        <v>201</v>
      </c>
      <c r="M24" s="69" t="s">
        <v>181</v>
      </c>
      <c r="N24" s="71" t="s">
        <v>202</v>
      </c>
      <c r="O24" s="69" t="s">
        <v>183</v>
      </c>
      <c r="P24" s="69" t="s">
        <v>195</v>
      </c>
      <c r="Q24" s="69" t="s">
        <v>196</v>
      </c>
      <c r="R24" s="125" t="s">
        <v>185</v>
      </c>
      <c r="S24" s="125" t="s">
        <v>186</v>
      </c>
      <c r="T24" s="125" t="s">
        <v>190</v>
      </c>
      <c r="U24" s="125" t="s">
        <v>191</v>
      </c>
      <c r="V24" s="126" t="s">
        <v>187</v>
      </c>
      <c r="W24" s="127" t="s">
        <v>193</v>
      </c>
      <c r="X24" s="127" t="s">
        <v>188</v>
      </c>
      <c r="AA24" s="88" t="s">
        <v>219</v>
      </c>
      <c r="AB24" s="89" t="s">
        <v>220</v>
      </c>
      <c r="AC24" s="89">
        <v>1.2</v>
      </c>
      <c r="AD24" s="89">
        <v>2.4</v>
      </c>
      <c r="AE24" s="89">
        <v>120</v>
      </c>
      <c r="AF24" s="89">
        <v>80.000000000000028</v>
      </c>
      <c r="AG24" s="89">
        <v>8.0000000000000036</v>
      </c>
      <c r="AH24" s="89">
        <v>10.000000000000004</v>
      </c>
      <c r="AI24" s="99" cm="1">
        <f t="array" ref="AI24">_xll.DCEPropSectDblAngle(AF24, AE24, AG24, AH24, "Area")/100</f>
        <v>30.720000000000017</v>
      </c>
      <c r="AJ24" s="88" t="s">
        <v>227</v>
      </c>
      <c r="AK24" s="88">
        <v>-41.162769559193833</v>
      </c>
      <c r="AL24" s="89">
        <v>0.9</v>
      </c>
      <c r="AM24" s="99">
        <f t="shared" si="1"/>
        <v>2.16</v>
      </c>
      <c r="AN24" s="89">
        <v>0.8</v>
      </c>
      <c r="AO24" s="99">
        <f t="shared" si="2"/>
        <v>1.92</v>
      </c>
      <c r="AP24" s="99" cm="1">
        <f t="array" ref="AP24">_xll.DCEPropSectDblAngle(AF24, AE24, AG24, AH24, "rx")/10</f>
        <v>2.3245071162148201</v>
      </c>
      <c r="AQ24" s="99" cm="1">
        <f t="array" ref="AQ24">_xll.DCEPropSectDblAngle(AF24, AE24, AG24, AH24, "ry")/10</f>
        <v>5.8506409905240293</v>
      </c>
      <c r="AR24" s="6">
        <f t="shared" si="3"/>
        <v>92.922924818457858</v>
      </c>
      <c r="AS24" s="6">
        <f t="shared" si="4"/>
        <v>32.816917037119886</v>
      </c>
      <c r="AT24" s="6">
        <f t="shared" si="5"/>
        <v>92.922924818457858</v>
      </c>
      <c r="AU24" s="89">
        <f t="shared" si="0"/>
        <v>200</v>
      </c>
      <c r="AV24" s="100" cm="1">
        <f t="array" ref="AV24">IF(AK24&gt;0,1,_xll.DCETCVN5575FactorPhi7121(AT24*SQRT($K$17/206000),"c"))</f>
        <v>0.54493996911196685</v>
      </c>
      <c r="AW24" s="65">
        <f t="shared" si="6"/>
        <v>0.1195281675518084</v>
      </c>
      <c r="AX24" s="3" t="str">
        <f t="shared" si="7"/>
        <v>OK</v>
      </c>
    </row>
    <row r="25" spans="1:50" ht="15">
      <c r="A25" s="127"/>
      <c r="B25" s="127"/>
      <c r="C25" s="69" t="s">
        <v>203</v>
      </c>
      <c r="D25" s="69" t="s">
        <v>182</v>
      </c>
      <c r="E25" s="69" t="s">
        <v>30</v>
      </c>
      <c r="F25" s="69" t="s">
        <v>194</v>
      </c>
      <c r="G25" s="69" t="s">
        <v>133</v>
      </c>
      <c r="H25" s="107" t="s">
        <v>39</v>
      </c>
      <c r="I25" s="70" t="s">
        <v>184</v>
      </c>
      <c r="J25" s="127"/>
      <c r="K25" s="70" t="s">
        <v>180</v>
      </c>
      <c r="L25" s="69" t="s">
        <v>182</v>
      </c>
      <c r="M25" s="69" t="s">
        <v>182</v>
      </c>
      <c r="N25" s="69" t="s">
        <v>182</v>
      </c>
      <c r="O25" s="69" t="s">
        <v>182</v>
      </c>
      <c r="P25" s="69" t="s">
        <v>147</v>
      </c>
      <c r="Q25" s="69" t="s">
        <v>147</v>
      </c>
      <c r="R25" s="125"/>
      <c r="S25" s="125"/>
      <c r="T25" s="125"/>
      <c r="U25" s="125"/>
      <c r="V25" s="126"/>
      <c r="W25" s="127"/>
      <c r="X25" s="127"/>
      <c r="AA25" s="88" t="s">
        <v>219</v>
      </c>
      <c r="AB25" s="89" t="s">
        <v>220</v>
      </c>
      <c r="AC25" s="89">
        <v>1.8</v>
      </c>
      <c r="AD25" s="89">
        <v>2.4</v>
      </c>
      <c r="AE25" s="89">
        <v>120</v>
      </c>
      <c r="AF25" s="89">
        <v>80.000000000000028</v>
      </c>
      <c r="AG25" s="89">
        <v>8.0000000000000036</v>
      </c>
      <c r="AH25" s="89">
        <v>10.000000000000004</v>
      </c>
      <c r="AI25" s="99" cm="1">
        <f t="array" ref="AI25">_xll.DCEPropSectDblAngle(AF25, AE25, AG25, AH25, "Area")/100</f>
        <v>30.720000000000017</v>
      </c>
      <c r="AJ25" s="88" t="s">
        <v>227</v>
      </c>
      <c r="AK25" s="88">
        <v>-41.162769559193833</v>
      </c>
      <c r="AL25" s="89">
        <v>0.9</v>
      </c>
      <c r="AM25" s="99">
        <f t="shared" si="1"/>
        <v>2.16</v>
      </c>
      <c r="AN25" s="89">
        <v>0.8</v>
      </c>
      <c r="AO25" s="99">
        <f t="shared" si="2"/>
        <v>1.92</v>
      </c>
      <c r="AP25" s="99" cm="1">
        <f t="array" ref="AP25">_xll.DCEPropSectDblAngle(AF25, AE25, AG25, AH25, "rx")/10</f>
        <v>2.3245071162148201</v>
      </c>
      <c r="AQ25" s="99" cm="1">
        <f t="array" ref="AQ25">_xll.DCEPropSectDblAngle(AF25, AE25, AG25, AH25, "ry")/10</f>
        <v>5.8506409905240293</v>
      </c>
      <c r="AR25" s="6">
        <f t="shared" si="3"/>
        <v>92.922924818457858</v>
      </c>
      <c r="AS25" s="6">
        <f t="shared" si="4"/>
        <v>32.816917037119886</v>
      </c>
      <c r="AT25" s="6">
        <f t="shared" si="5"/>
        <v>92.922924818457858</v>
      </c>
      <c r="AU25" s="89">
        <f t="shared" si="0"/>
        <v>200</v>
      </c>
      <c r="AV25" s="100" cm="1">
        <f t="array" ref="AV25">IF(AK25&gt;0,1,_xll.DCETCVN5575FactorPhi7121(AT25*SQRT($K$17/206000),"c"))</f>
        <v>0.54493996911196685</v>
      </c>
      <c r="AW25" s="65">
        <f t="shared" si="6"/>
        <v>0.1195281675518084</v>
      </c>
      <c r="AX25" s="3" t="str">
        <f t="shared" si="7"/>
        <v>OK</v>
      </c>
    </row>
    <row r="26" spans="1:50">
      <c r="A26" s="88" t="s">
        <v>219</v>
      </c>
      <c r="B26" s="89" t="s">
        <v>220</v>
      </c>
      <c r="C26" s="89">
        <v>0</v>
      </c>
      <c r="D26" s="89">
        <v>2.4</v>
      </c>
      <c r="E26" s="89">
        <v>120</v>
      </c>
      <c r="F26" s="89">
        <v>80.000000000000028</v>
      </c>
      <c r="G26" s="89">
        <v>8.0000000000000036</v>
      </c>
      <c r="H26" s="89">
        <v>10.000000000000004</v>
      </c>
      <c r="I26" s="99" cm="1">
        <f t="array" ref="I26">_xll.DCEPropSectDblAngle(F26, E26, G26, H26, "Area")/100</f>
        <v>30.720000000000017</v>
      </c>
      <c r="J26" s="88" t="s">
        <v>227</v>
      </c>
      <c r="K26" s="88">
        <v>41</v>
      </c>
      <c r="L26" s="89">
        <v>0.9</v>
      </c>
      <c r="M26" s="99">
        <v>2.16</v>
      </c>
      <c r="N26" s="89">
        <v>0.8</v>
      </c>
      <c r="O26" s="99">
        <f t="shared" ref="O26" si="8">N26*D26</f>
        <v>1.92</v>
      </c>
      <c r="P26" s="99" cm="1">
        <f t="array" ref="P26">_xll.DCEPropSectDblAngle(F26, E26, G26, H26, "rx")/10</f>
        <v>2.3245071162148201</v>
      </c>
      <c r="Q26" s="99" cm="1">
        <f t="array" ref="Q26">_xll.DCEPropSectDblAngle(F26, E26, G26, H26, "ry")/10</f>
        <v>5.8506409905240293</v>
      </c>
      <c r="R26" s="6">
        <f t="shared" ref="R26" si="9">M26*100/P26</f>
        <v>92.922924818457858</v>
      </c>
      <c r="S26" s="6">
        <f t="shared" ref="S26" si="10">O26*100/Q26</f>
        <v>32.816917037119886</v>
      </c>
      <c r="T26" s="6">
        <f t="shared" ref="T26" si="11">MAX(R26,S26)</f>
        <v>92.922924818457858</v>
      </c>
      <c r="U26" s="89">
        <f>IF(K26&lt;0,$Z$12,$Z$13)</f>
        <v>400</v>
      </c>
      <c r="V26" s="100" cm="1">
        <f t="array" ref="V26">IF(K26&gt;0,1,_xll.DCETCVN5575FactorPhi7121(T26*SQRT($K$17/206000),"c"))</f>
        <v>1</v>
      </c>
      <c r="W26" s="65">
        <f t="shared" ref="W26" si="12">ABS(K26)/(V26*I26*$K$17*$K$19)*10</f>
        <v>6.4878110532407385E-2</v>
      </c>
      <c r="X26" s="3" t="str">
        <f t="shared" ref="X26" si="13">IF(AND(T26&lt;=U26,W26&lt;=1),"OK","Check")</f>
        <v>OK</v>
      </c>
      <c r="AA26" s="88" t="s">
        <v>219</v>
      </c>
      <c r="AB26" s="89" t="s">
        <v>220</v>
      </c>
      <c r="AC26" s="89">
        <v>2.4</v>
      </c>
      <c r="AD26" s="89">
        <v>2.4</v>
      </c>
      <c r="AE26" s="89">
        <v>120</v>
      </c>
      <c r="AF26" s="89">
        <v>80.000000000000028</v>
      </c>
      <c r="AG26" s="89">
        <v>8.0000000000000036</v>
      </c>
      <c r="AH26" s="89">
        <v>10.000000000000004</v>
      </c>
      <c r="AI26" s="99" cm="1">
        <f t="array" ref="AI26">_xll.DCEPropSectDblAngle(AF26, AE26, AG26, AH26, "Area")/100</f>
        <v>30.720000000000017</v>
      </c>
      <c r="AJ26" s="88" t="s">
        <v>227</v>
      </c>
      <c r="AK26" s="88">
        <v>-41.162769559193833</v>
      </c>
      <c r="AL26" s="89">
        <v>0.9</v>
      </c>
      <c r="AM26" s="99">
        <f t="shared" si="1"/>
        <v>2.16</v>
      </c>
      <c r="AN26" s="89">
        <v>0.8</v>
      </c>
      <c r="AO26" s="99">
        <f t="shared" si="2"/>
        <v>1.92</v>
      </c>
      <c r="AP26" s="99" cm="1">
        <f t="array" ref="AP26">_xll.DCEPropSectDblAngle(AF26, AE26, AG26, AH26, "rx")/10</f>
        <v>2.3245071162148201</v>
      </c>
      <c r="AQ26" s="99" cm="1">
        <f t="array" ref="AQ26">_xll.DCEPropSectDblAngle(AF26, AE26, AG26, AH26, "ry")/10</f>
        <v>5.8506409905240293</v>
      </c>
      <c r="AR26" s="6">
        <f t="shared" si="3"/>
        <v>92.922924818457858</v>
      </c>
      <c r="AS26" s="6">
        <f t="shared" si="4"/>
        <v>32.816917037119886</v>
      </c>
      <c r="AT26" s="6">
        <f t="shared" si="5"/>
        <v>92.922924818457858</v>
      </c>
      <c r="AU26" s="89">
        <f t="shared" si="0"/>
        <v>200</v>
      </c>
      <c r="AV26" s="100" cm="1">
        <f t="array" ref="AV26">IF(AK26&gt;0,1,_xll.DCETCVN5575FactorPhi7121(AT26*SQRT($K$17/206000),"c"))</f>
        <v>0.54493996911196685</v>
      </c>
      <c r="AW26" s="65">
        <f t="shared" si="6"/>
        <v>0.1195281675518084</v>
      </c>
      <c r="AX26" s="3" t="str">
        <f t="shared" si="7"/>
        <v>OK</v>
      </c>
    </row>
    <row r="27" spans="1:50">
      <c r="A27" s="98"/>
      <c r="B27" s="98"/>
      <c r="C27" s="89"/>
      <c r="D27" s="98"/>
      <c r="E27" s="89"/>
      <c r="F27" s="89"/>
      <c r="G27" s="89"/>
      <c r="H27" s="89"/>
      <c r="I27" s="99"/>
      <c r="J27" s="98"/>
      <c r="K27" s="98"/>
      <c r="L27" s="89"/>
      <c r="M27" s="99"/>
      <c r="N27" s="89"/>
      <c r="O27" s="99"/>
      <c r="P27" s="99"/>
      <c r="Q27" s="99"/>
      <c r="R27" s="6"/>
      <c r="S27" s="6"/>
      <c r="T27" s="6"/>
      <c r="U27" s="89"/>
      <c r="V27" s="100"/>
      <c r="W27" s="65"/>
      <c r="X27" s="3"/>
      <c r="AA27" s="88" t="s">
        <v>219</v>
      </c>
      <c r="AB27" s="89" t="s">
        <v>220</v>
      </c>
      <c r="AC27" s="89">
        <v>0</v>
      </c>
      <c r="AD27" s="89">
        <v>2.4</v>
      </c>
      <c r="AE27" s="89">
        <v>120</v>
      </c>
      <c r="AF27" s="89">
        <v>80.000000000000028</v>
      </c>
      <c r="AG27" s="89">
        <v>8.0000000000000036</v>
      </c>
      <c r="AH27" s="89">
        <v>10.000000000000004</v>
      </c>
      <c r="AI27" s="99" cm="1">
        <f t="array" ref="AI27">_xll.DCEPropSectDblAngle(AF27, AE27, AG27, AH27, "Area")/100</f>
        <v>30.720000000000017</v>
      </c>
      <c r="AJ27" s="88" t="s">
        <v>228</v>
      </c>
      <c r="AK27" s="88">
        <v>8.8065870639312411</v>
      </c>
      <c r="AL27" s="89">
        <v>0.9</v>
      </c>
      <c r="AM27" s="99">
        <f t="shared" si="1"/>
        <v>2.16</v>
      </c>
      <c r="AN27" s="89">
        <v>0.8</v>
      </c>
      <c r="AO27" s="99">
        <f t="shared" si="2"/>
        <v>1.92</v>
      </c>
      <c r="AP27" s="99" cm="1">
        <f t="array" ref="AP27">_xll.DCEPropSectDblAngle(AF27, AE27, AG27, AH27, "rx")/10</f>
        <v>2.3245071162148201</v>
      </c>
      <c r="AQ27" s="99" cm="1">
        <f t="array" ref="AQ27">_xll.DCEPropSectDblAngle(AF27, AE27, AG27, AH27, "ry")/10</f>
        <v>5.8506409905240293</v>
      </c>
      <c r="AR27" s="6">
        <f t="shared" si="3"/>
        <v>92.922924818457858</v>
      </c>
      <c r="AS27" s="6">
        <f t="shared" si="4"/>
        <v>32.816917037119886</v>
      </c>
      <c r="AT27" s="6">
        <f t="shared" si="5"/>
        <v>92.922924818457858</v>
      </c>
      <c r="AU27" s="89">
        <f t="shared" si="0"/>
        <v>400</v>
      </c>
      <c r="AV27" s="100" cm="1">
        <f t="array" ref="AV27">IF(AK27&gt;0,1,_xll.DCETCVN5575FactorPhi7121(AT27*SQRT($K$17/206000),"c"))</f>
        <v>1</v>
      </c>
      <c r="AW27" s="65">
        <f t="shared" si="6"/>
        <v>1.3935481193829268E-2</v>
      </c>
      <c r="AX27" s="3" t="str">
        <f t="shared" si="7"/>
        <v>OK</v>
      </c>
    </row>
    <row r="28" spans="1:50">
      <c r="A28" s="98"/>
      <c r="B28" s="98"/>
      <c r="C28" s="89"/>
      <c r="D28" s="98"/>
      <c r="E28" s="89"/>
      <c r="F28" s="89"/>
      <c r="G28" s="89"/>
      <c r="H28" s="89"/>
      <c r="I28" s="99"/>
      <c r="J28" s="98"/>
      <c r="K28" s="98"/>
      <c r="L28" s="89"/>
      <c r="M28" s="99"/>
      <c r="N28" s="89"/>
      <c r="O28" s="99"/>
      <c r="P28" s="99"/>
      <c r="Q28" s="99"/>
      <c r="R28" s="6"/>
      <c r="S28" s="6"/>
      <c r="T28" s="6"/>
      <c r="U28" s="89"/>
      <c r="V28" s="100"/>
      <c r="W28" s="65"/>
      <c r="X28" s="3"/>
      <c r="AA28" s="88" t="s">
        <v>219</v>
      </c>
      <c r="AB28" s="89" t="s">
        <v>220</v>
      </c>
      <c r="AC28" s="89">
        <v>0.6</v>
      </c>
      <c r="AD28" s="89">
        <v>2.4</v>
      </c>
      <c r="AE28" s="89">
        <v>120</v>
      </c>
      <c r="AF28" s="89">
        <v>80.000000000000028</v>
      </c>
      <c r="AG28" s="89">
        <v>8.0000000000000036</v>
      </c>
      <c r="AH28" s="89">
        <v>10.000000000000004</v>
      </c>
      <c r="AI28" s="99" cm="1">
        <f t="array" ref="AI28">_xll.DCEPropSectDblAngle(AF28, AE28, AG28, AH28, "Area")/100</f>
        <v>30.720000000000017</v>
      </c>
      <c r="AJ28" s="88" t="s">
        <v>228</v>
      </c>
      <c r="AK28" s="88">
        <v>8.8065870639312411</v>
      </c>
      <c r="AL28" s="89">
        <v>0.9</v>
      </c>
      <c r="AM28" s="99">
        <f t="shared" si="1"/>
        <v>2.16</v>
      </c>
      <c r="AN28" s="89">
        <v>0.8</v>
      </c>
      <c r="AO28" s="99">
        <f t="shared" si="2"/>
        <v>1.92</v>
      </c>
      <c r="AP28" s="99" cm="1">
        <f t="array" ref="AP28">_xll.DCEPropSectDblAngle(AF28, AE28, AG28, AH28, "rx")/10</f>
        <v>2.3245071162148201</v>
      </c>
      <c r="AQ28" s="99" cm="1">
        <f t="array" ref="AQ28">_xll.DCEPropSectDblAngle(AF28, AE28, AG28, AH28, "ry")/10</f>
        <v>5.8506409905240293</v>
      </c>
      <c r="AR28" s="6">
        <f t="shared" si="3"/>
        <v>92.922924818457858</v>
      </c>
      <c r="AS28" s="6">
        <f t="shared" si="4"/>
        <v>32.816917037119886</v>
      </c>
      <c r="AT28" s="6">
        <f t="shared" si="5"/>
        <v>92.922924818457858</v>
      </c>
      <c r="AU28" s="89">
        <f t="shared" si="0"/>
        <v>400</v>
      </c>
      <c r="AV28" s="100" cm="1">
        <f t="array" ref="AV28">IF(AK28&gt;0,1,_xll.DCETCVN5575FactorPhi7121(AT28*SQRT($K$17/206000),"c"))</f>
        <v>1</v>
      </c>
      <c r="AW28" s="65">
        <f t="shared" si="6"/>
        <v>1.3935481193829268E-2</v>
      </c>
      <c r="AX28" s="3" t="str">
        <f t="shared" si="7"/>
        <v>OK</v>
      </c>
    </row>
    <row r="29" spans="1:50">
      <c r="A29" s="98"/>
      <c r="B29" s="98"/>
      <c r="C29" s="89"/>
      <c r="D29" s="98"/>
      <c r="E29" s="89"/>
      <c r="F29" s="89"/>
      <c r="G29" s="89"/>
      <c r="H29" s="89"/>
      <c r="I29" s="99"/>
      <c r="J29" s="98"/>
      <c r="K29" s="98"/>
      <c r="L29" s="89"/>
      <c r="M29" s="99"/>
      <c r="N29" s="89"/>
      <c r="O29" s="99"/>
      <c r="P29" s="99"/>
      <c r="Q29" s="99"/>
      <c r="R29" s="6"/>
      <c r="S29" s="6"/>
      <c r="T29" s="6"/>
      <c r="U29" s="89"/>
      <c r="V29" s="100"/>
      <c r="W29" s="65"/>
      <c r="X29" s="3"/>
      <c r="AA29" s="88" t="s">
        <v>219</v>
      </c>
      <c r="AB29" s="89" t="s">
        <v>220</v>
      </c>
      <c r="AC29" s="89">
        <v>1.2</v>
      </c>
      <c r="AD29" s="89">
        <v>2.4</v>
      </c>
      <c r="AE29" s="89">
        <v>120</v>
      </c>
      <c r="AF29" s="89">
        <v>80.000000000000028</v>
      </c>
      <c r="AG29" s="89">
        <v>8.0000000000000036</v>
      </c>
      <c r="AH29" s="89">
        <v>10.000000000000004</v>
      </c>
      <c r="AI29" s="99" cm="1">
        <f t="array" ref="AI29">_xll.DCEPropSectDblAngle(AF29, AE29, AG29, AH29, "Area")/100</f>
        <v>30.720000000000017</v>
      </c>
      <c r="AJ29" s="88" t="s">
        <v>228</v>
      </c>
      <c r="AK29" s="88">
        <v>8.8065870639312411</v>
      </c>
      <c r="AL29" s="89">
        <v>0.9</v>
      </c>
      <c r="AM29" s="99">
        <f t="shared" si="1"/>
        <v>2.16</v>
      </c>
      <c r="AN29" s="89">
        <v>0.8</v>
      </c>
      <c r="AO29" s="99">
        <f t="shared" si="2"/>
        <v>1.92</v>
      </c>
      <c r="AP29" s="99" cm="1">
        <f t="array" ref="AP29">_xll.DCEPropSectDblAngle(AF29, AE29, AG29, AH29, "rx")/10</f>
        <v>2.3245071162148201</v>
      </c>
      <c r="AQ29" s="99" cm="1">
        <f t="array" ref="AQ29">_xll.DCEPropSectDblAngle(AF29, AE29, AG29, AH29, "ry")/10</f>
        <v>5.8506409905240293</v>
      </c>
      <c r="AR29" s="6">
        <f t="shared" si="3"/>
        <v>92.922924818457858</v>
      </c>
      <c r="AS29" s="6">
        <f t="shared" si="4"/>
        <v>32.816917037119886</v>
      </c>
      <c r="AT29" s="6">
        <f t="shared" si="5"/>
        <v>92.922924818457858</v>
      </c>
      <c r="AU29" s="89">
        <f t="shared" si="0"/>
        <v>400</v>
      </c>
      <c r="AV29" s="100" cm="1">
        <f t="array" ref="AV29">IF(AK29&gt;0,1,_xll.DCETCVN5575FactorPhi7121(AT29*SQRT($K$17/206000),"c"))</f>
        <v>1</v>
      </c>
      <c r="AW29" s="65">
        <f t="shared" si="6"/>
        <v>1.3935481193829268E-2</v>
      </c>
      <c r="AX29" s="3" t="str">
        <f t="shared" si="7"/>
        <v>OK</v>
      </c>
    </row>
    <row r="30" spans="1:50">
      <c r="A30" s="98"/>
      <c r="B30" s="98"/>
      <c r="C30" s="89"/>
      <c r="D30" s="98"/>
      <c r="E30" s="89"/>
      <c r="F30" s="89"/>
      <c r="G30" s="89"/>
      <c r="H30" s="89"/>
      <c r="I30" s="99"/>
      <c r="J30" s="98"/>
      <c r="K30" s="98"/>
      <c r="L30" s="89"/>
      <c r="M30" s="99"/>
      <c r="N30" s="89"/>
      <c r="O30" s="99"/>
      <c r="P30" s="99"/>
      <c r="Q30" s="99"/>
      <c r="R30" s="6"/>
      <c r="S30" s="6"/>
      <c r="T30" s="6"/>
      <c r="U30" s="89"/>
      <c r="V30" s="100"/>
      <c r="W30" s="65"/>
      <c r="X30" s="3"/>
      <c r="AA30" s="88" t="s">
        <v>219</v>
      </c>
      <c r="AB30" s="89" t="s">
        <v>220</v>
      </c>
      <c r="AC30" s="89">
        <v>1.8</v>
      </c>
      <c r="AD30" s="89">
        <v>2.4</v>
      </c>
      <c r="AE30" s="89">
        <v>120</v>
      </c>
      <c r="AF30" s="89">
        <v>80.000000000000028</v>
      </c>
      <c r="AG30" s="89">
        <v>8.0000000000000036</v>
      </c>
      <c r="AH30" s="89">
        <v>10.000000000000004</v>
      </c>
      <c r="AI30" s="99" cm="1">
        <f t="array" ref="AI30">_xll.DCEPropSectDblAngle(AF30, AE30, AG30, AH30, "Area")/100</f>
        <v>30.720000000000017</v>
      </c>
      <c r="AJ30" s="88" t="s">
        <v>228</v>
      </c>
      <c r="AK30" s="88">
        <v>8.8065870639312411</v>
      </c>
      <c r="AL30" s="89">
        <v>0.9</v>
      </c>
      <c r="AM30" s="99">
        <f t="shared" si="1"/>
        <v>2.16</v>
      </c>
      <c r="AN30" s="89">
        <v>0.8</v>
      </c>
      <c r="AO30" s="99">
        <f t="shared" si="2"/>
        <v>1.92</v>
      </c>
      <c r="AP30" s="99" cm="1">
        <f t="array" ref="AP30">_xll.DCEPropSectDblAngle(AF30, AE30, AG30, AH30, "rx")/10</f>
        <v>2.3245071162148201</v>
      </c>
      <c r="AQ30" s="99" cm="1">
        <f t="array" ref="AQ30">_xll.DCEPropSectDblAngle(AF30, AE30, AG30, AH30, "ry")/10</f>
        <v>5.8506409905240293</v>
      </c>
      <c r="AR30" s="6">
        <f t="shared" si="3"/>
        <v>92.922924818457858</v>
      </c>
      <c r="AS30" s="6">
        <f t="shared" si="4"/>
        <v>32.816917037119886</v>
      </c>
      <c r="AT30" s="6">
        <f t="shared" si="5"/>
        <v>92.922924818457858</v>
      </c>
      <c r="AU30" s="89">
        <f t="shared" si="0"/>
        <v>400</v>
      </c>
      <c r="AV30" s="100" cm="1">
        <f t="array" ref="AV30">IF(AK30&gt;0,1,_xll.DCETCVN5575FactorPhi7121(AT30*SQRT($K$17/206000),"c"))</f>
        <v>1</v>
      </c>
      <c r="AW30" s="65">
        <f t="shared" si="6"/>
        <v>1.3935481193829268E-2</v>
      </c>
      <c r="AX30" s="3" t="str">
        <f t="shared" si="7"/>
        <v>OK</v>
      </c>
    </row>
    <row r="31" spans="1:50">
      <c r="A31" s="98"/>
      <c r="B31" s="98"/>
      <c r="C31" s="89"/>
      <c r="D31" s="98"/>
      <c r="E31" s="89"/>
      <c r="F31" s="89"/>
      <c r="G31" s="89"/>
      <c r="H31" s="89"/>
      <c r="I31" s="99"/>
      <c r="J31" s="98"/>
      <c r="K31" s="98"/>
      <c r="L31" s="89"/>
      <c r="M31" s="99"/>
      <c r="N31" s="89"/>
      <c r="O31" s="99"/>
      <c r="P31" s="99"/>
      <c r="Q31" s="99"/>
      <c r="R31" s="6"/>
      <c r="S31" s="6"/>
      <c r="T31" s="6"/>
      <c r="U31" s="89"/>
      <c r="V31" s="100"/>
      <c r="W31" s="65"/>
      <c r="X31" s="3"/>
      <c r="AA31" s="88" t="s">
        <v>219</v>
      </c>
      <c r="AB31" s="89" t="s">
        <v>220</v>
      </c>
      <c r="AC31" s="89">
        <v>2.4</v>
      </c>
      <c r="AD31" s="89">
        <v>2.4</v>
      </c>
      <c r="AE31" s="89">
        <v>120</v>
      </c>
      <c r="AF31" s="89">
        <v>80.000000000000028</v>
      </c>
      <c r="AG31" s="89">
        <v>8.0000000000000036</v>
      </c>
      <c r="AH31" s="89">
        <v>10.000000000000004</v>
      </c>
      <c r="AI31" s="99" cm="1">
        <f t="array" ref="AI31">_xll.DCEPropSectDblAngle(AF31, AE31, AG31, AH31, "Area")/100</f>
        <v>30.720000000000017</v>
      </c>
      <c r="AJ31" s="88" t="s">
        <v>228</v>
      </c>
      <c r="AK31" s="88">
        <v>8.8065870639312411</v>
      </c>
      <c r="AL31" s="89">
        <v>0.9</v>
      </c>
      <c r="AM31" s="99">
        <f t="shared" si="1"/>
        <v>2.16</v>
      </c>
      <c r="AN31" s="89">
        <v>0.8</v>
      </c>
      <c r="AO31" s="99">
        <f t="shared" si="2"/>
        <v>1.92</v>
      </c>
      <c r="AP31" s="99" cm="1">
        <f t="array" ref="AP31">_xll.DCEPropSectDblAngle(AF31, AE31, AG31, AH31, "rx")/10</f>
        <v>2.3245071162148201</v>
      </c>
      <c r="AQ31" s="99" cm="1">
        <f t="array" ref="AQ31">_xll.DCEPropSectDblAngle(AF31, AE31, AG31, AH31, "ry")/10</f>
        <v>5.8506409905240293</v>
      </c>
      <c r="AR31" s="6">
        <f t="shared" si="3"/>
        <v>92.922924818457858</v>
      </c>
      <c r="AS31" s="6">
        <f t="shared" si="4"/>
        <v>32.816917037119886</v>
      </c>
      <c r="AT31" s="6">
        <f t="shared" si="5"/>
        <v>92.922924818457858</v>
      </c>
      <c r="AU31" s="89">
        <f t="shared" si="0"/>
        <v>400</v>
      </c>
      <c r="AV31" s="100" cm="1">
        <f t="array" ref="AV31">IF(AK31&gt;0,1,_xll.DCETCVN5575FactorPhi7121(AT31*SQRT($K$17/206000),"c"))</f>
        <v>1</v>
      </c>
      <c r="AW31" s="65">
        <f t="shared" si="6"/>
        <v>1.3935481193829268E-2</v>
      </c>
      <c r="AX31" s="3" t="str">
        <f t="shared" si="7"/>
        <v>OK</v>
      </c>
    </row>
    <row r="32" spans="1:50">
      <c r="A32" s="98"/>
      <c r="B32" s="98"/>
      <c r="C32" s="89"/>
      <c r="D32" s="98"/>
      <c r="E32" s="89"/>
      <c r="F32" s="89"/>
      <c r="G32" s="89"/>
      <c r="H32" s="89"/>
      <c r="I32" s="99"/>
      <c r="J32" s="98"/>
      <c r="K32" s="98"/>
      <c r="L32" s="89"/>
      <c r="M32" s="99"/>
      <c r="N32" s="89"/>
      <c r="O32" s="99"/>
      <c r="P32" s="99"/>
      <c r="Q32" s="99"/>
      <c r="R32" s="6"/>
      <c r="S32" s="6"/>
      <c r="T32" s="6"/>
      <c r="U32" s="89"/>
      <c r="V32" s="100"/>
      <c r="W32" s="65"/>
      <c r="X32" s="3"/>
      <c r="AA32" s="88" t="s">
        <v>219</v>
      </c>
      <c r="AB32" s="89" t="s">
        <v>222</v>
      </c>
      <c r="AC32" s="89">
        <v>0</v>
      </c>
      <c r="AD32" s="89">
        <v>1.21</v>
      </c>
      <c r="AE32" s="89">
        <v>120</v>
      </c>
      <c r="AF32" s="89">
        <v>80.000000000000028</v>
      </c>
      <c r="AG32" s="89">
        <v>8.0000000000000036</v>
      </c>
      <c r="AH32" s="89">
        <v>10.000000000000004</v>
      </c>
      <c r="AI32" s="99" cm="1">
        <f t="array" ref="AI32">_xll.DCEPropSectDblAngle(AF32, AE32, AG32, AH32, "Area")/100</f>
        <v>30.720000000000017</v>
      </c>
      <c r="AJ32" s="88" t="s">
        <v>221</v>
      </c>
      <c r="AK32" s="88">
        <v>58.165753685786214</v>
      </c>
      <c r="AL32" s="89">
        <v>0.9</v>
      </c>
      <c r="AM32" s="99">
        <f t="shared" si="1"/>
        <v>1.089</v>
      </c>
      <c r="AN32" s="89">
        <v>0.8</v>
      </c>
      <c r="AO32" s="99">
        <f t="shared" si="2"/>
        <v>0.96799999999999997</v>
      </c>
      <c r="AP32" s="99" cm="1">
        <f t="array" ref="AP32">_xll.DCEPropSectDblAngle(AF32, AE32, AG32, AH32, "rx")/10</f>
        <v>2.3245071162148201</v>
      </c>
      <c r="AQ32" s="99" cm="1">
        <f t="array" ref="AQ32">_xll.DCEPropSectDblAngle(AF32, AE32, AG32, AH32, "ry")/10</f>
        <v>5.8506409905240293</v>
      </c>
      <c r="AR32" s="6">
        <f t="shared" si="3"/>
        <v>46.848641262639163</v>
      </c>
      <c r="AS32" s="6">
        <f t="shared" si="4"/>
        <v>16.545195672881277</v>
      </c>
      <c r="AT32" s="6">
        <f t="shared" si="5"/>
        <v>46.848641262639163</v>
      </c>
      <c r="AU32" s="89">
        <f t="shared" si="0"/>
        <v>400</v>
      </c>
      <c r="AV32" s="100" cm="1">
        <f t="array" ref="AV32">IF(AK32&gt;0,1,_xll.DCETCVN5575FactorPhi7121(AT32*SQRT($K$17/206000),"c"))</f>
        <v>1</v>
      </c>
      <c r="AW32" s="65">
        <f t="shared" si="6"/>
        <v>9.2041077971395602E-2</v>
      </c>
      <c r="AX32" s="3" t="str">
        <f t="shared" si="7"/>
        <v>OK</v>
      </c>
    </row>
    <row r="33" spans="1:50">
      <c r="A33" s="98"/>
      <c r="B33" s="98"/>
      <c r="C33" s="89"/>
      <c r="D33" s="98"/>
      <c r="E33" s="89"/>
      <c r="F33" s="89"/>
      <c r="G33" s="89"/>
      <c r="H33" s="89"/>
      <c r="I33" s="99"/>
      <c r="J33" s="98"/>
      <c r="K33" s="98"/>
      <c r="L33" s="89"/>
      <c r="M33" s="99"/>
      <c r="N33" s="89"/>
      <c r="O33" s="99"/>
      <c r="P33" s="99"/>
      <c r="Q33" s="99"/>
      <c r="R33" s="6"/>
      <c r="S33" s="6"/>
      <c r="T33" s="6"/>
      <c r="U33" s="89"/>
      <c r="V33" s="100"/>
      <c r="W33" s="65"/>
      <c r="X33" s="3"/>
      <c r="AA33" s="88" t="s">
        <v>219</v>
      </c>
      <c r="AB33" s="89" t="s">
        <v>222</v>
      </c>
      <c r="AC33" s="89">
        <v>0.6</v>
      </c>
      <c r="AD33" s="89">
        <v>1.21</v>
      </c>
      <c r="AE33" s="89">
        <v>120</v>
      </c>
      <c r="AF33" s="89">
        <v>80.000000000000028</v>
      </c>
      <c r="AG33" s="89">
        <v>8.0000000000000036</v>
      </c>
      <c r="AH33" s="89">
        <v>10.000000000000004</v>
      </c>
      <c r="AI33" s="99" cm="1">
        <f t="array" ref="AI33">_xll.DCEPropSectDblAngle(AF33, AE33, AG33, AH33, "Area")/100</f>
        <v>30.720000000000017</v>
      </c>
      <c r="AJ33" s="88" t="s">
        <v>221</v>
      </c>
      <c r="AK33" s="88">
        <v>58.182140408001729</v>
      </c>
      <c r="AL33" s="89">
        <v>0.9</v>
      </c>
      <c r="AM33" s="99">
        <f t="shared" si="1"/>
        <v>1.089</v>
      </c>
      <c r="AN33" s="89">
        <v>0.8</v>
      </c>
      <c r="AO33" s="99">
        <f t="shared" si="2"/>
        <v>0.96799999999999997</v>
      </c>
      <c r="AP33" s="99" cm="1">
        <f t="array" ref="AP33">_xll.DCEPropSectDblAngle(AF33, AE33, AG33, AH33, "rx")/10</f>
        <v>2.3245071162148201</v>
      </c>
      <c r="AQ33" s="99" cm="1">
        <f t="array" ref="AQ33">_xll.DCEPropSectDblAngle(AF33, AE33, AG33, AH33, "ry")/10</f>
        <v>5.8506409905240293</v>
      </c>
      <c r="AR33" s="6">
        <f t="shared" si="3"/>
        <v>46.848641262639163</v>
      </c>
      <c r="AS33" s="6">
        <f t="shared" si="4"/>
        <v>16.545195672881277</v>
      </c>
      <c r="AT33" s="6">
        <f t="shared" si="5"/>
        <v>46.848641262639163</v>
      </c>
      <c r="AU33" s="89">
        <f t="shared" si="0"/>
        <v>400</v>
      </c>
      <c r="AV33" s="100" cm="1">
        <f t="array" ref="AV33">IF(AK33&gt;0,1,_xll.DCETCVN5575FactorPhi7121(AT33*SQRT($K$17/206000),"c"))</f>
        <v>1</v>
      </c>
      <c r="AW33" s="65">
        <f t="shared" si="6"/>
        <v>9.2067008204936143E-2</v>
      </c>
      <c r="AX33" s="3" t="str">
        <f t="shared" si="7"/>
        <v>OK</v>
      </c>
    </row>
    <row r="34" spans="1:50">
      <c r="A34" s="98"/>
      <c r="B34" s="98"/>
      <c r="C34" s="98"/>
      <c r="D34" s="98"/>
      <c r="E34" s="89"/>
      <c r="F34" s="89"/>
      <c r="G34" s="89"/>
      <c r="H34" s="89"/>
      <c r="I34" s="99"/>
      <c r="J34" s="98"/>
      <c r="K34" s="98"/>
      <c r="L34" s="89"/>
      <c r="M34" s="99"/>
      <c r="N34" s="89"/>
      <c r="O34" s="99"/>
      <c r="P34" s="99"/>
      <c r="Q34" s="99"/>
      <c r="R34" s="6"/>
      <c r="S34" s="6"/>
      <c r="T34" s="6"/>
      <c r="U34" s="89"/>
      <c r="V34" s="100"/>
      <c r="W34" s="65"/>
      <c r="X34" s="3"/>
      <c r="AA34" s="88" t="s">
        <v>219</v>
      </c>
      <c r="AB34" s="89" t="s">
        <v>222</v>
      </c>
      <c r="AC34" s="89">
        <v>1.21</v>
      </c>
      <c r="AD34" s="89">
        <v>1.21</v>
      </c>
      <c r="AE34" s="89">
        <v>120</v>
      </c>
      <c r="AF34" s="89">
        <v>80.000000000000028</v>
      </c>
      <c r="AG34" s="89">
        <v>8.0000000000000036</v>
      </c>
      <c r="AH34" s="89">
        <v>10.000000000000004</v>
      </c>
      <c r="AI34" s="99" cm="1">
        <f t="array" ref="AI34">_xll.DCEPropSectDblAngle(AF34, AE34, AG34, AH34, "Area")/100</f>
        <v>30.720000000000017</v>
      </c>
      <c r="AJ34" s="88" t="s">
        <v>221</v>
      </c>
      <c r="AK34" s="88">
        <v>58.198527130217258</v>
      </c>
      <c r="AL34" s="89">
        <v>0.9</v>
      </c>
      <c r="AM34" s="99">
        <f t="shared" si="1"/>
        <v>1.089</v>
      </c>
      <c r="AN34" s="89">
        <v>0.8</v>
      </c>
      <c r="AO34" s="99">
        <f t="shared" si="2"/>
        <v>0.96799999999999997</v>
      </c>
      <c r="AP34" s="99" cm="1">
        <f t="array" ref="AP34">_xll.DCEPropSectDblAngle(AF34, AE34, AG34, AH34, "rx")/10</f>
        <v>2.3245071162148201</v>
      </c>
      <c r="AQ34" s="99" cm="1">
        <f t="array" ref="AQ34">_xll.DCEPropSectDblAngle(AF34, AE34, AG34, AH34, "ry")/10</f>
        <v>5.8506409905240293</v>
      </c>
      <c r="AR34" s="6">
        <f t="shared" si="3"/>
        <v>46.848641262639163</v>
      </c>
      <c r="AS34" s="6">
        <f t="shared" si="4"/>
        <v>16.545195672881277</v>
      </c>
      <c r="AT34" s="6">
        <f t="shared" si="5"/>
        <v>46.848641262639163</v>
      </c>
      <c r="AU34" s="89">
        <f t="shared" si="0"/>
        <v>400</v>
      </c>
      <c r="AV34" s="100" cm="1">
        <f t="array" ref="AV34">IF(AK34&gt;0,1,_xll.DCETCVN5575FactorPhi7121(AT34*SQRT($K$17/206000),"c"))</f>
        <v>1</v>
      </c>
      <c r="AW34" s="65">
        <f t="shared" si="6"/>
        <v>9.2092938438476712E-2</v>
      </c>
      <c r="AX34" s="3" t="str">
        <f t="shared" si="7"/>
        <v>OK</v>
      </c>
    </row>
    <row r="35" spans="1:50">
      <c r="A35" s="98"/>
      <c r="B35" s="98"/>
      <c r="C35" s="98"/>
      <c r="D35" s="98"/>
      <c r="E35" s="89"/>
      <c r="F35" s="89"/>
      <c r="G35" s="89"/>
      <c r="H35" s="89"/>
      <c r="I35" s="99"/>
      <c r="J35" s="98"/>
      <c r="K35" s="98"/>
      <c r="L35" s="89"/>
      <c r="M35" s="99"/>
      <c r="N35" s="89"/>
      <c r="O35" s="99"/>
      <c r="P35" s="99"/>
      <c r="Q35" s="99"/>
      <c r="R35" s="6"/>
      <c r="S35" s="6"/>
      <c r="T35" s="6"/>
      <c r="U35" s="89"/>
      <c r="V35" s="100"/>
      <c r="W35" s="65"/>
      <c r="X35" s="3"/>
      <c r="AA35" s="88" t="s">
        <v>219</v>
      </c>
      <c r="AB35" s="89" t="s">
        <v>222</v>
      </c>
      <c r="AC35" s="89">
        <v>0</v>
      </c>
      <c r="AD35" s="89">
        <v>1.21</v>
      </c>
      <c r="AE35" s="89">
        <v>120</v>
      </c>
      <c r="AF35" s="89">
        <v>80.000000000000028</v>
      </c>
      <c r="AG35" s="89">
        <v>8.0000000000000036</v>
      </c>
      <c r="AH35" s="89">
        <v>10.000000000000004</v>
      </c>
      <c r="AI35" s="99" cm="1">
        <f t="array" ref="AI35">_xll.DCEPropSectDblAngle(AF35, AE35, AG35, AH35, "Area")/100</f>
        <v>30.720000000000017</v>
      </c>
      <c r="AJ35" s="88" t="s">
        <v>226</v>
      </c>
      <c r="AK35" s="88">
        <v>74.711168648668931</v>
      </c>
      <c r="AL35" s="89">
        <v>0.9</v>
      </c>
      <c r="AM35" s="99">
        <f t="shared" si="1"/>
        <v>1.089</v>
      </c>
      <c r="AN35" s="89">
        <v>0.8</v>
      </c>
      <c r="AO35" s="99">
        <f t="shared" si="2"/>
        <v>0.96799999999999997</v>
      </c>
      <c r="AP35" s="99" cm="1">
        <f t="array" ref="AP35">_xll.DCEPropSectDblAngle(AF35, AE35, AG35, AH35, "rx")/10</f>
        <v>2.3245071162148201</v>
      </c>
      <c r="AQ35" s="99" cm="1">
        <f t="array" ref="AQ35">_xll.DCEPropSectDblAngle(AF35, AE35, AG35, AH35, "ry")/10</f>
        <v>5.8506409905240293</v>
      </c>
      <c r="AR35" s="6">
        <f t="shared" si="3"/>
        <v>46.848641262639163</v>
      </c>
      <c r="AS35" s="6">
        <f t="shared" si="4"/>
        <v>16.545195672881277</v>
      </c>
      <c r="AT35" s="6">
        <f t="shared" si="5"/>
        <v>46.848641262639163</v>
      </c>
      <c r="AU35" s="89">
        <f t="shared" si="0"/>
        <v>400</v>
      </c>
      <c r="AV35" s="100" cm="1">
        <f t="array" ref="AV35">IF(AK35&gt;0,1,_xll.DCETCVN5575FactorPhi7121(AT35*SQRT($K$17/206000),"c"))</f>
        <v>1</v>
      </c>
      <c r="AW35" s="65">
        <f t="shared" si="6"/>
        <v>0.1182224257949676</v>
      </c>
      <c r="AX35" s="3" t="str">
        <f t="shared" si="7"/>
        <v>OK</v>
      </c>
    </row>
    <row r="36" spans="1:50">
      <c r="A36" s="98"/>
      <c r="B36" s="98"/>
      <c r="C36" s="98"/>
      <c r="D36" s="98"/>
      <c r="E36" s="89"/>
      <c r="F36" s="89"/>
      <c r="G36" s="89"/>
      <c r="H36" s="89"/>
      <c r="I36" s="99"/>
      <c r="J36" s="98"/>
      <c r="K36" s="98"/>
      <c r="L36" s="89"/>
      <c r="M36" s="99"/>
      <c r="N36" s="89"/>
      <c r="O36" s="99"/>
      <c r="P36" s="99"/>
      <c r="Q36" s="99"/>
      <c r="R36" s="6"/>
      <c r="S36" s="6"/>
      <c r="T36" s="6"/>
      <c r="U36" s="89"/>
      <c r="V36" s="100"/>
      <c r="W36" s="65"/>
      <c r="X36" s="3"/>
      <c r="AA36" s="88" t="s">
        <v>219</v>
      </c>
      <c r="AB36" s="89" t="s">
        <v>222</v>
      </c>
      <c r="AC36" s="89">
        <v>0.6</v>
      </c>
      <c r="AD36" s="89">
        <v>1.21</v>
      </c>
      <c r="AE36" s="89">
        <v>120</v>
      </c>
      <c r="AF36" s="89">
        <v>80.000000000000028</v>
      </c>
      <c r="AG36" s="89">
        <v>8.0000000000000036</v>
      </c>
      <c r="AH36" s="89">
        <v>10.000000000000004</v>
      </c>
      <c r="AI36" s="99" cm="1">
        <f t="array" ref="AI36">_xll.DCEPropSectDblAngle(AF36, AE36, AG36, AH36, "Area")/100</f>
        <v>30.720000000000017</v>
      </c>
      <c r="AJ36" s="88" t="s">
        <v>226</v>
      </c>
      <c r="AK36" s="88">
        <v>74.727555370884446</v>
      </c>
      <c r="AL36" s="89">
        <v>0.9</v>
      </c>
      <c r="AM36" s="99">
        <f t="shared" si="1"/>
        <v>1.089</v>
      </c>
      <c r="AN36" s="89">
        <v>0.8</v>
      </c>
      <c r="AO36" s="99">
        <f t="shared" si="2"/>
        <v>0.96799999999999997</v>
      </c>
      <c r="AP36" s="99" cm="1">
        <f t="array" ref="AP36">_xll.DCEPropSectDblAngle(AF36, AE36, AG36, AH36, "rx")/10</f>
        <v>2.3245071162148201</v>
      </c>
      <c r="AQ36" s="99" cm="1">
        <f t="array" ref="AQ36">_xll.DCEPropSectDblAngle(AF36, AE36, AG36, AH36, "ry")/10</f>
        <v>5.8506409905240293</v>
      </c>
      <c r="AR36" s="6">
        <f t="shared" si="3"/>
        <v>46.848641262639163</v>
      </c>
      <c r="AS36" s="6">
        <f t="shared" si="4"/>
        <v>16.545195672881277</v>
      </c>
      <c r="AT36" s="6">
        <f t="shared" si="5"/>
        <v>46.848641262639163</v>
      </c>
      <c r="AU36" s="89">
        <f t="shared" si="0"/>
        <v>400</v>
      </c>
      <c r="AV36" s="100" cm="1">
        <f t="array" ref="AV36">IF(AK36&gt;0,1,_xll.DCETCVN5575FactorPhi7121(AT36*SQRT($K$17/206000),"c"))</f>
        <v>1</v>
      </c>
      <c r="AW36" s="65">
        <f t="shared" si="6"/>
        <v>0.11824835602850814</v>
      </c>
      <c r="AX36" s="3" t="str">
        <f t="shared" si="7"/>
        <v>OK</v>
      </c>
    </row>
    <row r="37" spans="1:50">
      <c r="A37" s="98"/>
      <c r="B37" s="98"/>
      <c r="C37" s="98"/>
      <c r="D37" s="98"/>
      <c r="E37" s="89"/>
      <c r="F37" s="89"/>
      <c r="G37" s="89"/>
      <c r="H37" s="89"/>
      <c r="I37" s="99"/>
      <c r="J37" s="98"/>
      <c r="K37" s="98"/>
      <c r="L37" s="89"/>
      <c r="M37" s="99"/>
      <c r="N37" s="89"/>
      <c r="O37" s="99"/>
      <c r="P37" s="99"/>
      <c r="Q37" s="99"/>
      <c r="R37" s="6"/>
      <c r="S37" s="6"/>
      <c r="T37" s="6"/>
      <c r="U37" s="89"/>
      <c r="V37" s="100"/>
      <c r="W37" s="65"/>
      <c r="X37" s="3"/>
      <c r="AA37" s="88" t="s">
        <v>219</v>
      </c>
      <c r="AB37" s="89" t="s">
        <v>222</v>
      </c>
      <c r="AC37" s="89">
        <v>1.21</v>
      </c>
      <c r="AD37" s="89">
        <v>1.21</v>
      </c>
      <c r="AE37" s="89">
        <v>120</v>
      </c>
      <c r="AF37" s="89">
        <v>80.000000000000028</v>
      </c>
      <c r="AG37" s="89">
        <v>8.0000000000000036</v>
      </c>
      <c r="AH37" s="89">
        <v>10.000000000000004</v>
      </c>
      <c r="AI37" s="99" cm="1">
        <f t="array" ref="AI37">_xll.DCEPropSectDblAngle(AF37, AE37, AG37, AH37, "Area")/100</f>
        <v>30.720000000000017</v>
      </c>
      <c r="AJ37" s="88" t="s">
        <v>226</v>
      </c>
      <c r="AK37" s="88">
        <v>74.743942093099974</v>
      </c>
      <c r="AL37" s="89">
        <v>0.9</v>
      </c>
      <c r="AM37" s="99">
        <f t="shared" si="1"/>
        <v>1.089</v>
      </c>
      <c r="AN37" s="89">
        <v>0.8</v>
      </c>
      <c r="AO37" s="99">
        <f t="shared" si="2"/>
        <v>0.96799999999999997</v>
      </c>
      <c r="AP37" s="99" cm="1">
        <f t="array" ref="AP37">_xll.DCEPropSectDblAngle(AF37, AE37, AG37, AH37, "rx")/10</f>
        <v>2.3245071162148201</v>
      </c>
      <c r="AQ37" s="99" cm="1">
        <f t="array" ref="AQ37">_xll.DCEPropSectDblAngle(AF37, AE37, AG37, AH37, "ry")/10</f>
        <v>5.8506409905240293</v>
      </c>
      <c r="AR37" s="6">
        <f t="shared" si="3"/>
        <v>46.848641262639163</v>
      </c>
      <c r="AS37" s="6">
        <f t="shared" si="4"/>
        <v>16.545195672881277</v>
      </c>
      <c r="AT37" s="6">
        <f t="shared" si="5"/>
        <v>46.848641262639163</v>
      </c>
      <c r="AU37" s="89">
        <f t="shared" si="0"/>
        <v>400</v>
      </c>
      <c r="AV37" s="100" cm="1">
        <f t="array" ref="AV37">IF(AK37&gt;0,1,_xll.DCETCVN5575FactorPhi7121(AT37*SQRT($K$17/206000),"c"))</f>
        <v>1</v>
      </c>
      <c r="AW37" s="65">
        <f t="shared" si="6"/>
        <v>0.11827428626204869</v>
      </c>
      <c r="AX37" s="3" t="str">
        <f t="shared" si="7"/>
        <v>OK</v>
      </c>
    </row>
    <row r="38" spans="1:50">
      <c r="A38" s="98"/>
      <c r="B38" s="98"/>
      <c r="C38" s="98"/>
      <c r="D38" s="98"/>
      <c r="E38" s="89"/>
      <c r="F38" s="89"/>
      <c r="G38" s="89"/>
      <c r="H38" s="89"/>
      <c r="I38" s="99"/>
      <c r="J38" s="98"/>
      <c r="K38" s="98"/>
      <c r="L38" s="89"/>
      <c r="M38" s="99"/>
      <c r="N38" s="89"/>
      <c r="O38" s="99"/>
      <c r="P38" s="99"/>
      <c r="Q38" s="99"/>
      <c r="R38" s="6"/>
      <c r="S38" s="6"/>
      <c r="T38" s="6"/>
      <c r="U38" s="89"/>
      <c r="V38" s="100"/>
      <c r="W38" s="65"/>
      <c r="X38" s="3"/>
      <c r="AA38" s="88" t="s">
        <v>219</v>
      </c>
      <c r="AB38" s="89" t="s">
        <v>222</v>
      </c>
      <c r="AC38" s="89">
        <v>0</v>
      </c>
      <c r="AD38" s="89">
        <v>1.21</v>
      </c>
      <c r="AE38" s="89">
        <v>120</v>
      </c>
      <c r="AF38" s="89">
        <v>80.000000000000028</v>
      </c>
      <c r="AG38" s="89">
        <v>8.0000000000000036</v>
      </c>
      <c r="AH38" s="89">
        <v>10.000000000000004</v>
      </c>
      <c r="AI38" s="99" cm="1">
        <f t="array" ref="AI38">_xll.DCEPropSectDblAngle(AF38, AE38, AG38, AH38, "Area")/100</f>
        <v>30.720000000000017</v>
      </c>
      <c r="AJ38" s="88" t="s">
        <v>227</v>
      </c>
      <c r="AK38" s="88">
        <v>47.742953360741822</v>
      </c>
      <c r="AL38" s="89">
        <v>0.9</v>
      </c>
      <c r="AM38" s="99">
        <f t="shared" si="1"/>
        <v>1.089</v>
      </c>
      <c r="AN38" s="89">
        <v>0.8</v>
      </c>
      <c r="AO38" s="99">
        <f t="shared" si="2"/>
        <v>0.96799999999999997</v>
      </c>
      <c r="AP38" s="99" cm="1">
        <f t="array" ref="AP38">_xll.DCEPropSectDblAngle(AF38, AE38, AG38, AH38, "rx")/10</f>
        <v>2.3245071162148201</v>
      </c>
      <c r="AQ38" s="99" cm="1">
        <f t="array" ref="AQ38">_xll.DCEPropSectDblAngle(AF38, AE38, AG38, AH38, "ry")/10</f>
        <v>5.8506409905240293</v>
      </c>
      <c r="AR38" s="6">
        <f t="shared" si="3"/>
        <v>46.848641262639163</v>
      </c>
      <c r="AS38" s="6">
        <f t="shared" si="4"/>
        <v>16.545195672881277</v>
      </c>
      <c r="AT38" s="6">
        <f t="shared" si="5"/>
        <v>46.848641262639163</v>
      </c>
      <c r="AU38" s="89">
        <f t="shared" si="0"/>
        <v>400</v>
      </c>
      <c r="AV38" s="100" cm="1">
        <f t="array" ref="AV38">IF(AK38&gt;0,1,_xll.DCETCVN5575FactorPhi7121(AT38*SQRT($K$17/206000),"c"))</f>
        <v>1</v>
      </c>
      <c r="AW38" s="65">
        <f t="shared" si="6"/>
        <v>7.5548112323945815E-2</v>
      </c>
      <c r="AX38" s="3" t="str">
        <f t="shared" si="7"/>
        <v>OK</v>
      </c>
    </row>
    <row r="39" spans="1:50">
      <c r="A39" s="98"/>
      <c r="B39" s="98"/>
      <c r="C39" s="98"/>
      <c r="D39" s="98"/>
      <c r="E39" s="89"/>
      <c r="F39" s="89"/>
      <c r="G39" s="89"/>
      <c r="H39" s="89"/>
      <c r="I39" s="99"/>
      <c r="J39" s="98"/>
      <c r="K39" s="98"/>
      <c r="L39" s="89"/>
      <c r="M39" s="99"/>
      <c r="N39" s="89"/>
      <c r="O39" s="99"/>
      <c r="P39" s="99"/>
      <c r="Q39" s="99"/>
      <c r="R39" s="6"/>
      <c r="S39" s="6"/>
      <c r="T39" s="6"/>
      <c r="U39" s="89"/>
      <c r="V39" s="100"/>
      <c r="W39" s="65"/>
      <c r="X39" s="3"/>
      <c r="AA39" s="88" t="s">
        <v>219</v>
      </c>
      <c r="AB39" s="89" t="s">
        <v>222</v>
      </c>
      <c r="AC39" s="89">
        <v>0.6</v>
      </c>
      <c r="AD39" s="89">
        <v>1.21</v>
      </c>
      <c r="AE39" s="89">
        <v>120</v>
      </c>
      <c r="AF39" s="89">
        <v>80.000000000000028</v>
      </c>
      <c r="AG39" s="89">
        <v>8.0000000000000036</v>
      </c>
      <c r="AH39" s="89">
        <v>10.000000000000004</v>
      </c>
      <c r="AI39" s="99" cm="1">
        <f t="array" ref="AI39">_xll.DCEPropSectDblAngle(AF39, AE39, AG39, AH39, "Area")/100</f>
        <v>30.720000000000017</v>
      </c>
      <c r="AJ39" s="88" t="s">
        <v>227</v>
      </c>
      <c r="AK39" s="88">
        <v>47.759340082957344</v>
      </c>
      <c r="AL39" s="89">
        <v>0.9</v>
      </c>
      <c r="AM39" s="99">
        <f t="shared" si="1"/>
        <v>1.089</v>
      </c>
      <c r="AN39" s="89">
        <v>0.8</v>
      </c>
      <c r="AO39" s="99">
        <f t="shared" si="2"/>
        <v>0.96799999999999997</v>
      </c>
      <c r="AP39" s="99" cm="1">
        <f t="array" ref="AP39">_xll.DCEPropSectDblAngle(AF39, AE39, AG39, AH39, "rx")/10</f>
        <v>2.3245071162148201</v>
      </c>
      <c r="AQ39" s="99" cm="1">
        <f t="array" ref="AQ39">_xll.DCEPropSectDblAngle(AF39, AE39, AG39, AH39, "ry")/10</f>
        <v>5.8506409905240293</v>
      </c>
      <c r="AR39" s="6">
        <f t="shared" si="3"/>
        <v>46.848641262639163</v>
      </c>
      <c r="AS39" s="6">
        <f t="shared" si="4"/>
        <v>16.545195672881277</v>
      </c>
      <c r="AT39" s="6">
        <f t="shared" si="5"/>
        <v>46.848641262639163</v>
      </c>
      <c r="AU39" s="89">
        <f t="shared" si="0"/>
        <v>400</v>
      </c>
      <c r="AV39" s="100" cm="1">
        <f t="array" ref="AV39">IF(AK39&gt;0,1,_xll.DCETCVN5575FactorPhi7121(AT39*SQRT($K$17/206000),"c"))</f>
        <v>1</v>
      </c>
      <c r="AW39" s="65">
        <f t="shared" si="6"/>
        <v>7.5574042557486357E-2</v>
      </c>
      <c r="AX39" s="3" t="str">
        <f t="shared" si="7"/>
        <v>OK</v>
      </c>
    </row>
    <row r="40" spans="1:50">
      <c r="A40" s="98"/>
      <c r="B40" s="98"/>
      <c r="C40" s="98"/>
      <c r="D40" s="98"/>
      <c r="E40" s="89"/>
      <c r="F40" s="89"/>
      <c r="G40" s="89"/>
      <c r="H40" s="89"/>
      <c r="I40" s="99"/>
      <c r="J40" s="98"/>
      <c r="K40" s="98"/>
      <c r="L40" s="89"/>
      <c r="M40" s="99"/>
      <c r="N40" s="89"/>
      <c r="O40" s="99"/>
      <c r="P40" s="99"/>
      <c r="Q40" s="99"/>
      <c r="R40" s="6"/>
      <c r="S40" s="6"/>
      <c r="T40" s="6"/>
      <c r="U40" s="89"/>
      <c r="V40" s="100"/>
      <c r="W40" s="65"/>
      <c r="X40" s="3"/>
      <c r="AA40" s="88" t="s">
        <v>219</v>
      </c>
      <c r="AB40" s="89" t="s">
        <v>222</v>
      </c>
      <c r="AC40" s="89">
        <v>1.21</v>
      </c>
      <c r="AD40" s="89">
        <v>1.21</v>
      </c>
      <c r="AE40" s="89">
        <v>120</v>
      </c>
      <c r="AF40" s="89">
        <v>80.000000000000028</v>
      </c>
      <c r="AG40" s="89">
        <v>8.0000000000000036</v>
      </c>
      <c r="AH40" s="89">
        <v>10.000000000000004</v>
      </c>
      <c r="AI40" s="99" cm="1">
        <f t="array" ref="AI40">_xll.DCEPropSectDblAngle(AF40, AE40, AG40, AH40, "Area")/100</f>
        <v>30.720000000000017</v>
      </c>
      <c r="AJ40" s="88" t="s">
        <v>227</v>
      </c>
      <c r="AK40" s="88">
        <v>47.775726805172866</v>
      </c>
      <c r="AL40" s="89">
        <v>0.9</v>
      </c>
      <c r="AM40" s="99">
        <f t="shared" si="1"/>
        <v>1.089</v>
      </c>
      <c r="AN40" s="89">
        <v>0.8</v>
      </c>
      <c r="AO40" s="99">
        <f t="shared" si="2"/>
        <v>0.96799999999999997</v>
      </c>
      <c r="AP40" s="99" cm="1">
        <f t="array" ref="AP40">_xll.DCEPropSectDblAngle(AF40, AE40, AG40, AH40, "rx")/10</f>
        <v>2.3245071162148201</v>
      </c>
      <c r="AQ40" s="99" cm="1">
        <f t="array" ref="AQ40">_xll.DCEPropSectDblAngle(AF40, AE40, AG40, AH40, "ry")/10</f>
        <v>5.8506409905240293</v>
      </c>
      <c r="AR40" s="6">
        <f t="shared" si="3"/>
        <v>46.848641262639163</v>
      </c>
      <c r="AS40" s="6">
        <f t="shared" si="4"/>
        <v>16.545195672881277</v>
      </c>
      <c r="AT40" s="6">
        <f t="shared" si="5"/>
        <v>46.848641262639163</v>
      </c>
      <c r="AU40" s="89">
        <f t="shared" si="0"/>
        <v>400</v>
      </c>
      <c r="AV40" s="100" cm="1">
        <f t="array" ref="AV40">IF(AK40&gt;0,1,_xll.DCETCVN5575FactorPhi7121(AT40*SQRT($K$17/206000),"c"))</f>
        <v>1</v>
      </c>
      <c r="AW40" s="65">
        <f t="shared" si="6"/>
        <v>7.5599972791026898E-2</v>
      </c>
      <c r="AX40" s="3" t="str">
        <f t="shared" si="7"/>
        <v>OK</v>
      </c>
    </row>
    <row r="41" spans="1:50">
      <c r="A41" s="98"/>
      <c r="B41" s="98"/>
      <c r="C41" s="98"/>
      <c r="D41" s="98"/>
      <c r="E41" s="89"/>
      <c r="F41" s="89"/>
      <c r="G41" s="89"/>
      <c r="H41" s="89"/>
      <c r="I41" s="99"/>
      <c r="J41" s="98"/>
      <c r="K41" s="98"/>
      <c r="L41" s="89"/>
      <c r="M41" s="99"/>
      <c r="N41" s="89"/>
      <c r="O41" s="99"/>
      <c r="P41" s="99"/>
      <c r="Q41" s="99"/>
      <c r="R41" s="6"/>
      <c r="S41" s="6"/>
      <c r="T41" s="6"/>
      <c r="U41" s="89"/>
      <c r="V41" s="100"/>
      <c r="W41" s="65"/>
      <c r="X41" s="3"/>
      <c r="AA41" s="88" t="s">
        <v>219</v>
      </c>
      <c r="AB41" s="89" t="s">
        <v>222</v>
      </c>
      <c r="AC41" s="89">
        <v>0</v>
      </c>
      <c r="AD41" s="89">
        <v>1.21</v>
      </c>
      <c r="AE41" s="89">
        <v>120</v>
      </c>
      <c r="AF41" s="89">
        <v>80.000000000000028</v>
      </c>
      <c r="AG41" s="89">
        <v>8.0000000000000036</v>
      </c>
      <c r="AH41" s="89">
        <v>10.000000000000004</v>
      </c>
      <c r="AI41" s="99" cm="1">
        <f t="array" ref="AI41">_xll.DCEPropSectDblAngle(AF41, AE41, AG41, AH41, "Area")/100</f>
        <v>30.720000000000017</v>
      </c>
      <c r="AJ41" s="88" t="s">
        <v>228</v>
      </c>
      <c r="AK41" s="88">
        <v>-11.453481131884256</v>
      </c>
      <c r="AL41" s="89">
        <v>0.9</v>
      </c>
      <c r="AM41" s="99">
        <f t="shared" si="1"/>
        <v>1.089</v>
      </c>
      <c r="AN41" s="89">
        <v>0.8</v>
      </c>
      <c r="AO41" s="99">
        <f t="shared" si="2"/>
        <v>0.96799999999999997</v>
      </c>
      <c r="AP41" s="99" cm="1">
        <f t="array" ref="AP41">_xll.DCEPropSectDblAngle(AF41, AE41, AG41, AH41, "rx")/10</f>
        <v>2.3245071162148201</v>
      </c>
      <c r="AQ41" s="99" cm="1">
        <f t="array" ref="AQ41">_xll.DCEPropSectDblAngle(AF41, AE41, AG41, AH41, "ry")/10</f>
        <v>5.8506409905240293</v>
      </c>
      <c r="AR41" s="6">
        <f t="shared" si="3"/>
        <v>46.848641262639163</v>
      </c>
      <c r="AS41" s="6">
        <f t="shared" si="4"/>
        <v>16.545195672881277</v>
      </c>
      <c r="AT41" s="6">
        <f t="shared" si="5"/>
        <v>46.848641262639163</v>
      </c>
      <c r="AU41" s="89">
        <f t="shared" si="0"/>
        <v>200</v>
      </c>
      <c r="AV41" s="100" cm="1">
        <f t="array" ref="AV41">IF(AK41&gt;0,1,_xll.DCETCVN5575FactorPhi7121(AT41*SQRT($K$17/206000),"c"))</f>
        <v>0.81728962895693058</v>
      </c>
      <c r="AW41" s="65">
        <f t="shared" si="6"/>
        <v>2.217562420622729E-2</v>
      </c>
      <c r="AX41" s="3" t="str">
        <f t="shared" si="7"/>
        <v>OK</v>
      </c>
    </row>
    <row r="42" spans="1:50">
      <c r="A42" s="98"/>
      <c r="B42" s="98"/>
      <c r="C42" s="98"/>
      <c r="D42" s="98"/>
      <c r="E42" s="89"/>
      <c r="F42" s="89"/>
      <c r="G42" s="89"/>
      <c r="H42" s="89"/>
      <c r="I42" s="99"/>
      <c r="J42" s="98"/>
      <c r="K42" s="98"/>
      <c r="L42" s="89"/>
      <c r="M42" s="99"/>
      <c r="N42" s="89"/>
      <c r="O42" s="99"/>
      <c r="P42" s="99"/>
      <c r="Q42" s="99"/>
      <c r="R42" s="6"/>
      <c r="S42" s="6"/>
      <c r="T42" s="6"/>
      <c r="U42" s="89"/>
      <c r="V42" s="100"/>
      <c r="W42" s="65"/>
      <c r="X42" s="3"/>
      <c r="AA42" s="88" t="s">
        <v>219</v>
      </c>
      <c r="AB42" s="89" t="s">
        <v>222</v>
      </c>
      <c r="AC42" s="89">
        <v>0.6</v>
      </c>
      <c r="AD42" s="89">
        <v>1.21</v>
      </c>
      <c r="AE42" s="89">
        <v>120</v>
      </c>
      <c r="AF42" s="89">
        <v>80.000000000000028</v>
      </c>
      <c r="AG42" s="89">
        <v>8.0000000000000036</v>
      </c>
      <c r="AH42" s="89">
        <v>10.000000000000004</v>
      </c>
      <c r="AI42" s="99" cm="1">
        <f t="array" ref="AI42">_xll.DCEPropSectDblAngle(AF42, AE42, AG42, AH42, "Area")/100</f>
        <v>30.720000000000017</v>
      </c>
      <c r="AJ42" s="88" t="s">
        <v>228</v>
      </c>
      <c r="AK42" s="88">
        <v>-11.437094409668733</v>
      </c>
      <c r="AL42" s="89">
        <v>0.9</v>
      </c>
      <c r="AM42" s="99">
        <f t="shared" si="1"/>
        <v>1.089</v>
      </c>
      <c r="AN42" s="89">
        <v>0.8</v>
      </c>
      <c r="AO42" s="99">
        <f t="shared" si="2"/>
        <v>0.96799999999999997</v>
      </c>
      <c r="AP42" s="99" cm="1">
        <f t="array" ref="AP42">_xll.DCEPropSectDblAngle(AF42, AE42, AG42, AH42, "rx")/10</f>
        <v>2.3245071162148201</v>
      </c>
      <c r="AQ42" s="99" cm="1">
        <f t="array" ref="AQ42">_xll.DCEPropSectDblAngle(AF42, AE42, AG42, AH42, "ry")/10</f>
        <v>5.8506409905240293</v>
      </c>
      <c r="AR42" s="6">
        <f t="shared" si="3"/>
        <v>46.848641262639163</v>
      </c>
      <c r="AS42" s="6">
        <f t="shared" si="4"/>
        <v>16.545195672881277</v>
      </c>
      <c r="AT42" s="6">
        <f t="shared" si="5"/>
        <v>46.848641262639163</v>
      </c>
      <c r="AU42" s="89">
        <f t="shared" si="0"/>
        <v>200</v>
      </c>
      <c r="AV42" s="100" cm="1">
        <f t="array" ref="AV42">IF(AK42&gt;0,1,_xll.DCETCVN5575FactorPhi7121(AT42*SQRT($K$17/206000),"c"))</f>
        <v>0.81728962895693058</v>
      </c>
      <c r="AW42" s="65">
        <f t="shared" si="6"/>
        <v>2.214389710163446E-2</v>
      </c>
      <c r="AX42" s="3" t="str">
        <f t="shared" si="7"/>
        <v>OK</v>
      </c>
    </row>
    <row r="43" spans="1:50">
      <c r="A43" s="98"/>
      <c r="B43" s="98"/>
      <c r="C43" s="98"/>
      <c r="D43" s="98"/>
      <c r="E43" s="89"/>
      <c r="F43" s="89"/>
      <c r="G43" s="89"/>
      <c r="H43" s="89"/>
      <c r="I43" s="99"/>
      <c r="J43" s="98"/>
      <c r="K43" s="98"/>
      <c r="L43" s="89"/>
      <c r="M43" s="99"/>
      <c r="N43" s="89"/>
      <c r="O43" s="99"/>
      <c r="P43" s="99"/>
      <c r="Q43" s="99"/>
      <c r="R43" s="6"/>
      <c r="S43" s="6"/>
      <c r="T43" s="6"/>
      <c r="U43" s="89"/>
      <c r="V43" s="100"/>
      <c r="W43" s="65"/>
      <c r="X43" s="3"/>
      <c r="AA43" s="88" t="s">
        <v>219</v>
      </c>
      <c r="AB43" s="89" t="s">
        <v>222</v>
      </c>
      <c r="AC43" s="89">
        <v>1.21</v>
      </c>
      <c r="AD43" s="89">
        <v>1.21</v>
      </c>
      <c r="AE43" s="89">
        <v>120</v>
      </c>
      <c r="AF43" s="89">
        <v>80.000000000000028</v>
      </c>
      <c r="AG43" s="89">
        <v>8.0000000000000036</v>
      </c>
      <c r="AH43" s="89">
        <v>10.000000000000004</v>
      </c>
      <c r="AI43" s="99" cm="1">
        <f t="array" ref="AI43">_xll.DCEPropSectDblAngle(AF43, AE43, AG43, AH43, "Area")/100</f>
        <v>30.720000000000017</v>
      </c>
      <c r="AJ43" s="88" t="s">
        <v>228</v>
      </c>
      <c r="AK43" s="88">
        <v>-11.420707687453207</v>
      </c>
      <c r="AL43" s="89">
        <v>0.9</v>
      </c>
      <c r="AM43" s="99">
        <f t="shared" si="1"/>
        <v>1.089</v>
      </c>
      <c r="AN43" s="89">
        <v>0.8</v>
      </c>
      <c r="AO43" s="99">
        <f t="shared" si="2"/>
        <v>0.96799999999999997</v>
      </c>
      <c r="AP43" s="99" cm="1">
        <f t="array" ref="AP43">_xll.DCEPropSectDblAngle(AF43, AE43, AG43, AH43, "rx")/10</f>
        <v>2.3245071162148201</v>
      </c>
      <c r="AQ43" s="99" cm="1">
        <f t="array" ref="AQ43">_xll.DCEPropSectDblAngle(AF43, AE43, AG43, AH43, "ry")/10</f>
        <v>5.8506409905240293</v>
      </c>
      <c r="AR43" s="6">
        <f t="shared" si="3"/>
        <v>46.848641262639163</v>
      </c>
      <c r="AS43" s="6">
        <f t="shared" si="4"/>
        <v>16.545195672881277</v>
      </c>
      <c r="AT43" s="6">
        <f t="shared" si="5"/>
        <v>46.848641262639163</v>
      </c>
      <c r="AU43" s="89">
        <f t="shared" si="0"/>
        <v>200</v>
      </c>
      <c r="AV43" s="100" cm="1">
        <f t="array" ref="AV43">IF(AK43&gt;0,1,_xll.DCETCVN5575FactorPhi7121(AT43*SQRT($K$17/206000),"c"))</f>
        <v>0.81728962895693058</v>
      </c>
      <c r="AW43" s="65">
        <f t="shared" si="6"/>
        <v>2.2112169997041631E-2</v>
      </c>
      <c r="AX43" s="3" t="str">
        <f t="shared" si="7"/>
        <v>OK</v>
      </c>
    </row>
    <row r="44" spans="1:50">
      <c r="A44" s="98"/>
      <c r="B44" s="98"/>
      <c r="C44" s="98"/>
      <c r="D44" s="98"/>
      <c r="E44" s="89"/>
      <c r="F44" s="89"/>
      <c r="G44" s="89"/>
      <c r="H44" s="89"/>
      <c r="I44" s="99"/>
      <c r="J44" s="98"/>
      <c r="K44" s="98"/>
      <c r="L44" s="89"/>
      <c r="M44" s="99"/>
      <c r="N44" s="89"/>
      <c r="O44" s="99"/>
      <c r="P44" s="99"/>
      <c r="Q44" s="99"/>
      <c r="R44" s="6"/>
      <c r="S44" s="6"/>
      <c r="T44" s="6"/>
      <c r="U44" s="89"/>
      <c r="V44" s="100"/>
      <c r="W44" s="65"/>
      <c r="X44" s="3"/>
      <c r="AA44" s="88" t="s">
        <v>219</v>
      </c>
      <c r="AB44" s="89" t="s">
        <v>223</v>
      </c>
      <c r="AC44" s="89">
        <v>0</v>
      </c>
      <c r="AD44" s="89">
        <v>1.21</v>
      </c>
      <c r="AE44" s="89">
        <v>120</v>
      </c>
      <c r="AF44" s="89">
        <v>80.000000000000028</v>
      </c>
      <c r="AG44" s="89">
        <v>8.0000000000000036</v>
      </c>
      <c r="AH44" s="89">
        <v>10.000000000000004</v>
      </c>
      <c r="AI44" s="99" cm="1">
        <f t="array" ref="AI44">_xll.DCEPropSectDblAngle(AF44, AE44, AG44, AH44, "Area")/100</f>
        <v>30.720000000000017</v>
      </c>
      <c r="AJ44" s="88" t="s">
        <v>221</v>
      </c>
      <c r="AK44" s="88">
        <v>-8.4360521420910626</v>
      </c>
      <c r="AL44" s="89">
        <v>0.9</v>
      </c>
      <c r="AM44" s="99">
        <f t="shared" si="1"/>
        <v>1.089</v>
      </c>
      <c r="AN44" s="89">
        <v>0.8</v>
      </c>
      <c r="AO44" s="99">
        <f t="shared" si="2"/>
        <v>0.96799999999999997</v>
      </c>
      <c r="AP44" s="99" cm="1">
        <f t="array" ref="AP44">_xll.DCEPropSectDblAngle(AF44, AE44, AG44, AH44, "rx")/10</f>
        <v>2.3245071162148201</v>
      </c>
      <c r="AQ44" s="99" cm="1">
        <f t="array" ref="AQ44">_xll.DCEPropSectDblAngle(AF44, AE44, AG44, AH44, "ry")/10</f>
        <v>5.8506409905240293</v>
      </c>
      <c r="AR44" s="6">
        <f t="shared" si="3"/>
        <v>46.848641262639163</v>
      </c>
      <c r="AS44" s="6">
        <f t="shared" si="4"/>
        <v>16.545195672881277</v>
      </c>
      <c r="AT44" s="6">
        <f t="shared" si="5"/>
        <v>46.848641262639163</v>
      </c>
      <c r="AU44" s="89">
        <f t="shared" si="0"/>
        <v>200</v>
      </c>
      <c r="AV44" s="100" cm="1">
        <f t="array" ref="AV44">IF(AK44&gt;0,1,_xll.DCETCVN5575FactorPhi7121(AT44*SQRT($K$17/206000),"c"))</f>
        <v>0.81728962895693058</v>
      </c>
      <c r="AW44" s="65">
        <f t="shared" si="6"/>
        <v>1.6333437837197866E-2</v>
      </c>
      <c r="AX44" s="3" t="str">
        <f t="shared" si="7"/>
        <v>OK</v>
      </c>
    </row>
    <row r="45" spans="1:50">
      <c r="A45" s="98"/>
      <c r="B45" s="98"/>
      <c r="C45" s="98"/>
      <c r="D45" s="98"/>
      <c r="E45" s="89"/>
      <c r="F45" s="89"/>
      <c r="G45" s="89"/>
      <c r="H45" s="89"/>
      <c r="I45" s="99"/>
      <c r="J45" s="98"/>
      <c r="K45" s="98"/>
      <c r="L45" s="89"/>
      <c r="M45" s="99"/>
      <c r="N45" s="89"/>
      <c r="O45" s="99"/>
      <c r="P45" s="99"/>
      <c r="Q45" s="99"/>
      <c r="R45" s="6"/>
      <c r="S45" s="6"/>
      <c r="T45" s="6"/>
      <c r="U45" s="89"/>
      <c r="V45" s="100"/>
      <c r="W45" s="65"/>
      <c r="X45" s="3"/>
      <c r="AA45" s="88" t="s">
        <v>219</v>
      </c>
      <c r="AB45" s="89" t="s">
        <v>223</v>
      </c>
      <c r="AC45" s="89">
        <v>0.6</v>
      </c>
      <c r="AD45" s="89">
        <v>1.21</v>
      </c>
      <c r="AE45" s="89">
        <v>120</v>
      </c>
      <c r="AF45" s="89">
        <v>80.000000000000028</v>
      </c>
      <c r="AG45" s="89">
        <v>8.0000000000000036</v>
      </c>
      <c r="AH45" s="89">
        <v>10.000000000000004</v>
      </c>
      <c r="AI45" s="99" cm="1">
        <f t="array" ref="AI45">_xll.DCEPropSectDblAngle(AF45, AE45, AG45, AH45, "Area")/100</f>
        <v>30.720000000000017</v>
      </c>
      <c r="AJ45" s="88" t="s">
        <v>221</v>
      </c>
      <c r="AK45" s="88">
        <v>-8.419665419875539</v>
      </c>
      <c r="AL45" s="89">
        <v>0.9</v>
      </c>
      <c r="AM45" s="99">
        <f t="shared" si="1"/>
        <v>1.089</v>
      </c>
      <c r="AN45" s="89">
        <v>0.8</v>
      </c>
      <c r="AO45" s="99">
        <f t="shared" si="2"/>
        <v>0.96799999999999997</v>
      </c>
      <c r="AP45" s="99" cm="1">
        <f t="array" ref="AP45">_xll.DCEPropSectDblAngle(AF45, AE45, AG45, AH45, "rx")/10</f>
        <v>2.3245071162148201</v>
      </c>
      <c r="AQ45" s="99" cm="1">
        <f t="array" ref="AQ45">_xll.DCEPropSectDblAngle(AF45, AE45, AG45, AH45, "ry")/10</f>
        <v>5.8506409905240293</v>
      </c>
      <c r="AR45" s="6">
        <f t="shared" si="3"/>
        <v>46.848641262639163</v>
      </c>
      <c r="AS45" s="6">
        <f t="shared" si="4"/>
        <v>16.545195672881277</v>
      </c>
      <c r="AT45" s="6">
        <f t="shared" si="5"/>
        <v>46.848641262639163</v>
      </c>
      <c r="AU45" s="89">
        <f t="shared" si="0"/>
        <v>200</v>
      </c>
      <c r="AV45" s="100" cm="1">
        <f t="array" ref="AV45">IF(AK45&gt;0,1,_xll.DCETCVN5575FactorPhi7121(AT45*SQRT($K$17/206000),"c"))</f>
        <v>0.81728962895693058</v>
      </c>
      <c r="AW45" s="65">
        <f t="shared" si="6"/>
        <v>1.6301710732605036E-2</v>
      </c>
      <c r="AX45" s="3" t="str">
        <f t="shared" si="7"/>
        <v>OK</v>
      </c>
    </row>
    <row r="46" spans="1:50">
      <c r="A46" s="98"/>
      <c r="B46" s="98"/>
      <c r="C46" s="98"/>
      <c r="D46" s="98"/>
      <c r="E46" s="89"/>
      <c r="F46" s="89"/>
      <c r="G46" s="89"/>
      <c r="H46" s="89"/>
      <c r="I46" s="99"/>
      <c r="J46" s="98"/>
      <c r="K46" s="98"/>
      <c r="L46" s="89"/>
      <c r="M46" s="99"/>
      <c r="N46" s="89"/>
      <c r="O46" s="99"/>
      <c r="P46" s="99"/>
      <c r="Q46" s="99"/>
      <c r="R46" s="6"/>
      <c r="S46" s="6"/>
      <c r="T46" s="6"/>
      <c r="U46" s="89"/>
      <c r="V46" s="100"/>
      <c r="W46" s="65"/>
      <c r="X46" s="3"/>
      <c r="AA46" s="88" t="s">
        <v>219</v>
      </c>
      <c r="AB46" s="89" t="s">
        <v>223</v>
      </c>
      <c r="AC46" s="89">
        <v>1.21</v>
      </c>
      <c r="AD46" s="89">
        <v>1.21</v>
      </c>
      <c r="AE46" s="89">
        <v>120</v>
      </c>
      <c r="AF46" s="89">
        <v>80.000000000000028</v>
      </c>
      <c r="AG46" s="89">
        <v>8.0000000000000036</v>
      </c>
      <c r="AH46" s="89">
        <v>10.000000000000004</v>
      </c>
      <c r="AI46" s="99" cm="1">
        <f t="array" ref="AI46">_xll.DCEPropSectDblAngle(AF46, AE46, AG46, AH46, "Area")/100</f>
        <v>30.720000000000017</v>
      </c>
      <c r="AJ46" s="88" t="s">
        <v>221</v>
      </c>
      <c r="AK46" s="88">
        <v>-8.4032786976600171</v>
      </c>
      <c r="AL46" s="89">
        <v>0.9</v>
      </c>
      <c r="AM46" s="99">
        <f t="shared" si="1"/>
        <v>1.089</v>
      </c>
      <c r="AN46" s="89">
        <v>0.8</v>
      </c>
      <c r="AO46" s="99">
        <f t="shared" si="2"/>
        <v>0.96799999999999997</v>
      </c>
      <c r="AP46" s="99" cm="1">
        <f t="array" ref="AP46">_xll.DCEPropSectDblAngle(AF46, AE46, AG46, AH46, "rx")/10</f>
        <v>2.3245071162148201</v>
      </c>
      <c r="AQ46" s="99" cm="1">
        <f t="array" ref="AQ46">_xll.DCEPropSectDblAngle(AF46, AE46, AG46, AH46, "ry")/10</f>
        <v>5.8506409905240293</v>
      </c>
      <c r="AR46" s="6">
        <f t="shared" si="3"/>
        <v>46.848641262639163</v>
      </c>
      <c r="AS46" s="6">
        <f t="shared" si="4"/>
        <v>16.545195672881277</v>
      </c>
      <c r="AT46" s="6">
        <f t="shared" si="5"/>
        <v>46.848641262639163</v>
      </c>
      <c r="AU46" s="89">
        <f t="shared" si="0"/>
        <v>200</v>
      </c>
      <c r="AV46" s="100" cm="1">
        <f t="array" ref="AV46">IF(AK46&gt;0,1,_xll.DCETCVN5575FactorPhi7121(AT46*SQRT($K$17/206000),"c"))</f>
        <v>0.81728962895693058</v>
      </c>
      <c r="AW46" s="65">
        <f t="shared" si="6"/>
        <v>1.626998362801221E-2</v>
      </c>
      <c r="AX46" s="3" t="str">
        <f t="shared" si="7"/>
        <v>OK</v>
      </c>
    </row>
    <row r="47" spans="1:50">
      <c r="A47" s="98"/>
      <c r="B47" s="98"/>
      <c r="C47" s="98"/>
      <c r="D47" s="98"/>
      <c r="E47" s="89"/>
      <c r="F47" s="89"/>
      <c r="G47" s="89"/>
      <c r="H47" s="89"/>
      <c r="I47" s="99"/>
      <c r="J47" s="98"/>
      <c r="K47" s="98"/>
      <c r="L47" s="89"/>
      <c r="M47" s="99"/>
      <c r="N47" s="89"/>
      <c r="O47" s="99"/>
      <c r="P47" s="99"/>
      <c r="Q47" s="99"/>
      <c r="R47" s="6"/>
      <c r="S47" s="6"/>
      <c r="T47" s="6"/>
      <c r="U47" s="89"/>
      <c r="V47" s="100"/>
      <c r="W47" s="65"/>
      <c r="X47" s="3"/>
      <c r="AA47" s="88" t="s">
        <v>219</v>
      </c>
      <c r="AB47" s="89" t="s">
        <v>223</v>
      </c>
      <c r="AC47" s="89">
        <v>0</v>
      </c>
      <c r="AD47" s="89">
        <v>1.21</v>
      </c>
      <c r="AE47" s="89">
        <v>120</v>
      </c>
      <c r="AF47" s="89">
        <v>80.000000000000028</v>
      </c>
      <c r="AG47" s="89">
        <v>8.0000000000000036</v>
      </c>
      <c r="AH47" s="89">
        <v>10.000000000000004</v>
      </c>
      <c r="AI47" s="99" cm="1">
        <f t="array" ref="AI47">_xll.DCEPropSectDblAngle(AF47, AE47, AG47, AH47, "Area")/100</f>
        <v>30.720000000000017</v>
      </c>
      <c r="AJ47" s="88" t="s">
        <v>226</v>
      </c>
      <c r="AK47" s="88">
        <v>-30.11603139306176</v>
      </c>
      <c r="AL47" s="89">
        <v>0.9</v>
      </c>
      <c r="AM47" s="99">
        <f t="shared" si="1"/>
        <v>1.089</v>
      </c>
      <c r="AN47" s="89">
        <v>0.8</v>
      </c>
      <c r="AO47" s="99">
        <f t="shared" si="2"/>
        <v>0.96799999999999997</v>
      </c>
      <c r="AP47" s="99" cm="1">
        <f t="array" ref="AP47">_xll.DCEPropSectDblAngle(AF47, AE47, AG47, AH47, "rx")/10</f>
        <v>2.3245071162148201</v>
      </c>
      <c r="AQ47" s="99" cm="1">
        <f t="array" ref="AQ47">_xll.DCEPropSectDblAngle(AF47, AE47, AG47, AH47, "ry")/10</f>
        <v>5.8506409905240293</v>
      </c>
      <c r="AR47" s="6">
        <f t="shared" si="3"/>
        <v>46.848641262639163</v>
      </c>
      <c r="AS47" s="6">
        <f t="shared" si="4"/>
        <v>16.545195672881277</v>
      </c>
      <c r="AT47" s="6">
        <f t="shared" si="5"/>
        <v>46.848641262639163</v>
      </c>
      <c r="AU47" s="89">
        <f t="shared" si="0"/>
        <v>200</v>
      </c>
      <c r="AV47" s="100" cm="1">
        <f t="array" ref="AV47">IF(AK47&gt;0,1,_xll.DCETCVN5575FactorPhi7121(AT47*SQRT($K$17/206000),"c"))</f>
        <v>0.81728962895693058</v>
      </c>
      <c r="AW47" s="65">
        <f t="shared" si="6"/>
        <v>5.8309066655406638E-2</v>
      </c>
      <c r="AX47" s="3" t="str">
        <f t="shared" si="7"/>
        <v>OK</v>
      </c>
    </row>
    <row r="48" spans="1:50">
      <c r="A48" s="98"/>
      <c r="B48" s="98"/>
      <c r="C48" s="98"/>
      <c r="D48" s="98"/>
      <c r="E48" s="89"/>
      <c r="F48" s="89"/>
      <c r="G48" s="89"/>
      <c r="H48" s="89"/>
      <c r="I48" s="99"/>
      <c r="J48" s="98"/>
      <c r="K48" s="98"/>
      <c r="L48" s="89"/>
      <c r="M48" s="99"/>
      <c r="N48" s="89"/>
      <c r="O48" s="99"/>
      <c r="P48" s="99"/>
      <c r="Q48" s="99"/>
      <c r="R48" s="6"/>
      <c r="S48" s="6"/>
      <c r="T48" s="6"/>
      <c r="U48" s="89"/>
      <c r="V48" s="100"/>
      <c r="W48" s="65"/>
      <c r="X48" s="3"/>
      <c r="AA48" s="88" t="s">
        <v>219</v>
      </c>
      <c r="AB48" s="89" t="s">
        <v>223</v>
      </c>
      <c r="AC48" s="89">
        <v>0.6</v>
      </c>
      <c r="AD48" s="89">
        <v>1.21</v>
      </c>
      <c r="AE48" s="89">
        <v>120</v>
      </c>
      <c r="AF48" s="89">
        <v>80.000000000000028</v>
      </c>
      <c r="AG48" s="89">
        <v>8.0000000000000036</v>
      </c>
      <c r="AH48" s="89">
        <v>10.000000000000004</v>
      </c>
      <c r="AI48" s="99" cm="1">
        <f t="array" ref="AI48">_xll.DCEPropSectDblAngle(AF48, AE48, AG48, AH48, "Area")/100</f>
        <v>30.720000000000017</v>
      </c>
      <c r="AJ48" s="88" t="s">
        <v>226</v>
      </c>
      <c r="AK48" s="88">
        <v>-30.099644670846239</v>
      </c>
      <c r="AL48" s="89">
        <v>0.9</v>
      </c>
      <c r="AM48" s="99">
        <f t="shared" si="1"/>
        <v>1.089</v>
      </c>
      <c r="AN48" s="89">
        <v>0.8</v>
      </c>
      <c r="AO48" s="99">
        <f t="shared" si="2"/>
        <v>0.96799999999999997</v>
      </c>
      <c r="AP48" s="99" cm="1">
        <f t="array" ref="AP48">_xll.DCEPropSectDblAngle(AF48, AE48, AG48, AH48, "rx")/10</f>
        <v>2.3245071162148201</v>
      </c>
      <c r="AQ48" s="99" cm="1">
        <f t="array" ref="AQ48">_xll.DCEPropSectDblAngle(AF48, AE48, AG48, AH48, "ry")/10</f>
        <v>5.8506409905240293</v>
      </c>
      <c r="AR48" s="6">
        <f t="shared" si="3"/>
        <v>46.848641262639163</v>
      </c>
      <c r="AS48" s="6">
        <f t="shared" si="4"/>
        <v>16.545195672881277</v>
      </c>
      <c r="AT48" s="6">
        <f t="shared" si="5"/>
        <v>46.848641262639163</v>
      </c>
      <c r="AU48" s="89">
        <f t="shared" si="0"/>
        <v>200</v>
      </c>
      <c r="AV48" s="100" cm="1">
        <f t="array" ref="AV48">IF(AK48&gt;0,1,_xll.DCETCVN5575FactorPhi7121(AT48*SQRT($K$17/206000),"c"))</f>
        <v>0.81728962895693058</v>
      </c>
      <c r="AW48" s="65">
        <f t="shared" si="6"/>
        <v>5.8277339550813823E-2</v>
      </c>
      <c r="AX48" s="3" t="str">
        <f t="shared" si="7"/>
        <v>OK</v>
      </c>
    </row>
    <row r="49" spans="1:50">
      <c r="A49" s="98"/>
      <c r="B49" s="98"/>
      <c r="C49" s="98"/>
      <c r="D49" s="98"/>
      <c r="E49" s="89"/>
      <c r="F49" s="89"/>
      <c r="G49" s="89"/>
      <c r="H49" s="89"/>
      <c r="I49" s="99"/>
      <c r="J49" s="98"/>
      <c r="K49" s="98"/>
      <c r="L49" s="89"/>
      <c r="M49" s="99"/>
      <c r="N49" s="89"/>
      <c r="O49" s="99"/>
      <c r="P49" s="99"/>
      <c r="Q49" s="99"/>
      <c r="R49" s="6"/>
      <c r="S49" s="6"/>
      <c r="T49" s="6"/>
      <c r="U49" s="89"/>
      <c r="V49" s="100"/>
      <c r="W49" s="65"/>
      <c r="X49" s="3"/>
      <c r="AA49" s="88" t="s">
        <v>219</v>
      </c>
      <c r="AB49" s="89" t="s">
        <v>223</v>
      </c>
      <c r="AC49" s="89">
        <v>1.21</v>
      </c>
      <c r="AD49" s="89">
        <v>1.21</v>
      </c>
      <c r="AE49" s="89">
        <v>120</v>
      </c>
      <c r="AF49" s="89">
        <v>80.000000000000028</v>
      </c>
      <c r="AG49" s="89">
        <v>8.0000000000000036</v>
      </c>
      <c r="AH49" s="89">
        <v>10.000000000000004</v>
      </c>
      <c r="AI49" s="99" cm="1">
        <f t="array" ref="AI49">_xll.DCEPropSectDblAngle(AF49, AE49, AG49, AH49, "Area")/100</f>
        <v>30.720000000000017</v>
      </c>
      <c r="AJ49" s="88" t="s">
        <v>226</v>
      </c>
      <c r="AK49" s="88">
        <v>-30.083257948630717</v>
      </c>
      <c r="AL49" s="89">
        <v>0.9</v>
      </c>
      <c r="AM49" s="99">
        <f t="shared" si="1"/>
        <v>1.089</v>
      </c>
      <c r="AN49" s="89">
        <v>0.8</v>
      </c>
      <c r="AO49" s="99">
        <f t="shared" si="2"/>
        <v>0.96799999999999997</v>
      </c>
      <c r="AP49" s="99" cm="1">
        <f t="array" ref="AP49">_xll.DCEPropSectDblAngle(AF49, AE49, AG49, AH49, "rx")/10</f>
        <v>2.3245071162148201</v>
      </c>
      <c r="AQ49" s="99" cm="1">
        <f t="array" ref="AQ49">_xll.DCEPropSectDblAngle(AF49, AE49, AG49, AH49, "ry")/10</f>
        <v>5.8506409905240293</v>
      </c>
      <c r="AR49" s="6">
        <f t="shared" si="3"/>
        <v>46.848641262639163</v>
      </c>
      <c r="AS49" s="6">
        <f t="shared" si="4"/>
        <v>16.545195672881277</v>
      </c>
      <c r="AT49" s="6">
        <f t="shared" si="5"/>
        <v>46.848641262639163</v>
      </c>
      <c r="AU49" s="89">
        <f t="shared" si="0"/>
        <v>200</v>
      </c>
      <c r="AV49" s="100" cm="1">
        <f t="array" ref="AV49">IF(AK49&gt;0,1,_xll.DCETCVN5575FactorPhi7121(AT49*SQRT($K$17/206000),"c"))</f>
        <v>0.81728962895693058</v>
      </c>
      <c r="AW49" s="65">
        <f t="shared" si="6"/>
        <v>5.8245612446220993E-2</v>
      </c>
      <c r="AX49" s="3" t="str">
        <f t="shared" si="7"/>
        <v>OK</v>
      </c>
    </row>
    <row r="50" spans="1:50">
      <c r="A50" s="98"/>
      <c r="B50" s="98"/>
      <c r="C50" s="98"/>
      <c r="D50" s="98"/>
      <c r="E50" s="89"/>
      <c r="F50" s="89"/>
      <c r="G50" s="89"/>
      <c r="H50" s="89"/>
      <c r="I50" s="99"/>
      <c r="J50" s="98"/>
      <c r="K50" s="98"/>
      <c r="L50" s="89"/>
      <c r="M50" s="99"/>
      <c r="N50" s="89"/>
      <c r="O50" s="99"/>
      <c r="P50" s="99"/>
      <c r="Q50" s="99"/>
      <c r="R50" s="6"/>
      <c r="S50" s="6"/>
      <c r="T50" s="6"/>
      <c r="U50" s="89"/>
      <c r="V50" s="100"/>
      <c r="W50" s="65"/>
      <c r="X50" s="3"/>
      <c r="AA50" s="88" t="s">
        <v>219</v>
      </c>
      <c r="AB50" s="89" t="s">
        <v>223</v>
      </c>
      <c r="AC50" s="89">
        <v>0</v>
      </c>
      <c r="AD50" s="89">
        <v>1.21</v>
      </c>
      <c r="AE50" s="89">
        <v>120</v>
      </c>
      <c r="AF50" s="89">
        <v>80.000000000000028</v>
      </c>
      <c r="AG50" s="89">
        <v>8.0000000000000036</v>
      </c>
      <c r="AH50" s="89">
        <v>10.000000000000004</v>
      </c>
      <c r="AI50" s="99" cm="1">
        <f t="array" ref="AI50">_xll.DCEPropSectDblAngle(AF50, AE50, AG50, AH50, "Area")/100</f>
        <v>30.720000000000017</v>
      </c>
      <c r="AJ50" s="88" t="s">
        <v>227</v>
      </c>
      <c r="AK50" s="88">
        <v>-5.865749304780298</v>
      </c>
      <c r="AL50" s="89">
        <v>0.9</v>
      </c>
      <c r="AM50" s="99">
        <f t="shared" si="1"/>
        <v>1.089</v>
      </c>
      <c r="AN50" s="89">
        <v>0.8</v>
      </c>
      <c r="AO50" s="99">
        <f t="shared" si="2"/>
        <v>0.96799999999999997</v>
      </c>
      <c r="AP50" s="99" cm="1">
        <f t="array" ref="AP50">_xll.DCEPropSectDblAngle(AF50, AE50, AG50, AH50, "rx")/10</f>
        <v>2.3245071162148201</v>
      </c>
      <c r="AQ50" s="99" cm="1">
        <f t="array" ref="AQ50">_xll.DCEPropSectDblAngle(AF50, AE50, AG50, AH50, "ry")/10</f>
        <v>5.8506409905240293</v>
      </c>
      <c r="AR50" s="6">
        <f t="shared" si="3"/>
        <v>46.848641262639163</v>
      </c>
      <c r="AS50" s="6">
        <f t="shared" si="4"/>
        <v>16.545195672881277</v>
      </c>
      <c r="AT50" s="6">
        <f t="shared" si="5"/>
        <v>46.848641262639163</v>
      </c>
      <c r="AU50" s="89">
        <f t="shared" si="0"/>
        <v>200</v>
      </c>
      <c r="AV50" s="100" cm="1">
        <f t="array" ref="AV50">IF(AK50&gt;0,1,_xll.DCETCVN5575FactorPhi7121(AT50*SQRT($K$17/206000),"c"))</f>
        <v>0.81728962895693058</v>
      </c>
      <c r="AW50" s="65">
        <f t="shared" si="6"/>
        <v>1.1356953468813848E-2</v>
      </c>
      <c r="AX50" s="3" t="str">
        <f t="shared" si="7"/>
        <v>OK</v>
      </c>
    </row>
    <row r="51" spans="1:50">
      <c r="A51" s="98"/>
      <c r="B51" s="98"/>
      <c r="C51" s="98"/>
      <c r="D51" s="98"/>
      <c r="E51" s="89"/>
      <c r="F51" s="89"/>
      <c r="G51" s="89"/>
      <c r="H51" s="89"/>
      <c r="I51" s="99"/>
      <c r="J51" s="98"/>
      <c r="K51" s="98"/>
      <c r="L51" s="89"/>
      <c r="M51" s="99"/>
      <c r="N51" s="89"/>
      <c r="O51" s="99"/>
      <c r="P51" s="99"/>
      <c r="Q51" s="99"/>
      <c r="R51" s="6"/>
      <c r="S51" s="6"/>
      <c r="T51" s="6"/>
      <c r="U51" s="89"/>
      <c r="V51" s="100"/>
      <c r="W51" s="65"/>
      <c r="X51" s="3"/>
      <c r="AA51" s="88" t="s">
        <v>219</v>
      </c>
      <c r="AB51" s="89" t="s">
        <v>223</v>
      </c>
      <c r="AC51" s="89">
        <v>0.6</v>
      </c>
      <c r="AD51" s="89">
        <v>1.21</v>
      </c>
      <c r="AE51" s="89">
        <v>120</v>
      </c>
      <c r="AF51" s="89">
        <v>80.000000000000028</v>
      </c>
      <c r="AG51" s="89">
        <v>8.0000000000000036</v>
      </c>
      <c r="AH51" s="89">
        <v>10.000000000000004</v>
      </c>
      <c r="AI51" s="99" cm="1">
        <f t="array" ref="AI51">_xll.DCEPropSectDblAngle(AF51, AE51, AG51, AH51, "Area")/100</f>
        <v>30.720000000000017</v>
      </c>
      <c r="AJ51" s="88" t="s">
        <v>227</v>
      </c>
      <c r="AK51" s="88">
        <v>-5.8493625825647753</v>
      </c>
      <c r="AL51" s="89">
        <v>0.9</v>
      </c>
      <c r="AM51" s="99">
        <f t="shared" si="1"/>
        <v>1.089</v>
      </c>
      <c r="AN51" s="89">
        <v>0.8</v>
      </c>
      <c r="AO51" s="99">
        <f t="shared" si="2"/>
        <v>0.96799999999999997</v>
      </c>
      <c r="AP51" s="99" cm="1">
        <f t="array" ref="AP51">_xll.DCEPropSectDblAngle(AF51, AE51, AG51, AH51, "rx")/10</f>
        <v>2.3245071162148201</v>
      </c>
      <c r="AQ51" s="99" cm="1">
        <f t="array" ref="AQ51">_xll.DCEPropSectDblAngle(AF51, AE51, AG51, AH51, "ry")/10</f>
        <v>5.8506409905240293</v>
      </c>
      <c r="AR51" s="6">
        <f t="shared" si="3"/>
        <v>46.848641262639163</v>
      </c>
      <c r="AS51" s="6">
        <f t="shared" si="4"/>
        <v>16.545195672881277</v>
      </c>
      <c r="AT51" s="6">
        <f t="shared" si="5"/>
        <v>46.848641262639163</v>
      </c>
      <c r="AU51" s="89">
        <f t="shared" si="0"/>
        <v>200</v>
      </c>
      <c r="AV51" s="100" cm="1">
        <f t="array" ref="AV51">IF(AK51&gt;0,1,_xll.DCETCVN5575FactorPhi7121(AT51*SQRT($K$17/206000),"c"))</f>
        <v>0.81728962895693058</v>
      </c>
      <c r="AW51" s="65">
        <f t="shared" si="6"/>
        <v>1.1325226364221022E-2</v>
      </c>
      <c r="AX51" s="3" t="str">
        <f t="shared" si="7"/>
        <v>OK</v>
      </c>
    </row>
    <row r="52" spans="1:50">
      <c r="A52" s="98"/>
      <c r="B52" s="98"/>
      <c r="C52" s="98"/>
      <c r="D52" s="98"/>
      <c r="E52" s="89"/>
      <c r="F52" s="89"/>
      <c r="G52" s="89"/>
      <c r="H52" s="89"/>
      <c r="I52" s="99"/>
      <c r="J52" s="98"/>
      <c r="K52" s="98"/>
      <c r="L52" s="89"/>
      <c r="M52" s="99"/>
      <c r="N52" s="89"/>
      <c r="O52" s="99"/>
      <c r="P52" s="99"/>
      <c r="Q52" s="99"/>
      <c r="R52" s="6"/>
      <c r="S52" s="6"/>
      <c r="T52" s="6"/>
      <c r="U52" s="89"/>
      <c r="V52" s="100"/>
      <c r="W52" s="65"/>
      <c r="X52" s="3"/>
      <c r="AA52" s="88" t="s">
        <v>219</v>
      </c>
      <c r="AB52" s="89" t="s">
        <v>223</v>
      </c>
      <c r="AC52" s="89">
        <v>1.21</v>
      </c>
      <c r="AD52" s="89">
        <v>1.21</v>
      </c>
      <c r="AE52" s="89">
        <v>120</v>
      </c>
      <c r="AF52" s="89">
        <v>80.000000000000028</v>
      </c>
      <c r="AG52" s="89">
        <v>8.0000000000000036</v>
      </c>
      <c r="AH52" s="89">
        <v>10.000000000000004</v>
      </c>
      <c r="AI52" s="99" cm="1">
        <f t="array" ref="AI52">_xll.DCEPropSectDblAngle(AF52, AE52, AG52, AH52, "Area")/100</f>
        <v>30.720000000000017</v>
      </c>
      <c r="AJ52" s="88" t="s">
        <v>227</v>
      </c>
      <c r="AK52" s="88">
        <v>-5.8329758603492525</v>
      </c>
      <c r="AL52" s="89">
        <v>0.9</v>
      </c>
      <c r="AM52" s="99">
        <f t="shared" si="1"/>
        <v>1.089</v>
      </c>
      <c r="AN52" s="89">
        <v>0.8</v>
      </c>
      <c r="AO52" s="99">
        <f t="shared" si="2"/>
        <v>0.96799999999999997</v>
      </c>
      <c r="AP52" s="99" cm="1">
        <f t="array" ref="AP52">_xll.DCEPropSectDblAngle(AF52, AE52, AG52, AH52, "rx")/10</f>
        <v>2.3245071162148201</v>
      </c>
      <c r="AQ52" s="99" cm="1">
        <f t="array" ref="AQ52">_xll.DCEPropSectDblAngle(AF52, AE52, AG52, AH52, "ry")/10</f>
        <v>5.8506409905240293</v>
      </c>
      <c r="AR52" s="6">
        <f t="shared" si="3"/>
        <v>46.848641262639163</v>
      </c>
      <c r="AS52" s="6">
        <f t="shared" si="4"/>
        <v>16.545195672881277</v>
      </c>
      <c r="AT52" s="6">
        <f t="shared" si="5"/>
        <v>46.848641262639163</v>
      </c>
      <c r="AU52" s="89">
        <f t="shared" si="0"/>
        <v>200</v>
      </c>
      <c r="AV52" s="100" cm="1">
        <f t="array" ref="AV52">IF(AK52&gt;0,1,_xll.DCETCVN5575FactorPhi7121(AT52*SQRT($K$17/206000),"c"))</f>
        <v>0.81728962895693058</v>
      </c>
      <c r="AW52" s="65">
        <f t="shared" si="6"/>
        <v>1.1293499259628194E-2</v>
      </c>
      <c r="AX52" s="3" t="str">
        <f t="shared" si="7"/>
        <v>OK</v>
      </c>
    </row>
    <row r="53" spans="1:50">
      <c r="A53" s="98"/>
      <c r="B53" s="98"/>
      <c r="C53" s="98"/>
      <c r="D53" s="98"/>
      <c r="E53" s="89"/>
      <c r="F53" s="89"/>
      <c r="G53" s="89"/>
      <c r="H53" s="89"/>
      <c r="I53" s="99"/>
      <c r="J53" s="98"/>
      <c r="K53" s="98"/>
      <c r="L53" s="89"/>
      <c r="M53" s="99"/>
      <c r="N53" s="89"/>
      <c r="O53" s="99"/>
      <c r="P53" s="99"/>
      <c r="Q53" s="99"/>
      <c r="R53" s="6"/>
      <c r="S53" s="6"/>
      <c r="T53" s="6"/>
      <c r="U53" s="89"/>
      <c r="V53" s="100"/>
      <c r="W53" s="65"/>
      <c r="X53" s="3"/>
      <c r="AA53" s="88" t="s">
        <v>219</v>
      </c>
      <c r="AB53" s="89" t="s">
        <v>223</v>
      </c>
      <c r="AC53" s="89">
        <v>0</v>
      </c>
      <c r="AD53" s="89">
        <v>1.21</v>
      </c>
      <c r="AE53" s="89">
        <v>120</v>
      </c>
      <c r="AF53" s="89">
        <v>80.000000000000028</v>
      </c>
      <c r="AG53" s="89">
        <v>8.0000000000000036</v>
      </c>
      <c r="AH53" s="89">
        <v>10.000000000000004</v>
      </c>
      <c r="AI53" s="99" cm="1">
        <f t="array" ref="AI53">_xll.DCEPropSectDblAngle(AF53, AE53, AG53, AH53, "Area")/100</f>
        <v>30.720000000000017</v>
      </c>
      <c r="AJ53" s="88" t="s">
        <v>228</v>
      </c>
      <c r="AK53" s="88">
        <v>-48.420310685874199</v>
      </c>
      <c r="AL53" s="89">
        <v>0.9</v>
      </c>
      <c r="AM53" s="99">
        <f t="shared" si="1"/>
        <v>1.089</v>
      </c>
      <c r="AN53" s="89">
        <v>0.8</v>
      </c>
      <c r="AO53" s="99">
        <f t="shared" si="2"/>
        <v>0.96799999999999997</v>
      </c>
      <c r="AP53" s="99" cm="1">
        <f t="array" ref="AP53">_xll.DCEPropSectDblAngle(AF53, AE53, AG53, AH53, "rx")/10</f>
        <v>2.3245071162148201</v>
      </c>
      <c r="AQ53" s="99" cm="1">
        <f t="array" ref="AQ53">_xll.DCEPropSectDblAngle(AF53, AE53, AG53, AH53, "ry")/10</f>
        <v>5.8506409905240293</v>
      </c>
      <c r="AR53" s="6">
        <f t="shared" si="3"/>
        <v>46.848641262639163</v>
      </c>
      <c r="AS53" s="6">
        <f t="shared" si="4"/>
        <v>16.545195672881277</v>
      </c>
      <c r="AT53" s="6">
        <f t="shared" si="5"/>
        <v>46.848641262639163</v>
      </c>
      <c r="AU53" s="89">
        <f t="shared" si="0"/>
        <v>200</v>
      </c>
      <c r="AV53" s="100" cm="1">
        <f t="array" ref="AV53">IF(AK53&gt;0,1,_xll.DCETCVN5575FactorPhi7121(AT53*SQRT($K$17/206000),"c"))</f>
        <v>0.81728962895693058</v>
      </c>
      <c r="AW53" s="65">
        <f t="shared" si="6"/>
        <v>9.3748843810429458E-2</v>
      </c>
      <c r="AX53" s="3" t="str">
        <f t="shared" si="7"/>
        <v>OK</v>
      </c>
    </row>
    <row r="54" spans="1:50">
      <c r="A54" s="98"/>
      <c r="B54" s="98"/>
      <c r="C54" s="98"/>
      <c r="D54" s="98"/>
      <c r="E54" s="89"/>
      <c r="F54" s="89"/>
      <c r="G54" s="89"/>
      <c r="H54" s="89"/>
      <c r="I54" s="98"/>
      <c r="J54" s="98"/>
      <c r="K54" s="98"/>
      <c r="L54" s="89"/>
      <c r="M54" s="98"/>
      <c r="N54" s="89"/>
      <c r="O54" s="98"/>
      <c r="P54" s="98"/>
      <c r="Q54" s="98"/>
      <c r="R54" s="98"/>
      <c r="S54" s="98"/>
      <c r="T54" s="98"/>
      <c r="U54" s="98"/>
      <c r="V54" s="98"/>
      <c r="W54" s="98"/>
      <c r="X54" s="98"/>
      <c r="AA54" s="88" t="s">
        <v>219</v>
      </c>
      <c r="AB54" s="89" t="s">
        <v>223</v>
      </c>
      <c r="AC54" s="89">
        <v>0.6</v>
      </c>
      <c r="AD54" s="89">
        <v>1.21</v>
      </c>
      <c r="AE54" s="89">
        <v>120</v>
      </c>
      <c r="AF54" s="89">
        <v>80.000000000000028</v>
      </c>
      <c r="AG54" s="89">
        <v>8.0000000000000036</v>
      </c>
      <c r="AH54" s="89">
        <v>10.000000000000004</v>
      </c>
      <c r="AI54" s="99" cm="1">
        <f t="array" ref="AI54">_xll.DCEPropSectDblAngle(AF54, AE54, AG54, AH54, "Area")/100</f>
        <v>30.720000000000017</v>
      </c>
      <c r="AJ54" s="88" t="s">
        <v>228</v>
      </c>
      <c r="AK54" s="88">
        <v>-48.40392396365867</v>
      </c>
      <c r="AL54" s="89">
        <v>0.9</v>
      </c>
      <c r="AM54" s="99">
        <f t="shared" si="1"/>
        <v>1.089</v>
      </c>
      <c r="AN54" s="89">
        <v>0.8</v>
      </c>
      <c r="AO54" s="99">
        <f t="shared" si="2"/>
        <v>0.96799999999999997</v>
      </c>
      <c r="AP54" s="99" cm="1">
        <f t="array" ref="AP54">_xll.DCEPropSectDblAngle(AF54, AE54, AG54, AH54, "rx")/10</f>
        <v>2.3245071162148201</v>
      </c>
      <c r="AQ54" s="99" cm="1">
        <f t="array" ref="AQ54">_xll.DCEPropSectDblAngle(AF54, AE54, AG54, AH54, "ry")/10</f>
        <v>5.8506409905240293</v>
      </c>
      <c r="AR54" s="6">
        <f t="shared" si="3"/>
        <v>46.848641262639163</v>
      </c>
      <c r="AS54" s="6">
        <f t="shared" si="4"/>
        <v>16.545195672881277</v>
      </c>
      <c r="AT54" s="6">
        <f t="shared" si="5"/>
        <v>46.848641262639163</v>
      </c>
      <c r="AU54" s="89">
        <f t="shared" si="0"/>
        <v>200</v>
      </c>
      <c r="AV54" s="100" cm="1">
        <f t="array" ref="AV54">IF(AK54&gt;0,1,_xll.DCETCVN5575FactorPhi7121(AT54*SQRT($K$17/206000),"c"))</f>
        <v>0.81728962895693058</v>
      </c>
      <c r="AW54" s="65">
        <f t="shared" si="6"/>
        <v>9.3717116705836614E-2</v>
      </c>
      <c r="AX54" s="3" t="str">
        <f t="shared" si="7"/>
        <v>OK</v>
      </c>
    </row>
    <row r="55" spans="1:50">
      <c r="A55" s="98"/>
      <c r="B55" s="98"/>
      <c r="C55" s="98"/>
      <c r="D55" s="98"/>
      <c r="E55" s="89"/>
      <c r="F55" s="89"/>
      <c r="G55" s="89"/>
      <c r="H55" s="89"/>
      <c r="I55" s="98"/>
      <c r="J55" s="98"/>
      <c r="K55" s="98"/>
      <c r="L55" s="89"/>
      <c r="M55" s="98"/>
      <c r="N55" s="89"/>
      <c r="O55" s="98"/>
      <c r="P55" s="98"/>
      <c r="Q55" s="98"/>
      <c r="R55" s="98"/>
      <c r="S55" s="98"/>
      <c r="T55" s="98"/>
      <c r="U55" s="98"/>
      <c r="V55" s="98"/>
      <c r="W55" s="98"/>
      <c r="X55" s="98"/>
      <c r="AA55" s="88" t="s">
        <v>219</v>
      </c>
      <c r="AB55" s="89" t="s">
        <v>223</v>
      </c>
      <c r="AC55" s="89">
        <v>1.21</v>
      </c>
      <c r="AD55" s="89">
        <v>1.21</v>
      </c>
      <c r="AE55" s="89">
        <v>120</v>
      </c>
      <c r="AF55" s="89">
        <v>80.000000000000028</v>
      </c>
      <c r="AG55" s="89">
        <v>8.0000000000000036</v>
      </c>
      <c r="AH55" s="89">
        <v>10.000000000000004</v>
      </c>
      <c r="AI55" s="99" cm="1">
        <f t="array" ref="AI55">_xll.DCEPropSectDblAngle(AF55, AE55, AG55, AH55, "Area")/100</f>
        <v>30.720000000000017</v>
      </c>
      <c r="AJ55" s="88" t="s">
        <v>228</v>
      </c>
      <c r="AK55" s="88">
        <v>-48.387537241443148</v>
      </c>
      <c r="AL55" s="89">
        <v>0.9</v>
      </c>
      <c r="AM55" s="99">
        <f t="shared" si="1"/>
        <v>1.089</v>
      </c>
      <c r="AN55" s="89">
        <v>0.8</v>
      </c>
      <c r="AO55" s="99">
        <f t="shared" si="2"/>
        <v>0.96799999999999997</v>
      </c>
      <c r="AP55" s="99" cm="1">
        <f t="array" ref="AP55">_xll.DCEPropSectDblAngle(AF55, AE55, AG55, AH55, "rx")/10</f>
        <v>2.3245071162148201</v>
      </c>
      <c r="AQ55" s="99" cm="1">
        <f t="array" ref="AQ55">_xll.DCEPropSectDblAngle(AF55, AE55, AG55, AH55, "ry")/10</f>
        <v>5.8506409905240293</v>
      </c>
      <c r="AR55" s="6">
        <f t="shared" si="3"/>
        <v>46.848641262639163</v>
      </c>
      <c r="AS55" s="6">
        <f t="shared" si="4"/>
        <v>16.545195672881277</v>
      </c>
      <c r="AT55" s="6">
        <f t="shared" si="5"/>
        <v>46.848641262639163</v>
      </c>
      <c r="AU55" s="89">
        <f t="shared" si="0"/>
        <v>200</v>
      </c>
      <c r="AV55" s="100" cm="1">
        <f t="array" ref="AV55">IF(AK55&gt;0,1,_xll.DCETCVN5575FactorPhi7121(AT55*SQRT($K$17/206000),"c"))</f>
        <v>0.81728962895693058</v>
      </c>
      <c r="AW55" s="65">
        <f t="shared" si="6"/>
        <v>9.3685389601243785E-2</v>
      </c>
      <c r="AX55" s="3" t="str">
        <f t="shared" si="7"/>
        <v>OK</v>
      </c>
    </row>
    <row r="56" spans="1:50">
      <c r="A56" s="98"/>
      <c r="B56" s="98"/>
      <c r="C56" s="98"/>
      <c r="D56" s="98"/>
      <c r="E56" s="89"/>
      <c r="F56" s="89"/>
      <c r="G56" s="89"/>
      <c r="H56" s="89"/>
      <c r="I56" s="98"/>
      <c r="J56" s="98"/>
      <c r="K56" s="98"/>
      <c r="L56" s="89"/>
      <c r="M56" s="98"/>
      <c r="N56" s="89"/>
      <c r="O56" s="98"/>
      <c r="P56" s="98"/>
      <c r="Q56" s="98"/>
      <c r="R56" s="98"/>
      <c r="S56" s="98"/>
      <c r="T56" s="98"/>
      <c r="U56" s="98"/>
      <c r="V56" s="98"/>
      <c r="W56" s="98"/>
      <c r="X56" s="98"/>
      <c r="AA56" s="88" t="s">
        <v>219</v>
      </c>
      <c r="AB56" s="89" t="s">
        <v>224</v>
      </c>
      <c r="AC56" s="89">
        <v>0</v>
      </c>
      <c r="AD56" s="89">
        <v>1.94</v>
      </c>
      <c r="AE56" s="89">
        <v>49.999999999999957</v>
      </c>
      <c r="AF56" s="89">
        <v>60.000000000000028</v>
      </c>
      <c r="AG56" s="89">
        <v>8.0000000000000036</v>
      </c>
      <c r="AH56" s="89">
        <v>10.000000000000004</v>
      </c>
      <c r="AI56" s="99" cm="1">
        <f t="array" ref="AI56">_xll.DCEPropSectDblAngle(AF56, AE56, AG56, AH56, "Area")/100</f>
        <v>16.320000000000004</v>
      </c>
      <c r="AJ56" s="88" t="s">
        <v>221</v>
      </c>
      <c r="AK56" s="88">
        <v>48.170961844544962</v>
      </c>
      <c r="AL56" s="89">
        <v>0.9</v>
      </c>
      <c r="AM56" s="99">
        <f t="shared" si="1"/>
        <v>1.746</v>
      </c>
      <c r="AN56" s="89">
        <v>0.8</v>
      </c>
      <c r="AO56" s="99">
        <f t="shared" si="2"/>
        <v>1.552</v>
      </c>
      <c r="AP56" s="99" cm="1">
        <f t="array" ref="AP56">_xll.DCEPropSectDblAngle(AF56, AE56, AG56, AH56, "rx")/10</f>
        <v>1.8504153341564167</v>
      </c>
      <c r="AQ56" s="99" cm="1">
        <f t="array" ref="AQ56">_xll.DCEPropSectDblAngle(AF56, AE56, AG56, AH56, "ry")/10</f>
        <v>2.423455643270978</v>
      </c>
      <c r="AR56" s="6">
        <f t="shared" si="3"/>
        <v>94.35719472115062</v>
      </c>
      <c r="AS56" s="6">
        <f t="shared" si="4"/>
        <v>64.040784254059645</v>
      </c>
      <c r="AT56" s="6">
        <f t="shared" si="5"/>
        <v>94.35719472115062</v>
      </c>
      <c r="AU56" s="89">
        <f t="shared" si="0"/>
        <v>400</v>
      </c>
      <c r="AV56" s="100" cm="1">
        <f t="array" ref="AV56">IF(AK56&gt;0,1,_xll.DCETCVN5575FactorPhi7121(AT56*SQRT($K$17/206000),"c"))</f>
        <v>1</v>
      </c>
      <c r="AW56" s="65">
        <f t="shared" si="6"/>
        <v>0.14348308692121745</v>
      </c>
      <c r="AX56" s="3" t="str">
        <f t="shared" si="7"/>
        <v>OK</v>
      </c>
    </row>
    <row r="57" spans="1:50">
      <c r="A57" s="98"/>
      <c r="B57" s="98"/>
      <c r="C57" s="98"/>
      <c r="D57" s="98"/>
      <c r="E57" s="89"/>
      <c r="F57" s="89"/>
      <c r="G57" s="89"/>
      <c r="H57" s="89"/>
      <c r="I57" s="98"/>
      <c r="J57" s="98"/>
      <c r="K57" s="98"/>
      <c r="L57" s="89"/>
      <c r="M57" s="98"/>
      <c r="N57" s="89"/>
      <c r="O57" s="98"/>
      <c r="P57" s="98"/>
      <c r="Q57" s="98"/>
      <c r="R57" s="98"/>
      <c r="S57" s="98"/>
      <c r="T57" s="98"/>
      <c r="U57" s="98"/>
      <c r="V57" s="98"/>
      <c r="W57" s="98"/>
      <c r="X57" s="98"/>
      <c r="AA57" s="88" t="s">
        <v>219</v>
      </c>
      <c r="AB57" s="89" t="s">
        <v>224</v>
      </c>
      <c r="AC57" s="89">
        <v>0.97</v>
      </c>
      <c r="AD57" s="89">
        <v>1.94</v>
      </c>
      <c r="AE57" s="89">
        <v>49.999999999999957</v>
      </c>
      <c r="AF57" s="89">
        <v>60.000000000000028</v>
      </c>
      <c r="AG57" s="89">
        <v>8.0000000000000036</v>
      </c>
      <c r="AH57" s="89">
        <v>10.000000000000004</v>
      </c>
      <c r="AI57" s="99" cm="1">
        <f t="array" ref="AI57">_xll.DCEPropSectDblAngle(AF57, AE57, AG57, AH57, "Area")/100</f>
        <v>16.320000000000004</v>
      </c>
      <c r="AJ57" s="88" t="s">
        <v>221</v>
      </c>
      <c r="AK57" s="88">
        <v>48.060692859636333</v>
      </c>
      <c r="AL57" s="89">
        <v>0.9</v>
      </c>
      <c r="AM57" s="99">
        <f t="shared" si="1"/>
        <v>1.746</v>
      </c>
      <c r="AN57" s="89">
        <v>0.8</v>
      </c>
      <c r="AO57" s="99">
        <f t="shared" si="2"/>
        <v>1.552</v>
      </c>
      <c r="AP57" s="99" cm="1">
        <f t="array" ref="AP57">_xll.DCEPropSectDblAngle(AF57, AE57, AG57, AH57, "rx")/10</f>
        <v>1.8504153341564167</v>
      </c>
      <c r="AQ57" s="99" cm="1">
        <f t="array" ref="AQ57">_xll.DCEPropSectDblAngle(AF57, AE57, AG57, AH57, "ry")/10</f>
        <v>2.423455643270978</v>
      </c>
      <c r="AR57" s="6">
        <f t="shared" si="3"/>
        <v>94.35719472115062</v>
      </c>
      <c r="AS57" s="6">
        <f t="shared" si="4"/>
        <v>64.040784254059645</v>
      </c>
      <c r="AT57" s="6">
        <f t="shared" si="5"/>
        <v>94.35719472115062</v>
      </c>
      <c r="AU57" s="89">
        <f t="shared" si="0"/>
        <v>400</v>
      </c>
      <c r="AV57" s="100" cm="1">
        <f t="array" ref="AV57">IF(AK57&gt;0,1,_xll.DCETCVN5575FactorPhi7121(AT57*SQRT($K$17/206000),"c"))</f>
        <v>1</v>
      </c>
      <c r="AW57" s="65">
        <f t="shared" si="6"/>
        <v>0.14315463729637046</v>
      </c>
      <c r="AX57" s="3" t="str">
        <f t="shared" si="7"/>
        <v>OK</v>
      </c>
    </row>
    <row r="58" spans="1:50">
      <c r="A58" s="98"/>
      <c r="B58" s="98"/>
      <c r="C58" s="98"/>
      <c r="D58" s="98"/>
      <c r="E58" s="89"/>
      <c r="F58" s="89"/>
      <c r="G58" s="89"/>
      <c r="H58" s="89"/>
      <c r="I58" s="98"/>
      <c r="J58" s="98"/>
      <c r="K58" s="98"/>
      <c r="L58" s="89"/>
      <c r="M58" s="98"/>
      <c r="N58" s="89"/>
      <c r="O58" s="98"/>
      <c r="P58" s="98"/>
      <c r="Q58" s="98"/>
      <c r="R58" s="98"/>
      <c r="S58" s="98"/>
      <c r="T58" s="98"/>
      <c r="U58" s="98"/>
      <c r="V58" s="98"/>
      <c r="W58" s="98"/>
      <c r="X58" s="98"/>
      <c r="AA58" s="88" t="s">
        <v>219</v>
      </c>
      <c r="AB58" s="89" t="s">
        <v>224</v>
      </c>
      <c r="AC58" s="89">
        <v>1.94</v>
      </c>
      <c r="AD58" s="89">
        <v>1.94</v>
      </c>
      <c r="AE58" s="89">
        <v>49.999999999999957</v>
      </c>
      <c r="AF58" s="89">
        <v>60.000000000000028</v>
      </c>
      <c r="AG58" s="89">
        <v>8.0000000000000036</v>
      </c>
      <c r="AH58" s="89">
        <v>10.000000000000004</v>
      </c>
      <c r="AI58" s="99" cm="1">
        <f t="array" ref="AI58">_xll.DCEPropSectDblAngle(AF58, AE58, AG58, AH58, "Area")/100</f>
        <v>16.320000000000004</v>
      </c>
      <c r="AJ58" s="88" t="s">
        <v>221</v>
      </c>
      <c r="AK58" s="88">
        <v>47.950423874727711</v>
      </c>
      <c r="AL58" s="89">
        <v>0.9</v>
      </c>
      <c r="AM58" s="99">
        <f t="shared" si="1"/>
        <v>1.746</v>
      </c>
      <c r="AN58" s="89">
        <v>0.8</v>
      </c>
      <c r="AO58" s="99">
        <f t="shared" si="2"/>
        <v>1.552</v>
      </c>
      <c r="AP58" s="99" cm="1">
        <f t="array" ref="AP58">_xll.DCEPropSectDblAngle(AF58, AE58, AG58, AH58, "rx")/10</f>
        <v>1.8504153341564167</v>
      </c>
      <c r="AQ58" s="99" cm="1">
        <f t="array" ref="AQ58">_xll.DCEPropSectDblAngle(AF58, AE58, AG58, AH58, "ry")/10</f>
        <v>2.423455643270978</v>
      </c>
      <c r="AR58" s="6">
        <f t="shared" si="3"/>
        <v>94.35719472115062</v>
      </c>
      <c r="AS58" s="6">
        <f t="shared" si="4"/>
        <v>64.040784254059645</v>
      </c>
      <c r="AT58" s="6">
        <f t="shared" si="5"/>
        <v>94.35719472115062</v>
      </c>
      <c r="AU58" s="89">
        <f t="shared" si="0"/>
        <v>400</v>
      </c>
      <c r="AV58" s="100" cm="1">
        <f t="array" ref="AV58">IF(AK58&gt;0,1,_xll.DCETCVN5575FactorPhi7121(AT58*SQRT($K$17/206000),"c"))</f>
        <v>1</v>
      </c>
      <c r="AW58" s="65">
        <f t="shared" si="6"/>
        <v>0.1428261876715235</v>
      </c>
      <c r="AX58" s="3" t="str">
        <f t="shared" si="7"/>
        <v>OK</v>
      </c>
    </row>
    <row r="59" spans="1:50">
      <c r="A59" s="98"/>
      <c r="B59" s="98"/>
      <c r="C59" s="98"/>
      <c r="D59" s="98"/>
      <c r="E59" s="89"/>
      <c r="F59" s="89"/>
      <c r="G59" s="89"/>
      <c r="H59" s="89"/>
      <c r="I59" s="98"/>
      <c r="J59" s="98"/>
      <c r="K59" s="98"/>
      <c r="L59" s="89"/>
      <c r="M59" s="98"/>
      <c r="N59" s="89"/>
      <c r="O59" s="98"/>
      <c r="P59" s="98"/>
      <c r="Q59" s="98"/>
      <c r="R59" s="98"/>
      <c r="S59" s="98"/>
      <c r="T59" s="98"/>
      <c r="U59" s="98"/>
      <c r="V59" s="98"/>
      <c r="W59" s="98"/>
      <c r="X59" s="98"/>
      <c r="AA59" s="88" t="s">
        <v>219</v>
      </c>
      <c r="AB59" s="89" t="s">
        <v>224</v>
      </c>
      <c r="AC59" s="89">
        <v>0</v>
      </c>
      <c r="AD59" s="89">
        <v>1.94</v>
      </c>
      <c r="AE59" s="89">
        <v>49.999999999999957</v>
      </c>
      <c r="AF59" s="89">
        <v>60.000000000000028</v>
      </c>
      <c r="AG59" s="89">
        <v>8.0000000000000036</v>
      </c>
      <c r="AH59" s="89">
        <v>10.000000000000004</v>
      </c>
      <c r="AI59" s="99" cm="1">
        <f t="array" ref="AI59">_xll.DCEPropSectDblAngle(AF59, AE59, AG59, AH59, "Area")/100</f>
        <v>16.320000000000004</v>
      </c>
      <c r="AJ59" s="88" t="s">
        <v>226</v>
      </c>
      <c r="AK59" s="88">
        <v>74.539095504548939</v>
      </c>
      <c r="AL59" s="89">
        <v>0.9</v>
      </c>
      <c r="AM59" s="99">
        <f t="shared" si="1"/>
        <v>1.746</v>
      </c>
      <c r="AN59" s="89">
        <v>0.8</v>
      </c>
      <c r="AO59" s="99">
        <f t="shared" si="2"/>
        <v>1.552</v>
      </c>
      <c r="AP59" s="99" cm="1">
        <f t="array" ref="AP59">_xll.DCEPropSectDblAngle(AF59, AE59, AG59, AH59, "rx")/10</f>
        <v>1.8504153341564167</v>
      </c>
      <c r="AQ59" s="99" cm="1">
        <f t="array" ref="AQ59">_xll.DCEPropSectDblAngle(AF59, AE59, AG59, AH59, "ry")/10</f>
        <v>2.423455643270978</v>
      </c>
      <c r="AR59" s="6">
        <f t="shared" si="3"/>
        <v>94.35719472115062</v>
      </c>
      <c r="AS59" s="6">
        <f t="shared" si="4"/>
        <v>64.040784254059645</v>
      </c>
      <c r="AT59" s="6">
        <f t="shared" si="5"/>
        <v>94.35719472115062</v>
      </c>
      <c r="AU59" s="89">
        <f t="shared" si="0"/>
        <v>400</v>
      </c>
      <c r="AV59" s="100" cm="1">
        <f t="array" ref="AV59">IF(AK59&gt;0,1,_xll.DCETCVN5575FactorPhi7121(AT59*SQRT($K$17/206000),"c"))</f>
        <v>1</v>
      </c>
      <c r="AW59" s="65">
        <f t="shared" si="6"/>
        <v>0.22202379005473963</v>
      </c>
      <c r="AX59" s="3" t="str">
        <f t="shared" si="7"/>
        <v>OK</v>
      </c>
    </row>
    <row r="60" spans="1:50">
      <c r="A60" s="98"/>
      <c r="B60" s="98"/>
      <c r="C60" s="98"/>
      <c r="D60" s="98"/>
      <c r="E60" s="89"/>
      <c r="F60" s="89"/>
      <c r="G60" s="89"/>
      <c r="H60" s="89"/>
      <c r="I60" s="98"/>
      <c r="J60" s="98"/>
      <c r="K60" s="98"/>
      <c r="L60" s="89"/>
      <c r="M60" s="98"/>
      <c r="N60" s="89"/>
      <c r="O60" s="98"/>
      <c r="P60" s="98"/>
      <c r="Q60" s="98"/>
      <c r="R60" s="98"/>
      <c r="S60" s="98"/>
      <c r="T60" s="98"/>
      <c r="U60" s="98"/>
      <c r="V60" s="98"/>
      <c r="W60" s="98"/>
      <c r="X60" s="98"/>
      <c r="AA60" s="88" t="s">
        <v>219</v>
      </c>
      <c r="AB60" s="89" t="s">
        <v>224</v>
      </c>
      <c r="AC60" s="89">
        <v>0.97</v>
      </c>
      <c r="AD60" s="89">
        <v>1.94</v>
      </c>
      <c r="AE60" s="89">
        <v>49.999999999999957</v>
      </c>
      <c r="AF60" s="89">
        <v>60.000000000000028</v>
      </c>
      <c r="AG60" s="89">
        <v>8.0000000000000036</v>
      </c>
      <c r="AH60" s="89">
        <v>10.000000000000004</v>
      </c>
      <c r="AI60" s="99" cm="1">
        <f t="array" ref="AI60">_xll.DCEPropSectDblAngle(AF60, AE60, AG60, AH60, "Area")/100</f>
        <v>16.320000000000004</v>
      </c>
      <c r="AJ60" s="88" t="s">
        <v>226</v>
      </c>
      <c r="AK60" s="88">
        <v>74.428826519640296</v>
      </c>
      <c r="AL60" s="89">
        <v>0.9</v>
      </c>
      <c r="AM60" s="99">
        <f t="shared" si="1"/>
        <v>1.746</v>
      </c>
      <c r="AN60" s="89">
        <v>0.8</v>
      </c>
      <c r="AO60" s="99">
        <f t="shared" si="2"/>
        <v>1.552</v>
      </c>
      <c r="AP60" s="99" cm="1">
        <f t="array" ref="AP60">_xll.DCEPropSectDblAngle(AF60, AE60, AG60, AH60, "rx")/10</f>
        <v>1.8504153341564167</v>
      </c>
      <c r="AQ60" s="99" cm="1">
        <f t="array" ref="AQ60">_xll.DCEPropSectDblAngle(AF60, AE60, AG60, AH60, "ry")/10</f>
        <v>2.423455643270978</v>
      </c>
      <c r="AR60" s="6">
        <f t="shared" si="3"/>
        <v>94.35719472115062</v>
      </c>
      <c r="AS60" s="6">
        <f t="shared" si="4"/>
        <v>64.040784254059645</v>
      </c>
      <c r="AT60" s="6">
        <f t="shared" si="5"/>
        <v>94.35719472115062</v>
      </c>
      <c r="AU60" s="89">
        <f t="shared" si="0"/>
        <v>400</v>
      </c>
      <c r="AV60" s="100" cm="1">
        <f t="array" ref="AV60">IF(AK60&gt;0,1,_xll.DCETCVN5575FactorPhi7121(AT60*SQRT($K$17/206000),"c"))</f>
        <v>1</v>
      </c>
      <c r="AW60" s="65">
        <f t="shared" si="6"/>
        <v>0.22169534042989258</v>
      </c>
      <c r="AX60" s="3" t="str">
        <f t="shared" si="7"/>
        <v>OK</v>
      </c>
    </row>
    <row r="61" spans="1:50">
      <c r="A61" s="98"/>
      <c r="B61" s="98"/>
      <c r="C61" s="98"/>
      <c r="D61" s="98"/>
      <c r="E61" s="89"/>
      <c r="F61" s="89"/>
      <c r="G61" s="89"/>
      <c r="H61" s="89"/>
      <c r="I61" s="98"/>
      <c r="J61" s="98"/>
      <c r="K61" s="98"/>
      <c r="L61" s="89"/>
      <c r="M61" s="98"/>
      <c r="N61" s="89"/>
      <c r="O61" s="98"/>
      <c r="P61" s="98"/>
      <c r="Q61" s="98"/>
      <c r="R61" s="98"/>
      <c r="S61" s="98"/>
      <c r="T61" s="98"/>
      <c r="U61" s="98"/>
      <c r="V61" s="98"/>
      <c r="W61" s="98"/>
      <c r="X61" s="98"/>
      <c r="AA61" s="88" t="s">
        <v>219</v>
      </c>
      <c r="AB61" s="89" t="s">
        <v>224</v>
      </c>
      <c r="AC61" s="89">
        <v>1.94</v>
      </c>
      <c r="AD61" s="89">
        <v>1.94</v>
      </c>
      <c r="AE61" s="89">
        <v>49.999999999999957</v>
      </c>
      <c r="AF61" s="89">
        <v>60.000000000000028</v>
      </c>
      <c r="AG61" s="89">
        <v>8.0000000000000036</v>
      </c>
      <c r="AH61" s="89">
        <v>10.000000000000004</v>
      </c>
      <c r="AI61" s="99" cm="1">
        <f t="array" ref="AI61">_xll.DCEPropSectDblAngle(AF61, AE61, AG61, AH61, "Area")/100</f>
        <v>16.320000000000004</v>
      </c>
      <c r="AJ61" s="88" t="s">
        <v>226</v>
      </c>
      <c r="AK61" s="88">
        <v>74.318557534731681</v>
      </c>
      <c r="AL61" s="89">
        <v>0.9</v>
      </c>
      <c r="AM61" s="99">
        <f t="shared" si="1"/>
        <v>1.746</v>
      </c>
      <c r="AN61" s="89">
        <v>0.8</v>
      </c>
      <c r="AO61" s="99">
        <f t="shared" si="2"/>
        <v>1.552</v>
      </c>
      <c r="AP61" s="99" cm="1">
        <f t="array" ref="AP61">_xll.DCEPropSectDblAngle(AF61, AE61, AG61, AH61, "rx")/10</f>
        <v>1.8504153341564167</v>
      </c>
      <c r="AQ61" s="99" cm="1">
        <f t="array" ref="AQ61">_xll.DCEPropSectDblAngle(AF61, AE61, AG61, AH61, "ry")/10</f>
        <v>2.423455643270978</v>
      </c>
      <c r="AR61" s="6">
        <f t="shared" si="3"/>
        <v>94.35719472115062</v>
      </c>
      <c r="AS61" s="6">
        <f t="shared" si="4"/>
        <v>64.040784254059645</v>
      </c>
      <c r="AT61" s="6">
        <f t="shared" si="5"/>
        <v>94.35719472115062</v>
      </c>
      <c r="AU61" s="89">
        <f t="shared" si="0"/>
        <v>400</v>
      </c>
      <c r="AV61" s="100" cm="1">
        <f t="array" ref="AV61">IF(AK61&gt;0,1,_xll.DCETCVN5575FactorPhi7121(AT61*SQRT($K$17/206000),"c"))</f>
        <v>1</v>
      </c>
      <c r="AW61" s="65">
        <f t="shared" si="6"/>
        <v>0.22136689080504565</v>
      </c>
      <c r="AX61" s="3" t="str">
        <f t="shared" si="7"/>
        <v>OK</v>
      </c>
    </row>
    <row r="62" spans="1:50">
      <c r="A62" s="98"/>
      <c r="B62" s="98"/>
      <c r="C62" s="98"/>
      <c r="D62" s="98"/>
      <c r="E62" s="89"/>
      <c r="F62" s="89"/>
      <c r="G62" s="89"/>
      <c r="H62" s="89"/>
      <c r="I62" s="98"/>
      <c r="J62" s="98"/>
      <c r="K62" s="98"/>
      <c r="L62" s="89"/>
      <c r="M62" s="98"/>
      <c r="N62" s="89"/>
      <c r="O62" s="98"/>
      <c r="P62" s="98"/>
      <c r="Q62" s="98"/>
      <c r="R62" s="98"/>
      <c r="S62" s="98"/>
      <c r="T62" s="98"/>
      <c r="U62" s="98"/>
      <c r="V62" s="98"/>
      <c r="W62" s="98"/>
      <c r="X62" s="98"/>
      <c r="AA62" s="88" t="s">
        <v>219</v>
      </c>
      <c r="AB62" s="89" t="s">
        <v>224</v>
      </c>
      <c r="AC62" s="89">
        <v>0</v>
      </c>
      <c r="AD62" s="89">
        <v>1.94</v>
      </c>
      <c r="AE62" s="89">
        <v>49.999999999999957</v>
      </c>
      <c r="AF62" s="89">
        <v>60.000000000000028</v>
      </c>
      <c r="AG62" s="89">
        <v>8.0000000000000036</v>
      </c>
      <c r="AH62" s="89">
        <v>10.000000000000004</v>
      </c>
      <c r="AI62" s="99" cm="1">
        <f t="array" ref="AI62">_xll.DCEPropSectDblAngle(AF62, AE62, AG62, AH62, "Area")/100</f>
        <v>16.320000000000004</v>
      </c>
      <c r="AJ62" s="88" t="s">
        <v>227</v>
      </c>
      <c r="AK62" s="88">
        <v>38.56227143310403</v>
      </c>
      <c r="AL62" s="89">
        <v>0.9</v>
      </c>
      <c r="AM62" s="99">
        <f t="shared" si="1"/>
        <v>1.746</v>
      </c>
      <c r="AN62" s="89">
        <v>0.8</v>
      </c>
      <c r="AO62" s="99">
        <f t="shared" si="2"/>
        <v>1.552</v>
      </c>
      <c r="AP62" s="99" cm="1">
        <f t="array" ref="AP62">_xll.DCEPropSectDblAngle(AF62, AE62, AG62, AH62, "rx")/10</f>
        <v>1.8504153341564167</v>
      </c>
      <c r="AQ62" s="99" cm="1">
        <f t="array" ref="AQ62">_xll.DCEPropSectDblAngle(AF62, AE62, AG62, AH62, "ry")/10</f>
        <v>2.423455643270978</v>
      </c>
      <c r="AR62" s="6">
        <f t="shared" si="3"/>
        <v>94.35719472115062</v>
      </c>
      <c r="AS62" s="6">
        <f t="shared" si="4"/>
        <v>64.040784254059645</v>
      </c>
      <c r="AT62" s="6">
        <f t="shared" si="5"/>
        <v>94.35719472115062</v>
      </c>
      <c r="AU62" s="89">
        <f t="shared" si="0"/>
        <v>400</v>
      </c>
      <c r="AV62" s="100" cm="1">
        <f t="array" ref="AV62">IF(AK62&gt;0,1,_xll.DCETCVN5575FactorPhi7121(AT62*SQRT($K$17/206000),"c"))</f>
        <v>1</v>
      </c>
      <c r="AW62" s="65">
        <f t="shared" si="6"/>
        <v>0.11486243022864251</v>
      </c>
      <c r="AX62" s="3" t="str">
        <f t="shared" si="7"/>
        <v>OK</v>
      </c>
    </row>
    <row r="63" spans="1:50">
      <c r="A63" s="98"/>
      <c r="B63" s="98"/>
      <c r="C63" s="98"/>
      <c r="D63" s="98"/>
      <c r="E63" s="89"/>
      <c r="F63" s="89"/>
      <c r="G63" s="89"/>
      <c r="H63" s="89"/>
      <c r="I63" s="98"/>
      <c r="J63" s="98"/>
      <c r="K63" s="98"/>
      <c r="L63" s="89"/>
      <c r="M63" s="98"/>
      <c r="N63" s="89"/>
      <c r="O63" s="98"/>
      <c r="P63" s="98"/>
      <c r="Q63" s="98"/>
      <c r="R63" s="98"/>
      <c r="S63" s="98"/>
      <c r="T63" s="98"/>
      <c r="U63" s="98"/>
      <c r="V63" s="98"/>
      <c r="W63" s="98"/>
      <c r="X63" s="98"/>
      <c r="AA63" s="88" t="s">
        <v>219</v>
      </c>
      <c r="AB63" s="89" t="s">
        <v>224</v>
      </c>
      <c r="AC63" s="89">
        <v>0.97</v>
      </c>
      <c r="AD63" s="89">
        <v>1.94</v>
      </c>
      <c r="AE63" s="89">
        <v>49.999999999999957</v>
      </c>
      <c r="AF63" s="89">
        <v>60.000000000000028</v>
      </c>
      <c r="AG63" s="89">
        <v>8.0000000000000036</v>
      </c>
      <c r="AH63" s="89">
        <v>10.000000000000004</v>
      </c>
      <c r="AI63" s="99" cm="1">
        <f t="array" ref="AI63">_xll.DCEPropSectDblAngle(AF63, AE63, AG63, AH63, "Area")/100</f>
        <v>16.320000000000004</v>
      </c>
      <c r="AJ63" s="88" t="s">
        <v>227</v>
      </c>
      <c r="AK63" s="88">
        <v>38.452002448195401</v>
      </c>
      <c r="AL63" s="89">
        <v>0.9</v>
      </c>
      <c r="AM63" s="99">
        <f t="shared" si="1"/>
        <v>1.746</v>
      </c>
      <c r="AN63" s="89">
        <v>0.8</v>
      </c>
      <c r="AO63" s="99">
        <f t="shared" si="2"/>
        <v>1.552</v>
      </c>
      <c r="AP63" s="99" cm="1">
        <f t="array" ref="AP63">_xll.DCEPropSectDblAngle(AF63, AE63, AG63, AH63, "rx")/10</f>
        <v>1.8504153341564167</v>
      </c>
      <c r="AQ63" s="99" cm="1">
        <f t="array" ref="AQ63">_xll.DCEPropSectDblAngle(AF63, AE63, AG63, AH63, "ry")/10</f>
        <v>2.423455643270978</v>
      </c>
      <c r="AR63" s="6">
        <f t="shared" si="3"/>
        <v>94.35719472115062</v>
      </c>
      <c r="AS63" s="6">
        <f t="shared" si="4"/>
        <v>64.040784254059645</v>
      </c>
      <c r="AT63" s="6">
        <f t="shared" si="5"/>
        <v>94.35719472115062</v>
      </c>
      <c r="AU63" s="89">
        <f t="shared" si="0"/>
        <v>400</v>
      </c>
      <c r="AV63" s="100" cm="1">
        <f t="array" ref="AV63">IF(AK63&gt;0,1,_xll.DCETCVN5575FactorPhi7121(AT63*SQRT($K$17/206000),"c"))</f>
        <v>1</v>
      </c>
      <c r="AW63" s="65">
        <f t="shared" si="6"/>
        <v>0.11453398060379552</v>
      </c>
      <c r="AX63" s="3" t="str">
        <f t="shared" si="7"/>
        <v>OK</v>
      </c>
    </row>
    <row r="64" spans="1:50">
      <c r="A64" s="98"/>
      <c r="B64" s="98"/>
      <c r="C64" s="98"/>
      <c r="D64" s="98"/>
      <c r="E64" s="89"/>
      <c r="F64" s="89"/>
      <c r="G64" s="89"/>
      <c r="H64" s="89"/>
      <c r="I64" s="98"/>
      <c r="J64" s="98"/>
      <c r="K64" s="98"/>
      <c r="L64" s="89"/>
      <c r="M64" s="98"/>
      <c r="N64" s="89"/>
      <c r="O64" s="98"/>
      <c r="P64" s="98"/>
      <c r="Q64" s="98"/>
      <c r="R64" s="98"/>
      <c r="S64" s="98"/>
      <c r="T64" s="98"/>
      <c r="U64" s="98"/>
      <c r="V64" s="98"/>
      <c r="W64" s="98"/>
      <c r="X64" s="98"/>
      <c r="AA64" s="88" t="s">
        <v>219</v>
      </c>
      <c r="AB64" s="89" t="s">
        <v>224</v>
      </c>
      <c r="AC64" s="89">
        <v>1.94</v>
      </c>
      <c r="AD64" s="89">
        <v>1.94</v>
      </c>
      <c r="AE64" s="89">
        <v>49.999999999999957</v>
      </c>
      <c r="AF64" s="89">
        <v>60.000000000000028</v>
      </c>
      <c r="AG64" s="89">
        <v>8.0000000000000036</v>
      </c>
      <c r="AH64" s="89">
        <v>10.000000000000004</v>
      </c>
      <c r="AI64" s="99" cm="1">
        <f t="array" ref="AI64">_xll.DCEPropSectDblAngle(AF64, AE64, AG64, AH64, "Area")/100</f>
        <v>16.320000000000004</v>
      </c>
      <c r="AJ64" s="88" t="s">
        <v>227</v>
      </c>
      <c r="AK64" s="88">
        <v>38.341733463286779</v>
      </c>
      <c r="AL64" s="89">
        <v>0.9</v>
      </c>
      <c r="AM64" s="99">
        <f t="shared" si="1"/>
        <v>1.746</v>
      </c>
      <c r="AN64" s="89">
        <v>0.8</v>
      </c>
      <c r="AO64" s="99">
        <f t="shared" si="2"/>
        <v>1.552</v>
      </c>
      <c r="AP64" s="99" cm="1">
        <f t="array" ref="AP64">_xll.DCEPropSectDblAngle(AF64, AE64, AG64, AH64, "rx")/10</f>
        <v>1.8504153341564167</v>
      </c>
      <c r="AQ64" s="99" cm="1">
        <f t="array" ref="AQ64">_xll.DCEPropSectDblAngle(AF64, AE64, AG64, AH64, "ry")/10</f>
        <v>2.423455643270978</v>
      </c>
      <c r="AR64" s="6">
        <f t="shared" si="3"/>
        <v>94.35719472115062</v>
      </c>
      <c r="AS64" s="6">
        <f t="shared" si="4"/>
        <v>64.040784254059645</v>
      </c>
      <c r="AT64" s="6">
        <f t="shared" si="5"/>
        <v>94.35719472115062</v>
      </c>
      <c r="AU64" s="89">
        <f t="shared" si="0"/>
        <v>400</v>
      </c>
      <c r="AV64" s="100" cm="1">
        <f t="array" ref="AV64">IF(AK64&gt;0,1,_xll.DCETCVN5575FactorPhi7121(AT64*SQRT($K$17/206000),"c"))</f>
        <v>1</v>
      </c>
      <c r="AW64" s="65">
        <f t="shared" si="6"/>
        <v>0.11420553097894856</v>
      </c>
      <c r="AX64" s="3" t="str">
        <f t="shared" si="7"/>
        <v>OK</v>
      </c>
    </row>
    <row r="65" spans="1:50">
      <c r="A65" s="98"/>
      <c r="B65" s="98"/>
      <c r="C65" s="98"/>
      <c r="D65" s="98"/>
      <c r="E65" s="89"/>
      <c r="F65" s="89"/>
      <c r="G65" s="89"/>
      <c r="H65" s="89"/>
      <c r="I65" s="98"/>
      <c r="J65" s="98"/>
      <c r="K65" s="98"/>
      <c r="L65" s="89"/>
      <c r="M65" s="98"/>
      <c r="N65" s="89"/>
      <c r="O65" s="98"/>
      <c r="P65" s="98"/>
      <c r="Q65" s="98"/>
      <c r="R65" s="98"/>
      <c r="S65" s="98"/>
      <c r="T65" s="98"/>
      <c r="U65" s="98"/>
      <c r="V65" s="98"/>
      <c r="W65" s="98"/>
      <c r="X65" s="98"/>
      <c r="AA65" s="88" t="s">
        <v>219</v>
      </c>
      <c r="AB65" s="89" t="s">
        <v>224</v>
      </c>
      <c r="AC65" s="89">
        <v>0</v>
      </c>
      <c r="AD65" s="89">
        <v>1.94</v>
      </c>
      <c r="AE65" s="89">
        <v>49.999999999999957</v>
      </c>
      <c r="AF65" s="89">
        <v>60.000000000000028</v>
      </c>
      <c r="AG65" s="89">
        <v>8.0000000000000036</v>
      </c>
      <c r="AH65" s="89">
        <v>10.000000000000004</v>
      </c>
      <c r="AI65" s="99" cm="1">
        <f t="array" ref="AI65">_xll.DCEPropSectDblAngle(AF65, AE65, AG65, AH65, "Area")/100</f>
        <v>16.320000000000004</v>
      </c>
      <c r="AJ65" s="88" t="s">
        <v>228</v>
      </c>
      <c r="AK65" s="88">
        <v>26.255234030480764</v>
      </c>
      <c r="AL65" s="89">
        <v>0.9</v>
      </c>
      <c r="AM65" s="99">
        <f t="shared" si="1"/>
        <v>1.746</v>
      </c>
      <c r="AN65" s="89">
        <v>0.8</v>
      </c>
      <c r="AO65" s="99">
        <f t="shared" si="2"/>
        <v>1.552</v>
      </c>
      <c r="AP65" s="99" cm="1">
        <f t="array" ref="AP65">_xll.DCEPropSectDblAngle(AF65, AE65, AG65, AH65, "rx")/10</f>
        <v>1.8504153341564167</v>
      </c>
      <c r="AQ65" s="99" cm="1">
        <f t="array" ref="AQ65">_xll.DCEPropSectDblAngle(AF65, AE65, AG65, AH65, "ry")/10</f>
        <v>2.423455643270978</v>
      </c>
      <c r="AR65" s="6">
        <f t="shared" si="3"/>
        <v>94.35719472115062</v>
      </c>
      <c r="AS65" s="6">
        <f t="shared" si="4"/>
        <v>64.040784254059645</v>
      </c>
      <c r="AT65" s="6">
        <f t="shared" si="5"/>
        <v>94.35719472115062</v>
      </c>
      <c r="AU65" s="89">
        <f t="shared" si="0"/>
        <v>400</v>
      </c>
      <c r="AV65" s="100" cm="1">
        <f t="array" ref="AV65">IF(AK65&gt;0,1,_xll.DCETCVN5575FactorPhi7121(AT65*SQRT($K$17/206000),"c"))</f>
        <v>1</v>
      </c>
      <c r="AW65" s="65">
        <f t="shared" si="6"/>
        <v>7.8204417812740554E-2</v>
      </c>
      <c r="AX65" s="3" t="str">
        <f t="shared" si="7"/>
        <v>OK</v>
      </c>
    </row>
    <row r="66" spans="1:50">
      <c r="A66" s="98"/>
      <c r="B66" s="98"/>
      <c r="C66" s="98"/>
      <c r="D66" s="98"/>
      <c r="E66" s="89"/>
      <c r="F66" s="89"/>
      <c r="G66" s="89"/>
      <c r="H66" s="89"/>
      <c r="I66" s="98"/>
      <c r="J66" s="98"/>
      <c r="K66" s="98"/>
      <c r="L66" s="89"/>
      <c r="M66" s="98"/>
      <c r="N66" s="89"/>
      <c r="O66" s="98"/>
      <c r="P66" s="98"/>
      <c r="Q66" s="98"/>
      <c r="R66" s="98"/>
      <c r="S66" s="98"/>
      <c r="T66" s="98"/>
      <c r="U66" s="98"/>
      <c r="V66" s="98"/>
      <c r="W66" s="98"/>
      <c r="X66" s="98"/>
      <c r="AA66" s="88" t="s">
        <v>219</v>
      </c>
      <c r="AB66" s="89" t="s">
        <v>224</v>
      </c>
      <c r="AC66" s="89">
        <v>0.97</v>
      </c>
      <c r="AD66" s="89">
        <v>1.94</v>
      </c>
      <c r="AE66" s="89">
        <v>49.999999999999957</v>
      </c>
      <c r="AF66" s="89">
        <v>60.000000000000028</v>
      </c>
      <c r="AG66" s="89">
        <v>8.0000000000000036</v>
      </c>
      <c r="AH66" s="89">
        <v>10.000000000000004</v>
      </c>
      <c r="AI66" s="99" cm="1">
        <f t="array" ref="AI66">_xll.DCEPropSectDblAngle(AF66, AE66, AG66, AH66, "Area")/100</f>
        <v>16.320000000000004</v>
      </c>
      <c r="AJ66" s="88" t="s">
        <v>228</v>
      </c>
      <c r="AK66" s="88">
        <v>26.144965045572139</v>
      </c>
      <c r="AL66" s="89">
        <v>0.9</v>
      </c>
      <c r="AM66" s="99">
        <f t="shared" si="1"/>
        <v>1.746</v>
      </c>
      <c r="AN66" s="89">
        <v>0.8</v>
      </c>
      <c r="AO66" s="99">
        <f t="shared" si="2"/>
        <v>1.552</v>
      </c>
      <c r="AP66" s="99" cm="1">
        <f t="array" ref="AP66">_xll.DCEPropSectDblAngle(AF66, AE66, AG66, AH66, "rx")/10</f>
        <v>1.8504153341564167</v>
      </c>
      <c r="AQ66" s="99" cm="1">
        <f t="array" ref="AQ66">_xll.DCEPropSectDblAngle(AF66, AE66, AG66, AH66, "ry")/10</f>
        <v>2.423455643270978</v>
      </c>
      <c r="AR66" s="6">
        <f t="shared" si="3"/>
        <v>94.35719472115062</v>
      </c>
      <c r="AS66" s="6">
        <f t="shared" si="4"/>
        <v>64.040784254059645</v>
      </c>
      <c r="AT66" s="6">
        <f t="shared" si="5"/>
        <v>94.35719472115062</v>
      </c>
      <c r="AU66" s="89">
        <f t="shared" si="0"/>
        <v>400</v>
      </c>
      <c r="AV66" s="100" cm="1">
        <f t="array" ref="AV66">IF(AK66&gt;0,1,_xll.DCETCVN5575FactorPhi7121(AT66*SQRT($K$17/206000),"c"))</f>
        <v>1</v>
      </c>
      <c r="AW66" s="65">
        <f t="shared" si="6"/>
        <v>7.7875968187893579E-2</v>
      </c>
      <c r="AX66" s="3" t="str">
        <f t="shared" si="7"/>
        <v>OK</v>
      </c>
    </row>
    <row r="67" spans="1:50">
      <c r="A67" s="98"/>
      <c r="B67" s="98"/>
      <c r="C67" s="98"/>
      <c r="D67" s="98"/>
      <c r="E67" s="89"/>
      <c r="F67" s="89"/>
      <c r="G67" s="89"/>
      <c r="H67" s="89"/>
      <c r="I67" s="98"/>
      <c r="J67" s="98"/>
      <c r="K67" s="98"/>
      <c r="L67" s="89"/>
      <c r="M67" s="98"/>
      <c r="N67" s="89"/>
      <c r="O67" s="98"/>
      <c r="P67" s="98"/>
      <c r="Q67" s="98"/>
      <c r="R67" s="98"/>
      <c r="S67" s="98"/>
      <c r="T67" s="98"/>
      <c r="U67" s="98"/>
      <c r="V67" s="98"/>
      <c r="W67" s="98"/>
      <c r="X67" s="98"/>
      <c r="AA67" s="88" t="s">
        <v>219</v>
      </c>
      <c r="AB67" s="89" t="s">
        <v>224</v>
      </c>
      <c r="AC67" s="89">
        <v>1.94</v>
      </c>
      <c r="AD67" s="89">
        <v>1.94</v>
      </c>
      <c r="AE67" s="89">
        <v>49.999999999999957</v>
      </c>
      <c r="AF67" s="89">
        <v>60.000000000000028</v>
      </c>
      <c r="AG67" s="89">
        <v>8.0000000000000036</v>
      </c>
      <c r="AH67" s="89">
        <v>10.000000000000004</v>
      </c>
      <c r="AI67" s="99" cm="1">
        <f t="array" ref="AI67">_xll.DCEPropSectDblAngle(AF67, AE67, AG67, AH67, "Area")/100</f>
        <v>16.320000000000004</v>
      </c>
      <c r="AJ67" s="88" t="s">
        <v>228</v>
      </c>
      <c r="AK67" s="88">
        <v>26.03469606066351</v>
      </c>
      <c r="AL67" s="89">
        <v>0.9</v>
      </c>
      <c r="AM67" s="99">
        <f t="shared" si="1"/>
        <v>1.746</v>
      </c>
      <c r="AN67" s="89">
        <v>0.8</v>
      </c>
      <c r="AO67" s="99">
        <f t="shared" si="2"/>
        <v>1.552</v>
      </c>
      <c r="AP67" s="99" cm="1">
        <f t="array" ref="AP67">_xll.DCEPropSectDblAngle(AF67, AE67, AG67, AH67, "rx")/10</f>
        <v>1.8504153341564167</v>
      </c>
      <c r="AQ67" s="99" cm="1">
        <f t="array" ref="AQ67">_xll.DCEPropSectDblAngle(AF67, AE67, AG67, AH67, "ry")/10</f>
        <v>2.423455643270978</v>
      </c>
      <c r="AR67" s="6">
        <f t="shared" si="3"/>
        <v>94.35719472115062</v>
      </c>
      <c r="AS67" s="6">
        <f t="shared" si="4"/>
        <v>64.040784254059645</v>
      </c>
      <c r="AT67" s="6">
        <f t="shared" si="5"/>
        <v>94.35719472115062</v>
      </c>
      <c r="AU67" s="89">
        <f t="shared" si="0"/>
        <v>400</v>
      </c>
      <c r="AV67" s="100" cm="1">
        <f t="array" ref="AV67">IF(AK67&gt;0,1,_xll.DCETCVN5575FactorPhi7121(AT67*SQRT($K$17/206000),"c"))</f>
        <v>1</v>
      </c>
      <c r="AW67" s="65">
        <f t="shared" si="6"/>
        <v>7.7547518563046591E-2</v>
      </c>
      <c r="AX67" s="3" t="str">
        <f t="shared" si="7"/>
        <v>OK</v>
      </c>
    </row>
    <row r="68" spans="1:50">
      <c r="A68" s="86"/>
      <c r="B68" s="86"/>
      <c r="C68" s="86"/>
      <c r="D68" s="86"/>
      <c r="E68" s="87"/>
      <c r="F68" s="87"/>
      <c r="G68" s="87"/>
      <c r="H68" s="87"/>
      <c r="AA68" s="88" t="s">
        <v>219</v>
      </c>
      <c r="AB68" s="89" t="s">
        <v>225</v>
      </c>
      <c r="AC68" s="89">
        <v>0</v>
      </c>
      <c r="AD68" s="89">
        <v>1.94</v>
      </c>
      <c r="AE68" s="89">
        <v>49.999999999999957</v>
      </c>
      <c r="AF68" s="89">
        <v>60.000000000000028</v>
      </c>
      <c r="AG68" s="89">
        <v>8.0000000000000036</v>
      </c>
      <c r="AH68" s="89">
        <v>10.000000000000004</v>
      </c>
      <c r="AI68" s="99" cm="1">
        <f t="array" ref="AI68">_xll.DCEPropSectDblAngle(AF68, AE68, AG68, AH68, "Area")/100</f>
        <v>16.320000000000004</v>
      </c>
      <c r="AJ68" s="88" t="s">
        <v>221</v>
      </c>
      <c r="AK68" s="88">
        <v>-59.000087822647487</v>
      </c>
      <c r="AL68" s="89">
        <v>0.9</v>
      </c>
      <c r="AM68" s="99">
        <f t="shared" si="1"/>
        <v>1.746</v>
      </c>
      <c r="AN68" s="89">
        <v>0.8</v>
      </c>
      <c r="AO68" s="99">
        <f t="shared" si="2"/>
        <v>1.552</v>
      </c>
      <c r="AP68" s="99" cm="1">
        <f t="array" ref="AP68">_xll.DCEPropSectDblAngle(AF68, AE68, AG68, AH68, "rx")/10</f>
        <v>1.8504153341564167</v>
      </c>
      <c r="AQ68" s="99" cm="1">
        <f t="array" ref="AQ68">_xll.DCEPropSectDblAngle(AF68, AE68, AG68, AH68, "ry")/10</f>
        <v>2.423455643270978</v>
      </c>
      <c r="AR68" s="6">
        <f t="shared" si="3"/>
        <v>94.35719472115062</v>
      </c>
      <c r="AS68" s="6">
        <f t="shared" si="4"/>
        <v>64.040784254059645</v>
      </c>
      <c r="AT68" s="6">
        <f t="shared" si="5"/>
        <v>94.35719472115062</v>
      </c>
      <c r="AU68" s="89">
        <f t="shared" si="0"/>
        <v>200</v>
      </c>
      <c r="AV68" s="100" cm="1">
        <f t="array" ref="AV68">IF(AK68&gt;0,1,_xll.DCETCVN5575FactorPhi7121(AT68*SQRT($K$17/206000),"c"))</f>
        <v>0.5364963331112993</v>
      </c>
      <c r="AW68" s="65">
        <f t="shared" si="6"/>
        <v>0.32756786766535601</v>
      </c>
      <c r="AX68" s="3" t="str">
        <f t="shared" si="7"/>
        <v>OK</v>
      </c>
    </row>
    <row r="69" spans="1:50">
      <c r="A69" s="86"/>
      <c r="B69" s="86"/>
      <c r="C69" s="86"/>
      <c r="D69" s="86"/>
      <c r="E69" s="87"/>
      <c r="F69" s="87"/>
      <c r="G69" s="87"/>
      <c r="H69" s="87"/>
      <c r="AA69" s="88" t="s">
        <v>219</v>
      </c>
      <c r="AB69" s="89" t="s">
        <v>225</v>
      </c>
      <c r="AC69" s="89">
        <v>0.97</v>
      </c>
      <c r="AD69" s="89">
        <v>1.94</v>
      </c>
      <c r="AE69" s="89">
        <v>49.999999999999957</v>
      </c>
      <c r="AF69" s="89">
        <v>60.000000000000028</v>
      </c>
      <c r="AG69" s="89">
        <v>8.0000000000000036</v>
      </c>
      <c r="AH69" s="89">
        <v>10.000000000000004</v>
      </c>
      <c r="AI69" s="99" cm="1">
        <f t="array" ref="AI69">_xll.DCEPropSectDblAngle(AF69, AE69, AG69, AH69, "Area")/100</f>
        <v>16.320000000000004</v>
      </c>
      <c r="AJ69" s="88" t="s">
        <v>221</v>
      </c>
      <c r="AK69" s="88">
        <v>-58.889818837738865</v>
      </c>
      <c r="AL69" s="89">
        <v>0.9</v>
      </c>
      <c r="AM69" s="99">
        <f t="shared" si="1"/>
        <v>1.746</v>
      </c>
      <c r="AN69" s="89">
        <v>0.8</v>
      </c>
      <c r="AO69" s="99">
        <f t="shared" si="2"/>
        <v>1.552</v>
      </c>
      <c r="AP69" s="99" cm="1">
        <f t="array" ref="AP69">_xll.DCEPropSectDblAngle(AF69, AE69, AG69, AH69, "rx")/10</f>
        <v>1.8504153341564167</v>
      </c>
      <c r="AQ69" s="99" cm="1">
        <f t="array" ref="AQ69">_xll.DCEPropSectDblAngle(AF69, AE69, AG69, AH69, "ry")/10</f>
        <v>2.423455643270978</v>
      </c>
      <c r="AR69" s="6">
        <f t="shared" si="3"/>
        <v>94.35719472115062</v>
      </c>
      <c r="AS69" s="6">
        <f t="shared" si="4"/>
        <v>64.040784254059645</v>
      </c>
      <c r="AT69" s="6">
        <f t="shared" si="5"/>
        <v>94.35719472115062</v>
      </c>
      <c r="AU69" s="89">
        <f t="shared" si="0"/>
        <v>200</v>
      </c>
      <c r="AV69" s="100" cm="1">
        <f t="array" ref="AV69">IF(AK69&gt;0,1,_xll.DCETCVN5575FactorPhi7121(AT69*SQRT($K$17/206000),"c"))</f>
        <v>0.5364963331112993</v>
      </c>
      <c r="AW69" s="65">
        <f t="shared" si="6"/>
        <v>0.32695565541976213</v>
      </c>
      <c r="AX69" s="3" t="str">
        <f t="shared" si="7"/>
        <v>OK</v>
      </c>
    </row>
    <row r="70" spans="1:50">
      <c r="A70" s="86"/>
      <c r="B70" s="86"/>
      <c r="C70" s="86"/>
      <c r="D70" s="86"/>
      <c r="E70" s="87"/>
      <c r="F70" s="87"/>
      <c r="G70" s="87"/>
      <c r="H70" s="87"/>
      <c r="AA70" s="88" t="s">
        <v>219</v>
      </c>
      <c r="AB70" s="89" t="s">
        <v>225</v>
      </c>
      <c r="AC70" s="89">
        <v>1.94</v>
      </c>
      <c r="AD70" s="89">
        <v>1.94</v>
      </c>
      <c r="AE70" s="89">
        <v>49.999999999999957</v>
      </c>
      <c r="AF70" s="89">
        <v>60.000000000000028</v>
      </c>
      <c r="AG70" s="89">
        <v>8.0000000000000036</v>
      </c>
      <c r="AH70" s="89">
        <v>10.000000000000004</v>
      </c>
      <c r="AI70" s="99" cm="1">
        <f t="array" ref="AI70">_xll.DCEPropSectDblAngle(AF70, AE70, AG70, AH70, "Area")/100</f>
        <v>16.320000000000004</v>
      </c>
      <c r="AJ70" s="88" t="s">
        <v>221</v>
      </c>
      <c r="AK70" s="88">
        <v>-58.779549852830243</v>
      </c>
      <c r="AL70" s="89">
        <v>0.9</v>
      </c>
      <c r="AM70" s="99">
        <f t="shared" si="1"/>
        <v>1.746</v>
      </c>
      <c r="AN70" s="89">
        <v>0.8</v>
      </c>
      <c r="AO70" s="99">
        <f t="shared" si="2"/>
        <v>1.552</v>
      </c>
      <c r="AP70" s="99" cm="1">
        <f t="array" ref="AP70">_xll.DCEPropSectDblAngle(AF70, AE70, AG70, AH70, "rx")/10</f>
        <v>1.8504153341564167</v>
      </c>
      <c r="AQ70" s="99" cm="1">
        <f t="array" ref="AQ70">_xll.DCEPropSectDblAngle(AF70, AE70, AG70, AH70, "ry")/10</f>
        <v>2.423455643270978</v>
      </c>
      <c r="AR70" s="6">
        <f t="shared" si="3"/>
        <v>94.35719472115062</v>
      </c>
      <c r="AS70" s="6">
        <f t="shared" si="4"/>
        <v>64.040784254059645</v>
      </c>
      <c r="AT70" s="6">
        <f t="shared" si="5"/>
        <v>94.35719472115062</v>
      </c>
      <c r="AU70" s="89">
        <f t="shared" si="0"/>
        <v>200</v>
      </c>
      <c r="AV70" s="100" cm="1">
        <f t="array" ref="AV70">IF(AK70&gt;0,1,_xll.DCETCVN5575FactorPhi7121(AT70*SQRT($K$17/206000),"c"))</f>
        <v>0.5364963331112993</v>
      </c>
      <c r="AW70" s="65">
        <f t="shared" si="6"/>
        <v>0.32634344317416819</v>
      </c>
      <c r="AX70" s="3" t="str">
        <f t="shared" si="7"/>
        <v>OK</v>
      </c>
    </row>
    <row r="71" spans="1:50">
      <c r="A71" s="86"/>
      <c r="B71" s="86"/>
      <c r="C71" s="86"/>
      <c r="D71" s="86"/>
      <c r="E71" s="87"/>
      <c r="F71" s="87"/>
      <c r="G71" s="87"/>
      <c r="H71" s="87"/>
      <c r="AA71" s="88" t="s">
        <v>219</v>
      </c>
      <c r="AB71" s="89" t="s">
        <v>225</v>
      </c>
      <c r="AC71" s="89">
        <v>0</v>
      </c>
      <c r="AD71" s="89">
        <v>1.94</v>
      </c>
      <c r="AE71" s="89">
        <v>49.999999999999957</v>
      </c>
      <c r="AF71" s="89">
        <v>60.000000000000028</v>
      </c>
      <c r="AG71" s="89">
        <v>8.0000000000000036</v>
      </c>
      <c r="AH71" s="89">
        <v>10.000000000000004</v>
      </c>
      <c r="AI71" s="99" cm="1">
        <f t="array" ref="AI71">_xll.DCEPropSectDblAngle(AF71, AE71, AG71, AH71, "Area")/100</f>
        <v>16.320000000000004</v>
      </c>
      <c r="AJ71" s="88" t="s">
        <v>226</v>
      </c>
      <c r="AK71" s="88">
        <v>-94.015056620418946</v>
      </c>
      <c r="AL71" s="89">
        <v>0.9</v>
      </c>
      <c r="AM71" s="99">
        <f t="shared" si="1"/>
        <v>1.746</v>
      </c>
      <c r="AN71" s="89">
        <v>0.8</v>
      </c>
      <c r="AO71" s="99">
        <f t="shared" si="2"/>
        <v>1.552</v>
      </c>
      <c r="AP71" s="99" cm="1">
        <f t="array" ref="AP71">_xll.DCEPropSectDblAngle(AF71, AE71, AG71, AH71, "rx")/10</f>
        <v>1.8504153341564167</v>
      </c>
      <c r="AQ71" s="99" cm="1">
        <f t="array" ref="AQ71">_xll.DCEPropSectDblAngle(AF71, AE71, AG71, AH71, "ry")/10</f>
        <v>2.423455643270978</v>
      </c>
      <c r="AR71" s="6">
        <f t="shared" si="3"/>
        <v>94.35719472115062</v>
      </c>
      <c r="AS71" s="6">
        <f t="shared" si="4"/>
        <v>64.040784254059645</v>
      </c>
      <c r="AT71" s="6">
        <f t="shared" si="5"/>
        <v>94.35719472115062</v>
      </c>
      <c r="AU71" s="89">
        <f t="shared" si="0"/>
        <v>200</v>
      </c>
      <c r="AV71" s="100" cm="1">
        <f t="array" ref="AV71">IF(AK71&gt;0,1,_xll.DCETCVN5575FactorPhi7121(AT71*SQRT($K$17/206000),"c"))</f>
        <v>0.5364963331112993</v>
      </c>
      <c r="AW71" s="65">
        <f t="shared" si="6"/>
        <v>0.52197060652114868</v>
      </c>
      <c r="AX71" s="3" t="str">
        <f t="shared" si="7"/>
        <v>OK</v>
      </c>
    </row>
    <row r="72" spans="1:50">
      <c r="A72" s="86"/>
      <c r="B72" s="86"/>
      <c r="C72" s="86"/>
      <c r="D72" s="86"/>
      <c r="E72" s="87"/>
      <c r="F72" s="87"/>
      <c r="G72" s="87"/>
      <c r="H72" s="87"/>
      <c r="AA72" s="88" t="s">
        <v>219</v>
      </c>
      <c r="AB72" s="89" t="s">
        <v>225</v>
      </c>
      <c r="AC72" s="89">
        <v>0.97</v>
      </c>
      <c r="AD72" s="89">
        <v>1.94</v>
      </c>
      <c r="AE72" s="89">
        <v>49.999999999999957</v>
      </c>
      <c r="AF72" s="89">
        <v>60.000000000000028</v>
      </c>
      <c r="AG72" s="89">
        <v>8.0000000000000036</v>
      </c>
      <c r="AH72" s="89">
        <v>10.000000000000004</v>
      </c>
      <c r="AI72" s="99" cm="1">
        <f t="array" ref="AI72">_xll.DCEPropSectDblAngle(AF72, AE72, AG72, AH72, "Area")/100</f>
        <v>16.320000000000004</v>
      </c>
      <c r="AJ72" s="88" t="s">
        <v>226</v>
      </c>
      <c r="AK72" s="88">
        <v>-93.904787635510317</v>
      </c>
      <c r="AL72" s="89">
        <v>0.9</v>
      </c>
      <c r="AM72" s="99">
        <f t="shared" si="1"/>
        <v>1.746</v>
      </c>
      <c r="AN72" s="89">
        <v>0.8</v>
      </c>
      <c r="AO72" s="99">
        <f t="shared" si="2"/>
        <v>1.552</v>
      </c>
      <c r="AP72" s="99" cm="1">
        <f t="array" ref="AP72">_xll.DCEPropSectDblAngle(AF72, AE72, AG72, AH72, "rx")/10</f>
        <v>1.8504153341564167</v>
      </c>
      <c r="AQ72" s="99" cm="1">
        <f t="array" ref="AQ72">_xll.DCEPropSectDblAngle(AF72, AE72, AG72, AH72, "ry")/10</f>
        <v>2.423455643270978</v>
      </c>
      <c r="AR72" s="6">
        <f t="shared" si="3"/>
        <v>94.35719472115062</v>
      </c>
      <c r="AS72" s="6">
        <f t="shared" si="4"/>
        <v>64.040784254059645</v>
      </c>
      <c r="AT72" s="6">
        <f t="shared" si="5"/>
        <v>94.35719472115062</v>
      </c>
      <c r="AU72" s="89">
        <f t="shared" si="0"/>
        <v>200</v>
      </c>
      <c r="AV72" s="100" cm="1">
        <f t="array" ref="AV72">IF(AK72&gt;0,1,_xll.DCETCVN5575FactorPhi7121(AT72*SQRT($K$17/206000),"c"))</f>
        <v>0.5364963331112993</v>
      </c>
      <c r="AW72" s="65">
        <f t="shared" si="6"/>
        <v>0.52135839427555464</v>
      </c>
      <c r="AX72" s="3" t="str">
        <f t="shared" si="7"/>
        <v>OK</v>
      </c>
    </row>
    <row r="73" spans="1:50">
      <c r="A73" s="86"/>
      <c r="B73" s="86"/>
      <c r="C73" s="86"/>
      <c r="D73" s="86"/>
      <c r="E73" s="87"/>
      <c r="F73" s="87"/>
      <c r="G73" s="87"/>
      <c r="H73" s="87"/>
      <c r="AA73" s="88" t="s">
        <v>219</v>
      </c>
      <c r="AB73" s="89" t="s">
        <v>225</v>
      </c>
      <c r="AC73" s="89">
        <v>1.94</v>
      </c>
      <c r="AD73" s="89">
        <v>1.94</v>
      </c>
      <c r="AE73" s="89">
        <v>49.999999999999957</v>
      </c>
      <c r="AF73" s="89">
        <v>60.000000000000028</v>
      </c>
      <c r="AG73" s="89">
        <v>8.0000000000000036</v>
      </c>
      <c r="AH73" s="89">
        <v>10.000000000000004</v>
      </c>
      <c r="AI73" s="99" cm="1">
        <f t="array" ref="AI73">_xll.DCEPropSectDblAngle(AF73, AE73, AG73, AH73, "Area")/100</f>
        <v>16.320000000000004</v>
      </c>
      <c r="AJ73" s="88" t="s">
        <v>226</v>
      </c>
      <c r="AK73" s="88">
        <v>-93.794518650601688</v>
      </c>
      <c r="AL73" s="89">
        <v>0.9</v>
      </c>
      <c r="AM73" s="99">
        <f t="shared" si="1"/>
        <v>1.746</v>
      </c>
      <c r="AN73" s="89">
        <v>0.8</v>
      </c>
      <c r="AO73" s="99">
        <f t="shared" si="2"/>
        <v>1.552</v>
      </c>
      <c r="AP73" s="99" cm="1">
        <f t="array" ref="AP73">_xll.DCEPropSectDblAngle(AF73, AE73, AG73, AH73, "rx")/10</f>
        <v>1.8504153341564167</v>
      </c>
      <c r="AQ73" s="99" cm="1">
        <f t="array" ref="AQ73">_xll.DCEPropSectDblAngle(AF73, AE73, AG73, AH73, "ry")/10</f>
        <v>2.423455643270978</v>
      </c>
      <c r="AR73" s="6">
        <f t="shared" si="3"/>
        <v>94.35719472115062</v>
      </c>
      <c r="AS73" s="6">
        <f t="shared" si="4"/>
        <v>64.040784254059645</v>
      </c>
      <c r="AT73" s="6">
        <f t="shared" si="5"/>
        <v>94.35719472115062</v>
      </c>
      <c r="AU73" s="89">
        <f t="shared" si="0"/>
        <v>200</v>
      </c>
      <c r="AV73" s="100" cm="1">
        <f t="array" ref="AV73">IF(AK73&gt;0,1,_xll.DCETCVN5575FactorPhi7121(AT73*SQRT($K$17/206000),"c"))</f>
        <v>0.5364963331112993</v>
      </c>
      <c r="AW73" s="65">
        <f t="shared" si="6"/>
        <v>0.5207461820299607</v>
      </c>
      <c r="AX73" s="3" t="str">
        <f t="shared" si="7"/>
        <v>OK</v>
      </c>
    </row>
    <row r="74" spans="1:50">
      <c r="A74" s="86"/>
      <c r="B74" s="86"/>
      <c r="C74" s="86"/>
      <c r="D74" s="86"/>
      <c r="E74" s="87"/>
      <c r="F74" s="87"/>
      <c r="G74" s="87"/>
      <c r="H74" s="87"/>
      <c r="AA74" s="88" t="s">
        <v>219</v>
      </c>
      <c r="AB74" s="89" t="s">
        <v>225</v>
      </c>
      <c r="AC74" s="89">
        <v>0</v>
      </c>
      <c r="AD74" s="89">
        <v>1.94</v>
      </c>
      <c r="AE74" s="89">
        <v>49.999999999999957</v>
      </c>
      <c r="AF74" s="89">
        <v>60.000000000000028</v>
      </c>
      <c r="AG74" s="89">
        <v>8.0000000000000036</v>
      </c>
      <c r="AH74" s="89">
        <v>10.000000000000004</v>
      </c>
      <c r="AI74" s="99" cm="1">
        <f t="array" ref="AI74">_xll.DCEPropSectDblAngle(AF74, AE74, AG74, AH74, "Area")/100</f>
        <v>16.320000000000004</v>
      </c>
      <c r="AJ74" s="88" t="s">
        <v>227</v>
      </c>
      <c r="AK74" s="88">
        <v>-47.744193340673725</v>
      </c>
      <c r="AL74" s="89">
        <v>0.9</v>
      </c>
      <c r="AM74" s="99">
        <f t="shared" si="1"/>
        <v>1.746</v>
      </c>
      <c r="AN74" s="89">
        <v>0.8</v>
      </c>
      <c r="AO74" s="99">
        <f t="shared" si="2"/>
        <v>1.552</v>
      </c>
      <c r="AP74" s="99" cm="1">
        <f t="array" ref="AP74">_xll.DCEPropSectDblAngle(AF74, AE74, AG74, AH74, "rx")/10</f>
        <v>1.8504153341564167</v>
      </c>
      <c r="AQ74" s="99" cm="1">
        <f t="array" ref="AQ74">_xll.DCEPropSectDblAngle(AF74, AE74, AG74, AH74, "ry")/10</f>
        <v>2.423455643270978</v>
      </c>
      <c r="AR74" s="6">
        <f t="shared" si="3"/>
        <v>94.35719472115062</v>
      </c>
      <c r="AS74" s="6">
        <f t="shared" si="4"/>
        <v>64.040784254059645</v>
      </c>
      <c r="AT74" s="6">
        <f t="shared" si="5"/>
        <v>94.35719472115062</v>
      </c>
      <c r="AU74" s="89">
        <f t="shared" si="0"/>
        <v>200</v>
      </c>
      <c r="AV74" s="100" cm="1">
        <f t="array" ref="AV74">IF(AK74&gt;0,1,_xll.DCETCVN5575FactorPhi7121(AT74*SQRT($K$17/206000),"c"))</f>
        <v>0.5364963331112993</v>
      </c>
      <c r="AW74" s="65">
        <f t="shared" si="6"/>
        <v>0.26507525976942176</v>
      </c>
      <c r="AX74" s="3" t="str">
        <f t="shared" si="7"/>
        <v>OK</v>
      </c>
    </row>
    <row r="75" spans="1:50">
      <c r="A75" s="86"/>
      <c r="B75" s="86"/>
      <c r="C75" s="86"/>
      <c r="D75" s="86"/>
      <c r="E75" s="87"/>
      <c r="F75" s="87"/>
      <c r="G75" s="87"/>
      <c r="H75" s="87"/>
      <c r="AA75" s="88" t="s">
        <v>219</v>
      </c>
      <c r="AB75" s="89" t="s">
        <v>225</v>
      </c>
      <c r="AC75" s="89">
        <v>0.97</v>
      </c>
      <c r="AD75" s="89">
        <v>1.94</v>
      </c>
      <c r="AE75" s="89">
        <v>49.999999999999957</v>
      </c>
      <c r="AF75" s="89">
        <v>60.000000000000028</v>
      </c>
      <c r="AG75" s="89">
        <v>8.0000000000000036</v>
      </c>
      <c r="AH75" s="89">
        <v>10.000000000000004</v>
      </c>
      <c r="AI75" s="99" cm="1">
        <f t="array" ref="AI75">_xll.DCEPropSectDblAngle(AF75, AE75, AG75, AH75, "Area")/100</f>
        <v>16.320000000000004</v>
      </c>
      <c r="AJ75" s="88" t="s">
        <v>227</v>
      </c>
      <c r="AK75" s="88">
        <v>-47.63392435576511</v>
      </c>
      <c r="AL75" s="89">
        <v>0.9</v>
      </c>
      <c r="AM75" s="99">
        <f t="shared" si="1"/>
        <v>1.746</v>
      </c>
      <c r="AN75" s="89">
        <v>0.8</v>
      </c>
      <c r="AO75" s="99">
        <f t="shared" si="2"/>
        <v>1.552</v>
      </c>
      <c r="AP75" s="99" cm="1">
        <f t="array" ref="AP75">_xll.DCEPropSectDblAngle(AF75, AE75, AG75, AH75, "rx")/10</f>
        <v>1.8504153341564167</v>
      </c>
      <c r="AQ75" s="99" cm="1">
        <f t="array" ref="AQ75">_xll.DCEPropSectDblAngle(AF75, AE75, AG75, AH75, "ry")/10</f>
        <v>2.423455643270978</v>
      </c>
      <c r="AR75" s="6">
        <f t="shared" si="3"/>
        <v>94.35719472115062</v>
      </c>
      <c r="AS75" s="6">
        <f t="shared" si="4"/>
        <v>64.040784254059645</v>
      </c>
      <c r="AT75" s="6">
        <f t="shared" si="5"/>
        <v>94.35719472115062</v>
      </c>
      <c r="AU75" s="89">
        <f t="shared" si="0"/>
        <v>200</v>
      </c>
      <c r="AV75" s="100" cm="1">
        <f t="array" ref="AV75">IF(AK75&gt;0,1,_xll.DCETCVN5575FactorPhi7121(AT75*SQRT($K$17/206000),"c"))</f>
        <v>0.5364963331112993</v>
      </c>
      <c r="AW75" s="65">
        <f t="shared" si="6"/>
        <v>0.26446304752382793</v>
      </c>
      <c r="AX75" s="3" t="str">
        <f t="shared" si="7"/>
        <v>OK</v>
      </c>
    </row>
    <row r="76" spans="1:50">
      <c r="A76" s="86"/>
      <c r="B76" s="86"/>
      <c r="C76" s="86"/>
      <c r="D76" s="86"/>
      <c r="E76" s="87"/>
      <c r="F76" s="87"/>
      <c r="G76" s="87"/>
      <c r="H76" s="87"/>
      <c r="AA76" s="88" t="s">
        <v>219</v>
      </c>
      <c r="AB76" s="89" t="s">
        <v>225</v>
      </c>
      <c r="AC76" s="89">
        <v>1.94</v>
      </c>
      <c r="AD76" s="89">
        <v>1.94</v>
      </c>
      <c r="AE76" s="89">
        <v>49.999999999999957</v>
      </c>
      <c r="AF76" s="89">
        <v>60.000000000000028</v>
      </c>
      <c r="AG76" s="89">
        <v>8.0000000000000036</v>
      </c>
      <c r="AH76" s="89">
        <v>10.000000000000004</v>
      </c>
      <c r="AI76" s="99" cm="1">
        <f t="array" ref="AI76">_xll.DCEPropSectDblAngle(AF76, AE76, AG76, AH76, "Area")/100</f>
        <v>16.320000000000004</v>
      </c>
      <c r="AJ76" s="88" t="s">
        <v>227</v>
      </c>
      <c r="AK76" s="88">
        <v>-47.523655370856481</v>
      </c>
      <c r="AL76" s="89">
        <v>0.9</v>
      </c>
      <c r="AM76" s="99">
        <f t="shared" si="1"/>
        <v>1.746</v>
      </c>
      <c r="AN76" s="89">
        <v>0.8</v>
      </c>
      <c r="AO76" s="99">
        <f t="shared" si="2"/>
        <v>1.552</v>
      </c>
      <c r="AP76" s="99" cm="1">
        <f t="array" ref="AP76">_xll.DCEPropSectDblAngle(AF76, AE76, AG76, AH76, "rx")/10</f>
        <v>1.8504153341564167</v>
      </c>
      <c r="AQ76" s="99" cm="1">
        <f t="array" ref="AQ76">_xll.DCEPropSectDblAngle(AF76, AE76, AG76, AH76, "ry")/10</f>
        <v>2.423455643270978</v>
      </c>
      <c r="AR76" s="6">
        <f t="shared" si="3"/>
        <v>94.35719472115062</v>
      </c>
      <c r="AS76" s="6">
        <f t="shared" si="4"/>
        <v>64.040784254059645</v>
      </c>
      <c r="AT76" s="6">
        <f t="shared" si="5"/>
        <v>94.35719472115062</v>
      </c>
      <c r="AU76" s="89">
        <f t="shared" si="0"/>
        <v>200</v>
      </c>
      <c r="AV76" s="100" cm="1">
        <f t="array" ref="AV76">IF(AK76&gt;0,1,_xll.DCETCVN5575FactorPhi7121(AT76*SQRT($K$17/206000),"c"))</f>
        <v>0.5364963331112993</v>
      </c>
      <c r="AW76" s="65">
        <f t="shared" si="6"/>
        <v>0.26385083527823394</v>
      </c>
      <c r="AX76" s="3" t="str">
        <f t="shared" si="7"/>
        <v>OK</v>
      </c>
    </row>
    <row r="77" spans="1:50">
      <c r="A77" s="86"/>
      <c r="B77" s="86"/>
      <c r="C77" s="86"/>
      <c r="D77" s="86"/>
      <c r="E77" s="87"/>
      <c r="F77" s="87"/>
      <c r="G77" s="87"/>
      <c r="H77" s="87"/>
      <c r="AA77" s="88" t="s">
        <v>219</v>
      </c>
      <c r="AB77" s="89" t="s">
        <v>225</v>
      </c>
      <c r="AC77" s="89">
        <v>0</v>
      </c>
      <c r="AD77" s="89">
        <v>1.94</v>
      </c>
      <c r="AE77" s="89">
        <v>49.999999999999957</v>
      </c>
      <c r="AF77" s="89">
        <v>60.000000000000028</v>
      </c>
      <c r="AG77" s="89">
        <v>8.0000000000000036</v>
      </c>
      <c r="AH77" s="89">
        <v>10.000000000000004</v>
      </c>
      <c r="AI77" s="99" cm="1">
        <f t="array" ref="AI77">_xll.DCEPropSectDblAngle(AF77, AE77, AG77, AH77, "Area")/100</f>
        <v>16.320000000000004</v>
      </c>
      <c r="AJ77" s="88" t="s">
        <v>228</v>
      </c>
      <c r="AK77" s="88">
        <v>-33.327378097600644</v>
      </c>
      <c r="AL77" s="89">
        <v>0.9</v>
      </c>
      <c r="AM77" s="99">
        <f t="shared" ref="AM77:AM79" si="14">AL77*AD77</f>
        <v>1.746</v>
      </c>
      <c r="AN77" s="89">
        <v>0.8</v>
      </c>
      <c r="AO77" s="99">
        <f t="shared" ref="AO77:AO79" si="15">AN77*AD77</f>
        <v>1.552</v>
      </c>
      <c r="AP77" s="99" cm="1">
        <f t="array" ref="AP77">_xll.DCEPropSectDblAngle(AF77, AE77, AG77, AH77, "rx")/10</f>
        <v>1.8504153341564167</v>
      </c>
      <c r="AQ77" s="99" cm="1">
        <f t="array" ref="AQ77">_xll.DCEPropSectDblAngle(AF77, AE77, AG77, AH77, "ry")/10</f>
        <v>2.423455643270978</v>
      </c>
      <c r="AR77" s="6">
        <f t="shared" ref="AR77:AR79" si="16">AM77*100/AP77</f>
        <v>94.35719472115062</v>
      </c>
      <c r="AS77" s="6">
        <f t="shared" ref="AS77:AS79" si="17">AO77*100/AQ77</f>
        <v>64.040784254059645</v>
      </c>
      <c r="AT77" s="6">
        <f t="shared" ref="AT77:AT79" si="18">MAX(AR77,AS77)</f>
        <v>94.35719472115062</v>
      </c>
      <c r="AU77" s="89">
        <f t="shared" ref="AU77:AU79" si="19">IF(AK77&lt;0,$Z$12,$Z$13)</f>
        <v>200</v>
      </c>
      <c r="AV77" s="100" cm="1">
        <f t="array" ref="AV77">IF(AK77&gt;0,1,_xll.DCETCVN5575FactorPhi7121(AT77*SQRT($K$17/206000),"c"))</f>
        <v>0.5364963331112993</v>
      </c>
      <c r="AW77" s="65">
        <f t="shared" ref="AW77:AW79" si="20">ABS(AK77)/(AV77*AI77*$K$17*$K$19)*10</f>
        <v>0.18503325302030471</v>
      </c>
      <c r="AX77" s="3" t="str">
        <f t="shared" ref="AX77:AX79" si="21">IF(AND(AT77&lt;=AU77,AW77&lt;=1),"OK","Check")</f>
        <v>OK</v>
      </c>
    </row>
    <row r="78" spans="1:50">
      <c r="A78" s="86"/>
      <c r="B78" s="86"/>
      <c r="C78" s="86"/>
      <c r="D78" s="86"/>
      <c r="E78" s="87"/>
      <c r="F78" s="87"/>
      <c r="G78" s="87"/>
      <c r="H78" s="87"/>
      <c r="AA78" s="88" t="s">
        <v>219</v>
      </c>
      <c r="AB78" s="89" t="s">
        <v>225</v>
      </c>
      <c r="AC78" s="89">
        <v>0.97</v>
      </c>
      <c r="AD78" s="89">
        <v>1.94</v>
      </c>
      <c r="AE78" s="89">
        <v>49.999999999999957</v>
      </c>
      <c r="AF78" s="89">
        <v>60.000000000000028</v>
      </c>
      <c r="AG78" s="89">
        <v>8.0000000000000036</v>
      </c>
      <c r="AH78" s="89">
        <v>10.000000000000004</v>
      </c>
      <c r="AI78" s="99" cm="1">
        <f t="array" ref="AI78">_xll.DCEPropSectDblAngle(AF78, AE78, AG78, AH78, "Area")/100</f>
        <v>16.320000000000004</v>
      </c>
      <c r="AJ78" s="88" t="s">
        <v>228</v>
      </c>
      <c r="AK78" s="88">
        <v>-33.217109112692029</v>
      </c>
      <c r="AL78" s="89">
        <v>0.9</v>
      </c>
      <c r="AM78" s="99">
        <f t="shared" si="14"/>
        <v>1.746</v>
      </c>
      <c r="AN78" s="89">
        <v>0.8</v>
      </c>
      <c r="AO78" s="99">
        <f t="shared" si="15"/>
        <v>1.552</v>
      </c>
      <c r="AP78" s="99" cm="1">
        <f t="array" ref="AP78">_xll.DCEPropSectDblAngle(AF78, AE78, AG78, AH78, "rx")/10</f>
        <v>1.8504153341564167</v>
      </c>
      <c r="AQ78" s="99" cm="1">
        <f t="array" ref="AQ78">_xll.DCEPropSectDblAngle(AF78, AE78, AG78, AH78, "ry")/10</f>
        <v>2.423455643270978</v>
      </c>
      <c r="AR78" s="6">
        <f t="shared" si="16"/>
        <v>94.35719472115062</v>
      </c>
      <c r="AS78" s="6">
        <f t="shared" si="17"/>
        <v>64.040784254059645</v>
      </c>
      <c r="AT78" s="6">
        <f t="shared" si="18"/>
        <v>94.35719472115062</v>
      </c>
      <c r="AU78" s="89">
        <f t="shared" si="19"/>
        <v>200</v>
      </c>
      <c r="AV78" s="100" cm="1">
        <f t="array" ref="AV78">IF(AK78&gt;0,1,_xll.DCETCVN5575FactorPhi7121(AT78*SQRT($K$17/206000),"c"))</f>
        <v>0.5364963331112993</v>
      </c>
      <c r="AW78" s="65">
        <f t="shared" si="20"/>
        <v>0.18442104077471086</v>
      </c>
      <c r="AX78" s="3" t="str">
        <f t="shared" si="21"/>
        <v>OK</v>
      </c>
    </row>
    <row r="79" spans="1:50">
      <c r="A79" s="86"/>
      <c r="B79" s="86"/>
      <c r="C79" s="86"/>
      <c r="D79" s="86"/>
      <c r="E79" s="87"/>
      <c r="F79" s="87"/>
      <c r="G79" s="87"/>
      <c r="H79" s="87"/>
      <c r="AA79" s="88" t="s">
        <v>219</v>
      </c>
      <c r="AB79" s="89" t="s">
        <v>225</v>
      </c>
      <c r="AC79" s="89">
        <v>1.94</v>
      </c>
      <c r="AD79" s="89">
        <v>1.94</v>
      </c>
      <c r="AE79" s="89">
        <v>49.999999999999957</v>
      </c>
      <c r="AF79" s="89">
        <v>60.000000000000028</v>
      </c>
      <c r="AG79" s="89">
        <v>8.0000000000000036</v>
      </c>
      <c r="AH79" s="89">
        <v>10.000000000000004</v>
      </c>
      <c r="AI79" s="99" cm="1">
        <f t="array" ref="AI79">_xll.DCEPropSectDblAngle(AF79, AE79, AG79, AH79, "Area")/100</f>
        <v>16.320000000000004</v>
      </c>
      <c r="AJ79" s="88" t="s">
        <v>228</v>
      </c>
      <c r="AK79" s="88">
        <v>-33.1068401277834</v>
      </c>
      <c r="AL79" s="89">
        <v>0.9</v>
      </c>
      <c r="AM79" s="99">
        <f t="shared" si="14"/>
        <v>1.746</v>
      </c>
      <c r="AN79" s="89">
        <v>0.8</v>
      </c>
      <c r="AO79" s="99">
        <f t="shared" si="15"/>
        <v>1.552</v>
      </c>
      <c r="AP79" s="99" cm="1">
        <f t="array" ref="AP79">_xll.DCEPropSectDblAngle(AF79, AE79, AG79, AH79, "rx")/10</f>
        <v>1.8504153341564167</v>
      </c>
      <c r="AQ79" s="99" cm="1">
        <f t="array" ref="AQ79">_xll.DCEPropSectDblAngle(AF79, AE79, AG79, AH79, "ry")/10</f>
        <v>2.423455643270978</v>
      </c>
      <c r="AR79" s="6">
        <f t="shared" si="16"/>
        <v>94.35719472115062</v>
      </c>
      <c r="AS79" s="6">
        <f t="shared" si="17"/>
        <v>64.040784254059645</v>
      </c>
      <c r="AT79" s="6">
        <f t="shared" si="18"/>
        <v>94.35719472115062</v>
      </c>
      <c r="AU79" s="89">
        <f t="shared" si="19"/>
        <v>200</v>
      </c>
      <c r="AV79" s="100" cm="1">
        <f t="array" ref="AV79">IF(AK79&gt;0,1,_xll.DCETCVN5575FactorPhi7121(AT79*SQRT($K$17/206000),"c"))</f>
        <v>0.5364963331112993</v>
      </c>
      <c r="AW79" s="65">
        <f t="shared" si="20"/>
        <v>0.1838088285291169</v>
      </c>
      <c r="AX79" s="3" t="str">
        <f t="shared" si="21"/>
        <v>OK</v>
      </c>
    </row>
    <row r="80" spans="1:50">
      <c r="A80" s="86"/>
      <c r="B80" s="86"/>
      <c r="C80" s="86"/>
      <c r="D80" s="86"/>
      <c r="E80" s="87"/>
      <c r="F80" s="87"/>
      <c r="G80" s="87"/>
      <c r="H80" s="87"/>
      <c r="AI80" s="99"/>
      <c r="AM80" s="99"/>
      <c r="AO80" s="99"/>
      <c r="AR80" s="6"/>
      <c r="AS80" s="6"/>
      <c r="AT80" s="6"/>
      <c r="AU80" s="89"/>
      <c r="AV80" s="100"/>
      <c r="AW80" s="65"/>
      <c r="AX80" s="3"/>
    </row>
    <row r="81" spans="1:50">
      <c r="A81" s="86"/>
      <c r="B81" s="86"/>
      <c r="C81" s="86"/>
      <c r="D81" s="86"/>
      <c r="E81" s="87"/>
      <c r="F81" s="87"/>
      <c r="G81" s="87"/>
      <c r="H81" s="87"/>
      <c r="AI81" s="99"/>
      <c r="AM81" s="99"/>
      <c r="AO81" s="99"/>
      <c r="AR81" s="6"/>
      <c r="AS81" s="6"/>
      <c r="AT81" s="6"/>
      <c r="AU81" s="89"/>
      <c r="AV81" s="100"/>
      <c r="AW81" s="65"/>
      <c r="AX81" s="3"/>
    </row>
    <row r="82" spans="1:50">
      <c r="A82" s="86"/>
      <c r="B82" s="86"/>
      <c r="C82" s="86"/>
      <c r="D82" s="86"/>
      <c r="E82" s="87"/>
      <c r="F82" s="87"/>
      <c r="G82" s="87"/>
      <c r="H82" s="87"/>
      <c r="AI82" s="99"/>
      <c r="AM82" s="99"/>
      <c r="AO82" s="99"/>
      <c r="AR82" s="6"/>
      <c r="AS82" s="6"/>
      <c r="AT82" s="6"/>
      <c r="AU82" s="89"/>
      <c r="AV82" s="100"/>
      <c r="AW82" s="65"/>
      <c r="AX82" s="3"/>
    </row>
    <row r="83" spans="1:50">
      <c r="A83" s="86"/>
      <c r="B83" s="86"/>
      <c r="C83" s="86"/>
      <c r="D83" s="86"/>
      <c r="E83" s="87"/>
      <c r="F83" s="87"/>
      <c r="G83" s="87"/>
      <c r="H83" s="87"/>
      <c r="AI83" s="99"/>
      <c r="AM83" s="99"/>
      <c r="AO83" s="99"/>
      <c r="AR83" s="6"/>
      <c r="AS83" s="6"/>
      <c r="AT83" s="6"/>
      <c r="AU83" s="89"/>
      <c r="AV83" s="100"/>
      <c r="AW83" s="65"/>
      <c r="AX83" s="3"/>
    </row>
    <row r="84" spans="1:50">
      <c r="A84" s="86"/>
      <c r="B84" s="86"/>
      <c r="C84" s="86"/>
      <c r="D84" s="86"/>
      <c r="E84" s="87"/>
      <c r="F84" s="87"/>
      <c r="G84" s="87"/>
      <c r="H84" s="87"/>
      <c r="AI84" s="99"/>
      <c r="AM84" s="99"/>
      <c r="AO84" s="99"/>
      <c r="AR84" s="6"/>
      <c r="AS84" s="6"/>
      <c r="AT84" s="6"/>
      <c r="AU84" s="89"/>
      <c r="AV84" s="100"/>
      <c r="AW84" s="65"/>
      <c r="AX84" s="3"/>
    </row>
    <row r="85" spans="1:50">
      <c r="A85" s="86"/>
      <c r="B85" s="86"/>
      <c r="C85" s="86"/>
      <c r="D85" s="86"/>
      <c r="E85" s="87"/>
      <c r="F85" s="87"/>
      <c r="G85" s="87"/>
      <c r="H85" s="87"/>
      <c r="AI85" s="99"/>
      <c r="AM85" s="99"/>
      <c r="AO85" s="99"/>
      <c r="AR85" s="6"/>
      <c r="AS85" s="6"/>
      <c r="AT85" s="6"/>
      <c r="AU85" s="89"/>
      <c r="AV85" s="100"/>
      <c r="AW85" s="65"/>
      <c r="AX85" s="3"/>
    </row>
    <row r="86" spans="1:50">
      <c r="A86" s="86"/>
      <c r="B86" s="86"/>
      <c r="C86" s="86"/>
      <c r="D86" s="86"/>
      <c r="E86" s="87"/>
      <c r="F86" s="87"/>
      <c r="G86" s="87"/>
      <c r="H86" s="87"/>
      <c r="AI86" s="99"/>
      <c r="AM86" s="99"/>
      <c r="AO86" s="99"/>
      <c r="AR86" s="6"/>
      <c r="AS86" s="6"/>
      <c r="AT86" s="6"/>
      <c r="AU86" s="89"/>
      <c r="AV86" s="100"/>
      <c r="AW86" s="65"/>
      <c r="AX86" s="3"/>
    </row>
    <row r="87" spans="1:50">
      <c r="A87" s="86"/>
      <c r="B87" s="86"/>
      <c r="C87" s="86"/>
      <c r="D87" s="86"/>
      <c r="E87" s="87"/>
      <c r="F87" s="87"/>
      <c r="G87" s="87"/>
      <c r="H87" s="87"/>
      <c r="AI87" s="99"/>
      <c r="AM87" s="99"/>
      <c r="AO87" s="99"/>
      <c r="AR87" s="6"/>
      <c r="AS87" s="6"/>
      <c r="AT87" s="6"/>
      <c r="AU87" s="89"/>
      <c r="AV87" s="100"/>
      <c r="AW87" s="65"/>
      <c r="AX87" s="3"/>
    </row>
    <row r="88" spans="1:50">
      <c r="A88" s="86"/>
      <c r="B88" s="86"/>
      <c r="C88" s="86"/>
      <c r="D88" s="86"/>
      <c r="E88" s="87"/>
      <c r="F88" s="87"/>
      <c r="G88" s="87"/>
      <c r="H88" s="87"/>
      <c r="AI88" s="99"/>
      <c r="AM88" s="99"/>
      <c r="AO88" s="99"/>
      <c r="AR88" s="6"/>
      <c r="AS88" s="6"/>
      <c r="AT88" s="6"/>
      <c r="AU88" s="89"/>
      <c r="AV88" s="100"/>
      <c r="AW88" s="65"/>
      <c r="AX88" s="3"/>
    </row>
    <row r="89" spans="1:50">
      <c r="A89" s="86"/>
      <c r="B89" s="86"/>
      <c r="C89" s="86"/>
      <c r="D89" s="86"/>
      <c r="E89" s="87"/>
      <c r="F89" s="87"/>
      <c r="G89" s="87"/>
      <c r="H89" s="87"/>
      <c r="AI89" s="99"/>
      <c r="AM89" s="99"/>
      <c r="AO89" s="99"/>
      <c r="AR89" s="6"/>
      <c r="AS89" s="6"/>
      <c r="AT89" s="6"/>
      <c r="AU89" s="89"/>
      <c r="AV89" s="100"/>
      <c r="AW89" s="65"/>
      <c r="AX89" s="3"/>
    </row>
    <row r="90" spans="1:50">
      <c r="A90" s="86"/>
      <c r="B90" s="86"/>
      <c r="C90" s="86"/>
      <c r="D90" s="86"/>
      <c r="E90" s="87"/>
      <c r="F90" s="87"/>
      <c r="G90" s="87"/>
      <c r="H90" s="87"/>
      <c r="AI90" s="99"/>
      <c r="AM90" s="99"/>
      <c r="AO90" s="99"/>
      <c r="AR90" s="6"/>
      <c r="AS90" s="6"/>
      <c r="AT90" s="6"/>
      <c r="AU90" s="89"/>
      <c r="AV90" s="100"/>
      <c r="AW90" s="65"/>
      <c r="AX90" s="3"/>
    </row>
    <row r="91" spans="1:50">
      <c r="A91" s="86"/>
      <c r="B91" s="86"/>
      <c r="C91" s="86"/>
      <c r="D91" s="86"/>
      <c r="E91" s="87"/>
      <c r="F91" s="87"/>
      <c r="G91" s="87"/>
      <c r="H91" s="87"/>
      <c r="AI91" s="99"/>
      <c r="AM91" s="99"/>
      <c r="AO91" s="99"/>
      <c r="AR91" s="6"/>
      <c r="AS91" s="6"/>
      <c r="AT91" s="6"/>
      <c r="AU91" s="89"/>
      <c r="AV91" s="100"/>
      <c r="AW91" s="65"/>
      <c r="AX91" s="3"/>
    </row>
    <row r="92" spans="1:50">
      <c r="A92" s="86"/>
      <c r="B92" s="86"/>
      <c r="C92" s="86"/>
      <c r="D92" s="86"/>
      <c r="E92" s="87"/>
      <c r="F92" s="87"/>
      <c r="G92" s="87"/>
      <c r="H92" s="87"/>
      <c r="AI92" s="99"/>
      <c r="AM92" s="99"/>
      <c r="AO92" s="99"/>
      <c r="AR92" s="6"/>
      <c r="AS92" s="6"/>
      <c r="AT92" s="6"/>
      <c r="AU92" s="89"/>
      <c r="AV92" s="100"/>
      <c r="AW92" s="65"/>
      <c r="AX92" s="3"/>
    </row>
    <row r="93" spans="1:50">
      <c r="A93" s="86"/>
      <c r="B93" s="86"/>
      <c r="C93" s="86"/>
      <c r="D93" s="86"/>
      <c r="E93" s="87"/>
      <c r="F93" s="87"/>
      <c r="G93" s="87"/>
      <c r="H93" s="87"/>
      <c r="AI93" s="99"/>
      <c r="AM93" s="99"/>
      <c r="AO93" s="99"/>
      <c r="AR93" s="6"/>
      <c r="AS93" s="6"/>
      <c r="AT93" s="6"/>
      <c r="AU93" s="89"/>
      <c r="AV93" s="100"/>
      <c r="AW93" s="65"/>
      <c r="AX93" s="3"/>
    </row>
    <row r="94" spans="1:50">
      <c r="A94" s="86"/>
      <c r="B94" s="86"/>
      <c r="C94" s="86"/>
      <c r="D94" s="86"/>
      <c r="E94" s="87"/>
      <c r="F94" s="87"/>
      <c r="G94" s="87"/>
      <c r="H94" s="87"/>
      <c r="AI94" s="99"/>
      <c r="AM94" s="99"/>
      <c r="AO94" s="99"/>
      <c r="AR94" s="6"/>
      <c r="AS94" s="6"/>
      <c r="AT94" s="6"/>
      <c r="AU94" s="89"/>
      <c r="AV94" s="100"/>
      <c r="AW94" s="65"/>
      <c r="AX94" s="3"/>
    </row>
    <row r="95" spans="1:50">
      <c r="A95" s="86"/>
      <c r="B95" s="86"/>
      <c r="C95" s="86"/>
      <c r="D95" s="86"/>
      <c r="E95" s="87"/>
      <c r="F95" s="87"/>
      <c r="G95" s="87"/>
      <c r="H95" s="87"/>
      <c r="AI95" s="99"/>
      <c r="AM95" s="99"/>
      <c r="AO95" s="99"/>
      <c r="AR95" s="6"/>
      <c r="AS95" s="6"/>
      <c r="AT95" s="6"/>
      <c r="AU95" s="89"/>
      <c r="AV95" s="100"/>
      <c r="AW95" s="65"/>
      <c r="AX95" s="3"/>
    </row>
    <row r="96" spans="1:50">
      <c r="A96" s="86"/>
      <c r="B96" s="86"/>
      <c r="C96" s="86"/>
      <c r="D96" s="86"/>
      <c r="E96" s="87"/>
      <c r="F96" s="87"/>
      <c r="G96" s="87"/>
      <c r="H96" s="87"/>
      <c r="AI96" s="99"/>
      <c r="AM96" s="99"/>
      <c r="AO96" s="99"/>
      <c r="AR96" s="6"/>
      <c r="AS96" s="6"/>
      <c r="AT96" s="6"/>
      <c r="AU96" s="89"/>
      <c r="AV96" s="100"/>
      <c r="AW96" s="65"/>
      <c r="AX96" s="3"/>
    </row>
    <row r="97" spans="1:50">
      <c r="A97" s="86"/>
      <c r="B97" s="86"/>
      <c r="C97" s="86"/>
      <c r="D97" s="86"/>
      <c r="E97" s="87"/>
      <c r="F97" s="87"/>
      <c r="G97" s="87"/>
      <c r="H97" s="87"/>
      <c r="AI97" s="99"/>
      <c r="AM97" s="99"/>
      <c r="AO97" s="99"/>
      <c r="AR97" s="6"/>
      <c r="AS97" s="6"/>
      <c r="AT97" s="6"/>
      <c r="AU97" s="89"/>
      <c r="AV97" s="100"/>
      <c r="AW97" s="65"/>
      <c r="AX97" s="3"/>
    </row>
    <row r="98" spans="1:50">
      <c r="A98" s="86"/>
      <c r="B98" s="86"/>
      <c r="C98" s="86"/>
      <c r="D98" s="86"/>
      <c r="E98" s="87"/>
      <c r="F98" s="87"/>
      <c r="G98" s="87"/>
      <c r="H98" s="87"/>
      <c r="AI98" s="99"/>
      <c r="AM98" s="99"/>
      <c r="AO98" s="99"/>
      <c r="AR98" s="6"/>
      <c r="AS98" s="6"/>
      <c r="AT98" s="6"/>
      <c r="AU98" s="89"/>
      <c r="AV98" s="100"/>
      <c r="AW98" s="65"/>
      <c r="AX98" s="3"/>
    </row>
    <row r="99" spans="1:50">
      <c r="A99" s="86"/>
      <c r="B99" s="86"/>
      <c r="C99" s="86"/>
      <c r="D99" s="86"/>
      <c r="E99" s="87"/>
      <c r="F99" s="87"/>
      <c r="G99" s="87"/>
      <c r="H99" s="87"/>
      <c r="AI99" s="99"/>
      <c r="AM99" s="99"/>
      <c r="AO99" s="99"/>
      <c r="AR99" s="6"/>
      <c r="AS99" s="6"/>
      <c r="AT99" s="6"/>
      <c r="AU99" s="89"/>
      <c r="AV99" s="100"/>
      <c r="AW99" s="65"/>
      <c r="AX99" s="3"/>
    </row>
    <row r="100" spans="1:50">
      <c r="A100" s="86"/>
      <c r="B100" s="86"/>
      <c r="C100" s="86"/>
      <c r="D100" s="86"/>
      <c r="E100" s="87"/>
      <c r="F100" s="87"/>
      <c r="G100" s="87"/>
      <c r="H100" s="87"/>
      <c r="AI100" s="99"/>
      <c r="AM100" s="99"/>
      <c r="AO100" s="99"/>
      <c r="AR100" s="6"/>
      <c r="AS100" s="6"/>
      <c r="AT100" s="6"/>
      <c r="AU100" s="89"/>
      <c r="AV100" s="100"/>
      <c r="AW100" s="65"/>
      <c r="AX100" s="3"/>
    </row>
    <row r="101" spans="1:50">
      <c r="A101" s="86"/>
      <c r="B101" s="86"/>
      <c r="C101" s="86"/>
      <c r="D101" s="86"/>
      <c r="E101" s="87"/>
      <c r="F101" s="87"/>
      <c r="G101" s="87"/>
      <c r="H101" s="87"/>
      <c r="AI101" s="99"/>
      <c r="AM101" s="99"/>
      <c r="AO101" s="99"/>
      <c r="AR101" s="6"/>
      <c r="AS101" s="6"/>
      <c r="AT101" s="6"/>
      <c r="AU101" s="89"/>
      <c r="AV101" s="100"/>
      <c r="AW101" s="65"/>
      <c r="AX101" s="3"/>
    </row>
    <row r="102" spans="1:50">
      <c r="A102" s="86"/>
      <c r="B102" s="86"/>
      <c r="C102" s="86"/>
      <c r="D102" s="86"/>
      <c r="E102" s="87"/>
      <c r="F102" s="87"/>
      <c r="G102" s="87"/>
      <c r="H102" s="87"/>
      <c r="AI102" s="99"/>
      <c r="AM102" s="99"/>
      <c r="AO102" s="99"/>
      <c r="AR102" s="6"/>
      <c r="AS102" s="6"/>
      <c r="AT102" s="6"/>
      <c r="AU102" s="89"/>
      <c r="AV102" s="100"/>
      <c r="AW102" s="65"/>
      <c r="AX102" s="3"/>
    </row>
    <row r="103" spans="1:50">
      <c r="A103" s="86"/>
      <c r="B103" s="86"/>
      <c r="C103" s="86"/>
      <c r="D103" s="86"/>
      <c r="E103" s="87"/>
      <c r="F103" s="87"/>
      <c r="G103" s="87"/>
      <c r="H103" s="87"/>
      <c r="AI103" s="99"/>
      <c r="AM103" s="99"/>
      <c r="AO103" s="99"/>
      <c r="AR103" s="6"/>
      <c r="AS103" s="6"/>
      <c r="AT103" s="6"/>
      <c r="AU103" s="89"/>
      <c r="AV103" s="100"/>
      <c r="AW103" s="65"/>
      <c r="AX103" s="3"/>
    </row>
    <row r="104" spans="1:50">
      <c r="A104" s="86"/>
      <c r="B104" s="86"/>
      <c r="C104" s="86"/>
      <c r="D104" s="86"/>
      <c r="E104" s="87"/>
      <c r="F104" s="87"/>
      <c r="G104" s="87"/>
      <c r="H104" s="87"/>
      <c r="AI104" s="99"/>
      <c r="AM104" s="99"/>
      <c r="AO104" s="99"/>
      <c r="AR104" s="6"/>
      <c r="AS104" s="6"/>
      <c r="AT104" s="6"/>
      <c r="AU104" s="89"/>
      <c r="AV104" s="100"/>
      <c r="AW104" s="65"/>
      <c r="AX104" s="3"/>
    </row>
    <row r="105" spans="1:50">
      <c r="A105" s="86"/>
      <c r="B105" s="86"/>
      <c r="C105" s="86"/>
      <c r="D105" s="86"/>
      <c r="E105" s="87"/>
      <c r="F105" s="87"/>
      <c r="G105" s="87"/>
      <c r="H105" s="87"/>
      <c r="AI105" s="99"/>
      <c r="AM105" s="99"/>
      <c r="AO105" s="99"/>
      <c r="AR105" s="6"/>
      <c r="AS105" s="6"/>
      <c r="AT105" s="6"/>
      <c r="AU105" s="89"/>
      <c r="AV105" s="100"/>
      <c r="AW105" s="65"/>
      <c r="AX105" s="3"/>
    </row>
    <row r="106" spans="1:50">
      <c r="A106" s="86"/>
      <c r="B106" s="86"/>
      <c r="C106" s="86"/>
      <c r="D106" s="86"/>
      <c r="E106" s="87"/>
      <c r="F106" s="87"/>
      <c r="G106" s="87"/>
      <c r="H106" s="87"/>
      <c r="AI106" s="99"/>
      <c r="AM106" s="99"/>
      <c r="AO106" s="99"/>
      <c r="AR106" s="6"/>
      <c r="AS106" s="6"/>
      <c r="AT106" s="6"/>
      <c r="AU106" s="89"/>
      <c r="AV106" s="100"/>
      <c r="AW106" s="65"/>
      <c r="AX106" s="3"/>
    </row>
    <row r="107" spans="1:50">
      <c r="A107" s="86"/>
      <c r="B107" s="86"/>
      <c r="C107" s="86"/>
      <c r="D107" s="86"/>
      <c r="E107" s="87"/>
      <c r="F107" s="87"/>
      <c r="G107" s="87"/>
      <c r="H107" s="87"/>
      <c r="AI107" s="99"/>
      <c r="AM107" s="99"/>
      <c r="AO107" s="99"/>
      <c r="AR107" s="6"/>
      <c r="AS107" s="6"/>
      <c r="AT107" s="6"/>
      <c r="AU107" s="89"/>
      <c r="AV107" s="100"/>
      <c r="AW107" s="65"/>
      <c r="AX107" s="3"/>
    </row>
    <row r="108" spans="1:50">
      <c r="A108" s="86"/>
      <c r="B108" s="86"/>
      <c r="C108" s="86"/>
      <c r="D108" s="86"/>
      <c r="E108" s="87"/>
      <c r="F108" s="87"/>
      <c r="G108" s="87"/>
      <c r="H108" s="87"/>
      <c r="AI108" s="99"/>
      <c r="AM108" s="99"/>
      <c r="AO108" s="99"/>
      <c r="AR108" s="6"/>
      <c r="AS108" s="6"/>
      <c r="AT108" s="6"/>
      <c r="AU108" s="89"/>
      <c r="AV108" s="100"/>
      <c r="AW108" s="65"/>
      <c r="AX108" s="3"/>
    </row>
    <row r="109" spans="1:50">
      <c r="A109" s="86"/>
      <c r="B109" s="86"/>
      <c r="C109" s="86"/>
      <c r="D109" s="86"/>
      <c r="E109" s="87"/>
      <c r="F109" s="87"/>
      <c r="G109" s="87"/>
      <c r="H109" s="87"/>
      <c r="AI109" s="99"/>
      <c r="AM109" s="99"/>
      <c r="AO109" s="99"/>
      <c r="AR109" s="6"/>
      <c r="AS109" s="6"/>
      <c r="AT109" s="6"/>
      <c r="AU109" s="89"/>
      <c r="AV109" s="100"/>
      <c r="AW109" s="65"/>
      <c r="AX109" s="3"/>
    </row>
    <row r="110" spans="1:50">
      <c r="A110" s="86"/>
      <c r="B110" s="86"/>
      <c r="C110" s="86"/>
      <c r="D110" s="86"/>
      <c r="E110" s="87"/>
      <c r="F110" s="87"/>
      <c r="G110" s="87"/>
      <c r="H110" s="87"/>
      <c r="AI110" s="99"/>
      <c r="AM110" s="99"/>
      <c r="AO110" s="99"/>
      <c r="AR110" s="6"/>
      <c r="AS110" s="6"/>
      <c r="AT110" s="6"/>
      <c r="AU110" s="89"/>
      <c r="AV110" s="100"/>
      <c r="AW110" s="65"/>
      <c r="AX110" s="3"/>
    </row>
    <row r="111" spans="1:50">
      <c r="A111" s="86"/>
      <c r="B111" s="86"/>
      <c r="C111" s="86"/>
      <c r="D111" s="86"/>
      <c r="E111" s="87"/>
      <c r="F111" s="87"/>
      <c r="G111" s="87"/>
      <c r="H111" s="87"/>
      <c r="AI111" s="99"/>
      <c r="AM111" s="99"/>
      <c r="AO111" s="99"/>
      <c r="AR111" s="6"/>
      <c r="AS111" s="6"/>
      <c r="AT111" s="6"/>
      <c r="AU111" s="89"/>
      <c r="AV111" s="100"/>
      <c r="AW111" s="65"/>
      <c r="AX111" s="3"/>
    </row>
    <row r="112" spans="1:50">
      <c r="A112" s="86"/>
      <c r="B112" s="86"/>
      <c r="C112" s="86"/>
      <c r="D112" s="86"/>
      <c r="E112" s="87"/>
      <c r="F112" s="87"/>
      <c r="G112" s="87"/>
      <c r="H112" s="87"/>
      <c r="AI112" s="99"/>
      <c r="AM112" s="99"/>
      <c r="AO112" s="99"/>
      <c r="AR112" s="6"/>
      <c r="AS112" s="6"/>
      <c r="AT112" s="6"/>
      <c r="AU112" s="89"/>
      <c r="AV112" s="100"/>
      <c r="AW112" s="65"/>
      <c r="AX112" s="3"/>
    </row>
    <row r="113" spans="1:50">
      <c r="A113" s="86"/>
      <c r="B113" s="86"/>
      <c r="C113" s="86"/>
      <c r="D113" s="86"/>
      <c r="E113" s="87"/>
      <c r="F113" s="87"/>
      <c r="G113" s="87"/>
      <c r="H113" s="87"/>
      <c r="AI113" s="99"/>
      <c r="AM113" s="99"/>
      <c r="AO113" s="99"/>
      <c r="AR113" s="6"/>
      <c r="AS113" s="6"/>
      <c r="AT113" s="6"/>
      <c r="AU113" s="89"/>
      <c r="AV113" s="100"/>
      <c r="AW113" s="65"/>
      <c r="AX113" s="3"/>
    </row>
    <row r="114" spans="1:50">
      <c r="A114" s="86"/>
      <c r="B114" s="86"/>
      <c r="C114" s="86"/>
      <c r="D114" s="86"/>
      <c r="E114" s="87"/>
      <c r="F114" s="87"/>
      <c r="G114" s="87"/>
      <c r="H114" s="87"/>
      <c r="AI114" s="99"/>
      <c r="AM114" s="99"/>
      <c r="AO114" s="99"/>
      <c r="AR114" s="6"/>
      <c r="AS114" s="6"/>
      <c r="AT114" s="6"/>
      <c r="AU114" s="89"/>
      <c r="AV114" s="100"/>
      <c r="AW114" s="65"/>
      <c r="AX114" s="3"/>
    </row>
    <row r="115" spans="1:50">
      <c r="A115" s="86"/>
      <c r="B115" s="86"/>
      <c r="C115" s="86"/>
      <c r="D115" s="86"/>
      <c r="E115" s="87"/>
      <c r="F115" s="87"/>
      <c r="G115" s="87"/>
      <c r="H115" s="87"/>
      <c r="AI115" s="99"/>
      <c r="AM115" s="99"/>
      <c r="AO115" s="99"/>
      <c r="AR115" s="6"/>
      <c r="AS115" s="6"/>
      <c r="AT115" s="6"/>
      <c r="AU115" s="89"/>
      <c r="AV115" s="100"/>
      <c r="AW115" s="65"/>
      <c r="AX115" s="3"/>
    </row>
    <row r="116" spans="1:50">
      <c r="A116" s="86"/>
      <c r="B116" s="86"/>
      <c r="C116" s="86"/>
      <c r="D116" s="86"/>
      <c r="E116" s="87"/>
      <c r="F116" s="87"/>
      <c r="G116" s="87"/>
      <c r="H116" s="87"/>
      <c r="AI116" s="99"/>
      <c r="AM116" s="99"/>
      <c r="AO116" s="99"/>
      <c r="AR116" s="6"/>
      <c r="AS116" s="6"/>
      <c r="AT116" s="6"/>
      <c r="AU116" s="89"/>
      <c r="AV116" s="100"/>
      <c r="AW116" s="65"/>
      <c r="AX116" s="3"/>
    </row>
    <row r="117" spans="1:50">
      <c r="A117" s="86"/>
      <c r="B117" s="86"/>
      <c r="C117" s="86"/>
      <c r="D117" s="86"/>
      <c r="E117" s="87"/>
      <c r="F117" s="87"/>
      <c r="G117" s="87"/>
      <c r="H117" s="87"/>
      <c r="AI117" s="99"/>
      <c r="AM117" s="99"/>
      <c r="AO117" s="99"/>
      <c r="AR117" s="6"/>
      <c r="AS117" s="6"/>
      <c r="AT117" s="6"/>
      <c r="AU117" s="89"/>
      <c r="AV117" s="100"/>
      <c r="AW117" s="65"/>
      <c r="AX117" s="3"/>
    </row>
    <row r="118" spans="1:50">
      <c r="A118" s="86"/>
      <c r="B118" s="86"/>
      <c r="C118" s="86"/>
      <c r="D118" s="86"/>
      <c r="E118" s="87"/>
      <c r="F118" s="87"/>
      <c r="G118" s="87"/>
      <c r="H118" s="87"/>
      <c r="AI118" s="99"/>
      <c r="AM118" s="99"/>
      <c r="AO118" s="99"/>
      <c r="AR118" s="6"/>
      <c r="AS118" s="6"/>
      <c r="AT118" s="6"/>
      <c r="AU118" s="89"/>
      <c r="AV118" s="100"/>
      <c r="AW118" s="65"/>
      <c r="AX118" s="3"/>
    </row>
    <row r="119" spans="1:50">
      <c r="A119" s="86"/>
      <c r="B119" s="86"/>
      <c r="C119" s="86"/>
      <c r="D119" s="86"/>
      <c r="E119" s="87"/>
      <c r="F119" s="87"/>
      <c r="G119" s="87"/>
      <c r="H119" s="87"/>
      <c r="AI119" s="99"/>
      <c r="AM119" s="99"/>
      <c r="AO119" s="99"/>
      <c r="AR119" s="6"/>
      <c r="AS119" s="6"/>
      <c r="AT119" s="6"/>
      <c r="AU119" s="89"/>
      <c r="AV119" s="100"/>
      <c r="AW119" s="65"/>
      <c r="AX119" s="3"/>
    </row>
    <row r="120" spans="1:50">
      <c r="A120" s="86"/>
      <c r="B120" s="86"/>
      <c r="C120" s="86"/>
      <c r="D120" s="86"/>
      <c r="E120" s="87"/>
      <c r="F120" s="87"/>
      <c r="G120" s="87"/>
      <c r="H120" s="87"/>
      <c r="AI120" s="99"/>
      <c r="AM120" s="99"/>
      <c r="AO120" s="99"/>
      <c r="AR120" s="6"/>
      <c r="AS120" s="6"/>
      <c r="AT120" s="6"/>
      <c r="AU120" s="89"/>
      <c r="AV120" s="100"/>
      <c r="AW120" s="65"/>
      <c r="AX120" s="3"/>
    </row>
    <row r="121" spans="1:50">
      <c r="A121" s="86"/>
      <c r="B121" s="86"/>
      <c r="C121" s="86"/>
      <c r="D121" s="86"/>
      <c r="E121" s="87"/>
      <c r="F121" s="87"/>
      <c r="G121" s="87"/>
      <c r="H121" s="87"/>
      <c r="AI121" s="99"/>
      <c r="AM121" s="99"/>
      <c r="AO121" s="99"/>
      <c r="AR121" s="6"/>
      <c r="AS121" s="6"/>
      <c r="AT121" s="6"/>
      <c r="AU121" s="89"/>
      <c r="AV121" s="100"/>
      <c r="AW121" s="65"/>
      <c r="AX121" s="3"/>
    </row>
    <row r="122" spans="1:50">
      <c r="A122" s="86"/>
      <c r="B122" s="86"/>
      <c r="C122" s="86"/>
      <c r="D122" s="86"/>
      <c r="E122" s="87"/>
      <c r="F122" s="87"/>
      <c r="G122" s="87"/>
      <c r="H122" s="87"/>
      <c r="AI122" s="99"/>
      <c r="AM122" s="99"/>
      <c r="AO122" s="99"/>
      <c r="AR122" s="6"/>
      <c r="AS122" s="6"/>
      <c r="AT122" s="6"/>
      <c r="AU122" s="89"/>
      <c r="AV122" s="100"/>
      <c r="AW122" s="65"/>
      <c r="AX122" s="3"/>
    </row>
    <row r="123" spans="1:50">
      <c r="A123" s="86"/>
      <c r="B123" s="86"/>
      <c r="C123" s="86"/>
      <c r="D123" s="86"/>
      <c r="E123" s="87"/>
      <c r="F123" s="87"/>
      <c r="G123" s="87"/>
      <c r="H123" s="87"/>
      <c r="AI123" s="99"/>
      <c r="AM123" s="99"/>
      <c r="AO123" s="99"/>
      <c r="AR123" s="6"/>
      <c r="AS123" s="6"/>
      <c r="AT123" s="6"/>
      <c r="AU123" s="89"/>
      <c r="AV123" s="100"/>
      <c r="AW123" s="65"/>
      <c r="AX123" s="3"/>
    </row>
    <row r="124" spans="1:50">
      <c r="A124" s="86"/>
      <c r="B124" s="86"/>
      <c r="C124" s="86"/>
      <c r="D124" s="86"/>
      <c r="E124" s="87"/>
      <c r="F124" s="87"/>
      <c r="G124" s="87"/>
      <c r="H124" s="87"/>
      <c r="AI124" s="99"/>
      <c r="AM124" s="99"/>
      <c r="AO124" s="99"/>
      <c r="AR124" s="6"/>
      <c r="AS124" s="6"/>
      <c r="AT124" s="6"/>
      <c r="AU124" s="89"/>
      <c r="AV124" s="100"/>
      <c r="AW124" s="65"/>
      <c r="AX124" s="3"/>
    </row>
    <row r="125" spans="1:50">
      <c r="A125" s="86"/>
      <c r="B125" s="86"/>
      <c r="C125" s="86"/>
      <c r="D125" s="86"/>
      <c r="E125" s="87"/>
      <c r="F125" s="87"/>
      <c r="G125" s="87"/>
      <c r="H125" s="87"/>
      <c r="AI125" s="99"/>
      <c r="AM125" s="99"/>
      <c r="AO125" s="99"/>
      <c r="AR125" s="6"/>
      <c r="AS125" s="6"/>
      <c r="AT125" s="6"/>
      <c r="AU125" s="89"/>
      <c r="AV125" s="100"/>
      <c r="AW125" s="65"/>
      <c r="AX125" s="3"/>
    </row>
    <row r="126" spans="1:50">
      <c r="A126" s="86"/>
      <c r="B126" s="86"/>
      <c r="C126" s="86"/>
      <c r="D126" s="86"/>
      <c r="E126" s="87"/>
      <c r="F126" s="87"/>
      <c r="G126" s="87"/>
      <c r="H126" s="87"/>
      <c r="AI126" s="99"/>
      <c r="AM126" s="99"/>
      <c r="AO126" s="99"/>
      <c r="AR126" s="6"/>
      <c r="AS126" s="6"/>
      <c r="AT126" s="6"/>
      <c r="AU126" s="89"/>
      <c r="AV126" s="100"/>
      <c r="AW126" s="65"/>
      <c r="AX126" s="3"/>
    </row>
    <row r="127" spans="1:50">
      <c r="A127" s="86"/>
      <c r="B127" s="86"/>
      <c r="C127" s="86"/>
      <c r="D127" s="86"/>
      <c r="E127" s="87"/>
      <c r="F127" s="87"/>
      <c r="G127" s="87"/>
      <c r="H127" s="87"/>
      <c r="AI127" s="99"/>
      <c r="AM127" s="99"/>
      <c r="AO127" s="99"/>
      <c r="AR127" s="6"/>
      <c r="AS127" s="6"/>
      <c r="AT127" s="6"/>
      <c r="AU127" s="89"/>
      <c r="AV127" s="100"/>
      <c r="AW127" s="65"/>
      <c r="AX127" s="3"/>
    </row>
    <row r="128" spans="1:50">
      <c r="A128" s="86"/>
      <c r="B128" s="86"/>
      <c r="C128" s="86"/>
      <c r="D128" s="86"/>
      <c r="E128" s="87"/>
      <c r="F128" s="87"/>
      <c r="G128" s="87"/>
      <c r="H128" s="87"/>
      <c r="AI128" s="99"/>
      <c r="AM128" s="99"/>
      <c r="AO128" s="99"/>
      <c r="AR128" s="6"/>
      <c r="AS128" s="6"/>
      <c r="AT128" s="6"/>
      <c r="AU128" s="89"/>
      <c r="AV128" s="100"/>
      <c r="AW128" s="65"/>
      <c r="AX128" s="3"/>
    </row>
    <row r="129" spans="1:50">
      <c r="A129" s="86"/>
      <c r="B129" s="86"/>
      <c r="C129" s="86"/>
      <c r="D129" s="86"/>
      <c r="E129" s="87"/>
      <c r="F129" s="87"/>
      <c r="G129" s="87"/>
      <c r="H129" s="87"/>
      <c r="AI129" s="99"/>
      <c r="AM129" s="99"/>
      <c r="AO129" s="99"/>
      <c r="AR129" s="6"/>
      <c r="AS129" s="6"/>
      <c r="AT129" s="6"/>
      <c r="AU129" s="89"/>
      <c r="AV129" s="100"/>
      <c r="AW129" s="65"/>
      <c r="AX129" s="3"/>
    </row>
    <row r="130" spans="1:50">
      <c r="A130" s="86"/>
      <c r="B130" s="86"/>
      <c r="C130" s="86"/>
      <c r="D130" s="86"/>
      <c r="E130" s="87"/>
      <c r="F130" s="87"/>
      <c r="G130" s="87"/>
      <c r="H130" s="87"/>
      <c r="AI130" s="99"/>
      <c r="AM130" s="99"/>
      <c r="AO130" s="99"/>
      <c r="AR130" s="6"/>
      <c r="AS130" s="6"/>
      <c r="AT130" s="6"/>
      <c r="AU130" s="89"/>
      <c r="AV130" s="100"/>
      <c r="AW130" s="65"/>
      <c r="AX130" s="3"/>
    </row>
    <row r="131" spans="1:50">
      <c r="A131" s="86"/>
      <c r="B131" s="86"/>
      <c r="C131" s="86"/>
      <c r="D131" s="86"/>
      <c r="E131" s="87"/>
      <c r="F131" s="87"/>
      <c r="G131" s="87"/>
      <c r="H131" s="87"/>
      <c r="AI131" s="99"/>
      <c r="AM131" s="99"/>
      <c r="AO131" s="99"/>
      <c r="AR131" s="6"/>
      <c r="AS131" s="6"/>
      <c r="AT131" s="6"/>
      <c r="AU131" s="89"/>
      <c r="AV131" s="100"/>
      <c r="AW131" s="65"/>
      <c r="AX131" s="3"/>
    </row>
    <row r="132" spans="1:50">
      <c r="A132" s="86"/>
      <c r="B132" s="86"/>
      <c r="C132" s="86"/>
      <c r="D132" s="86"/>
      <c r="E132" s="87"/>
      <c r="F132" s="87"/>
      <c r="G132" s="87"/>
      <c r="H132" s="87"/>
      <c r="AI132" s="99"/>
      <c r="AM132" s="99"/>
      <c r="AO132" s="99"/>
      <c r="AR132" s="6"/>
      <c r="AS132" s="6"/>
      <c r="AT132" s="6"/>
      <c r="AU132" s="89"/>
      <c r="AV132" s="100"/>
      <c r="AW132" s="65"/>
      <c r="AX132" s="3"/>
    </row>
    <row r="133" spans="1:50">
      <c r="A133" s="86"/>
      <c r="B133" s="86"/>
      <c r="C133" s="86"/>
      <c r="D133" s="86"/>
      <c r="E133" s="87"/>
      <c r="F133" s="87"/>
      <c r="G133" s="87"/>
      <c r="H133" s="87"/>
      <c r="AI133" s="99"/>
      <c r="AM133" s="99"/>
      <c r="AO133" s="99"/>
      <c r="AR133" s="6"/>
      <c r="AS133" s="6"/>
      <c r="AT133" s="6"/>
      <c r="AU133" s="89"/>
      <c r="AV133" s="100"/>
      <c r="AW133" s="65"/>
      <c r="AX133" s="3"/>
    </row>
    <row r="134" spans="1:50">
      <c r="A134" s="86"/>
      <c r="B134" s="86"/>
      <c r="C134" s="86"/>
      <c r="D134" s="86"/>
      <c r="E134" s="87"/>
      <c r="F134" s="87"/>
      <c r="G134" s="87"/>
      <c r="H134" s="87"/>
      <c r="AI134" s="99"/>
      <c r="AM134" s="99"/>
      <c r="AO134" s="99"/>
      <c r="AR134" s="6"/>
      <c r="AS134" s="6"/>
      <c r="AT134" s="6"/>
      <c r="AU134" s="89"/>
      <c r="AV134" s="100"/>
      <c r="AW134" s="65"/>
      <c r="AX134" s="3"/>
    </row>
    <row r="135" spans="1:50">
      <c r="A135" s="86"/>
      <c r="B135" s="86"/>
      <c r="C135" s="86"/>
      <c r="D135" s="86"/>
      <c r="E135" s="87"/>
      <c r="F135" s="87"/>
      <c r="G135" s="87"/>
      <c r="H135" s="87"/>
      <c r="AI135" s="99"/>
      <c r="AM135" s="99"/>
      <c r="AO135" s="99"/>
      <c r="AR135" s="6"/>
      <c r="AS135" s="6"/>
      <c r="AT135" s="6"/>
      <c r="AU135" s="89"/>
      <c r="AV135" s="100"/>
      <c r="AW135" s="65"/>
      <c r="AX135" s="3"/>
    </row>
    <row r="136" spans="1:50">
      <c r="A136" s="86"/>
      <c r="B136" s="86"/>
      <c r="C136" s="86"/>
      <c r="D136" s="86"/>
      <c r="E136" s="87"/>
      <c r="F136" s="87"/>
      <c r="G136" s="87"/>
      <c r="H136" s="87"/>
      <c r="AI136" s="99"/>
      <c r="AM136" s="99"/>
      <c r="AO136" s="99"/>
      <c r="AR136" s="6"/>
      <c r="AS136" s="6"/>
      <c r="AT136" s="6"/>
      <c r="AU136" s="89"/>
      <c r="AV136" s="100"/>
      <c r="AW136" s="65"/>
      <c r="AX136" s="3"/>
    </row>
    <row r="137" spans="1:50">
      <c r="A137" s="86"/>
      <c r="B137" s="86"/>
      <c r="C137" s="86"/>
      <c r="D137" s="86"/>
      <c r="E137" s="87"/>
      <c r="F137" s="87"/>
      <c r="G137" s="87"/>
      <c r="H137" s="87"/>
      <c r="AI137" s="99"/>
      <c r="AM137" s="99"/>
      <c r="AO137" s="99"/>
      <c r="AR137" s="6"/>
      <c r="AS137" s="6"/>
      <c r="AT137" s="6"/>
      <c r="AU137" s="89"/>
      <c r="AV137" s="100"/>
      <c r="AW137" s="65"/>
      <c r="AX137" s="3"/>
    </row>
    <row r="138" spans="1:50">
      <c r="A138" s="86"/>
      <c r="B138" s="86"/>
      <c r="C138" s="86"/>
      <c r="D138" s="86"/>
      <c r="E138" s="87"/>
      <c r="F138" s="87"/>
      <c r="G138" s="87"/>
      <c r="H138" s="87"/>
      <c r="AI138" s="99"/>
      <c r="AM138" s="99"/>
      <c r="AO138" s="99"/>
      <c r="AR138" s="6"/>
      <c r="AS138" s="6"/>
      <c r="AT138" s="6"/>
      <c r="AU138" s="89"/>
      <c r="AV138" s="100"/>
      <c r="AW138" s="65"/>
      <c r="AX138" s="3"/>
    </row>
    <row r="139" spans="1:50">
      <c r="A139" s="86"/>
      <c r="B139" s="86"/>
      <c r="C139" s="86"/>
      <c r="D139" s="86"/>
      <c r="E139" s="87"/>
      <c r="F139" s="87"/>
      <c r="G139" s="87"/>
      <c r="H139" s="87"/>
      <c r="AI139" s="99"/>
      <c r="AM139" s="99"/>
      <c r="AO139" s="99"/>
      <c r="AR139" s="6"/>
      <c r="AS139" s="6"/>
      <c r="AT139" s="6"/>
      <c r="AU139" s="89"/>
      <c r="AV139" s="100"/>
      <c r="AW139" s="65"/>
      <c r="AX139" s="3"/>
    </row>
    <row r="140" spans="1:50">
      <c r="A140" s="86"/>
      <c r="B140" s="86"/>
      <c r="C140" s="86"/>
      <c r="D140" s="86"/>
      <c r="E140" s="87"/>
      <c r="F140" s="87"/>
      <c r="G140" s="87"/>
      <c r="H140" s="87"/>
      <c r="AI140" s="99"/>
      <c r="AM140" s="99"/>
      <c r="AO140" s="99"/>
      <c r="AR140" s="6"/>
      <c r="AS140" s="6"/>
      <c r="AT140" s="6"/>
      <c r="AU140" s="89"/>
      <c r="AV140" s="100"/>
      <c r="AW140" s="65"/>
      <c r="AX140" s="3"/>
    </row>
    <row r="141" spans="1:50">
      <c r="A141" s="86"/>
      <c r="B141" s="86"/>
      <c r="C141" s="86"/>
      <c r="D141" s="86"/>
      <c r="E141" s="87"/>
      <c r="F141" s="87"/>
      <c r="G141" s="87"/>
      <c r="H141" s="87"/>
      <c r="AI141" s="99"/>
      <c r="AM141" s="99"/>
      <c r="AO141" s="99"/>
      <c r="AR141" s="6"/>
      <c r="AS141" s="6"/>
      <c r="AT141" s="6"/>
      <c r="AU141" s="89"/>
      <c r="AV141" s="100"/>
      <c r="AW141" s="65"/>
      <c r="AX141" s="3"/>
    </row>
    <row r="142" spans="1:50">
      <c r="A142" s="86"/>
      <c r="B142" s="86"/>
      <c r="C142" s="86"/>
      <c r="D142" s="86"/>
      <c r="E142" s="87"/>
      <c r="F142" s="87"/>
      <c r="G142" s="87"/>
      <c r="H142" s="87"/>
      <c r="AI142" s="99"/>
      <c r="AM142" s="99"/>
      <c r="AO142" s="99"/>
      <c r="AR142" s="6"/>
      <c r="AS142" s="6"/>
      <c r="AT142" s="6"/>
      <c r="AU142" s="89"/>
      <c r="AV142" s="100"/>
      <c r="AW142" s="65"/>
      <c r="AX142" s="3"/>
    </row>
    <row r="143" spans="1:50">
      <c r="A143" s="86"/>
      <c r="B143" s="86"/>
      <c r="C143" s="86"/>
      <c r="D143" s="86"/>
      <c r="E143" s="87"/>
      <c r="F143" s="87"/>
      <c r="G143" s="87"/>
      <c r="H143" s="87"/>
      <c r="AI143" s="99"/>
      <c r="AM143" s="99"/>
      <c r="AO143" s="99"/>
      <c r="AR143" s="6"/>
      <c r="AS143" s="6"/>
      <c r="AT143" s="6"/>
      <c r="AU143" s="89"/>
      <c r="AV143" s="100"/>
      <c r="AW143" s="65"/>
      <c r="AX143" s="3"/>
    </row>
    <row r="144" spans="1:50">
      <c r="A144" s="86"/>
      <c r="B144" s="86"/>
      <c r="C144" s="86"/>
      <c r="D144" s="86"/>
      <c r="E144" s="87"/>
      <c r="F144" s="87"/>
      <c r="G144" s="87"/>
      <c r="H144" s="87"/>
      <c r="AI144" s="99"/>
      <c r="AM144" s="99"/>
      <c r="AO144" s="99"/>
      <c r="AR144" s="6"/>
      <c r="AS144" s="6"/>
      <c r="AT144" s="6"/>
      <c r="AU144" s="89"/>
      <c r="AV144" s="100"/>
      <c r="AW144" s="65"/>
      <c r="AX144" s="3"/>
    </row>
    <row r="145" spans="1:50">
      <c r="A145" s="86"/>
      <c r="B145" s="86"/>
      <c r="C145" s="86"/>
      <c r="D145" s="86"/>
      <c r="E145" s="87"/>
      <c r="F145" s="87"/>
      <c r="G145" s="87"/>
      <c r="H145" s="87"/>
      <c r="AI145" s="99"/>
      <c r="AM145" s="99"/>
      <c r="AO145" s="99"/>
      <c r="AR145" s="6"/>
      <c r="AS145" s="6"/>
      <c r="AT145" s="6"/>
      <c r="AU145" s="89"/>
      <c r="AV145" s="100"/>
      <c r="AW145" s="65"/>
      <c r="AX145" s="3"/>
    </row>
    <row r="146" spans="1:50">
      <c r="A146" s="86"/>
      <c r="B146" s="86"/>
      <c r="C146" s="86"/>
      <c r="D146" s="86"/>
      <c r="E146" s="87"/>
      <c r="F146" s="87"/>
      <c r="G146" s="87"/>
      <c r="H146" s="87"/>
      <c r="AI146" s="99"/>
      <c r="AM146" s="99"/>
      <c r="AO146" s="99"/>
      <c r="AR146" s="6"/>
      <c r="AS146" s="6"/>
      <c r="AT146" s="6"/>
      <c r="AU146" s="89"/>
      <c r="AV146" s="100"/>
      <c r="AW146" s="65"/>
      <c r="AX146" s="3"/>
    </row>
    <row r="147" spans="1:50">
      <c r="A147" s="86"/>
      <c r="B147" s="86"/>
      <c r="C147" s="86"/>
      <c r="D147" s="86"/>
      <c r="E147" s="87"/>
      <c r="F147" s="87"/>
      <c r="G147" s="87"/>
      <c r="H147" s="87"/>
      <c r="AI147" s="99"/>
      <c r="AM147" s="99"/>
      <c r="AO147" s="99"/>
      <c r="AR147" s="6"/>
      <c r="AS147" s="6"/>
      <c r="AT147" s="6"/>
      <c r="AU147" s="89"/>
      <c r="AV147" s="100"/>
      <c r="AW147" s="65"/>
      <c r="AX147" s="3"/>
    </row>
    <row r="148" spans="1:50">
      <c r="A148" s="86"/>
      <c r="B148" s="86"/>
      <c r="C148" s="86"/>
      <c r="D148" s="86"/>
      <c r="E148" s="87"/>
      <c r="F148" s="87"/>
      <c r="G148" s="87"/>
      <c r="H148" s="87"/>
      <c r="AI148" s="99"/>
      <c r="AM148" s="99"/>
      <c r="AO148" s="99"/>
      <c r="AR148" s="6"/>
      <c r="AS148" s="6"/>
      <c r="AT148" s="6"/>
      <c r="AU148" s="89"/>
      <c r="AV148" s="100"/>
      <c r="AW148" s="65"/>
      <c r="AX148" s="3"/>
    </row>
    <row r="149" spans="1:50">
      <c r="A149" s="86"/>
      <c r="B149" s="86"/>
      <c r="C149" s="86"/>
      <c r="D149" s="86"/>
      <c r="E149" s="87"/>
      <c r="F149" s="87"/>
      <c r="G149" s="87"/>
      <c r="H149" s="87"/>
      <c r="AI149" s="99"/>
      <c r="AM149" s="99"/>
      <c r="AO149" s="99"/>
      <c r="AR149" s="6"/>
      <c r="AS149" s="6"/>
      <c r="AT149" s="6"/>
      <c r="AU149" s="89"/>
      <c r="AV149" s="100"/>
      <c r="AW149" s="65"/>
      <c r="AX149" s="3"/>
    </row>
    <row r="150" spans="1:50">
      <c r="A150" s="86"/>
      <c r="B150" s="86"/>
      <c r="C150" s="86"/>
      <c r="D150" s="86"/>
      <c r="E150" s="87"/>
      <c r="F150" s="87"/>
      <c r="G150" s="87"/>
      <c r="H150" s="87"/>
      <c r="AI150" s="99"/>
      <c r="AM150" s="99"/>
      <c r="AO150" s="99"/>
      <c r="AR150" s="6"/>
      <c r="AS150" s="6"/>
      <c r="AT150" s="6"/>
      <c r="AU150" s="89"/>
      <c r="AV150" s="100"/>
      <c r="AW150" s="65"/>
      <c r="AX150" s="3"/>
    </row>
    <row r="151" spans="1:50">
      <c r="A151" s="86"/>
      <c r="B151" s="86"/>
      <c r="C151" s="86"/>
      <c r="D151" s="86"/>
      <c r="E151" s="87"/>
      <c r="F151" s="87"/>
      <c r="G151" s="87"/>
      <c r="H151" s="87"/>
      <c r="AI151" s="99"/>
      <c r="AM151" s="99"/>
      <c r="AO151" s="99"/>
      <c r="AR151" s="6"/>
      <c r="AS151" s="6"/>
      <c r="AT151" s="6"/>
      <c r="AU151" s="89"/>
      <c r="AV151" s="100"/>
      <c r="AW151" s="65"/>
      <c r="AX151" s="3"/>
    </row>
    <row r="152" spans="1:50">
      <c r="A152" s="86"/>
      <c r="B152" s="86"/>
      <c r="C152" s="86"/>
      <c r="D152" s="86"/>
      <c r="E152" s="87"/>
      <c r="F152" s="87"/>
      <c r="G152" s="87"/>
      <c r="H152" s="87"/>
      <c r="AI152" s="99"/>
      <c r="AM152" s="99"/>
      <c r="AO152" s="99"/>
      <c r="AR152" s="6"/>
      <c r="AS152" s="6"/>
      <c r="AT152" s="6"/>
      <c r="AU152" s="89"/>
      <c r="AV152" s="100"/>
      <c r="AW152" s="65"/>
      <c r="AX152" s="3"/>
    </row>
    <row r="153" spans="1:50">
      <c r="A153" s="86"/>
      <c r="B153" s="86"/>
      <c r="C153" s="86"/>
      <c r="D153" s="86"/>
      <c r="E153" s="87"/>
      <c r="F153" s="87"/>
      <c r="G153" s="87"/>
      <c r="H153" s="87"/>
      <c r="AI153" s="99"/>
      <c r="AM153" s="99"/>
      <c r="AO153" s="99"/>
      <c r="AR153" s="6"/>
      <c r="AS153" s="6"/>
      <c r="AT153" s="6"/>
      <c r="AU153" s="89"/>
      <c r="AV153" s="100"/>
      <c r="AW153" s="65"/>
      <c r="AX153" s="3"/>
    </row>
    <row r="154" spans="1:50">
      <c r="A154" s="86"/>
      <c r="B154" s="86"/>
      <c r="C154" s="86"/>
      <c r="D154" s="86"/>
      <c r="E154" s="87"/>
      <c r="F154" s="87"/>
      <c r="G154" s="87"/>
      <c r="H154" s="87"/>
      <c r="AI154" s="99"/>
      <c r="AM154" s="99"/>
      <c r="AO154" s="99"/>
      <c r="AR154" s="6"/>
      <c r="AS154" s="6"/>
      <c r="AT154" s="6"/>
      <c r="AU154" s="89"/>
      <c r="AV154" s="100"/>
      <c r="AW154" s="65"/>
      <c r="AX154" s="3"/>
    </row>
    <row r="155" spans="1:50">
      <c r="A155" s="86"/>
      <c r="B155" s="86"/>
      <c r="C155" s="86"/>
      <c r="D155" s="86"/>
      <c r="E155" s="87"/>
      <c r="F155" s="87"/>
      <c r="G155" s="87"/>
      <c r="H155" s="87"/>
      <c r="AI155" s="99"/>
      <c r="AM155" s="99"/>
      <c r="AO155" s="99"/>
      <c r="AR155" s="6"/>
      <c r="AS155" s="6"/>
      <c r="AT155" s="6"/>
      <c r="AU155" s="89"/>
      <c r="AV155" s="100"/>
      <c r="AW155" s="65"/>
      <c r="AX155" s="3"/>
    </row>
    <row r="156" spans="1:50">
      <c r="A156" s="86"/>
      <c r="B156" s="86"/>
      <c r="C156" s="86"/>
      <c r="D156" s="86"/>
      <c r="E156" s="87"/>
      <c r="F156" s="87"/>
      <c r="G156" s="87"/>
      <c r="H156" s="87"/>
      <c r="AI156" s="99"/>
      <c r="AM156" s="99"/>
      <c r="AO156" s="99"/>
      <c r="AR156" s="6"/>
      <c r="AS156" s="6"/>
      <c r="AT156" s="6"/>
      <c r="AU156" s="89"/>
      <c r="AV156" s="100"/>
      <c r="AW156" s="65"/>
      <c r="AX156" s="3"/>
    </row>
    <row r="157" spans="1:50">
      <c r="A157" s="86"/>
      <c r="B157" s="86"/>
      <c r="C157" s="86"/>
      <c r="D157" s="86"/>
      <c r="E157" s="87"/>
      <c r="F157" s="87"/>
      <c r="G157" s="87"/>
      <c r="H157" s="87"/>
      <c r="AI157" s="99"/>
      <c r="AM157" s="99"/>
      <c r="AO157" s="99"/>
      <c r="AR157" s="6"/>
      <c r="AS157" s="6"/>
      <c r="AT157" s="6"/>
      <c r="AU157" s="89"/>
      <c r="AV157" s="100"/>
      <c r="AW157" s="65"/>
      <c r="AX157" s="3"/>
    </row>
    <row r="158" spans="1:50">
      <c r="A158" s="86"/>
      <c r="B158" s="86"/>
      <c r="C158" s="86"/>
      <c r="D158" s="86"/>
      <c r="E158" s="87"/>
      <c r="F158" s="87"/>
      <c r="G158" s="87"/>
      <c r="H158" s="87"/>
      <c r="AI158" s="99"/>
      <c r="AM158" s="99"/>
      <c r="AO158" s="99"/>
      <c r="AR158" s="6"/>
      <c r="AS158" s="6"/>
      <c r="AT158" s="6"/>
      <c r="AU158" s="89"/>
      <c r="AV158" s="100"/>
      <c r="AW158" s="65"/>
      <c r="AX158" s="3"/>
    </row>
    <row r="159" spans="1:50">
      <c r="A159" s="86"/>
      <c r="B159" s="86"/>
      <c r="C159" s="86"/>
      <c r="D159" s="86"/>
      <c r="E159" s="87"/>
      <c r="F159" s="87"/>
      <c r="G159" s="87"/>
      <c r="H159" s="87"/>
      <c r="AI159" s="99"/>
      <c r="AM159" s="99"/>
      <c r="AO159" s="99"/>
      <c r="AR159" s="6"/>
      <c r="AS159" s="6"/>
      <c r="AT159" s="6"/>
      <c r="AU159" s="89"/>
      <c r="AV159" s="100"/>
      <c r="AW159" s="65"/>
      <c r="AX159" s="3"/>
    </row>
    <row r="160" spans="1:50">
      <c r="A160" s="86"/>
      <c r="B160" s="86"/>
      <c r="C160" s="86"/>
      <c r="D160" s="86"/>
      <c r="E160" s="87"/>
      <c r="F160" s="87"/>
      <c r="G160" s="87"/>
      <c r="H160" s="87"/>
      <c r="AI160" s="99"/>
      <c r="AM160" s="99"/>
      <c r="AO160" s="99"/>
      <c r="AR160" s="6"/>
      <c r="AS160" s="6"/>
      <c r="AT160" s="6"/>
      <c r="AU160" s="89"/>
      <c r="AV160" s="100"/>
      <c r="AW160" s="65"/>
      <c r="AX160" s="3"/>
    </row>
    <row r="161" spans="1:50">
      <c r="A161" s="86"/>
      <c r="B161" s="86"/>
      <c r="C161" s="86"/>
      <c r="D161" s="86"/>
      <c r="E161" s="87"/>
      <c r="F161" s="87"/>
      <c r="G161" s="87"/>
      <c r="H161" s="87"/>
      <c r="AI161" s="99"/>
      <c r="AM161" s="99"/>
      <c r="AO161" s="99"/>
      <c r="AR161" s="6"/>
      <c r="AS161" s="6"/>
      <c r="AT161" s="6"/>
      <c r="AU161" s="89"/>
      <c r="AV161" s="100"/>
      <c r="AW161" s="65"/>
      <c r="AX161" s="3"/>
    </row>
    <row r="162" spans="1:50">
      <c r="A162" s="86"/>
      <c r="B162" s="86"/>
      <c r="C162" s="86"/>
      <c r="D162" s="86"/>
      <c r="E162" s="87"/>
      <c r="F162" s="87"/>
      <c r="G162" s="87"/>
      <c r="H162" s="87"/>
      <c r="AI162" s="99"/>
      <c r="AM162" s="99"/>
      <c r="AO162" s="99"/>
      <c r="AR162" s="6"/>
      <c r="AS162" s="6"/>
      <c r="AT162" s="6"/>
      <c r="AU162" s="89"/>
      <c r="AV162" s="100"/>
      <c r="AW162" s="65"/>
      <c r="AX162" s="3"/>
    </row>
    <row r="163" spans="1:50">
      <c r="A163" s="86"/>
      <c r="B163" s="86"/>
      <c r="C163" s="86"/>
      <c r="D163" s="86"/>
      <c r="E163" s="87"/>
      <c r="F163" s="87"/>
      <c r="G163" s="87"/>
      <c r="H163" s="87"/>
      <c r="AI163" s="99"/>
      <c r="AM163" s="99"/>
      <c r="AO163" s="99"/>
      <c r="AR163" s="6"/>
      <c r="AS163" s="6"/>
      <c r="AT163" s="6"/>
      <c r="AU163" s="89"/>
      <c r="AV163" s="100"/>
      <c r="AW163" s="65"/>
      <c r="AX163" s="3"/>
    </row>
    <row r="164" spans="1:50">
      <c r="A164" s="86"/>
      <c r="B164" s="86"/>
      <c r="C164" s="86"/>
      <c r="D164" s="86"/>
      <c r="E164" s="87"/>
      <c r="F164" s="87"/>
      <c r="G164" s="87"/>
      <c r="H164" s="87"/>
      <c r="AI164" s="99"/>
      <c r="AM164" s="99"/>
      <c r="AO164" s="99"/>
      <c r="AR164" s="6"/>
      <c r="AS164" s="6"/>
      <c r="AT164" s="6"/>
      <c r="AU164" s="89"/>
      <c r="AV164" s="100"/>
      <c r="AW164" s="65"/>
      <c r="AX164" s="3"/>
    </row>
    <row r="165" spans="1:50">
      <c r="A165" s="86"/>
      <c r="B165" s="86"/>
      <c r="C165" s="86"/>
      <c r="D165" s="86"/>
      <c r="E165" s="87"/>
      <c r="F165" s="87"/>
      <c r="G165" s="87"/>
      <c r="H165" s="87"/>
      <c r="AI165" s="99"/>
      <c r="AM165" s="99"/>
      <c r="AO165" s="99"/>
      <c r="AR165" s="6"/>
      <c r="AS165" s="6"/>
      <c r="AT165" s="6"/>
      <c r="AU165" s="89"/>
      <c r="AV165" s="100"/>
      <c r="AW165" s="65"/>
      <c r="AX165" s="3"/>
    </row>
    <row r="166" spans="1:50">
      <c r="A166" s="86"/>
      <c r="B166" s="86"/>
      <c r="C166" s="86"/>
      <c r="D166" s="86"/>
      <c r="E166" s="87"/>
      <c r="F166" s="87"/>
      <c r="G166" s="87"/>
      <c r="H166" s="87"/>
      <c r="AI166" s="99"/>
      <c r="AM166" s="99"/>
      <c r="AO166" s="99"/>
      <c r="AR166" s="6"/>
      <c r="AS166" s="6"/>
      <c r="AT166" s="6"/>
      <c r="AU166" s="89"/>
      <c r="AV166" s="100"/>
      <c r="AW166" s="65"/>
      <c r="AX166" s="3"/>
    </row>
    <row r="167" spans="1:50">
      <c r="A167" s="86"/>
      <c r="B167" s="86"/>
      <c r="C167" s="86"/>
      <c r="D167" s="86"/>
      <c r="E167" s="87"/>
      <c r="F167" s="87"/>
      <c r="G167" s="87"/>
      <c r="H167" s="87"/>
      <c r="AI167" s="99"/>
      <c r="AM167" s="99"/>
      <c r="AO167" s="99"/>
      <c r="AR167" s="6"/>
      <c r="AS167" s="6"/>
      <c r="AT167" s="6"/>
      <c r="AU167" s="89"/>
      <c r="AV167" s="100"/>
      <c r="AW167" s="65"/>
      <c r="AX167" s="3"/>
    </row>
    <row r="168" spans="1:50">
      <c r="A168" s="86"/>
      <c r="B168" s="86"/>
      <c r="C168" s="86"/>
      <c r="D168" s="86"/>
      <c r="E168" s="87"/>
      <c r="F168" s="87"/>
      <c r="G168" s="87"/>
      <c r="H168" s="87"/>
      <c r="AI168" s="99"/>
      <c r="AM168" s="99"/>
      <c r="AO168" s="99"/>
      <c r="AR168" s="6"/>
      <c r="AS168" s="6"/>
      <c r="AT168" s="6"/>
      <c r="AU168" s="89"/>
      <c r="AV168" s="100"/>
      <c r="AW168" s="65"/>
      <c r="AX168" s="3"/>
    </row>
    <row r="169" spans="1:50">
      <c r="A169" s="86"/>
      <c r="B169" s="86"/>
      <c r="C169" s="86"/>
      <c r="D169" s="86"/>
      <c r="E169" s="87"/>
      <c r="F169" s="87"/>
      <c r="G169" s="87"/>
      <c r="H169" s="87"/>
      <c r="AI169" s="99"/>
      <c r="AM169" s="99"/>
      <c r="AO169" s="99"/>
      <c r="AR169" s="6"/>
      <c r="AS169" s="6"/>
      <c r="AT169" s="6"/>
      <c r="AU169" s="89"/>
      <c r="AV169" s="100"/>
      <c r="AW169" s="65"/>
      <c r="AX169" s="3"/>
    </row>
    <row r="170" spans="1:50">
      <c r="A170" s="86"/>
      <c r="B170" s="86"/>
      <c r="C170" s="86"/>
      <c r="D170" s="86"/>
      <c r="E170" s="87"/>
      <c r="F170" s="87"/>
      <c r="G170" s="87"/>
      <c r="H170" s="87"/>
      <c r="AI170" s="99"/>
      <c r="AM170" s="99"/>
      <c r="AO170" s="99"/>
      <c r="AR170" s="6"/>
      <c r="AS170" s="6"/>
      <c r="AT170" s="6"/>
      <c r="AU170" s="89"/>
      <c r="AV170" s="100"/>
      <c r="AW170" s="65"/>
      <c r="AX170" s="3"/>
    </row>
    <row r="171" spans="1:50">
      <c r="A171" s="86"/>
      <c r="B171" s="86"/>
      <c r="C171" s="86"/>
      <c r="D171" s="86"/>
      <c r="E171" s="87"/>
      <c r="F171" s="87"/>
      <c r="G171" s="87"/>
      <c r="H171" s="87"/>
      <c r="AI171" s="99"/>
      <c r="AM171" s="99"/>
      <c r="AO171" s="99"/>
      <c r="AR171" s="6"/>
      <c r="AS171" s="6"/>
      <c r="AT171" s="6"/>
      <c r="AU171" s="89"/>
      <c r="AV171" s="100"/>
      <c r="AW171" s="65"/>
      <c r="AX171" s="3"/>
    </row>
    <row r="172" spans="1:50">
      <c r="A172" s="86"/>
      <c r="B172" s="86"/>
      <c r="C172" s="86"/>
      <c r="D172" s="86"/>
      <c r="E172" s="87"/>
      <c r="F172" s="87"/>
      <c r="G172" s="87"/>
      <c r="H172" s="87"/>
      <c r="AI172" s="99"/>
      <c r="AM172" s="99"/>
      <c r="AO172" s="99"/>
      <c r="AR172" s="6"/>
      <c r="AS172" s="6"/>
      <c r="AT172" s="6"/>
      <c r="AU172" s="89"/>
      <c r="AV172" s="100"/>
      <c r="AW172" s="65"/>
      <c r="AX172" s="3"/>
    </row>
    <row r="173" spans="1:50">
      <c r="A173" s="86"/>
      <c r="B173" s="86"/>
      <c r="C173" s="86"/>
      <c r="D173" s="86"/>
      <c r="E173" s="87"/>
      <c r="F173" s="87"/>
      <c r="G173" s="87"/>
      <c r="H173" s="87"/>
      <c r="AI173" s="99"/>
      <c r="AM173" s="99"/>
      <c r="AO173" s="99"/>
      <c r="AR173" s="6"/>
      <c r="AS173" s="6"/>
      <c r="AT173" s="6"/>
      <c r="AU173" s="89"/>
      <c r="AV173" s="100"/>
      <c r="AW173" s="65"/>
      <c r="AX173" s="3"/>
    </row>
    <row r="174" spans="1:50">
      <c r="A174" s="86"/>
      <c r="B174" s="86"/>
      <c r="C174" s="86"/>
      <c r="D174" s="86"/>
      <c r="E174" s="87"/>
      <c r="F174" s="87"/>
      <c r="G174" s="87"/>
      <c r="H174" s="87"/>
      <c r="AI174" s="99"/>
      <c r="AM174" s="99"/>
      <c r="AO174" s="99"/>
      <c r="AR174" s="6"/>
      <c r="AS174" s="6"/>
      <c r="AT174" s="6"/>
      <c r="AU174" s="89"/>
      <c r="AV174" s="100"/>
      <c r="AW174" s="65"/>
      <c r="AX174" s="3"/>
    </row>
    <row r="175" spans="1:50">
      <c r="A175" s="86"/>
      <c r="B175" s="86"/>
      <c r="C175" s="86"/>
      <c r="D175" s="86"/>
      <c r="E175" s="87"/>
      <c r="F175" s="87"/>
      <c r="G175" s="87"/>
      <c r="H175" s="87"/>
      <c r="AI175" s="99"/>
      <c r="AM175" s="99"/>
      <c r="AO175" s="99"/>
      <c r="AR175" s="6"/>
      <c r="AS175" s="6"/>
      <c r="AT175" s="6"/>
      <c r="AU175" s="89"/>
      <c r="AV175" s="100"/>
      <c r="AW175" s="65"/>
      <c r="AX175" s="3"/>
    </row>
    <row r="176" spans="1:50">
      <c r="A176" s="86"/>
      <c r="B176" s="86"/>
      <c r="C176" s="86"/>
      <c r="D176" s="86"/>
      <c r="E176" s="87"/>
      <c r="F176" s="87"/>
      <c r="G176" s="87"/>
      <c r="H176" s="87"/>
      <c r="AI176" s="99"/>
      <c r="AM176" s="99"/>
      <c r="AO176" s="99"/>
      <c r="AR176" s="6"/>
      <c r="AS176" s="6"/>
      <c r="AT176" s="6"/>
      <c r="AU176" s="89"/>
      <c r="AV176" s="100"/>
      <c r="AW176" s="65"/>
      <c r="AX176" s="3"/>
    </row>
    <row r="177" spans="1:50">
      <c r="A177" s="86"/>
      <c r="B177" s="86"/>
      <c r="C177" s="86"/>
      <c r="D177" s="86"/>
      <c r="E177" s="87"/>
      <c r="F177" s="87"/>
      <c r="G177" s="87"/>
      <c r="H177" s="87"/>
      <c r="AI177" s="99"/>
      <c r="AM177" s="99"/>
      <c r="AO177" s="99"/>
      <c r="AR177" s="6"/>
      <c r="AS177" s="6"/>
      <c r="AT177" s="6"/>
      <c r="AU177" s="89"/>
      <c r="AV177" s="100"/>
      <c r="AW177" s="65"/>
      <c r="AX177" s="3"/>
    </row>
    <row r="178" spans="1:50">
      <c r="A178" s="86"/>
      <c r="B178" s="86"/>
      <c r="C178" s="86"/>
      <c r="D178" s="86"/>
      <c r="E178" s="87"/>
      <c r="F178" s="87"/>
      <c r="G178" s="87"/>
      <c r="H178" s="87"/>
      <c r="AI178" s="99"/>
      <c r="AM178" s="99"/>
      <c r="AO178" s="99"/>
      <c r="AR178" s="6"/>
      <c r="AS178" s="6"/>
      <c r="AT178" s="6"/>
      <c r="AU178" s="89"/>
      <c r="AV178" s="100"/>
      <c r="AW178" s="65"/>
      <c r="AX178" s="3"/>
    </row>
    <row r="179" spans="1:50">
      <c r="A179" s="86"/>
      <c r="B179" s="86"/>
      <c r="C179" s="86"/>
      <c r="D179" s="86"/>
      <c r="E179" s="87"/>
      <c r="F179" s="87"/>
      <c r="G179" s="87"/>
      <c r="H179" s="87"/>
      <c r="AI179" s="99"/>
      <c r="AM179" s="99"/>
      <c r="AO179" s="99"/>
      <c r="AR179" s="6"/>
      <c r="AS179" s="6"/>
      <c r="AT179" s="6"/>
      <c r="AU179" s="89"/>
      <c r="AV179" s="100"/>
      <c r="AW179" s="65"/>
      <c r="AX179" s="3"/>
    </row>
    <row r="180" spans="1:50">
      <c r="A180" s="86"/>
      <c r="B180" s="86"/>
      <c r="C180" s="86"/>
      <c r="D180" s="86"/>
      <c r="E180" s="87"/>
      <c r="F180" s="87"/>
      <c r="G180" s="87"/>
      <c r="H180" s="87"/>
      <c r="AI180" s="99"/>
      <c r="AM180" s="99"/>
      <c r="AO180" s="99"/>
      <c r="AR180" s="6"/>
      <c r="AS180" s="6"/>
      <c r="AT180" s="6"/>
      <c r="AU180" s="89"/>
      <c r="AV180" s="100"/>
      <c r="AW180" s="65"/>
      <c r="AX180" s="3"/>
    </row>
    <row r="181" spans="1:50">
      <c r="A181" s="86"/>
      <c r="B181" s="86"/>
      <c r="C181" s="86"/>
      <c r="D181" s="86"/>
      <c r="E181" s="87"/>
      <c r="F181" s="87"/>
      <c r="G181" s="87"/>
      <c r="H181" s="87"/>
      <c r="AI181" s="99"/>
      <c r="AM181" s="99"/>
      <c r="AO181" s="99"/>
      <c r="AR181" s="6"/>
      <c r="AS181" s="6"/>
      <c r="AT181" s="6"/>
      <c r="AU181" s="89"/>
      <c r="AV181" s="100"/>
      <c r="AW181" s="65"/>
      <c r="AX181" s="3"/>
    </row>
    <row r="182" spans="1:50">
      <c r="A182" s="86"/>
      <c r="B182" s="86"/>
      <c r="C182" s="86"/>
      <c r="D182" s="86"/>
      <c r="E182" s="87"/>
      <c r="F182" s="87"/>
      <c r="G182" s="87"/>
      <c r="H182" s="87"/>
      <c r="AI182" s="99"/>
      <c r="AM182" s="99"/>
      <c r="AO182" s="99"/>
      <c r="AR182" s="6"/>
      <c r="AS182" s="6"/>
      <c r="AT182" s="6"/>
      <c r="AU182" s="89"/>
      <c r="AV182" s="100"/>
      <c r="AW182" s="65"/>
      <c r="AX182" s="3"/>
    </row>
    <row r="183" spans="1:50">
      <c r="A183" s="86"/>
      <c r="B183" s="86"/>
      <c r="C183" s="86"/>
      <c r="D183" s="86"/>
      <c r="E183" s="87"/>
      <c r="F183" s="87"/>
      <c r="G183" s="87"/>
      <c r="H183" s="87"/>
      <c r="AI183" s="99"/>
      <c r="AM183" s="99"/>
      <c r="AO183" s="99"/>
      <c r="AR183" s="6"/>
      <c r="AS183" s="6"/>
      <c r="AT183" s="6"/>
      <c r="AU183" s="89"/>
      <c r="AV183" s="100"/>
      <c r="AW183" s="65"/>
      <c r="AX183" s="3"/>
    </row>
    <row r="184" spans="1:50">
      <c r="A184" s="86"/>
      <c r="B184" s="86"/>
      <c r="C184" s="86"/>
      <c r="D184" s="86"/>
      <c r="E184" s="87"/>
      <c r="F184" s="87"/>
      <c r="G184" s="87"/>
      <c r="H184" s="87"/>
      <c r="AI184" s="99"/>
      <c r="AM184" s="99"/>
      <c r="AO184" s="99"/>
      <c r="AR184" s="6"/>
      <c r="AS184" s="6"/>
      <c r="AT184" s="6"/>
      <c r="AU184" s="89"/>
      <c r="AV184" s="100"/>
      <c r="AW184" s="65"/>
      <c r="AX184" s="3"/>
    </row>
    <row r="185" spans="1:50">
      <c r="A185" s="86"/>
      <c r="B185" s="86"/>
      <c r="C185" s="86"/>
      <c r="D185" s="86"/>
      <c r="E185" s="87"/>
      <c r="F185" s="87"/>
      <c r="G185" s="87"/>
      <c r="H185" s="87"/>
      <c r="AI185" s="99"/>
      <c r="AM185" s="99"/>
      <c r="AO185" s="99"/>
      <c r="AR185" s="6"/>
      <c r="AS185" s="6"/>
      <c r="AT185" s="6"/>
      <c r="AU185" s="89"/>
      <c r="AV185" s="100"/>
      <c r="AW185" s="65"/>
      <c r="AX185" s="3"/>
    </row>
    <row r="186" spans="1:50">
      <c r="A186" s="86"/>
      <c r="B186" s="86"/>
      <c r="C186" s="86"/>
      <c r="D186" s="86"/>
      <c r="E186" s="87"/>
      <c r="F186" s="87"/>
      <c r="G186" s="87"/>
      <c r="H186" s="87"/>
      <c r="AI186" s="99"/>
      <c r="AM186" s="99"/>
      <c r="AO186" s="99"/>
      <c r="AR186" s="6"/>
      <c r="AS186" s="6"/>
      <c r="AT186" s="6"/>
      <c r="AU186" s="89"/>
      <c r="AV186" s="100"/>
      <c r="AW186" s="65"/>
      <c r="AX186" s="3"/>
    </row>
    <row r="187" spans="1:50">
      <c r="A187" s="86"/>
      <c r="B187" s="86"/>
      <c r="C187" s="86"/>
      <c r="D187" s="86"/>
      <c r="E187" s="87"/>
      <c r="F187" s="87"/>
      <c r="G187" s="87"/>
      <c r="H187" s="87"/>
      <c r="AI187" s="99"/>
      <c r="AM187" s="99"/>
      <c r="AO187" s="99"/>
      <c r="AR187" s="6"/>
      <c r="AS187" s="6"/>
      <c r="AT187" s="6"/>
      <c r="AU187" s="89"/>
      <c r="AV187" s="100"/>
      <c r="AW187" s="65"/>
      <c r="AX187" s="3"/>
    </row>
    <row r="188" spans="1:50">
      <c r="A188" s="86"/>
      <c r="B188" s="86"/>
      <c r="C188" s="86"/>
      <c r="D188" s="86"/>
      <c r="E188" s="87"/>
      <c r="F188" s="87"/>
      <c r="G188" s="87"/>
      <c r="H188" s="87"/>
      <c r="AI188" s="99"/>
      <c r="AM188" s="99"/>
      <c r="AO188" s="99"/>
      <c r="AR188" s="6"/>
      <c r="AS188" s="6"/>
      <c r="AT188" s="6"/>
      <c r="AU188" s="89"/>
      <c r="AV188" s="100"/>
      <c r="AW188" s="65"/>
      <c r="AX188" s="3"/>
    </row>
    <row r="189" spans="1:50">
      <c r="A189" s="86"/>
      <c r="B189" s="86"/>
      <c r="C189" s="86"/>
      <c r="D189" s="86"/>
      <c r="E189" s="87"/>
      <c r="F189" s="87"/>
      <c r="G189" s="87"/>
      <c r="H189" s="87"/>
      <c r="AI189" s="99"/>
      <c r="AM189" s="99"/>
      <c r="AO189" s="99"/>
      <c r="AR189" s="6"/>
      <c r="AS189" s="6"/>
      <c r="AT189" s="6"/>
      <c r="AU189" s="89"/>
      <c r="AV189" s="100"/>
      <c r="AW189" s="65"/>
      <c r="AX189" s="3"/>
    </row>
    <row r="190" spans="1:50">
      <c r="A190" s="86"/>
      <c r="B190" s="86"/>
      <c r="C190" s="86"/>
      <c r="D190" s="86"/>
      <c r="E190" s="87"/>
      <c r="F190" s="87"/>
      <c r="G190" s="87"/>
      <c r="H190" s="87"/>
      <c r="AI190" s="99"/>
      <c r="AM190" s="99"/>
      <c r="AO190" s="99"/>
      <c r="AR190" s="6"/>
      <c r="AS190" s="6"/>
      <c r="AT190" s="6"/>
      <c r="AU190" s="89"/>
      <c r="AV190" s="100"/>
      <c r="AW190" s="65"/>
      <c r="AX190" s="3"/>
    </row>
    <row r="191" spans="1:50">
      <c r="A191" s="86"/>
      <c r="B191" s="86"/>
      <c r="C191" s="86"/>
      <c r="D191" s="86"/>
      <c r="E191" s="87"/>
      <c r="F191" s="87"/>
      <c r="G191" s="87"/>
      <c r="H191" s="87"/>
      <c r="AI191" s="99"/>
      <c r="AM191" s="99"/>
      <c r="AO191" s="99"/>
      <c r="AR191" s="6"/>
      <c r="AS191" s="6"/>
      <c r="AT191" s="6"/>
      <c r="AU191" s="89"/>
      <c r="AV191" s="100"/>
      <c r="AW191" s="65"/>
      <c r="AX191" s="3"/>
    </row>
    <row r="192" spans="1:50">
      <c r="A192" s="86"/>
      <c r="B192" s="86"/>
      <c r="C192" s="86"/>
      <c r="D192" s="86"/>
      <c r="E192" s="87"/>
      <c r="F192" s="87"/>
      <c r="G192" s="87"/>
      <c r="H192" s="87"/>
      <c r="AI192" s="99"/>
      <c r="AM192" s="99"/>
      <c r="AO192" s="99"/>
      <c r="AR192" s="6"/>
      <c r="AS192" s="6"/>
      <c r="AT192" s="6"/>
      <c r="AU192" s="89"/>
      <c r="AV192" s="100"/>
      <c r="AW192" s="65"/>
      <c r="AX192" s="3"/>
    </row>
    <row r="193" spans="1:50">
      <c r="A193" s="86"/>
      <c r="B193" s="86"/>
      <c r="C193" s="86"/>
      <c r="D193" s="86"/>
      <c r="E193" s="87"/>
      <c r="F193" s="87"/>
      <c r="G193" s="87"/>
      <c r="H193" s="87"/>
      <c r="AI193" s="99"/>
      <c r="AM193" s="99"/>
      <c r="AO193" s="99"/>
      <c r="AR193" s="6"/>
      <c r="AS193" s="6"/>
      <c r="AT193" s="6"/>
      <c r="AU193" s="89"/>
      <c r="AV193" s="100"/>
      <c r="AW193" s="65"/>
      <c r="AX193" s="3"/>
    </row>
    <row r="194" spans="1:50">
      <c r="A194" s="86"/>
      <c r="B194" s="86"/>
      <c r="C194" s="86"/>
      <c r="D194" s="86"/>
      <c r="E194" s="87"/>
      <c r="F194" s="87"/>
      <c r="G194" s="87"/>
      <c r="H194" s="87"/>
      <c r="AI194" s="99"/>
      <c r="AM194" s="99"/>
      <c r="AO194" s="99"/>
      <c r="AR194" s="6"/>
      <c r="AS194" s="6"/>
      <c r="AT194" s="6"/>
      <c r="AU194" s="89"/>
      <c r="AV194" s="100"/>
      <c r="AW194" s="65"/>
      <c r="AX194" s="3"/>
    </row>
    <row r="195" spans="1:50">
      <c r="A195" s="86"/>
      <c r="B195" s="86"/>
      <c r="C195" s="86"/>
      <c r="D195" s="86"/>
      <c r="E195" s="87"/>
      <c r="F195" s="87"/>
      <c r="G195" s="87"/>
      <c r="H195" s="87"/>
      <c r="AI195" s="99"/>
      <c r="AM195" s="99"/>
      <c r="AO195" s="99"/>
      <c r="AR195" s="6"/>
      <c r="AS195" s="6"/>
      <c r="AT195" s="6"/>
      <c r="AU195" s="89"/>
      <c r="AV195" s="100"/>
      <c r="AW195" s="65"/>
      <c r="AX195" s="3"/>
    </row>
    <row r="196" spans="1:50">
      <c r="A196" s="86"/>
      <c r="B196" s="86"/>
      <c r="C196" s="86"/>
      <c r="D196" s="86"/>
      <c r="E196" s="87"/>
      <c r="F196" s="87"/>
      <c r="G196" s="87"/>
      <c r="H196" s="87"/>
      <c r="AI196" s="99"/>
      <c r="AM196" s="99"/>
      <c r="AO196" s="99"/>
      <c r="AR196" s="6"/>
      <c r="AS196" s="6"/>
      <c r="AT196" s="6"/>
      <c r="AU196" s="89"/>
      <c r="AV196" s="100"/>
      <c r="AW196" s="65"/>
      <c r="AX196" s="3"/>
    </row>
    <row r="197" spans="1:50">
      <c r="A197" s="86"/>
      <c r="B197" s="86"/>
      <c r="C197" s="86"/>
      <c r="D197" s="86"/>
      <c r="E197" s="87"/>
      <c r="F197" s="87"/>
      <c r="G197" s="87"/>
      <c r="H197" s="87"/>
      <c r="AI197" s="99"/>
      <c r="AM197" s="99"/>
      <c r="AO197" s="99"/>
      <c r="AR197" s="6"/>
      <c r="AS197" s="6"/>
      <c r="AT197" s="6"/>
      <c r="AU197" s="89"/>
      <c r="AV197" s="100"/>
      <c r="AW197" s="65"/>
      <c r="AX197" s="3"/>
    </row>
    <row r="198" spans="1:50">
      <c r="A198" s="86"/>
      <c r="B198" s="86"/>
      <c r="C198" s="86"/>
      <c r="D198" s="86"/>
      <c r="E198" s="87"/>
      <c r="F198" s="87"/>
      <c r="G198" s="87"/>
      <c r="H198" s="87"/>
      <c r="AI198" s="99"/>
      <c r="AM198" s="99"/>
      <c r="AO198" s="99"/>
      <c r="AR198" s="6"/>
      <c r="AS198" s="6"/>
      <c r="AT198" s="6"/>
      <c r="AU198" s="89"/>
      <c r="AV198" s="100"/>
      <c r="AW198" s="65"/>
      <c r="AX198" s="3"/>
    </row>
    <row r="199" spans="1:50">
      <c r="A199" s="86"/>
      <c r="B199" s="86"/>
      <c r="C199" s="86"/>
      <c r="D199" s="86"/>
      <c r="E199" s="87"/>
      <c r="F199" s="87"/>
      <c r="G199" s="87"/>
      <c r="H199" s="87"/>
      <c r="AI199" s="99"/>
      <c r="AM199" s="99"/>
      <c r="AO199" s="99"/>
      <c r="AR199" s="6"/>
      <c r="AS199" s="6"/>
      <c r="AT199" s="6"/>
      <c r="AU199" s="89"/>
      <c r="AV199" s="100"/>
      <c r="AW199" s="65"/>
      <c r="AX199" s="3"/>
    </row>
    <row r="200" spans="1:50">
      <c r="A200" s="86"/>
      <c r="B200" s="86"/>
      <c r="C200" s="86"/>
      <c r="D200" s="86"/>
      <c r="E200" s="87"/>
      <c r="F200" s="87"/>
      <c r="G200" s="87"/>
      <c r="H200" s="87"/>
      <c r="AI200" s="99"/>
      <c r="AM200" s="99"/>
      <c r="AO200" s="99"/>
      <c r="AR200" s="6"/>
      <c r="AS200" s="6"/>
      <c r="AT200" s="6"/>
      <c r="AU200" s="89"/>
      <c r="AV200" s="100"/>
      <c r="AW200" s="65"/>
      <c r="AX200" s="3"/>
    </row>
    <row r="201" spans="1:50">
      <c r="A201" s="86"/>
      <c r="B201" s="86"/>
      <c r="C201" s="86"/>
      <c r="D201" s="86"/>
      <c r="E201" s="87"/>
      <c r="F201" s="87"/>
      <c r="G201" s="87"/>
      <c r="H201" s="87"/>
      <c r="AI201" s="99"/>
      <c r="AM201" s="99"/>
      <c r="AO201" s="99"/>
      <c r="AR201" s="6"/>
      <c r="AS201" s="6"/>
      <c r="AT201" s="6"/>
      <c r="AU201" s="89"/>
      <c r="AV201" s="100"/>
      <c r="AW201" s="65"/>
      <c r="AX201" s="3"/>
    </row>
    <row r="202" spans="1:50">
      <c r="A202" s="86"/>
      <c r="B202" s="86"/>
      <c r="C202" s="86"/>
      <c r="D202" s="86"/>
      <c r="E202" s="87"/>
      <c r="F202" s="87"/>
      <c r="G202" s="87"/>
      <c r="H202" s="87"/>
      <c r="AI202" s="99"/>
      <c r="AM202" s="99"/>
      <c r="AO202" s="99"/>
      <c r="AR202" s="6"/>
      <c r="AS202" s="6"/>
      <c r="AT202" s="6"/>
      <c r="AU202" s="89"/>
      <c r="AV202" s="100"/>
      <c r="AW202" s="65"/>
      <c r="AX202" s="3"/>
    </row>
    <row r="203" spans="1:50">
      <c r="A203" s="86"/>
      <c r="B203" s="86"/>
      <c r="C203" s="86"/>
      <c r="D203" s="86"/>
      <c r="E203" s="87"/>
      <c r="F203" s="87"/>
      <c r="G203" s="87"/>
      <c r="H203" s="87"/>
      <c r="AI203" s="99"/>
      <c r="AM203" s="99"/>
      <c r="AO203" s="99"/>
      <c r="AR203" s="6"/>
      <c r="AS203" s="6"/>
      <c r="AT203" s="6"/>
      <c r="AU203" s="89"/>
      <c r="AV203" s="100"/>
      <c r="AW203" s="65"/>
      <c r="AX203" s="3"/>
    </row>
    <row r="204" spans="1:50">
      <c r="A204" s="86"/>
      <c r="B204" s="86"/>
      <c r="C204" s="86"/>
      <c r="D204" s="86"/>
      <c r="E204" s="87"/>
      <c r="F204" s="87"/>
      <c r="G204" s="87"/>
      <c r="H204" s="87"/>
      <c r="AI204" s="99"/>
      <c r="AM204" s="99"/>
      <c r="AO204" s="99"/>
      <c r="AR204" s="6"/>
      <c r="AS204" s="6"/>
      <c r="AT204" s="6"/>
      <c r="AU204" s="89"/>
      <c r="AV204" s="100"/>
      <c r="AW204" s="65"/>
      <c r="AX204" s="3"/>
    </row>
    <row r="205" spans="1:50">
      <c r="A205" s="86"/>
      <c r="B205" s="86"/>
      <c r="C205" s="86"/>
      <c r="D205" s="86"/>
      <c r="E205" s="87"/>
      <c r="F205" s="87"/>
      <c r="G205" s="87"/>
      <c r="H205" s="87"/>
      <c r="AI205" s="99"/>
      <c r="AM205" s="99"/>
      <c r="AO205" s="99"/>
      <c r="AR205" s="6"/>
      <c r="AS205" s="6"/>
      <c r="AT205" s="6"/>
      <c r="AU205" s="89"/>
      <c r="AV205" s="100"/>
      <c r="AW205" s="65"/>
      <c r="AX205" s="3"/>
    </row>
    <row r="206" spans="1:50">
      <c r="A206" s="86"/>
      <c r="B206" s="86"/>
      <c r="C206" s="86"/>
      <c r="D206" s="86"/>
      <c r="E206" s="87"/>
      <c r="F206" s="87"/>
      <c r="G206" s="87"/>
      <c r="H206" s="87"/>
      <c r="AI206" s="99"/>
      <c r="AM206" s="99"/>
      <c r="AO206" s="99"/>
      <c r="AR206" s="6"/>
      <c r="AS206" s="6"/>
      <c r="AT206" s="6"/>
      <c r="AU206" s="89"/>
      <c r="AV206" s="100"/>
      <c r="AW206" s="65"/>
      <c r="AX206" s="3"/>
    </row>
    <row r="207" spans="1:50">
      <c r="A207" s="86"/>
      <c r="B207" s="86"/>
      <c r="C207" s="86"/>
      <c r="D207" s="86"/>
      <c r="E207" s="87"/>
      <c r="F207" s="87"/>
      <c r="G207" s="87"/>
      <c r="H207" s="87"/>
      <c r="AI207" s="99"/>
      <c r="AM207" s="99"/>
      <c r="AO207" s="99"/>
      <c r="AR207" s="6"/>
      <c r="AS207" s="6"/>
      <c r="AT207" s="6"/>
      <c r="AU207" s="89"/>
      <c r="AV207" s="100"/>
      <c r="AW207" s="65"/>
      <c r="AX207" s="3"/>
    </row>
    <row r="208" spans="1:50">
      <c r="A208" s="86"/>
      <c r="B208" s="86"/>
      <c r="C208" s="86"/>
      <c r="D208" s="86"/>
      <c r="E208" s="87"/>
      <c r="F208" s="87"/>
      <c r="G208" s="87"/>
      <c r="H208" s="87"/>
      <c r="AI208" s="99"/>
      <c r="AM208" s="99"/>
      <c r="AO208" s="99"/>
      <c r="AR208" s="6"/>
      <c r="AS208" s="6"/>
      <c r="AT208" s="6"/>
      <c r="AU208" s="89"/>
      <c r="AV208" s="100"/>
      <c r="AW208" s="65"/>
      <c r="AX208" s="3"/>
    </row>
    <row r="209" spans="1:50">
      <c r="A209" s="86"/>
      <c r="B209" s="86"/>
      <c r="C209" s="86"/>
      <c r="D209" s="86"/>
      <c r="E209" s="87"/>
      <c r="F209" s="87"/>
      <c r="G209" s="87"/>
      <c r="H209" s="87"/>
      <c r="AI209" s="99"/>
      <c r="AM209" s="99"/>
      <c r="AO209" s="99"/>
      <c r="AR209" s="6"/>
      <c r="AS209" s="6"/>
      <c r="AT209" s="6"/>
      <c r="AU209" s="89"/>
      <c r="AV209" s="100"/>
      <c r="AW209" s="65"/>
      <c r="AX209" s="3"/>
    </row>
    <row r="210" spans="1:50">
      <c r="A210" s="86"/>
      <c r="B210" s="86"/>
      <c r="C210" s="86"/>
      <c r="D210" s="86"/>
      <c r="E210" s="87"/>
      <c r="F210" s="87"/>
      <c r="G210" s="87"/>
      <c r="H210" s="87"/>
      <c r="AI210" s="99"/>
      <c r="AM210" s="99"/>
      <c r="AO210" s="99"/>
      <c r="AR210" s="6"/>
      <c r="AS210" s="6"/>
      <c r="AT210" s="6"/>
      <c r="AU210" s="89"/>
      <c r="AV210" s="100"/>
      <c r="AW210" s="65"/>
      <c r="AX210" s="3"/>
    </row>
    <row r="211" spans="1:50">
      <c r="A211" s="86"/>
      <c r="B211" s="86"/>
      <c r="C211" s="86"/>
      <c r="D211" s="86"/>
      <c r="E211" s="87"/>
      <c r="F211" s="87"/>
      <c r="G211" s="87"/>
      <c r="H211" s="87"/>
      <c r="AI211" s="99"/>
      <c r="AM211" s="99"/>
      <c r="AO211" s="99"/>
      <c r="AR211" s="6"/>
      <c r="AS211" s="6"/>
      <c r="AT211" s="6"/>
      <c r="AU211" s="89"/>
      <c r="AV211" s="100"/>
      <c r="AW211" s="65"/>
      <c r="AX211" s="3"/>
    </row>
    <row r="212" spans="1:50">
      <c r="A212" s="86"/>
      <c r="B212" s="86"/>
      <c r="C212" s="86"/>
      <c r="D212" s="86"/>
      <c r="E212" s="87"/>
      <c r="F212" s="87"/>
      <c r="G212" s="87"/>
      <c r="H212" s="87"/>
      <c r="AI212" s="99"/>
      <c r="AM212" s="99"/>
      <c r="AO212" s="99"/>
      <c r="AR212" s="6"/>
      <c r="AS212" s="6"/>
      <c r="AT212" s="6"/>
      <c r="AU212" s="89"/>
      <c r="AV212" s="100"/>
      <c r="AW212" s="65"/>
      <c r="AX212" s="3"/>
    </row>
    <row r="213" spans="1:50">
      <c r="A213" s="86"/>
      <c r="B213" s="86"/>
      <c r="C213" s="86"/>
      <c r="D213" s="86"/>
      <c r="E213" s="87"/>
      <c r="F213" s="87"/>
      <c r="G213" s="87"/>
      <c r="H213" s="87"/>
      <c r="AI213" s="99"/>
      <c r="AM213" s="99"/>
      <c r="AO213" s="99"/>
      <c r="AR213" s="6"/>
      <c r="AS213" s="6"/>
      <c r="AT213" s="6"/>
      <c r="AU213" s="89"/>
      <c r="AV213" s="100"/>
      <c r="AW213" s="65"/>
      <c r="AX213" s="3"/>
    </row>
    <row r="214" spans="1:50">
      <c r="A214" s="86"/>
      <c r="B214" s="86"/>
      <c r="C214" s="86"/>
      <c r="D214" s="86"/>
      <c r="E214" s="87"/>
      <c r="F214" s="87"/>
      <c r="G214" s="87"/>
      <c r="H214" s="87"/>
      <c r="AI214" s="99"/>
      <c r="AM214" s="99"/>
      <c r="AO214" s="99"/>
      <c r="AR214" s="6"/>
      <c r="AS214" s="6"/>
      <c r="AT214" s="6"/>
      <c r="AU214" s="89"/>
      <c r="AV214" s="100"/>
      <c r="AW214" s="65"/>
      <c r="AX214" s="3"/>
    </row>
    <row r="215" spans="1:50">
      <c r="A215" s="86"/>
      <c r="B215" s="86"/>
      <c r="C215" s="86"/>
      <c r="D215" s="86"/>
      <c r="E215" s="87"/>
      <c r="F215" s="87"/>
      <c r="G215" s="87"/>
      <c r="H215" s="87"/>
      <c r="AI215" s="99"/>
      <c r="AM215" s="99"/>
      <c r="AO215" s="99"/>
      <c r="AR215" s="6"/>
      <c r="AS215" s="6"/>
      <c r="AT215" s="6"/>
      <c r="AU215" s="89"/>
      <c r="AV215" s="100"/>
      <c r="AW215" s="65"/>
      <c r="AX215" s="3"/>
    </row>
    <row r="216" spans="1:50">
      <c r="A216" s="86"/>
      <c r="B216" s="86"/>
      <c r="C216" s="86"/>
      <c r="D216" s="86"/>
      <c r="E216" s="87"/>
      <c r="F216" s="87"/>
      <c r="G216" s="87"/>
      <c r="H216" s="87"/>
      <c r="AI216" s="99"/>
      <c r="AM216" s="99"/>
      <c r="AO216" s="99"/>
      <c r="AR216" s="6"/>
      <c r="AS216" s="6"/>
      <c r="AT216" s="6"/>
      <c r="AU216" s="89"/>
      <c r="AV216" s="100"/>
      <c r="AW216" s="65"/>
      <c r="AX216" s="3"/>
    </row>
    <row r="217" spans="1:50">
      <c r="A217" s="86"/>
      <c r="B217" s="86"/>
      <c r="C217" s="86"/>
      <c r="D217" s="86"/>
      <c r="E217" s="87"/>
      <c r="F217" s="87"/>
      <c r="G217" s="87"/>
      <c r="H217" s="87"/>
      <c r="AI217" s="99"/>
      <c r="AM217" s="99"/>
      <c r="AO217" s="99"/>
      <c r="AR217" s="6"/>
      <c r="AS217" s="6"/>
      <c r="AT217" s="6"/>
      <c r="AU217" s="89"/>
      <c r="AV217" s="100"/>
      <c r="AW217" s="65"/>
      <c r="AX217" s="3"/>
    </row>
    <row r="218" spans="1:50">
      <c r="A218" s="86"/>
      <c r="B218" s="86"/>
      <c r="C218" s="86"/>
      <c r="D218" s="86"/>
      <c r="E218" s="87"/>
      <c r="F218" s="87"/>
      <c r="G218" s="87"/>
      <c r="H218" s="87"/>
      <c r="AI218" s="99"/>
      <c r="AM218" s="99"/>
      <c r="AO218" s="99"/>
      <c r="AR218" s="6"/>
      <c r="AS218" s="6"/>
      <c r="AT218" s="6"/>
      <c r="AU218" s="89"/>
      <c r="AV218" s="100"/>
      <c r="AW218" s="65"/>
      <c r="AX218" s="3"/>
    </row>
    <row r="219" spans="1:50">
      <c r="A219" s="86"/>
      <c r="B219" s="86"/>
      <c r="C219" s="86"/>
      <c r="D219" s="86"/>
      <c r="E219" s="87"/>
      <c r="F219" s="87"/>
      <c r="G219" s="87"/>
      <c r="H219" s="87"/>
      <c r="AI219" s="99"/>
      <c r="AM219" s="99"/>
      <c r="AO219" s="99"/>
      <c r="AR219" s="6"/>
      <c r="AS219" s="6"/>
      <c r="AT219" s="6"/>
      <c r="AU219" s="89"/>
      <c r="AV219" s="100"/>
      <c r="AW219" s="65"/>
      <c r="AX219" s="3"/>
    </row>
    <row r="220" spans="1:50">
      <c r="A220" s="86"/>
      <c r="B220" s="86"/>
      <c r="C220" s="86"/>
      <c r="D220" s="86"/>
      <c r="E220" s="87"/>
      <c r="F220" s="87"/>
      <c r="G220" s="87"/>
      <c r="H220" s="87"/>
      <c r="AI220" s="99"/>
      <c r="AM220" s="99"/>
      <c r="AO220" s="99"/>
      <c r="AR220" s="6"/>
      <c r="AS220" s="6"/>
      <c r="AT220" s="6"/>
      <c r="AU220" s="89"/>
      <c r="AV220" s="100"/>
      <c r="AW220" s="65"/>
      <c r="AX220" s="3"/>
    </row>
    <row r="221" spans="1:50">
      <c r="A221" s="86"/>
      <c r="B221" s="86"/>
      <c r="C221" s="86"/>
      <c r="D221" s="86"/>
      <c r="E221" s="87"/>
      <c r="F221" s="87"/>
      <c r="G221" s="87"/>
      <c r="H221" s="87"/>
      <c r="AI221" s="99"/>
      <c r="AM221" s="99"/>
      <c r="AO221" s="99"/>
      <c r="AR221" s="6"/>
      <c r="AS221" s="6"/>
      <c r="AT221" s="6"/>
      <c r="AU221" s="89"/>
      <c r="AV221" s="100"/>
      <c r="AW221" s="65"/>
      <c r="AX221" s="3"/>
    </row>
    <row r="222" spans="1:50">
      <c r="A222" s="86"/>
      <c r="B222" s="86"/>
      <c r="C222" s="86"/>
      <c r="D222" s="86"/>
      <c r="E222" s="87"/>
      <c r="F222" s="87"/>
      <c r="G222" s="87"/>
      <c r="H222" s="87"/>
      <c r="AI222" s="99"/>
      <c r="AM222" s="99"/>
      <c r="AO222" s="99"/>
      <c r="AR222" s="6"/>
      <c r="AS222" s="6"/>
      <c r="AT222" s="6"/>
      <c r="AU222" s="89"/>
      <c r="AV222" s="100"/>
      <c r="AW222" s="65"/>
      <c r="AX222" s="3"/>
    </row>
    <row r="223" spans="1:50">
      <c r="A223" s="86"/>
      <c r="B223" s="86"/>
      <c r="C223" s="86"/>
      <c r="D223" s="86"/>
      <c r="E223" s="87"/>
      <c r="F223" s="87"/>
      <c r="G223" s="87"/>
      <c r="H223" s="87"/>
      <c r="AI223" s="99"/>
      <c r="AM223" s="99"/>
      <c r="AO223" s="99"/>
      <c r="AR223" s="6"/>
      <c r="AS223" s="6"/>
      <c r="AT223" s="6"/>
      <c r="AU223" s="89"/>
      <c r="AV223" s="100"/>
      <c r="AW223" s="65"/>
      <c r="AX223" s="3"/>
    </row>
    <row r="224" spans="1:50">
      <c r="A224" s="86"/>
      <c r="B224" s="86"/>
      <c r="C224" s="86"/>
      <c r="D224" s="86"/>
      <c r="E224" s="87"/>
      <c r="F224" s="87"/>
      <c r="G224" s="87"/>
      <c r="H224" s="87"/>
      <c r="AI224" s="99"/>
      <c r="AM224" s="99"/>
      <c r="AO224" s="99"/>
      <c r="AR224" s="6"/>
      <c r="AS224" s="6"/>
      <c r="AT224" s="6"/>
      <c r="AU224" s="89"/>
      <c r="AV224" s="100"/>
      <c r="AW224" s="65"/>
      <c r="AX224" s="3"/>
    </row>
    <row r="225" spans="1:50">
      <c r="A225" s="86"/>
      <c r="B225" s="86"/>
      <c r="C225" s="86"/>
      <c r="D225" s="86"/>
      <c r="E225" s="87"/>
      <c r="F225" s="87"/>
      <c r="G225" s="87"/>
      <c r="H225" s="87"/>
      <c r="AI225" s="99"/>
      <c r="AM225" s="99"/>
      <c r="AO225" s="99"/>
      <c r="AR225" s="6"/>
      <c r="AS225" s="6"/>
      <c r="AT225" s="6"/>
      <c r="AU225" s="89"/>
      <c r="AV225" s="100"/>
      <c r="AW225" s="65"/>
      <c r="AX225" s="3"/>
    </row>
    <row r="226" spans="1:50">
      <c r="A226" s="86"/>
      <c r="B226" s="86"/>
      <c r="C226" s="86"/>
      <c r="D226" s="86"/>
      <c r="E226" s="87"/>
      <c r="F226" s="87"/>
      <c r="G226" s="87"/>
      <c r="H226" s="87"/>
      <c r="AI226" s="99"/>
      <c r="AM226" s="99"/>
      <c r="AO226" s="99"/>
      <c r="AR226" s="6"/>
      <c r="AS226" s="6"/>
      <c r="AT226" s="6"/>
      <c r="AU226" s="89"/>
      <c r="AV226" s="100"/>
      <c r="AW226" s="65"/>
      <c r="AX226" s="3"/>
    </row>
    <row r="227" spans="1:50">
      <c r="A227" s="86"/>
      <c r="B227" s="86"/>
      <c r="C227" s="86"/>
      <c r="D227" s="86"/>
      <c r="E227" s="87"/>
      <c r="F227" s="87"/>
      <c r="G227" s="87"/>
      <c r="H227" s="87"/>
      <c r="AI227" s="99"/>
      <c r="AM227" s="99"/>
      <c r="AO227" s="99"/>
      <c r="AR227" s="6"/>
      <c r="AS227" s="6"/>
      <c r="AT227" s="6"/>
      <c r="AU227" s="89"/>
      <c r="AV227" s="100"/>
      <c r="AW227" s="65"/>
      <c r="AX227" s="3"/>
    </row>
    <row r="228" spans="1:50">
      <c r="AI228" s="99"/>
      <c r="AM228" s="99"/>
      <c r="AO228" s="99"/>
      <c r="AR228" s="6"/>
      <c r="AS228" s="6"/>
      <c r="AT228" s="6"/>
      <c r="AU228" s="89"/>
      <c r="AV228" s="100"/>
      <c r="AW228" s="65"/>
      <c r="AX228" s="3"/>
    </row>
    <row r="229" spans="1:50">
      <c r="AI229" s="99"/>
      <c r="AM229" s="99"/>
      <c r="AO229" s="99"/>
      <c r="AR229" s="6"/>
      <c r="AS229" s="6"/>
      <c r="AT229" s="6"/>
      <c r="AU229" s="89"/>
      <c r="AV229" s="100"/>
      <c r="AW229" s="65"/>
      <c r="AX229" s="3"/>
    </row>
    <row r="230" spans="1:50">
      <c r="AI230" s="99"/>
      <c r="AM230" s="99"/>
      <c r="AO230" s="99"/>
      <c r="AR230" s="6"/>
      <c r="AS230" s="6"/>
      <c r="AT230" s="6"/>
      <c r="AU230" s="89"/>
      <c r="AV230" s="100"/>
      <c r="AW230" s="65"/>
      <c r="AX230" s="3"/>
    </row>
    <row r="231" spans="1:50">
      <c r="AI231" s="99"/>
      <c r="AM231" s="99"/>
      <c r="AO231" s="99"/>
      <c r="AR231" s="6"/>
      <c r="AS231" s="6"/>
      <c r="AT231" s="6"/>
      <c r="AU231" s="89"/>
      <c r="AV231" s="100"/>
      <c r="AW231" s="65"/>
      <c r="AX231" s="3"/>
    </row>
    <row r="232" spans="1:50">
      <c r="AI232" s="99"/>
      <c r="AM232" s="99"/>
      <c r="AO232" s="99"/>
      <c r="AR232" s="6"/>
      <c r="AS232" s="6"/>
      <c r="AT232" s="6"/>
      <c r="AU232" s="89"/>
      <c r="AV232" s="100"/>
      <c r="AW232" s="65"/>
      <c r="AX232" s="3"/>
    </row>
    <row r="233" spans="1:50">
      <c r="AI233" s="99"/>
      <c r="AM233" s="99"/>
      <c r="AO233" s="99"/>
      <c r="AR233" s="6"/>
      <c r="AS233" s="6"/>
      <c r="AT233" s="6"/>
      <c r="AU233" s="89"/>
      <c r="AV233" s="100"/>
      <c r="AW233" s="65"/>
      <c r="AX233" s="3"/>
    </row>
    <row r="234" spans="1:50">
      <c r="AI234" s="99"/>
      <c r="AM234" s="99"/>
      <c r="AO234" s="99"/>
      <c r="AR234" s="6"/>
      <c r="AS234" s="6"/>
      <c r="AT234" s="6"/>
      <c r="AU234" s="89"/>
      <c r="AV234" s="100"/>
      <c r="AW234" s="65"/>
      <c r="AX234" s="3"/>
    </row>
    <row r="235" spans="1:50">
      <c r="AI235" s="99"/>
      <c r="AM235" s="99"/>
      <c r="AO235" s="99"/>
      <c r="AR235" s="6"/>
      <c r="AS235" s="6"/>
      <c r="AT235" s="6"/>
      <c r="AU235" s="89"/>
      <c r="AV235" s="100"/>
      <c r="AW235" s="65"/>
      <c r="AX235" s="3"/>
    </row>
    <row r="236" spans="1:50">
      <c r="AI236" s="99"/>
      <c r="AM236" s="99"/>
      <c r="AO236" s="99"/>
      <c r="AR236" s="6"/>
      <c r="AS236" s="6"/>
      <c r="AT236" s="6"/>
      <c r="AU236" s="89"/>
      <c r="AV236" s="100"/>
      <c r="AW236" s="65"/>
      <c r="AX236" s="3"/>
    </row>
    <row r="237" spans="1:50">
      <c r="AI237" s="99"/>
      <c r="AM237" s="99"/>
      <c r="AO237" s="99"/>
      <c r="AR237" s="6"/>
      <c r="AS237" s="6"/>
      <c r="AT237" s="6"/>
      <c r="AU237" s="89"/>
      <c r="AV237" s="100"/>
      <c r="AW237" s="65"/>
      <c r="AX237" s="3"/>
    </row>
    <row r="238" spans="1:50">
      <c r="AI238" s="99"/>
      <c r="AM238" s="99"/>
      <c r="AO238" s="99"/>
      <c r="AR238" s="6"/>
      <c r="AS238" s="6"/>
      <c r="AT238" s="6"/>
      <c r="AU238" s="89"/>
      <c r="AV238" s="100"/>
      <c r="AW238" s="65"/>
      <c r="AX238" s="3"/>
    </row>
    <row r="239" spans="1:50">
      <c r="AI239" s="99"/>
      <c r="AM239" s="99"/>
      <c r="AO239" s="99"/>
      <c r="AR239" s="6"/>
      <c r="AS239" s="6"/>
      <c r="AT239" s="6"/>
      <c r="AU239" s="89"/>
      <c r="AV239" s="100"/>
      <c r="AW239" s="65"/>
      <c r="AX239" s="3"/>
    </row>
    <row r="240" spans="1:50">
      <c r="AI240" s="99"/>
      <c r="AM240" s="99"/>
      <c r="AO240" s="99"/>
      <c r="AR240" s="6"/>
      <c r="AS240" s="6"/>
      <c r="AT240" s="6"/>
      <c r="AU240" s="89"/>
      <c r="AV240" s="100"/>
      <c r="AW240" s="65"/>
      <c r="AX240" s="3"/>
    </row>
    <row r="241" spans="35:50">
      <c r="AI241" s="99"/>
      <c r="AM241" s="99"/>
      <c r="AO241" s="99"/>
      <c r="AR241" s="6"/>
      <c r="AS241" s="6"/>
      <c r="AT241" s="6"/>
      <c r="AU241" s="89"/>
      <c r="AV241" s="100"/>
      <c r="AW241" s="65"/>
      <c r="AX241" s="3"/>
    </row>
    <row r="242" spans="35:50">
      <c r="AI242" s="99"/>
      <c r="AM242" s="99"/>
      <c r="AO242" s="99"/>
      <c r="AR242" s="6"/>
      <c r="AS242" s="6"/>
      <c r="AT242" s="6"/>
      <c r="AU242" s="89"/>
      <c r="AV242" s="100"/>
      <c r="AW242" s="65"/>
      <c r="AX242" s="3"/>
    </row>
    <row r="243" spans="35:50">
      <c r="AI243" s="99"/>
      <c r="AM243" s="99"/>
      <c r="AO243" s="99"/>
      <c r="AR243" s="6"/>
      <c r="AS243" s="6"/>
      <c r="AT243" s="6"/>
      <c r="AU243" s="89"/>
      <c r="AV243" s="100"/>
      <c r="AW243" s="65"/>
      <c r="AX243" s="3"/>
    </row>
    <row r="244" spans="35:50">
      <c r="AI244" s="99"/>
      <c r="AM244" s="99"/>
      <c r="AO244" s="99"/>
      <c r="AR244" s="6"/>
      <c r="AS244" s="6"/>
      <c r="AT244" s="6"/>
      <c r="AU244" s="89"/>
      <c r="AV244" s="100"/>
      <c r="AW244" s="65"/>
      <c r="AX244" s="3"/>
    </row>
    <row r="245" spans="35:50">
      <c r="AI245" s="99"/>
      <c r="AM245" s="99"/>
      <c r="AO245" s="99"/>
      <c r="AR245" s="6"/>
      <c r="AS245" s="6"/>
      <c r="AT245" s="6"/>
      <c r="AU245" s="89"/>
      <c r="AV245" s="100"/>
      <c r="AW245" s="65"/>
      <c r="AX245" s="3"/>
    </row>
    <row r="246" spans="35:50">
      <c r="AI246" s="99"/>
      <c r="AM246" s="99"/>
      <c r="AO246" s="99"/>
      <c r="AR246" s="6"/>
      <c r="AS246" s="6"/>
      <c r="AT246" s="6"/>
      <c r="AU246" s="89"/>
      <c r="AV246" s="100"/>
      <c r="AW246" s="65"/>
      <c r="AX246" s="3"/>
    </row>
    <row r="247" spans="35:50">
      <c r="AI247" s="99"/>
      <c r="AM247" s="99"/>
      <c r="AO247" s="99"/>
      <c r="AR247" s="6"/>
      <c r="AS247" s="6"/>
      <c r="AT247" s="6"/>
      <c r="AU247" s="89"/>
      <c r="AV247" s="100"/>
      <c r="AW247" s="65"/>
      <c r="AX247" s="3"/>
    </row>
    <row r="248" spans="35:50">
      <c r="AI248" s="99"/>
      <c r="AM248" s="99"/>
      <c r="AO248" s="99"/>
      <c r="AR248" s="6"/>
      <c r="AS248" s="6"/>
      <c r="AT248" s="6"/>
      <c r="AU248" s="89"/>
      <c r="AV248" s="100"/>
      <c r="AW248" s="65"/>
      <c r="AX248" s="3"/>
    </row>
    <row r="249" spans="35:50">
      <c r="AI249" s="99"/>
      <c r="AM249" s="99"/>
      <c r="AO249" s="99"/>
      <c r="AR249" s="6"/>
      <c r="AS249" s="6"/>
      <c r="AT249" s="6"/>
      <c r="AU249" s="89"/>
      <c r="AV249" s="100"/>
      <c r="AW249" s="65"/>
      <c r="AX249" s="3"/>
    </row>
    <row r="250" spans="35:50">
      <c r="AI250" s="99"/>
      <c r="AM250" s="99"/>
      <c r="AO250" s="99"/>
      <c r="AR250" s="6"/>
      <c r="AS250" s="6"/>
      <c r="AT250" s="6"/>
      <c r="AU250" s="89"/>
      <c r="AV250" s="100"/>
      <c r="AW250" s="65"/>
      <c r="AX250" s="3"/>
    </row>
    <row r="251" spans="35:50">
      <c r="AI251" s="99"/>
      <c r="AM251" s="99"/>
      <c r="AO251" s="99"/>
      <c r="AR251" s="6"/>
      <c r="AS251" s="6"/>
      <c r="AT251" s="6"/>
      <c r="AU251" s="89"/>
      <c r="AV251" s="100"/>
      <c r="AW251" s="65"/>
      <c r="AX251" s="3"/>
    </row>
    <row r="252" spans="35:50">
      <c r="AI252" s="99"/>
      <c r="AM252" s="99"/>
      <c r="AO252" s="99"/>
      <c r="AR252" s="6"/>
      <c r="AS252" s="6"/>
      <c r="AT252" s="6"/>
      <c r="AU252" s="89"/>
      <c r="AV252" s="100"/>
      <c r="AW252" s="65"/>
      <c r="AX252" s="3"/>
    </row>
    <row r="253" spans="35:50">
      <c r="AI253" s="99"/>
      <c r="AM253" s="99"/>
      <c r="AO253" s="99"/>
      <c r="AR253" s="6"/>
      <c r="AS253" s="6"/>
      <c r="AT253" s="6"/>
      <c r="AU253" s="89"/>
      <c r="AV253" s="100"/>
      <c r="AW253" s="65"/>
      <c r="AX253" s="3"/>
    </row>
    <row r="254" spans="35:50">
      <c r="AI254" s="99"/>
      <c r="AM254" s="99"/>
      <c r="AO254" s="99"/>
      <c r="AR254" s="6"/>
      <c r="AS254" s="6"/>
      <c r="AT254" s="6"/>
      <c r="AU254" s="89"/>
      <c r="AV254" s="100"/>
      <c r="AW254" s="65"/>
      <c r="AX254" s="3"/>
    </row>
    <row r="255" spans="35:50">
      <c r="AI255" s="99"/>
      <c r="AM255" s="99"/>
      <c r="AO255" s="99"/>
      <c r="AR255" s="6"/>
      <c r="AS255" s="6"/>
      <c r="AT255" s="6"/>
      <c r="AU255" s="89"/>
      <c r="AV255" s="100"/>
      <c r="AW255" s="65"/>
      <c r="AX255" s="3"/>
    </row>
    <row r="256" spans="35:50">
      <c r="AI256" s="99"/>
      <c r="AM256" s="99"/>
      <c r="AO256" s="99"/>
      <c r="AR256" s="6"/>
      <c r="AS256" s="6"/>
      <c r="AT256" s="6"/>
      <c r="AU256" s="89"/>
      <c r="AV256" s="100"/>
      <c r="AW256" s="65"/>
      <c r="AX256" s="3"/>
    </row>
    <row r="257" spans="35:50">
      <c r="AI257" s="99"/>
      <c r="AM257" s="99"/>
      <c r="AO257" s="99"/>
      <c r="AR257" s="6"/>
      <c r="AS257" s="6"/>
      <c r="AT257" s="6"/>
      <c r="AU257" s="89"/>
      <c r="AV257" s="100"/>
      <c r="AW257" s="65"/>
      <c r="AX257" s="3"/>
    </row>
    <row r="258" spans="35:50">
      <c r="AI258" s="99"/>
      <c r="AM258" s="99"/>
      <c r="AO258" s="99"/>
      <c r="AR258" s="6"/>
      <c r="AS258" s="6"/>
      <c r="AT258" s="6"/>
      <c r="AU258" s="89"/>
      <c r="AV258" s="100"/>
      <c r="AW258" s="65"/>
      <c r="AX258" s="3"/>
    </row>
    <row r="259" spans="35:50">
      <c r="AI259" s="99"/>
      <c r="AM259" s="99"/>
      <c r="AO259" s="99"/>
      <c r="AR259" s="6"/>
      <c r="AS259" s="6"/>
      <c r="AT259" s="6"/>
      <c r="AU259" s="89"/>
      <c r="AV259" s="100"/>
      <c r="AW259" s="65"/>
      <c r="AX259" s="3"/>
    </row>
    <row r="260" spans="35:50">
      <c r="AI260" s="99"/>
      <c r="AM260" s="99"/>
      <c r="AO260" s="99"/>
      <c r="AR260" s="6"/>
      <c r="AS260" s="6"/>
      <c r="AT260" s="6"/>
      <c r="AU260" s="89"/>
      <c r="AV260" s="100"/>
      <c r="AW260" s="65"/>
      <c r="AX260" s="3"/>
    </row>
    <row r="261" spans="35:50">
      <c r="AI261" s="99"/>
      <c r="AM261" s="99"/>
      <c r="AO261" s="99"/>
      <c r="AR261" s="6"/>
      <c r="AS261" s="6"/>
      <c r="AT261" s="6"/>
      <c r="AU261" s="89"/>
      <c r="AV261" s="100"/>
      <c r="AW261" s="65"/>
      <c r="AX261" s="3"/>
    </row>
    <row r="262" spans="35:50">
      <c r="AI262" s="99"/>
      <c r="AM262" s="99"/>
      <c r="AO262" s="99"/>
      <c r="AR262" s="6"/>
      <c r="AS262" s="6"/>
      <c r="AT262" s="6"/>
      <c r="AU262" s="89"/>
      <c r="AV262" s="100"/>
      <c r="AW262" s="65"/>
      <c r="AX262" s="3"/>
    </row>
    <row r="263" spans="35:50">
      <c r="AI263" s="99"/>
      <c r="AM263" s="99"/>
      <c r="AO263" s="99"/>
      <c r="AR263" s="6"/>
      <c r="AS263" s="6"/>
      <c r="AT263" s="6"/>
      <c r="AU263" s="89"/>
      <c r="AV263" s="100"/>
      <c r="AW263" s="65"/>
      <c r="AX263" s="3"/>
    </row>
    <row r="264" spans="35:50">
      <c r="AI264" s="99"/>
      <c r="AM264" s="99"/>
      <c r="AO264" s="99"/>
      <c r="AR264" s="6"/>
      <c r="AS264" s="6"/>
      <c r="AT264" s="6"/>
      <c r="AU264" s="89"/>
      <c r="AV264" s="100"/>
      <c r="AW264" s="65"/>
      <c r="AX264" s="3"/>
    </row>
    <row r="265" spans="35:50">
      <c r="AI265" s="99"/>
      <c r="AM265" s="99"/>
      <c r="AO265" s="99"/>
      <c r="AR265" s="6"/>
      <c r="AS265" s="6"/>
      <c r="AT265" s="6"/>
      <c r="AU265" s="89"/>
      <c r="AV265" s="100"/>
      <c r="AW265" s="65"/>
      <c r="AX265" s="3"/>
    </row>
    <row r="266" spans="35:50">
      <c r="AI266" s="99"/>
      <c r="AM266" s="99"/>
      <c r="AO266" s="99"/>
      <c r="AR266" s="6"/>
      <c r="AS266" s="6"/>
      <c r="AT266" s="6"/>
      <c r="AU266" s="89"/>
      <c r="AV266" s="100"/>
      <c r="AW266" s="65"/>
      <c r="AX266" s="3"/>
    </row>
    <row r="267" spans="35:50">
      <c r="AI267" s="99"/>
      <c r="AM267" s="99"/>
      <c r="AO267" s="99"/>
      <c r="AR267" s="6"/>
      <c r="AS267" s="6"/>
      <c r="AT267" s="6"/>
      <c r="AU267" s="89"/>
      <c r="AV267" s="100"/>
      <c r="AW267" s="65"/>
      <c r="AX267" s="3"/>
    </row>
    <row r="268" spans="35:50">
      <c r="AI268" s="99"/>
      <c r="AM268" s="99"/>
      <c r="AO268" s="99"/>
      <c r="AR268" s="6"/>
      <c r="AS268" s="6"/>
      <c r="AT268" s="6"/>
      <c r="AU268" s="89"/>
      <c r="AV268" s="100"/>
      <c r="AW268" s="65"/>
      <c r="AX268" s="3"/>
    </row>
    <row r="269" spans="35:50">
      <c r="AI269" s="99"/>
      <c r="AM269" s="99"/>
      <c r="AO269" s="99"/>
      <c r="AR269" s="6"/>
      <c r="AS269" s="6"/>
      <c r="AT269" s="6"/>
      <c r="AU269" s="89"/>
      <c r="AV269" s="100"/>
      <c r="AW269" s="65"/>
      <c r="AX269" s="3"/>
    </row>
    <row r="270" spans="35:50">
      <c r="AI270" s="99"/>
      <c r="AM270" s="99"/>
      <c r="AO270" s="99"/>
      <c r="AR270" s="6"/>
      <c r="AS270" s="6"/>
      <c r="AT270" s="6"/>
      <c r="AU270" s="89"/>
      <c r="AV270" s="100"/>
      <c r="AW270" s="65"/>
      <c r="AX270" s="3"/>
    </row>
    <row r="271" spans="35:50">
      <c r="AI271" s="99"/>
      <c r="AM271" s="99"/>
      <c r="AO271" s="99"/>
      <c r="AR271" s="6"/>
      <c r="AS271" s="6"/>
      <c r="AT271" s="6"/>
      <c r="AU271" s="89"/>
      <c r="AV271" s="100"/>
      <c r="AW271" s="65"/>
      <c r="AX271" s="3"/>
    </row>
    <row r="272" spans="35:50">
      <c r="AI272" s="99"/>
      <c r="AM272" s="99"/>
      <c r="AO272" s="99"/>
      <c r="AR272" s="6"/>
      <c r="AS272" s="6"/>
      <c r="AT272" s="6"/>
      <c r="AU272" s="89"/>
      <c r="AV272" s="100"/>
      <c r="AW272" s="65"/>
      <c r="AX272" s="3"/>
    </row>
    <row r="273" spans="35:50">
      <c r="AI273" s="99"/>
      <c r="AM273" s="99"/>
      <c r="AO273" s="99"/>
      <c r="AR273" s="6"/>
      <c r="AS273" s="6"/>
      <c r="AT273" s="6"/>
      <c r="AU273" s="89"/>
      <c r="AV273" s="100"/>
      <c r="AW273" s="65"/>
      <c r="AX273" s="3"/>
    </row>
    <row r="274" spans="35:50">
      <c r="AI274" s="99"/>
      <c r="AM274" s="99"/>
      <c r="AO274" s="99"/>
      <c r="AR274" s="6"/>
      <c r="AS274" s="6"/>
      <c r="AT274" s="6"/>
      <c r="AU274" s="89"/>
      <c r="AV274" s="100"/>
      <c r="AW274" s="65"/>
      <c r="AX274" s="3"/>
    </row>
    <row r="275" spans="35:50">
      <c r="AI275" s="99"/>
      <c r="AM275" s="99"/>
      <c r="AO275" s="99"/>
      <c r="AR275" s="6"/>
      <c r="AS275" s="6"/>
      <c r="AT275" s="6"/>
      <c r="AU275" s="89"/>
      <c r="AV275" s="100"/>
      <c r="AW275" s="65"/>
      <c r="AX275" s="3"/>
    </row>
    <row r="276" spans="35:50">
      <c r="AI276" s="99"/>
      <c r="AM276" s="99"/>
      <c r="AO276" s="99"/>
      <c r="AR276" s="6"/>
      <c r="AS276" s="6"/>
      <c r="AT276" s="6"/>
      <c r="AU276" s="89"/>
      <c r="AV276" s="100"/>
      <c r="AW276" s="65"/>
      <c r="AX276" s="3"/>
    </row>
    <row r="277" spans="35:50">
      <c r="AI277" s="99"/>
      <c r="AM277" s="99"/>
      <c r="AO277" s="99"/>
      <c r="AR277" s="6"/>
      <c r="AS277" s="6"/>
      <c r="AT277" s="6"/>
      <c r="AU277" s="89"/>
      <c r="AV277" s="100"/>
      <c r="AW277" s="65"/>
      <c r="AX277" s="3"/>
    </row>
    <row r="278" spans="35:50">
      <c r="AI278" s="99"/>
      <c r="AM278" s="99"/>
      <c r="AO278" s="99"/>
      <c r="AR278" s="6"/>
      <c r="AS278" s="6"/>
      <c r="AT278" s="6"/>
      <c r="AU278" s="89"/>
      <c r="AV278" s="100"/>
      <c r="AW278" s="65"/>
      <c r="AX278" s="3"/>
    </row>
    <row r="279" spans="35:50">
      <c r="AI279" s="99"/>
      <c r="AM279" s="99"/>
      <c r="AO279" s="99"/>
      <c r="AR279" s="6"/>
      <c r="AS279" s="6"/>
      <c r="AT279" s="6"/>
      <c r="AU279" s="89"/>
      <c r="AV279" s="100"/>
      <c r="AW279" s="65"/>
      <c r="AX279" s="3"/>
    </row>
    <row r="280" spans="35:50">
      <c r="AI280" s="99"/>
      <c r="AM280" s="99"/>
      <c r="AO280" s="99"/>
      <c r="AR280" s="6"/>
      <c r="AS280" s="6"/>
      <c r="AT280" s="6"/>
      <c r="AU280" s="89"/>
      <c r="AV280" s="100"/>
      <c r="AW280" s="65"/>
      <c r="AX280" s="3"/>
    </row>
    <row r="281" spans="35:50">
      <c r="AI281" s="99"/>
      <c r="AM281" s="99"/>
      <c r="AO281" s="99"/>
      <c r="AR281" s="6"/>
      <c r="AS281" s="6"/>
      <c r="AT281" s="6"/>
      <c r="AU281" s="89"/>
      <c r="AV281" s="100"/>
      <c r="AW281" s="65"/>
      <c r="AX281" s="3"/>
    </row>
    <row r="282" spans="35:50">
      <c r="AI282" s="99"/>
      <c r="AM282" s="99"/>
      <c r="AO282" s="99"/>
      <c r="AR282" s="6"/>
      <c r="AS282" s="6"/>
      <c r="AT282" s="6"/>
      <c r="AU282" s="89"/>
      <c r="AV282" s="100"/>
      <c r="AW282" s="65"/>
      <c r="AX282" s="3"/>
    </row>
    <row r="283" spans="35:50">
      <c r="AI283" s="99"/>
      <c r="AM283" s="99"/>
      <c r="AO283" s="99"/>
      <c r="AR283" s="6"/>
      <c r="AS283" s="6"/>
      <c r="AT283" s="6"/>
      <c r="AU283" s="89"/>
      <c r="AV283" s="100"/>
      <c r="AW283" s="65"/>
      <c r="AX283" s="3"/>
    </row>
    <row r="284" spans="35:50">
      <c r="AI284" s="99"/>
      <c r="AM284" s="99"/>
      <c r="AO284" s="99"/>
      <c r="AR284" s="6"/>
      <c r="AS284" s="6"/>
      <c r="AT284" s="6"/>
      <c r="AU284" s="89"/>
      <c r="AV284" s="100"/>
      <c r="AW284" s="65"/>
      <c r="AX284" s="3"/>
    </row>
    <row r="285" spans="35:50">
      <c r="AI285" s="99"/>
      <c r="AM285" s="99"/>
      <c r="AO285" s="99"/>
      <c r="AR285" s="6"/>
      <c r="AS285" s="6"/>
      <c r="AT285" s="6"/>
      <c r="AU285" s="89"/>
      <c r="AV285" s="100"/>
      <c r="AW285" s="65"/>
      <c r="AX285" s="3"/>
    </row>
    <row r="286" spans="35:50">
      <c r="AI286" s="99"/>
      <c r="AM286" s="99"/>
      <c r="AO286" s="99"/>
      <c r="AR286" s="6"/>
      <c r="AS286" s="6"/>
      <c r="AT286" s="6"/>
      <c r="AU286" s="89"/>
      <c r="AV286" s="100"/>
      <c r="AW286" s="65"/>
      <c r="AX286" s="3"/>
    </row>
    <row r="287" spans="35:50">
      <c r="AI287" s="99"/>
      <c r="AM287" s="99"/>
      <c r="AO287" s="99"/>
      <c r="AR287" s="6"/>
      <c r="AS287" s="6"/>
      <c r="AT287" s="6"/>
      <c r="AU287" s="89"/>
      <c r="AV287" s="100"/>
      <c r="AW287" s="65"/>
      <c r="AX287" s="3"/>
    </row>
    <row r="288" spans="35:50">
      <c r="AI288" s="99"/>
      <c r="AM288" s="99"/>
      <c r="AO288" s="99"/>
      <c r="AR288" s="6"/>
      <c r="AS288" s="6"/>
      <c r="AT288" s="6"/>
      <c r="AU288" s="89"/>
      <c r="AV288" s="100"/>
      <c r="AW288" s="65"/>
      <c r="AX288" s="3"/>
    </row>
    <row r="289" spans="35:50">
      <c r="AI289" s="99"/>
      <c r="AM289" s="99"/>
      <c r="AO289" s="99"/>
      <c r="AR289" s="6"/>
      <c r="AS289" s="6"/>
      <c r="AT289" s="6"/>
      <c r="AU289" s="89"/>
      <c r="AV289" s="100"/>
      <c r="AW289" s="65"/>
      <c r="AX289" s="3"/>
    </row>
    <row r="290" spans="35:50">
      <c r="AI290" s="99"/>
      <c r="AM290" s="99"/>
      <c r="AO290" s="99"/>
      <c r="AR290" s="6"/>
      <c r="AS290" s="6"/>
      <c r="AT290" s="6"/>
      <c r="AU290" s="89"/>
      <c r="AV290" s="100"/>
      <c r="AW290" s="65"/>
      <c r="AX290" s="3"/>
    </row>
    <row r="291" spans="35:50">
      <c r="AI291" s="99"/>
      <c r="AM291" s="99"/>
      <c r="AO291" s="99"/>
      <c r="AR291" s="6"/>
      <c r="AS291" s="6"/>
      <c r="AT291" s="6"/>
      <c r="AU291" s="89"/>
      <c r="AV291" s="100"/>
      <c r="AW291" s="65"/>
      <c r="AX291" s="3"/>
    </row>
    <row r="292" spans="35:50">
      <c r="AI292" s="99"/>
      <c r="AM292" s="99"/>
      <c r="AO292" s="99"/>
      <c r="AR292" s="6"/>
      <c r="AS292" s="6"/>
      <c r="AT292" s="6"/>
      <c r="AU292" s="89"/>
      <c r="AV292" s="100"/>
      <c r="AW292" s="65"/>
      <c r="AX292" s="3"/>
    </row>
    <row r="293" spans="35:50">
      <c r="AI293" s="99"/>
      <c r="AM293" s="99"/>
      <c r="AO293" s="99"/>
      <c r="AR293" s="6"/>
      <c r="AS293" s="6"/>
      <c r="AT293" s="6"/>
      <c r="AU293" s="89"/>
      <c r="AV293" s="100"/>
      <c r="AW293" s="65"/>
      <c r="AX293" s="3"/>
    </row>
    <row r="294" spans="35:50">
      <c r="AI294" s="99"/>
      <c r="AM294" s="99"/>
      <c r="AO294" s="99"/>
      <c r="AR294" s="6"/>
      <c r="AS294" s="6"/>
      <c r="AT294" s="6"/>
      <c r="AU294" s="89"/>
      <c r="AV294" s="100"/>
      <c r="AW294" s="65"/>
      <c r="AX294" s="3"/>
    </row>
    <row r="295" spans="35:50">
      <c r="AI295" s="99"/>
      <c r="AM295" s="99"/>
      <c r="AO295" s="99"/>
      <c r="AR295" s="6"/>
      <c r="AS295" s="6"/>
      <c r="AT295" s="6"/>
      <c r="AU295" s="89"/>
      <c r="AV295" s="100"/>
      <c r="AW295" s="65"/>
      <c r="AX295" s="3"/>
    </row>
    <row r="296" spans="35:50">
      <c r="AI296" s="99"/>
      <c r="AM296" s="99"/>
      <c r="AO296" s="99"/>
      <c r="AR296" s="6"/>
      <c r="AS296" s="6"/>
      <c r="AT296" s="6"/>
      <c r="AU296" s="89"/>
      <c r="AV296" s="100"/>
      <c r="AW296" s="65"/>
      <c r="AX296" s="3"/>
    </row>
    <row r="297" spans="35:50">
      <c r="AI297" s="99"/>
      <c r="AM297" s="99"/>
      <c r="AO297" s="99"/>
      <c r="AR297" s="6"/>
      <c r="AS297" s="6"/>
      <c r="AT297" s="6"/>
      <c r="AU297" s="89"/>
      <c r="AV297" s="100"/>
      <c r="AW297" s="65"/>
      <c r="AX297" s="3"/>
    </row>
    <row r="298" spans="35:50">
      <c r="AI298" s="99"/>
      <c r="AM298" s="99"/>
      <c r="AO298" s="99"/>
      <c r="AR298" s="6"/>
      <c r="AS298" s="6"/>
      <c r="AT298" s="6"/>
      <c r="AU298" s="89"/>
      <c r="AV298" s="100"/>
      <c r="AW298" s="65"/>
      <c r="AX298" s="3"/>
    </row>
    <row r="299" spans="35:50">
      <c r="AI299" s="99"/>
      <c r="AM299" s="99"/>
      <c r="AO299" s="99"/>
      <c r="AR299" s="6"/>
      <c r="AS299" s="6"/>
      <c r="AT299" s="6"/>
      <c r="AU299" s="89"/>
      <c r="AV299" s="100"/>
      <c r="AW299" s="65"/>
      <c r="AX299" s="3"/>
    </row>
    <row r="300" spans="35:50">
      <c r="AI300" s="99"/>
      <c r="AM300" s="99"/>
      <c r="AO300" s="99"/>
      <c r="AR300" s="6"/>
      <c r="AS300" s="6"/>
      <c r="AT300" s="6"/>
      <c r="AU300" s="89"/>
      <c r="AV300" s="100"/>
      <c r="AW300" s="65"/>
      <c r="AX300" s="3"/>
    </row>
    <row r="301" spans="35:50">
      <c r="AI301" s="99"/>
      <c r="AM301" s="99"/>
      <c r="AO301" s="99"/>
      <c r="AR301" s="6"/>
      <c r="AS301" s="6"/>
      <c r="AT301" s="6"/>
      <c r="AU301" s="89"/>
      <c r="AV301" s="100"/>
      <c r="AW301" s="65"/>
      <c r="AX301" s="3"/>
    </row>
    <row r="302" spans="35:50">
      <c r="AI302" s="99"/>
      <c r="AM302" s="99"/>
      <c r="AO302" s="99"/>
      <c r="AR302" s="6"/>
      <c r="AS302" s="6"/>
      <c r="AT302" s="6"/>
      <c r="AU302" s="89"/>
      <c r="AV302" s="100"/>
      <c r="AW302" s="65"/>
      <c r="AX302" s="3"/>
    </row>
    <row r="303" spans="35:50">
      <c r="AI303" s="99"/>
      <c r="AM303" s="99"/>
      <c r="AO303" s="99"/>
      <c r="AR303" s="6"/>
      <c r="AS303" s="6"/>
      <c r="AT303" s="6"/>
      <c r="AU303" s="89"/>
      <c r="AV303" s="100"/>
      <c r="AW303" s="65"/>
      <c r="AX303" s="3"/>
    </row>
    <row r="304" spans="35:50">
      <c r="AI304" s="99"/>
      <c r="AM304" s="99"/>
      <c r="AO304" s="99"/>
      <c r="AR304" s="6"/>
      <c r="AS304" s="6"/>
      <c r="AT304" s="6"/>
      <c r="AU304" s="89"/>
      <c r="AV304" s="100"/>
      <c r="AW304" s="65"/>
      <c r="AX304" s="3"/>
    </row>
    <row r="305" spans="35:50">
      <c r="AI305" s="99"/>
      <c r="AM305" s="99"/>
      <c r="AO305" s="99"/>
      <c r="AR305" s="6"/>
      <c r="AS305" s="6"/>
      <c r="AT305" s="6"/>
      <c r="AU305" s="89"/>
      <c r="AV305" s="100"/>
      <c r="AW305" s="65"/>
      <c r="AX305" s="3"/>
    </row>
    <row r="306" spans="35:50">
      <c r="AI306" s="99"/>
      <c r="AM306" s="99"/>
      <c r="AO306" s="99"/>
      <c r="AR306" s="6"/>
      <c r="AS306" s="6"/>
      <c r="AT306" s="6"/>
      <c r="AU306" s="89"/>
      <c r="AV306" s="100"/>
      <c r="AW306" s="65"/>
      <c r="AX306" s="3"/>
    </row>
    <row r="307" spans="35:50">
      <c r="AI307" s="99"/>
      <c r="AM307" s="99"/>
      <c r="AO307" s="99"/>
      <c r="AR307" s="6"/>
      <c r="AS307" s="6"/>
      <c r="AT307" s="6"/>
      <c r="AU307" s="89"/>
      <c r="AV307" s="100"/>
      <c r="AW307" s="65"/>
      <c r="AX307" s="3"/>
    </row>
    <row r="308" spans="35:50">
      <c r="AI308" s="99"/>
      <c r="AM308" s="99"/>
      <c r="AO308" s="99"/>
      <c r="AR308" s="6"/>
      <c r="AS308" s="6"/>
      <c r="AT308" s="6"/>
      <c r="AU308" s="89"/>
      <c r="AV308" s="100"/>
      <c r="AW308" s="65"/>
      <c r="AX308" s="3"/>
    </row>
    <row r="309" spans="35:50">
      <c r="AI309" s="99"/>
      <c r="AM309" s="99"/>
      <c r="AO309" s="99"/>
      <c r="AR309" s="6"/>
      <c r="AS309" s="6"/>
      <c r="AT309" s="6"/>
      <c r="AU309" s="89"/>
      <c r="AV309" s="100"/>
      <c r="AW309" s="65"/>
      <c r="AX309" s="3"/>
    </row>
    <row r="310" spans="35:50">
      <c r="AI310" s="99"/>
      <c r="AM310" s="99"/>
      <c r="AO310" s="99"/>
      <c r="AR310" s="6"/>
      <c r="AS310" s="6"/>
      <c r="AT310" s="6"/>
      <c r="AU310" s="89"/>
      <c r="AV310" s="100"/>
      <c r="AW310" s="65"/>
      <c r="AX310" s="3"/>
    </row>
    <row r="311" spans="35:50">
      <c r="AI311" s="99"/>
      <c r="AM311" s="99"/>
      <c r="AO311" s="99"/>
      <c r="AR311" s="6"/>
      <c r="AS311" s="6"/>
      <c r="AT311" s="6"/>
      <c r="AU311" s="89"/>
      <c r="AV311" s="100"/>
      <c r="AW311" s="65"/>
      <c r="AX311" s="3"/>
    </row>
    <row r="312" spans="35:50">
      <c r="AI312" s="99"/>
      <c r="AM312" s="99"/>
      <c r="AO312" s="99"/>
      <c r="AR312" s="6"/>
      <c r="AS312" s="6"/>
      <c r="AT312" s="6"/>
      <c r="AU312" s="89"/>
      <c r="AV312" s="100"/>
      <c r="AW312" s="65"/>
      <c r="AX312" s="3"/>
    </row>
    <row r="313" spans="35:50">
      <c r="AI313" s="99"/>
      <c r="AM313" s="99"/>
      <c r="AO313" s="99"/>
      <c r="AR313" s="6"/>
      <c r="AS313" s="6"/>
      <c r="AT313" s="6"/>
      <c r="AU313" s="89"/>
      <c r="AV313" s="100"/>
      <c r="AW313" s="65"/>
      <c r="AX313" s="3"/>
    </row>
    <row r="314" spans="35:50">
      <c r="AI314" s="99"/>
      <c r="AM314" s="99"/>
      <c r="AO314" s="99"/>
      <c r="AR314" s="6"/>
      <c r="AS314" s="6"/>
      <c r="AT314" s="6"/>
      <c r="AU314" s="89"/>
      <c r="AV314" s="100"/>
      <c r="AW314" s="65"/>
      <c r="AX314" s="3"/>
    </row>
    <row r="315" spans="35:50">
      <c r="AI315" s="99"/>
      <c r="AM315" s="99"/>
      <c r="AO315" s="99"/>
      <c r="AR315" s="6"/>
      <c r="AS315" s="6"/>
      <c r="AT315" s="6"/>
      <c r="AU315" s="89"/>
      <c r="AV315" s="100"/>
      <c r="AW315" s="65"/>
      <c r="AX315" s="3"/>
    </row>
    <row r="316" spans="35:50">
      <c r="AI316" s="99"/>
      <c r="AM316" s="99"/>
      <c r="AO316" s="99"/>
      <c r="AR316" s="6"/>
      <c r="AS316" s="6"/>
      <c r="AT316" s="6"/>
      <c r="AU316" s="89"/>
      <c r="AV316" s="100"/>
      <c r="AW316" s="65"/>
      <c r="AX316" s="3"/>
    </row>
    <row r="317" spans="35:50">
      <c r="AI317" s="99"/>
      <c r="AM317" s="99"/>
      <c r="AO317" s="99"/>
      <c r="AR317" s="6"/>
      <c r="AS317" s="6"/>
      <c r="AT317" s="6"/>
      <c r="AU317" s="89"/>
      <c r="AV317" s="100"/>
      <c r="AW317" s="65"/>
      <c r="AX317" s="3"/>
    </row>
    <row r="318" spans="35:50">
      <c r="AI318" s="99"/>
      <c r="AM318" s="99"/>
      <c r="AO318" s="99"/>
      <c r="AR318" s="6"/>
      <c r="AS318" s="6"/>
      <c r="AT318" s="6"/>
      <c r="AU318" s="89"/>
      <c r="AV318" s="100"/>
      <c r="AW318" s="65"/>
      <c r="AX318" s="3"/>
    </row>
    <row r="319" spans="35:50">
      <c r="AI319" s="99"/>
      <c r="AM319" s="99"/>
      <c r="AO319" s="99"/>
      <c r="AR319" s="6"/>
      <c r="AS319" s="6"/>
      <c r="AT319" s="6"/>
      <c r="AU319" s="89"/>
      <c r="AV319" s="100"/>
      <c r="AW319" s="65"/>
      <c r="AX319" s="3"/>
    </row>
    <row r="320" spans="35:50">
      <c r="AI320" s="99"/>
      <c r="AM320" s="99"/>
      <c r="AO320" s="99"/>
      <c r="AR320" s="6"/>
      <c r="AS320" s="6"/>
      <c r="AT320" s="6"/>
      <c r="AU320" s="89"/>
      <c r="AV320" s="100"/>
      <c r="AW320" s="65"/>
      <c r="AX320" s="3"/>
    </row>
    <row r="321" spans="35:50">
      <c r="AI321" s="99"/>
      <c r="AM321" s="99"/>
      <c r="AO321" s="99"/>
      <c r="AR321" s="6"/>
      <c r="AS321" s="6"/>
      <c r="AT321" s="6"/>
      <c r="AU321" s="89"/>
      <c r="AV321" s="100"/>
      <c r="AW321" s="65"/>
      <c r="AX321" s="3"/>
    </row>
    <row r="322" spans="35:50">
      <c r="AI322" s="99"/>
      <c r="AM322" s="99"/>
      <c r="AO322" s="99"/>
      <c r="AR322" s="6"/>
      <c r="AS322" s="6"/>
      <c r="AT322" s="6"/>
      <c r="AU322" s="89"/>
      <c r="AV322" s="100"/>
      <c r="AW322" s="65"/>
      <c r="AX322" s="3"/>
    </row>
    <row r="323" spans="35:50">
      <c r="AI323" s="99"/>
      <c r="AM323" s="99"/>
      <c r="AO323" s="99"/>
      <c r="AR323" s="6"/>
      <c r="AS323" s="6"/>
      <c r="AT323" s="6"/>
      <c r="AU323" s="89"/>
      <c r="AV323" s="100"/>
      <c r="AW323" s="65"/>
      <c r="AX323" s="3"/>
    </row>
    <row r="324" spans="35:50">
      <c r="AI324" s="99"/>
      <c r="AM324" s="99"/>
      <c r="AO324" s="99"/>
      <c r="AR324" s="6"/>
      <c r="AS324" s="6"/>
      <c r="AT324" s="6"/>
      <c r="AU324" s="89"/>
      <c r="AV324" s="100"/>
      <c r="AW324" s="65"/>
      <c r="AX324" s="3"/>
    </row>
    <row r="325" spans="35:50">
      <c r="AI325" s="99"/>
      <c r="AM325" s="99"/>
      <c r="AO325" s="99"/>
      <c r="AR325" s="6"/>
      <c r="AS325" s="6"/>
      <c r="AT325" s="6"/>
      <c r="AU325" s="89"/>
      <c r="AV325" s="100"/>
      <c r="AW325" s="65"/>
      <c r="AX325" s="3"/>
    </row>
    <row r="326" spans="35:50">
      <c r="AI326" s="99"/>
      <c r="AM326" s="99"/>
      <c r="AO326" s="99"/>
      <c r="AR326" s="6"/>
      <c r="AS326" s="6"/>
      <c r="AT326" s="6"/>
      <c r="AU326" s="89"/>
      <c r="AV326" s="100"/>
      <c r="AW326" s="65"/>
      <c r="AX326" s="3"/>
    </row>
    <row r="327" spans="35:50">
      <c r="AI327" s="99"/>
      <c r="AM327" s="99"/>
      <c r="AO327" s="99"/>
      <c r="AR327" s="6"/>
      <c r="AS327" s="6"/>
      <c r="AT327" s="6"/>
      <c r="AU327" s="89"/>
      <c r="AV327" s="100"/>
      <c r="AW327" s="65"/>
      <c r="AX327" s="3"/>
    </row>
    <row r="328" spans="35:50">
      <c r="AI328" s="99"/>
      <c r="AM328" s="99"/>
      <c r="AO328" s="99"/>
      <c r="AR328" s="6"/>
      <c r="AS328" s="6"/>
      <c r="AT328" s="6"/>
      <c r="AU328" s="89"/>
      <c r="AV328" s="100"/>
      <c r="AW328" s="65"/>
      <c r="AX328" s="3"/>
    </row>
    <row r="329" spans="35:50">
      <c r="AI329" s="99"/>
      <c r="AM329" s="99"/>
      <c r="AO329" s="99"/>
      <c r="AR329" s="6"/>
      <c r="AS329" s="6"/>
      <c r="AT329" s="6"/>
      <c r="AU329" s="89"/>
      <c r="AV329" s="100"/>
      <c r="AW329" s="65"/>
      <c r="AX329" s="3"/>
    </row>
    <row r="330" spans="35:50">
      <c r="AI330" s="99"/>
      <c r="AM330" s="99"/>
      <c r="AO330" s="99"/>
      <c r="AR330" s="6"/>
      <c r="AS330" s="6"/>
      <c r="AT330" s="6"/>
      <c r="AU330" s="89"/>
      <c r="AV330" s="100"/>
      <c r="AW330" s="65"/>
      <c r="AX330" s="3"/>
    </row>
    <row r="331" spans="35:50">
      <c r="AI331" s="99"/>
      <c r="AM331" s="99"/>
      <c r="AO331" s="99"/>
      <c r="AR331" s="6"/>
      <c r="AS331" s="6"/>
      <c r="AT331" s="6"/>
      <c r="AU331" s="89"/>
      <c r="AV331" s="100"/>
      <c r="AW331" s="65"/>
      <c r="AX331" s="3"/>
    </row>
    <row r="332" spans="35:50">
      <c r="AI332" s="99"/>
      <c r="AM332" s="99"/>
      <c r="AO332" s="99"/>
      <c r="AR332" s="6"/>
      <c r="AS332" s="6"/>
      <c r="AT332" s="6"/>
      <c r="AU332" s="89"/>
      <c r="AV332" s="100"/>
      <c r="AW332" s="65"/>
      <c r="AX332" s="3"/>
    </row>
    <row r="333" spans="35:50">
      <c r="AI333" s="99"/>
      <c r="AM333" s="99"/>
      <c r="AO333" s="99"/>
      <c r="AR333" s="6"/>
      <c r="AS333" s="6"/>
      <c r="AT333" s="6"/>
      <c r="AU333" s="89"/>
      <c r="AV333" s="100"/>
      <c r="AW333" s="65"/>
      <c r="AX333" s="3"/>
    </row>
    <row r="334" spans="35:50">
      <c r="AI334" s="99"/>
      <c r="AM334" s="99"/>
      <c r="AO334" s="99"/>
      <c r="AR334" s="6"/>
      <c r="AS334" s="6"/>
      <c r="AT334" s="6"/>
      <c r="AU334" s="89"/>
      <c r="AV334" s="100"/>
      <c r="AW334" s="65"/>
      <c r="AX334" s="3"/>
    </row>
    <row r="335" spans="35:50">
      <c r="AI335" s="99"/>
      <c r="AM335" s="99"/>
      <c r="AO335" s="99"/>
      <c r="AR335" s="6"/>
      <c r="AS335" s="6"/>
      <c r="AT335" s="6"/>
      <c r="AU335" s="89"/>
      <c r="AV335" s="100"/>
      <c r="AW335" s="65"/>
      <c r="AX335" s="3"/>
    </row>
    <row r="336" spans="35:50">
      <c r="AI336" s="99"/>
      <c r="AM336" s="99"/>
      <c r="AO336" s="99"/>
      <c r="AR336" s="6"/>
      <c r="AS336" s="6"/>
      <c r="AT336" s="6"/>
      <c r="AU336" s="89"/>
      <c r="AV336" s="100"/>
      <c r="AW336" s="65"/>
      <c r="AX336" s="3"/>
    </row>
    <row r="337" spans="35:50">
      <c r="AI337" s="99"/>
      <c r="AM337" s="99"/>
      <c r="AO337" s="99"/>
      <c r="AR337" s="6"/>
      <c r="AS337" s="6"/>
      <c r="AT337" s="6"/>
      <c r="AU337" s="89"/>
      <c r="AV337" s="100"/>
      <c r="AW337" s="65"/>
      <c r="AX337" s="3"/>
    </row>
    <row r="338" spans="35:50">
      <c r="AI338" s="99"/>
      <c r="AM338" s="99"/>
      <c r="AO338" s="99"/>
      <c r="AR338" s="6"/>
      <c r="AS338" s="6"/>
      <c r="AT338" s="6"/>
      <c r="AU338" s="89"/>
      <c r="AV338" s="100"/>
      <c r="AW338" s="65"/>
      <c r="AX338" s="3"/>
    </row>
    <row r="339" spans="35:50">
      <c r="AI339" s="99"/>
      <c r="AM339" s="99"/>
      <c r="AO339" s="99"/>
      <c r="AR339" s="6"/>
      <c r="AS339" s="6"/>
      <c r="AT339" s="6"/>
      <c r="AU339" s="89"/>
      <c r="AV339" s="100"/>
      <c r="AW339" s="65"/>
      <c r="AX339" s="3"/>
    </row>
    <row r="340" spans="35:50">
      <c r="AI340" s="99"/>
      <c r="AM340" s="99"/>
      <c r="AO340" s="99"/>
      <c r="AR340" s="6"/>
      <c r="AS340" s="6"/>
      <c r="AT340" s="6"/>
      <c r="AU340" s="89"/>
      <c r="AV340" s="100"/>
      <c r="AW340" s="65"/>
      <c r="AX340" s="3"/>
    </row>
    <row r="341" spans="35:50">
      <c r="AI341" s="99"/>
      <c r="AM341" s="99"/>
      <c r="AO341" s="99"/>
      <c r="AR341" s="6"/>
      <c r="AS341" s="6"/>
      <c r="AT341" s="6"/>
      <c r="AU341" s="89"/>
      <c r="AV341" s="100"/>
      <c r="AW341" s="65"/>
      <c r="AX341" s="3"/>
    </row>
    <row r="342" spans="35:50">
      <c r="AI342" s="99"/>
      <c r="AM342" s="99"/>
      <c r="AO342" s="99"/>
      <c r="AR342" s="6"/>
      <c r="AS342" s="6"/>
      <c r="AT342" s="6"/>
      <c r="AU342" s="89"/>
      <c r="AV342" s="100"/>
      <c r="AW342" s="65"/>
      <c r="AX342" s="3"/>
    </row>
    <row r="343" spans="35:50">
      <c r="AI343" s="99"/>
      <c r="AM343" s="99"/>
      <c r="AO343" s="99"/>
      <c r="AR343" s="6"/>
      <c r="AS343" s="6"/>
      <c r="AT343" s="6"/>
      <c r="AU343" s="89"/>
      <c r="AV343" s="100"/>
      <c r="AW343" s="65"/>
      <c r="AX343" s="3"/>
    </row>
    <row r="344" spans="35:50">
      <c r="AI344" s="99"/>
      <c r="AM344" s="99"/>
      <c r="AO344" s="99"/>
      <c r="AR344" s="6"/>
      <c r="AS344" s="6"/>
      <c r="AT344" s="6"/>
      <c r="AU344" s="89"/>
      <c r="AV344" s="100"/>
      <c r="AW344" s="65"/>
      <c r="AX344" s="3"/>
    </row>
    <row r="345" spans="35:50">
      <c r="AI345" s="99"/>
      <c r="AM345" s="99"/>
      <c r="AO345" s="99"/>
      <c r="AR345" s="6"/>
      <c r="AS345" s="6"/>
      <c r="AT345" s="6"/>
      <c r="AU345" s="89"/>
      <c r="AV345" s="100"/>
      <c r="AW345" s="65"/>
      <c r="AX345" s="3"/>
    </row>
    <row r="346" spans="35:50">
      <c r="AI346" s="99"/>
      <c r="AM346" s="99"/>
      <c r="AO346" s="99"/>
      <c r="AR346" s="6"/>
      <c r="AS346" s="6"/>
      <c r="AT346" s="6"/>
      <c r="AU346" s="89"/>
      <c r="AV346" s="100"/>
      <c r="AW346" s="65"/>
      <c r="AX346" s="3"/>
    </row>
    <row r="347" spans="35:50">
      <c r="AI347" s="99"/>
      <c r="AM347" s="99"/>
      <c r="AO347" s="99"/>
      <c r="AR347" s="6"/>
      <c r="AS347" s="6"/>
      <c r="AT347" s="6"/>
      <c r="AU347" s="89"/>
      <c r="AV347" s="100"/>
      <c r="AW347" s="65"/>
      <c r="AX347" s="3"/>
    </row>
    <row r="348" spans="35:50">
      <c r="AI348" s="99"/>
      <c r="AM348" s="99"/>
      <c r="AO348" s="99"/>
      <c r="AR348" s="6"/>
      <c r="AS348" s="6"/>
      <c r="AT348" s="6"/>
      <c r="AU348" s="89"/>
      <c r="AV348" s="100"/>
      <c r="AW348" s="65"/>
      <c r="AX348" s="3"/>
    </row>
    <row r="349" spans="35:50">
      <c r="AI349" s="99"/>
      <c r="AM349" s="99"/>
      <c r="AO349" s="99"/>
      <c r="AR349" s="6"/>
      <c r="AS349" s="6"/>
      <c r="AT349" s="6"/>
      <c r="AU349" s="89"/>
      <c r="AV349" s="100"/>
      <c r="AW349" s="65"/>
      <c r="AX349" s="3"/>
    </row>
    <row r="350" spans="35:50">
      <c r="AI350" s="99"/>
      <c r="AM350" s="99"/>
      <c r="AO350" s="99"/>
      <c r="AR350" s="6"/>
      <c r="AS350" s="6"/>
      <c r="AT350" s="6"/>
      <c r="AU350" s="89"/>
      <c r="AV350" s="100"/>
      <c r="AW350" s="65"/>
      <c r="AX350" s="3"/>
    </row>
    <row r="351" spans="35:50">
      <c r="AI351" s="99"/>
      <c r="AM351" s="99"/>
      <c r="AO351" s="99"/>
      <c r="AR351" s="6"/>
      <c r="AS351" s="6"/>
      <c r="AT351" s="6"/>
      <c r="AU351" s="89"/>
      <c r="AV351" s="100"/>
      <c r="AW351" s="65"/>
      <c r="AX351" s="3"/>
    </row>
    <row r="352" spans="35:50">
      <c r="AI352" s="99"/>
      <c r="AM352" s="99"/>
      <c r="AO352" s="99"/>
      <c r="AR352" s="6"/>
      <c r="AS352" s="6"/>
      <c r="AT352" s="6"/>
      <c r="AU352" s="89"/>
      <c r="AV352" s="100"/>
      <c r="AW352" s="65"/>
      <c r="AX352" s="3"/>
    </row>
    <row r="353" spans="35:50">
      <c r="AI353" s="99"/>
      <c r="AM353" s="99"/>
      <c r="AO353" s="99"/>
      <c r="AR353" s="6"/>
      <c r="AS353" s="6"/>
      <c r="AT353" s="6"/>
      <c r="AU353" s="89"/>
      <c r="AV353" s="100"/>
      <c r="AW353" s="65"/>
      <c r="AX353" s="3"/>
    </row>
    <row r="354" spans="35:50">
      <c r="AI354" s="99"/>
      <c r="AM354" s="99"/>
      <c r="AO354" s="99"/>
      <c r="AR354" s="6"/>
      <c r="AS354" s="6"/>
      <c r="AT354" s="6"/>
      <c r="AU354" s="89"/>
      <c r="AV354" s="100"/>
      <c r="AW354" s="65"/>
      <c r="AX354" s="3"/>
    </row>
    <row r="355" spans="35:50">
      <c r="AI355" s="99"/>
      <c r="AM355" s="99"/>
      <c r="AO355" s="99"/>
      <c r="AR355" s="6"/>
      <c r="AS355" s="6"/>
      <c r="AT355" s="6"/>
      <c r="AU355" s="89"/>
      <c r="AV355" s="100"/>
      <c r="AW355" s="65"/>
      <c r="AX355" s="3"/>
    </row>
    <row r="356" spans="35:50">
      <c r="AI356" s="99"/>
      <c r="AM356" s="99"/>
      <c r="AO356" s="99"/>
      <c r="AR356" s="6"/>
      <c r="AS356" s="6"/>
      <c r="AT356" s="6"/>
      <c r="AU356" s="89"/>
      <c r="AV356" s="100"/>
      <c r="AW356" s="65"/>
      <c r="AX356" s="3"/>
    </row>
    <row r="357" spans="35:50">
      <c r="AI357" s="99"/>
      <c r="AM357" s="99"/>
      <c r="AO357" s="99"/>
      <c r="AR357" s="6"/>
      <c r="AS357" s="6"/>
      <c r="AT357" s="6"/>
      <c r="AU357" s="89"/>
      <c r="AV357" s="100"/>
      <c r="AW357" s="65"/>
      <c r="AX357" s="3"/>
    </row>
    <row r="358" spans="35:50">
      <c r="AI358" s="99"/>
      <c r="AM358" s="99"/>
      <c r="AO358" s="99"/>
      <c r="AR358" s="6"/>
      <c r="AS358" s="6"/>
      <c r="AT358" s="6"/>
      <c r="AU358" s="89"/>
      <c r="AV358" s="100"/>
      <c r="AW358" s="65"/>
      <c r="AX358" s="3"/>
    </row>
    <row r="359" spans="35:50">
      <c r="AI359" s="99"/>
      <c r="AM359" s="99"/>
      <c r="AO359" s="99"/>
      <c r="AR359" s="6"/>
      <c r="AS359" s="6"/>
      <c r="AT359" s="6"/>
      <c r="AU359" s="89"/>
      <c r="AV359" s="100"/>
      <c r="AW359" s="65"/>
      <c r="AX359" s="3"/>
    </row>
    <row r="360" spans="35:50">
      <c r="AI360" s="99"/>
      <c r="AM360" s="99"/>
      <c r="AO360" s="99"/>
      <c r="AR360" s="6"/>
      <c r="AS360" s="6"/>
      <c r="AT360" s="6"/>
      <c r="AU360" s="89"/>
      <c r="AV360" s="100"/>
      <c r="AW360" s="65"/>
      <c r="AX360" s="3"/>
    </row>
    <row r="361" spans="35:50">
      <c r="AI361" s="99"/>
      <c r="AM361" s="99"/>
      <c r="AO361" s="99"/>
      <c r="AR361" s="6"/>
      <c r="AS361" s="6"/>
      <c r="AT361" s="6"/>
      <c r="AU361" s="89"/>
      <c r="AV361" s="100"/>
      <c r="AW361" s="65"/>
      <c r="AX361" s="3"/>
    </row>
    <row r="362" spans="35:50">
      <c r="AI362" s="99"/>
      <c r="AM362" s="99"/>
      <c r="AO362" s="99"/>
      <c r="AR362" s="6"/>
      <c r="AS362" s="6"/>
      <c r="AT362" s="6"/>
      <c r="AU362" s="89"/>
      <c r="AV362" s="100"/>
      <c r="AW362" s="65"/>
      <c r="AX362" s="3"/>
    </row>
    <row r="363" spans="35:50">
      <c r="AI363" s="99"/>
      <c r="AM363" s="99"/>
      <c r="AO363" s="99"/>
      <c r="AR363" s="6"/>
      <c r="AS363" s="6"/>
      <c r="AT363" s="6"/>
      <c r="AU363" s="89"/>
      <c r="AV363" s="100"/>
      <c r="AW363" s="65"/>
      <c r="AX363" s="3"/>
    </row>
    <row r="364" spans="35:50">
      <c r="AI364" s="99"/>
      <c r="AM364" s="99"/>
      <c r="AO364" s="99"/>
      <c r="AR364" s="6"/>
      <c r="AS364" s="6"/>
      <c r="AT364" s="6"/>
      <c r="AU364" s="89"/>
      <c r="AV364" s="100"/>
      <c r="AW364" s="65"/>
      <c r="AX364" s="3"/>
    </row>
    <row r="365" spans="35:50">
      <c r="AI365" s="99"/>
      <c r="AM365" s="99"/>
      <c r="AO365" s="99"/>
      <c r="AR365" s="6"/>
      <c r="AS365" s="6"/>
      <c r="AT365" s="6"/>
      <c r="AU365" s="89"/>
      <c r="AV365" s="100"/>
      <c r="AW365" s="65"/>
      <c r="AX365" s="3"/>
    </row>
    <row r="366" spans="35:50">
      <c r="AI366" s="99"/>
      <c r="AM366" s="99"/>
      <c r="AO366" s="99"/>
      <c r="AR366" s="6"/>
      <c r="AS366" s="6"/>
      <c r="AT366" s="6"/>
      <c r="AU366" s="89"/>
      <c r="AV366" s="100"/>
      <c r="AW366" s="65"/>
      <c r="AX366" s="3"/>
    </row>
    <row r="367" spans="35:50">
      <c r="AI367" s="99"/>
      <c r="AM367" s="99"/>
      <c r="AO367" s="99"/>
      <c r="AR367" s="6"/>
      <c r="AS367" s="6"/>
      <c r="AT367" s="6"/>
      <c r="AU367" s="89"/>
      <c r="AV367" s="100"/>
      <c r="AW367" s="65"/>
      <c r="AX367" s="3"/>
    </row>
    <row r="368" spans="35:50">
      <c r="AI368" s="99"/>
      <c r="AM368" s="99"/>
      <c r="AO368" s="99"/>
      <c r="AR368" s="6"/>
      <c r="AS368" s="6"/>
      <c r="AT368" s="6"/>
      <c r="AU368" s="89"/>
      <c r="AV368" s="100"/>
      <c r="AW368" s="65"/>
      <c r="AX368" s="3"/>
    </row>
    <row r="369" spans="35:50">
      <c r="AI369" s="99"/>
      <c r="AM369" s="99"/>
      <c r="AO369" s="99"/>
      <c r="AR369" s="6"/>
      <c r="AS369" s="6"/>
      <c r="AT369" s="6"/>
      <c r="AU369" s="89"/>
      <c r="AV369" s="100"/>
      <c r="AW369" s="65"/>
      <c r="AX369" s="3"/>
    </row>
    <row r="370" spans="35:50">
      <c r="AI370" s="99"/>
      <c r="AM370" s="99"/>
      <c r="AO370" s="99"/>
      <c r="AR370" s="6"/>
      <c r="AS370" s="6"/>
      <c r="AT370" s="6"/>
      <c r="AU370" s="89"/>
      <c r="AV370" s="100"/>
      <c r="AW370" s="65"/>
      <c r="AX370" s="3"/>
    </row>
    <row r="371" spans="35:50">
      <c r="AI371" s="99"/>
      <c r="AM371" s="99"/>
      <c r="AO371" s="99"/>
      <c r="AR371" s="6"/>
      <c r="AS371" s="6"/>
      <c r="AT371" s="6"/>
      <c r="AU371" s="89"/>
      <c r="AV371" s="100"/>
      <c r="AW371" s="65"/>
      <c r="AX371" s="3"/>
    </row>
    <row r="372" spans="35:50">
      <c r="AI372" s="99"/>
      <c r="AM372" s="99"/>
      <c r="AO372" s="99"/>
      <c r="AR372" s="6"/>
      <c r="AS372" s="6"/>
      <c r="AT372" s="6"/>
      <c r="AU372" s="89"/>
      <c r="AV372" s="100"/>
      <c r="AW372" s="65"/>
      <c r="AX372" s="3"/>
    </row>
    <row r="373" spans="35:50">
      <c r="AI373" s="99"/>
      <c r="AM373" s="99"/>
      <c r="AO373" s="99"/>
      <c r="AR373" s="6"/>
      <c r="AS373" s="6"/>
      <c r="AT373" s="6"/>
      <c r="AU373" s="89"/>
      <c r="AV373" s="100"/>
      <c r="AW373" s="65"/>
      <c r="AX373" s="3"/>
    </row>
    <row r="374" spans="35:50">
      <c r="AI374" s="99"/>
      <c r="AM374" s="99"/>
      <c r="AO374" s="99"/>
      <c r="AR374" s="6"/>
      <c r="AS374" s="6"/>
      <c r="AT374" s="6"/>
      <c r="AU374" s="89"/>
      <c r="AV374" s="100"/>
      <c r="AW374" s="65"/>
      <c r="AX374" s="3"/>
    </row>
    <row r="375" spans="35:50">
      <c r="AI375" s="99"/>
      <c r="AM375" s="99"/>
      <c r="AO375" s="99"/>
      <c r="AR375" s="6"/>
      <c r="AS375" s="6"/>
      <c r="AT375" s="6"/>
      <c r="AU375" s="89"/>
      <c r="AV375" s="100"/>
      <c r="AW375" s="65"/>
      <c r="AX375" s="3"/>
    </row>
    <row r="376" spans="35:50">
      <c r="AI376" s="99"/>
      <c r="AM376" s="99"/>
      <c r="AO376" s="99"/>
      <c r="AR376" s="6"/>
      <c r="AS376" s="6"/>
      <c r="AT376" s="6"/>
      <c r="AU376" s="89"/>
      <c r="AV376" s="100"/>
      <c r="AW376" s="65"/>
      <c r="AX376" s="3"/>
    </row>
    <row r="377" spans="35:50">
      <c r="AI377" s="99"/>
      <c r="AM377" s="99"/>
      <c r="AO377" s="99"/>
      <c r="AR377" s="6"/>
      <c r="AS377" s="6"/>
      <c r="AT377" s="6"/>
      <c r="AU377" s="89"/>
      <c r="AV377" s="100"/>
      <c r="AW377" s="65"/>
      <c r="AX377" s="3"/>
    </row>
    <row r="378" spans="35:50">
      <c r="AI378" s="99"/>
      <c r="AM378" s="99"/>
      <c r="AO378" s="99"/>
      <c r="AR378" s="6"/>
      <c r="AS378" s="6"/>
      <c r="AT378" s="6"/>
      <c r="AU378" s="89"/>
      <c r="AV378" s="100"/>
      <c r="AW378" s="65"/>
      <c r="AX378" s="3"/>
    </row>
    <row r="379" spans="35:50">
      <c r="AI379" s="99"/>
      <c r="AM379" s="99"/>
      <c r="AO379" s="99"/>
      <c r="AR379" s="6"/>
      <c r="AS379" s="6"/>
      <c r="AT379" s="6"/>
      <c r="AU379" s="89"/>
      <c r="AV379" s="100"/>
      <c r="AW379" s="65"/>
      <c r="AX379" s="3"/>
    </row>
    <row r="380" spans="35:50">
      <c r="AI380" s="99"/>
      <c r="AM380" s="99"/>
      <c r="AO380" s="99"/>
      <c r="AR380" s="6"/>
      <c r="AS380" s="6"/>
      <c r="AT380" s="6"/>
      <c r="AU380" s="89"/>
      <c r="AV380" s="100"/>
      <c r="AW380" s="65"/>
      <c r="AX380" s="3"/>
    </row>
    <row r="381" spans="35:50">
      <c r="AI381" s="99"/>
      <c r="AM381" s="99"/>
      <c r="AO381" s="99"/>
      <c r="AR381" s="6"/>
      <c r="AS381" s="6"/>
      <c r="AT381" s="6"/>
      <c r="AU381" s="89"/>
      <c r="AV381" s="100"/>
      <c r="AW381" s="65"/>
      <c r="AX381" s="3"/>
    </row>
    <row r="382" spans="35:50">
      <c r="AI382" s="99"/>
      <c r="AM382" s="99"/>
      <c r="AO382" s="99"/>
      <c r="AR382" s="6"/>
      <c r="AS382" s="6"/>
      <c r="AT382" s="6"/>
      <c r="AU382" s="89"/>
      <c r="AV382" s="100"/>
      <c r="AW382" s="65"/>
      <c r="AX382" s="3"/>
    </row>
    <row r="383" spans="35:50">
      <c r="AI383" s="99"/>
      <c r="AM383" s="99"/>
      <c r="AO383" s="99"/>
      <c r="AR383" s="6"/>
      <c r="AS383" s="6"/>
      <c r="AT383" s="6"/>
      <c r="AU383" s="89"/>
      <c r="AV383" s="100"/>
      <c r="AW383" s="65"/>
      <c r="AX383" s="3"/>
    </row>
    <row r="384" spans="35:50">
      <c r="AI384" s="99"/>
      <c r="AM384" s="99"/>
      <c r="AO384" s="99"/>
      <c r="AR384" s="6"/>
      <c r="AS384" s="6"/>
      <c r="AT384" s="6"/>
      <c r="AU384" s="89"/>
      <c r="AV384" s="100"/>
      <c r="AW384" s="65"/>
      <c r="AX384" s="3"/>
    </row>
    <row r="385" spans="35:50">
      <c r="AI385" s="99"/>
      <c r="AM385" s="99"/>
      <c r="AO385" s="99"/>
      <c r="AR385" s="6"/>
      <c r="AS385" s="6"/>
      <c r="AT385" s="6"/>
      <c r="AU385" s="89"/>
      <c r="AV385" s="100"/>
      <c r="AW385" s="65"/>
      <c r="AX385" s="3"/>
    </row>
    <row r="386" spans="35:50">
      <c r="AI386" s="99"/>
      <c r="AM386" s="99"/>
      <c r="AO386" s="99"/>
      <c r="AR386" s="6"/>
      <c r="AS386" s="6"/>
      <c r="AT386" s="6"/>
      <c r="AU386" s="89"/>
      <c r="AV386" s="100"/>
      <c r="AW386" s="65"/>
      <c r="AX386" s="3"/>
    </row>
    <row r="387" spans="35:50">
      <c r="AI387" s="99"/>
      <c r="AM387" s="99"/>
      <c r="AO387" s="99"/>
      <c r="AR387" s="6"/>
      <c r="AS387" s="6"/>
      <c r="AT387" s="6"/>
      <c r="AU387" s="89"/>
      <c r="AV387" s="100"/>
      <c r="AW387" s="65"/>
      <c r="AX387" s="3"/>
    </row>
    <row r="388" spans="35:50">
      <c r="AI388" s="99"/>
      <c r="AM388" s="99"/>
      <c r="AO388" s="99"/>
      <c r="AR388" s="6"/>
      <c r="AS388" s="6"/>
      <c r="AT388" s="6"/>
      <c r="AU388" s="89"/>
      <c r="AV388" s="100"/>
      <c r="AW388" s="65"/>
      <c r="AX388" s="3"/>
    </row>
    <row r="389" spans="35:50">
      <c r="AI389" s="99"/>
      <c r="AM389" s="99"/>
      <c r="AO389" s="99"/>
      <c r="AR389" s="6"/>
      <c r="AS389" s="6"/>
      <c r="AT389" s="6"/>
      <c r="AU389" s="89"/>
      <c r="AV389" s="100"/>
      <c r="AW389" s="65"/>
      <c r="AX389" s="3"/>
    </row>
    <row r="390" spans="35:50">
      <c r="AI390" s="99"/>
      <c r="AM390" s="99"/>
      <c r="AO390" s="99"/>
      <c r="AR390" s="6"/>
      <c r="AS390" s="6"/>
      <c r="AT390" s="6"/>
      <c r="AU390" s="89"/>
      <c r="AV390" s="100"/>
      <c r="AW390" s="65"/>
      <c r="AX390" s="3"/>
    </row>
    <row r="391" spans="35:50">
      <c r="AI391" s="99"/>
      <c r="AM391" s="99"/>
      <c r="AO391" s="99"/>
      <c r="AR391" s="6"/>
      <c r="AS391" s="6"/>
      <c r="AT391" s="6"/>
      <c r="AU391" s="89"/>
      <c r="AV391" s="100"/>
      <c r="AW391" s="65"/>
      <c r="AX391" s="3"/>
    </row>
    <row r="392" spans="35:50">
      <c r="AI392" s="99"/>
      <c r="AM392" s="99"/>
      <c r="AO392" s="99"/>
      <c r="AR392" s="6"/>
      <c r="AS392" s="6"/>
      <c r="AT392" s="6"/>
      <c r="AU392" s="89"/>
      <c r="AV392" s="100"/>
      <c r="AW392" s="65"/>
      <c r="AX392" s="3"/>
    </row>
    <row r="393" spans="35:50">
      <c r="AI393" s="99"/>
      <c r="AM393" s="99"/>
      <c r="AO393" s="99"/>
      <c r="AR393" s="6"/>
      <c r="AS393" s="6"/>
      <c r="AT393" s="6"/>
      <c r="AU393" s="89"/>
      <c r="AV393" s="100"/>
      <c r="AW393" s="65"/>
      <c r="AX393" s="3"/>
    </row>
    <row r="394" spans="35:50">
      <c r="AI394" s="99"/>
      <c r="AM394" s="99"/>
      <c r="AO394" s="99"/>
      <c r="AR394" s="6"/>
      <c r="AS394" s="6"/>
      <c r="AT394" s="6"/>
      <c r="AU394" s="89"/>
      <c r="AV394" s="100"/>
      <c r="AW394" s="65"/>
      <c r="AX394" s="3"/>
    </row>
    <row r="395" spans="35:50">
      <c r="AI395" s="99"/>
      <c r="AM395" s="99"/>
      <c r="AO395" s="99"/>
      <c r="AR395" s="6"/>
      <c r="AS395" s="6"/>
      <c r="AT395" s="6"/>
      <c r="AU395" s="89"/>
      <c r="AV395" s="100"/>
      <c r="AW395" s="65"/>
      <c r="AX395" s="3"/>
    </row>
    <row r="396" spans="35:50">
      <c r="AI396" s="99"/>
      <c r="AM396" s="99"/>
      <c r="AO396" s="99"/>
      <c r="AR396" s="6"/>
      <c r="AS396" s="6"/>
      <c r="AT396" s="6"/>
      <c r="AU396" s="89"/>
      <c r="AV396" s="100"/>
      <c r="AW396" s="65"/>
      <c r="AX396" s="3"/>
    </row>
    <row r="397" spans="35:50">
      <c r="AI397" s="99"/>
      <c r="AM397" s="99"/>
      <c r="AO397" s="99"/>
      <c r="AR397" s="6"/>
      <c r="AS397" s="6"/>
      <c r="AT397" s="6"/>
      <c r="AU397" s="89"/>
      <c r="AV397" s="100"/>
      <c r="AW397" s="65"/>
      <c r="AX397" s="3"/>
    </row>
    <row r="398" spans="35:50">
      <c r="AI398" s="99"/>
      <c r="AM398" s="99"/>
      <c r="AO398" s="99"/>
      <c r="AR398" s="6"/>
      <c r="AS398" s="6"/>
      <c r="AT398" s="6"/>
      <c r="AU398" s="89"/>
      <c r="AV398" s="100"/>
      <c r="AW398" s="65"/>
      <c r="AX398" s="3"/>
    </row>
    <row r="399" spans="35:50">
      <c r="AI399" s="99"/>
      <c r="AM399" s="99"/>
      <c r="AO399" s="99"/>
      <c r="AR399" s="6"/>
      <c r="AS399" s="6"/>
      <c r="AT399" s="6"/>
      <c r="AU399" s="89"/>
      <c r="AV399" s="100"/>
      <c r="AW399" s="65"/>
      <c r="AX399" s="3"/>
    </row>
    <row r="400" spans="35:50">
      <c r="AI400" s="99"/>
      <c r="AM400" s="99"/>
      <c r="AO400" s="99"/>
      <c r="AR400" s="6"/>
      <c r="AS400" s="6"/>
      <c r="AT400" s="6"/>
      <c r="AU400" s="89"/>
      <c r="AV400" s="100"/>
      <c r="AW400" s="65"/>
      <c r="AX400" s="3"/>
    </row>
    <row r="401" spans="35:50">
      <c r="AI401" s="99"/>
      <c r="AM401" s="99"/>
      <c r="AO401" s="99"/>
      <c r="AR401" s="6"/>
      <c r="AS401" s="6"/>
      <c r="AT401" s="6"/>
      <c r="AU401" s="89"/>
      <c r="AV401" s="100"/>
      <c r="AW401" s="65"/>
      <c r="AX401" s="3"/>
    </row>
    <row r="402" spans="35:50">
      <c r="AI402" s="99"/>
      <c r="AM402" s="99"/>
      <c r="AO402" s="99"/>
      <c r="AR402" s="6"/>
      <c r="AS402" s="6"/>
      <c r="AT402" s="6"/>
      <c r="AU402" s="89"/>
      <c r="AV402" s="100"/>
      <c r="AW402" s="65"/>
      <c r="AX402" s="3"/>
    </row>
    <row r="403" spans="35:50">
      <c r="AI403" s="99"/>
      <c r="AM403" s="99"/>
      <c r="AO403" s="99"/>
      <c r="AR403" s="6"/>
      <c r="AS403" s="6"/>
      <c r="AT403" s="6"/>
      <c r="AU403" s="89"/>
      <c r="AV403" s="100"/>
      <c r="AW403" s="65"/>
      <c r="AX403" s="3"/>
    </row>
    <row r="404" spans="35:50">
      <c r="AI404" s="99"/>
      <c r="AM404" s="99"/>
      <c r="AO404" s="99"/>
      <c r="AR404" s="6"/>
      <c r="AS404" s="6"/>
      <c r="AT404" s="6"/>
      <c r="AU404" s="89"/>
      <c r="AV404" s="100"/>
      <c r="AW404" s="65"/>
      <c r="AX404" s="3"/>
    </row>
    <row r="405" spans="35:50">
      <c r="AI405" s="99"/>
      <c r="AM405" s="99"/>
      <c r="AO405" s="99"/>
      <c r="AR405" s="6"/>
      <c r="AS405" s="6"/>
      <c r="AT405" s="6"/>
      <c r="AU405" s="89"/>
      <c r="AV405" s="100"/>
      <c r="AW405" s="65"/>
      <c r="AX405" s="3"/>
    </row>
    <row r="406" spans="35:50">
      <c r="AI406" s="99"/>
      <c r="AM406" s="99"/>
      <c r="AO406" s="99"/>
      <c r="AR406" s="6"/>
      <c r="AS406" s="6"/>
      <c r="AT406" s="6"/>
      <c r="AU406" s="89"/>
      <c r="AV406" s="100"/>
      <c r="AW406" s="65"/>
      <c r="AX406" s="3"/>
    </row>
    <row r="407" spans="35:50">
      <c r="AI407" s="99"/>
      <c r="AM407" s="99"/>
      <c r="AO407" s="99"/>
      <c r="AR407" s="6"/>
      <c r="AS407" s="6"/>
      <c r="AT407" s="6"/>
      <c r="AU407" s="89"/>
      <c r="AV407" s="100"/>
      <c r="AW407" s="65"/>
      <c r="AX407" s="3"/>
    </row>
    <row r="408" spans="35:50">
      <c r="AI408" s="99"/>
      <c r="AM408" s="99"/>
      <c r="AO408" s="99"/>
      <c r="AR408" s="6"/>
      <c r="AS408" s="6"/>
      <c r="AT408" s="6"/>
      <c r="AU408" s="89"/>
      <c r="AV408" s="100"/>
      <c r="AW408" s="65"/>
      <c r="AX408" s="3"/>
    </row>
    <row r="409" spans="35:50">
      <c r="AI409" s="99"/>
      <c r="AM409" s="99"/>
      <c r="AO409" s="99"/>
      <c r="AR409" s="6"/>
      <c r="AS409" s="6"/>
      <c r="AT409" s="6"/>
      <c r="AU409" s="89"/>
      <c r="AV409" s="100"/>
      <c r="AW409" s="65"/>
      <c r="AX409" s="3"/>
    </row>
    <row r="410" spans="35:50">
      <c r="AI410" s="99"/>
      <c r="AM410" s="99"/>
      <c r="AO410" s="99"/>
      <c r="AR410" s="6"/>
      <c r="AS410" s="6"/>
      <c r="AT410" s="6"/>
      <c r="AU410" s="89"/>
      <c r="AV410" s="100"/>
      <c r="AW410" s="65"/>
      <c r="AX410" s="3"/>
    </row>
    <row r="411" spans="35:50">
      <c r="AI411" s="99"/>
      <c r="AM411" s="99"/>
      <c r="AO411" s="99"/>
      <c r="AR411" s="6"/>
      <c r="AS411" s="6"/>
      <c r="AT411" s="6"/>
      <c r="AU411" s="89"/>
      <c r="AV411" s="100"/>
      <c r="AW411" s="65"/>
      <c r="AX411" s="3"/>
    </row>
    <row r="412" spans="35:50">
      <c r="AI412" s="99"/>
      <c r="AM412" s="99"/>
      <c r="AO412" s="99"/>
      <c r="AR412" s="6"/>
      <c r="AS412" s="6"/>
      <c r="AT412" s="6"/>
      <c r="AU412" s="89"/>
      <c r="AV412" s="100"/>
      <c r="AW412" s="65"/>
      <c r="AX412" s="3"/>
    </row>
    <row r="413" spans="35:50">
      <c r="AI413" s="99"/>
      <c r="AM413" s="99"/>
      <c r="AO413" s="99"/>
      <c r="AR413" s="6"/>
      <c r="AS413" s="6"/>
      <c r="AT413" s="6"/>
      <c r="AU413" s="89"/>
      <c r="AV413" s="100"/>
      <c r="AW413" s="65"/>
      <c r="AX413" s="3"/>
    </row>
    <row r="414" spans="35:50">
      <c r="AI414" s="99"/>
      <c r="AM414" s="99"/>
      <c r="AO414" s="99"/>
      <c r="AR414" s="6"/>
      <c r="AS414" s="6"/>
      <c r="AT414" s="6"/>
      <c r="AU414" s="89"/>
      <c r="AV414" s="100"/>
      <c r="AW414" s="65"/>
      <c r="AX414" s="3"/>
    </row>
    <row r="415" spans="35:50">
      <c r="AI415" s="99"/>
      <c r="AM415" s="99"/>
      <c r="AO415" s="99"/>
      <c r="AR415" s="6"/>
      <c r="AS415" s="6"/>
      <c r="AT415" s="6"/>
      <c r="AU415" s="89"/>
      <c r="AV415" s="100"/>
      <c r="AW415" s="65"/>
      <c r="AX415" s="3"/>
    </row>
    <row r="416" spans="35:50">
      <c r="AI416" s="99"/>
      <c r="AM416" s="99"/>
      <c r="AO416" s="99"/>
      <c r="AR416" s="6"/>
      <c r="AS416" s="6"/>
      <c r="AT416" s="6"/>
      <c r="AU416" s="89"/>
      <c r="AV416" s="100"/>
      <c r="AW416" s="65"/>
      <c r="AX416" s="3"/>
    </row>
    <row r="417" spans="35:50">
      <c r="AI417" s="99"/>
      <c r="AM417" s="99"/>
      <c r="AO417" s="99"/>
      <c r="AR417" s="6"/>
      <c r="AS417" s="6"/>
      <c r="AT417" s="6"/>
      <c r="AU417" s="89"/>
      <c r="AV417" s="100"/>
      <c r="AW417" s="65"/>
      <c r="AX417" s="3"/>
    </row>
    <row r="418" spans="35:50">
      <c r="AI418" s="99"/>
      <c r="AM418" s="99"/>
      <c r="AO418" s="99"/>
      <c r="AR418" s="6"/>
      <c r="AS418" s="6"/>
      <c r="AT418" s="6"/>
      <c r="AU418" s="89"/>
      <c r="AV418" s="100"/>
      <c r="AW418" s="65"/>
      <c r="AX418" s="3"/>
    </row>
    <row r="419" spans="35:50">
      <c r="AI419" s="99"/>
      <c r="AM419" s="99"/>
      <c r="AO419" s="99"/>
      <c r="AR419" s="6"/>
      <c r="AS419" s="6"/>
      <c r="AT419" s="6"/>
      <c r="AU419" s="89"/>
      <c r="AV419" s="100"/>
      <c r="AW419" s="65"/>
      <c r="AX419" s="3"/>
    </row>
    <row r="420" spans="35:50">
      <c r="AI420" s="99"/>
      <c r="AM420" s="99"/>
      <c r="AO420" s="99"/>
      <c r="AR420" s="6"/>
      <c r="AS420" s="6"/>
      <c r="AT420" s="6"/>
      <c r="AU420" s="89"/>
      <c r="AV420" s="100"/>
      <c r="AW420" s="65"/>
      <c r="AX420" s="3"/>
    </row>
    <row r="421" spans="35:50">
      <c r="AI421" s="99"/>
      <c r="AM421" s="99"/>
      <c r="AO421" s="99"/>
      <c r="AR421" s="6"/>
      <c r="AS421" s="6"/>
      <c r="AT421" s="6"/>
      <c r="AU421" s="89"/>
      <c r="AV421" s="100"/>
      <c r="AW421" s="65"/>
      <c r="AX421" s="3"/>
    </row>
    <row r="422" spans="35:50">
      <c r="AI422" s="99"/>
      <c r="AM422" s="99"/>
      <c r="AO422" s="99"/>
      <c r="AR422" s="6"/>
      <c r="AS422" s="6"/>
      <c r="AT422" s="6"/>
      <c r="AU422" s="89"/>
      <c r="AV422" s="100"/>
      <c r="AW422" s="65"/>
      <c r="AX422" s="3"/>
    </row>
    <row r="423" spans="35:50">
      <c r="AI423" s="99"/>
      <c r="AM423" s="99"/>
      <c r="AO423" s="99"/>
      <c r="AR423" s="6"/>
      <c r="AS423" s="6"/>
      <c r="AT423" s="6"/>
      <c r="AU423" s="89"/>
      <c r="AV423" s="100"/>
      <c r="AW423" s="65"/>
      <c r="AX423" s="3"/>
    </row>
    <row r="424" spans="35:50">
      <c r="AI424" s="99"/>
      <c r="AM424" s="99"/>
      <c r="AO424" s="99"/>
      <c r="AR424" s="6"/>
      <c r="AS424" s="6"/>
      <c r="AT424" s="6"/>
      <c r="AU424" s="89"/>
      <c r="AV424" s="100"/>
      <c r="AW424" s="65"/>
      <c r="AX424" s="3"/>
    </row>
    <row r="425" spans="35:50">
      <c r="AI425" s="99"/>
      <c r="AM425" s="99"/>
      <c r="AO425" s="99"/>
      <c r="AR425" s="6"/>
      <c r="AS425" s="6"/>
      <c r="AT425" s="6"/>
      <c r="AU425" s="89"/>
      <c r="AV425" s="100"/>
      <c r="AW425" s="65"/>
      <c r="AX425" s="3"/>
    </row>
    <row r="426" spans="35:50">
      <c r="AI426" s="99"/>
      <c r="AM426" s="99"/>
      <c r="AO426" s="99"/>
      <c r="AR426" s="6"/>
      <c r="AS426" s="6"/>
      <c r="AT426" s="6"/>
      <c r="AU426" s="89"/>
      <c r="AV426" s="100"/>
      <c r="AW426" s="65"/>
      <c r="AX426" s="3"/>
    </row>
    <row r="427" spans="35:50">
      <c r="AI427" s="99"/>
      <c r="AM427" s="99"/>
      <c r="AO427" s="99"/>
      <c r="AR427" s="6"/>
      <c r="AS427" s="6"/>
      <c r="AT427" s="6"/>
      <c r="AU427" s="89"/>
      <c r="AV427" s="100"/>
      <c r="AW427" s="65"/>
      <c r="AX427" s="3"/>
    </row>
    <row r="428" spans="35:50">
      <c r="AI428" s="99"/>
      <c r="AM428" s="99"/>
      <c r="AO428" s="99"/>
      <c r="AR428" s="6"/>
      <c r="AS428" s="6"/>
      <c r="AT428" s="6"/>
      <c r="AU428" s="89"/>
      <c r="AV428" s="100"/>
      <c r="AW428" s="65"/>
      <c r="AX428" s="3"/>
    </row>
    <row r="429" spans="35:50">
      <c r="AI429" s="99"/>
      <c r="AM429" s="99"/>
      <c r="AO429" s="99"/>
      <c r="AR429" s="6"/>
      <c r="AS429" s="6"/>
      <c r="AT429" s="6"/>
      <c r="AU429" s="89"/>
      <c r="AV429" s="100"/>
      <c r="AW429" s="65"/>
      <c r="AX429" s="3"/>
    </row>
    <row r="430" spans="35:50">
      <c r="AI430" s="99"/>
      <c r="AM430" s="99"/>
      <c r="AO430" s="99"/>
      <c r="AR430" s="6"/>
      <c r="AS430" s="6"/>
      <c r="AT430" s="6"/>
      <c r="AU430" s="89"/>
      <c r="AV430" s="100"/>
      <c r="AW430" s="65"/>
      <c r="AX430" s="3"/>
    </row>
    <row r="431" spans="35:50">
      <c r="AI431" s="99"/>
      <c r="AM431" s="99"/>
      <c r="AO431" s="99"/>
      <c r="AR431" s="6"/>
      <c r="AS431" s="6"/>
      <c r="AT431" s="6"/>
      <c r="AU431" s="89"/>
      <c r="AV431" s="100"/>
      <c r="AW431" s="65"/>
      <c r="AX431" s="3"/>
    </row>
    <row r="432" spans="35:50">
      <c r="AI432" s="99"/>
      <c r="AM432" s="99"/>
      <c r="AO432" s="99"/>
      <c r="AR432" s="6"/>
      <c r="AS432" s="6"/>
      <c r="AT432" s="6"/>
      <c r="AU432" s="89"/>
      <c r="AV432" s="100"/>
      <c r="AW432" s="65"/>
      <c r="AX432" s="3"/>
    </row>
    <row r="433" spans="35:50">
      <c r="AI433" s="99"/>
      <c r="AM433" s="99"/>
      <c r="AO433" s="99"/>
      <c r="AR433" s="6"/>
      <c r="AS433" s="6"/>
      <c r="AT433" s="6"/>
      <c r="AU433" s="89"/>
      <c r="AV433" s="100"/>
      <c r="AW433" s="65"/>
      <c r="AX433" s="3"/>
    </row>
    <row r="434" spans="35:50">
      <c r="AI434" s="99"/>
      <c r="AM434" s="99"/>
      <c r="AO434" s="99"/>
      <c r="AR434" s="6"/>
      <c r="AS434" s="6"/>
      <c r="AT434" s="6"/>
      <c r="AU434" s="89"/>
      <c r="AV434" s="100"/>
      <c r="AW434" s="65"/>
      <c r="AX434" s="3"/>
    </row>
    <row r="435" spans="35:50">
      <c r="AI435" s="99"/>
      <c r="AM435" s="99"/>
      <c r="AO435" s="99"/>
      <c r="AR435" s="6"/>
      <c r="AS435" s="6"/>
      <c r="AT435" s="6"/>
      <c r="AU435" s="89"/>
      <c r="AV435" s="100"/>
      <c r="AW435" s="65"/>
      <c r="AX435" s="3"/>
    </row>
    <row r="436" spans="35:50">
      <c r="AI436" s="99"/>
      <c r="AM436" s="99"/>
      <c r="AO436" s="99"/>
      <c r="AR436" s="6"/>
      <c r="AS436" s="6"/>
      <c r="AT436" s="6"/>
      <c r="AU436" s="89"/>
      <c r="AV436" s="100"/>
      <c r="AW436" s="65"/>
      <c r="AX436" s="3"/>
    </row>
    <row r="437" spans="35:50">
      <c r="AI437" s="99"/>
      <c r="AM437" s="99"/>
      <c r="AO437" s="99"/>
      <c r="AR437" s="6"/>
      <c r="AS437" s="6"/>
      <c r="AT437" s="6"/>
      <c r="AU437" s="89"/>
      <c r="AV437" s="100"/>
      <c r="AW437" s="65"/>
      <c r="AX437" s="3"/>
    </row>
    <row r="438" spans="35:50">
      <c r="AI438" s="99"/>
      <c r="AM438" s="99"/>
      <c r="AO438" s="99"/>
      <c r="AR438" s="6"/>
      <c r="AS438" s="6"/>
      <c r="AT438" s="6"/>
      <c r="AU438" s="89"/>
      <c r="AV438" s="100"/>
      <c r="AW438" s="65"/>
      <c r="AX438" s="3"/>
    </row>
    <row r="439" spans="35:50">
      <c r="AI439" s="99"/>
      <c r="AM439" s="99"/>
      <c r="AO439" s="99"/>
      <c r="AR439" s="6"/>
      <c r="AS439" s="6"/>
      <c r="AT439" s="6"/>
      <c r="AU439" s="89"/>
      <c r="AV439" s="100"/>
      <c r="AW439" s="65"/>
      <c r="AX439" s="3"/>
    </row>
    <row r="440" spans="35:50">
      <c r="AI440" s="99"/>
      <c r="AM440" s="99"/>
      <c r="AO440" s="99"/>
      <c r="AR440" s="6"/>
      <c r="AS440" s="6"/>
      <c r="AT440" s="6"/>
      <c r="AU440" s="89"/>
      <c r="AV440" s="100"/>
      <c r="AW440" s="65"/>
      <c r="AX440" s="3"/>
    </row>
    <row r="441" spans="35:50">
      <c r="AI441" s="99"/>
      <c r="AM441" s="99"/>
      <c r="AO441" s="99"/>
      <c r="AR441" s="6"/>
      <c r="AS441" s="6"/>
      <c r="AT441" s="6"/>
      <c r="AU441" s="89"/>
      <c r="AV441" s="100"/>
      <c r="AW441" s="65"/>
      <c r="AX441" s="3"/>
    </row>
    <row r="442" spans="35:50">
      <c r="AI442" s="99"/>
      <c r="AM442" s="99"/>
      <c r="AO442" s="99"/>
      <c r="AR442" s="6"/>
      <c r="AS442" s="6"/>
      <c r="AT442" s="6"/>
      <c r="AU442" s="89"/>
      <c r="AV442" s="100"/>
      <c r="AW442" s="65"/>
      <c r="AX442" s="3"/>
    </row>
    <row r="443" spans="35:50">
      <c r="AI443" s="99"/>
      <c r="AM443" s="99"/>
      <c r="AO443" s="99"/>
      <c r="AR443" s="6"/>
      <c r="AS443" s="6"/>
      <c r="AT443" s="6"/>
      <c r="AU443" s="89"/>
      <c r="AV443" s="100"/>
      <c r="AW443" s="65"/>
      <c r="AX443" s="3"/>
    </row>
    <row r="444" spans="35:50">
      <c r="AI444" s="99"/>
      <c r="AM444" s="99"/>
      <c r="AO444" s="99"/>
      <c r="AR444" s="6"/>
      <c r="AS444" s="6"/>
      <c r="AT444" s="6"/>
      <c r="AU444" s="89"/>
      <c r="AV444" s="100"/>
      <c r="AW444" s="65"/>
      <c r="AX444" s="3"/>
    </row>
    <row r="445" spans="35:50">
      <c r="AI445" s="99"/>
      <c r="AM445" s="99"/>
      <c r="AO445" s="99"/>
      <c r="AR445" s="6"/>
      <c r="AS445" s="6"/>
      <c r="AT445" s="6"/>
      <c r="AU445" s="89"/>
      <c r="AV445" s="100"/>
      <c r="AW445" s="65"/>
      <c r="AX445" s="3"/>
    </row>
    <row r="446" spans="35:50">
      <c r="AI446" s="99"/>
      <c r="AM446" s="99"/>
      <c r="AO446" s="99"/>
      <c r="AR446" s="6"/>
      <c r="AS446" s="6"/>
      <c r="AT446" s="6"/>
      <c r="AU446" s="89"/>
      <c r="AV446" s="100"/>
      <c r="AW446" s="65"/>
      <c r="AX446" s="3"/>
    </row>
    <row r="447" spans="35:50">
      <c r="AI447" s="99"/>
      <c r="AM447" s="99"/>
      <c r="AO447" s="99"/>
      <c r="AR447" s="6"/>
      <c r="AS447" s="6"/>
      <c r="AT447" s="6"/>
      <c r="AU447" s="89"/>
      <c r="AV447" s="100"/>
      <c r="AW447" s="65"/>
      <c r="AX447" s="3"/>
    </row>
    <row r="448" spans="35:50">
      <c r="AI448" s="99"/>
      <c r="AM448" s="99"/>
      <c r="AO448" s="99"/>
      <c r="AR448" s="6"/>
      <c r="AS448" s="6"/>
      <c r="AT448" s="6"/>
      <c r="AU448" s="89"/>
      <c r="AV448" s="100"/>
      <c r="AW448" s="65"/>
      <c r="AX448" s="3"/>
    </row>
    <row r="449" spans="35:50">
      <c r="AI449" s="99"/>
      <c r="AM449" s="99"/>
      <c r="AO449" s="99"/>
      <c r="AR449" s="6"/>
      <c r="AS449" s="6"/>
      <c r="AT449" s="6"/>
      <c r="AU449" s="89"/>
      <c r="AV449" s="100"/>
      <c r="AW449" s="65"/>
      <c r="AX449" s="3"/>
    </row>
    <row r="450" spans="35:50">
      <c r="AI450" s="99"/>
      <c r="AM450" s="99"/>
      <c r="AO450" s="99"/>
      <c r="AR450" s="6"/>
      <c r="AS450" s="6"/>
      <c r="AT450" s="6"/>
      <c r="AU450" s="89"/>
      <c r="AV450" s="100"/>
      <c r="AW450" s="65"/>
      <c r="AX450" s="3"/>
    </row>
    <row r="451" spans="35:50">
      <c r="AI451" s="99"/>
      <c r="AM451" s="99"/>
      <c r="AO451" s="99"/>
      <c r="AR451" s="6"/>
      <c r="AS451" s="6"/>
      <c r="AT451" s="6"/>
      <c r="AU451" s="89"/>
      <c r="AV451" s="100"/>
      <c r="AW451" s="65"/>
      <c r="AX451" s="3"/>
    </row>
    <row r="452" spans="35:50">
      <c r="AI452" s="99"/>
      <c r="AM452" s="99"/>
      <c r="AO452" s="99"/>
      <c r="AR452" s="6"/>
      <c r="AS452" s="6"/>
      <c r="AT452" s="6"/>
      <c r="AU452" s="89"/>
      <c r="AV452" s="100"/>
      <c r="AW452" s="65"/>
      <c r="AX452" s="3"/>
    </row>
    <row r="453" spans="35:50">
      <c r="AI453" s="99"/>
      <c r="AM453" s="99"/>
      <c r="AO453" s="99"/>
      <c r="AR453" s="6"/>
      <c r="AS453" s="6"/>
      <c r="AT453" s="6"/>
      <c r="AU453" s="89"/>
      <c r="AV453" s="100"/>
      <c r="AW453" s="65"/>
      <c r="AX453" s="3"/>
    </row>
    <row r="454" spans="35:50">
      <c r="AI454" s="99"/>
      <c r="AM454" s="99"/>
      <c r="AO454" s="99"/>
      <c r="AR454" s="6"/>
      <c r="AS454" s="6"/>
      <c r="AT454" s="6"/>
      <c r="AU454" s="89"/>
      <c r="AV454" s="100"/>
      <c r="AW454" s="65"/>
      <c r="AX454" s="3"/>
    </row>
    <row r="455" spans="35:50">
      <c r="AI455" s="99"/>
      <c r="AM455" s="99"/>
      <c r="AO455" s="99"/>
      <c r="AR455" s="6"/>
      <c r="AS455" s="6"/>
      <c r="AT455" s="6"/>
      <c r="AU455" s="89"/>
      <c r="AV455" s="100"/>
      <c r="AW455" s="65"/>
      <c r="AX455" s="3"/>
    </row>
    <row r="456" spans="35:50">
      <c r="AI456" s="99"/>
      <c r="AM456" s="99"/>
      <c r="AO456" s="99"/>
      <c r="AR456" s="6"/>
      <c r="AS456" s="6"/>
      <c r="AT456" s="6"/>
      <c r="AU456" s="89"/>
      <c r="AV456" s="100"/>
      <c r="AW456" s="65"/>
      <c r="AX456" s="3"/>
    </row>
    <row r="457" spans="35:50">
      <c r="AI457" s="99"/>
      <c r="AM457" s="99"/>
      <c r="AO457" s="99"/>
      <c r="AR457" s="6"/>
      <c r="AS457" s="6"/>
      <c r="AT457" s="6"/>
      <c r="AU457" s="89"/>
      <c r="AV457" s="100"/>
      <c r="AW457" s="65"/>
      <c r="AX457" s="3"/>
    </row>
    <row r="458" spans="35:50">
      <c r="AI458" s="99"/>
      <c r="AM458" s="99"/>
      <c r="AO458" s="99"/>
      <c r="AR458" s="6"/>
      <c r="AS458" s="6"/>
      <c r="AT458" s="6"/>
      <c r="AU458" s="89"/>
      <c r="AV458" s="100"/>
      <c r="AW458" s="65"/>
      <c r="AX458" s="3"/>
    </row>
    <row r="459" spans="35:50">
      <c r="AI459" s="99"/>
      <c r="AM459" s="99"/>
      <c r="AO459" s="99"/>
      <c r="AR459" s="6"/>
      <c r="AS459" s="6"/>
      <c r="AT459" s="6"/>
      <c r="AU459" s="89"/>
      <c r="AV459" s="100"/>
      <c r="AW459" s="65"/>
      <c r="AX459" s="3"/>
    </row>
    <row r="460" spans="35:50">
      <c r="AI460" s="99"/>
      <c r="AM460" s="99"/>
      <c r="AO460" s="99"/>
      <c r="AR460" s="6"/>
      <c r="AS460" s="6"/>
      <c r="AT460" s="6"/>
      <c r="AU460" s="89"/>
      <c r="AV460" s="100"/>
      <c r="AW460" s="65"/>
      <c r="AX460" s="3"/>
    </row>
    <row r="461" spans="35:50">
      <c r="AI461" s="99"/>
      <c r="AM461" s="99"/>
      <c r="AO461" s="99"/>
      <c r="AR461" s="6"/>
      <c r="AS461" s="6"/>
      <c r="AT461" s="6"/>
      <c r="AU461" s="89"/>
      <c r="AV461" s="100"/>
      <c r="AW461" s="65"/>
      <c r="AX461" s="3"/>
    </row>
    <row r="462" spans="35:50">
      <c r="AI462" s="99"/>
      <c r="AM462" s="99"/>
      <c r="AO462" s="99"/>
      <c r="AR462" s="6"/>
      <c r="AS462" s="6"/>
      <c r="AT462" s="6"/>
      <c r="AU462" s="89"/>
      <c r="AV462" s="100"/>
      <c r="AW462" s="65"/>
      <c r="AX462" s="3"/>
    </row>
    <row r="463" spans="35:50">
      <c r="AI463" s="99"/>
      <c r="AM463" s="99"/>
      <c r="AO463" s="99"/>
      <c r="AR463" s="6"/>
      <c r="AS463" s="6"/>
      <c r="AT463" s="6"/>
      <c r="AU463" s="89"/>
      <c r="AV463" s="100"/>
      <c r="AW463" s="65"/>
      <c r="AX463" s="3"/>
    </row>
    <row r="464" spans="35:50">
      <c r="AI464" s="99"/>
      <c r="AM464" s="99"/>
      <c r="AO464" s="99"/>
      <c r="AR464" s="6"/>
      <c r="AS464" s="6"/>
      <c r="AT464" s="6"/>
      <c r="AU464" s="89"/>
      <c r="AV464" s="100"/>
      <c r="AW464" s="65"/>
      <c r="AX464" s="3"/>
    </row>
    <row r="465" spans="35:50">
      <c r="AI465" s="99"/>
      <c r="AM465" s="99"/>
      <c r="AO465" s="99"/>
      <c r="AR465" s="6"/>
      <c r="AS465" s="6"/>
      <c r="AT465" s="6"/>
      <c r="AU465" s="89"/>
      <c r="AV465" s="100"/>
      <c r="AW465" s="65"/>
      <c r="AX465" s="3"/>
    </row>
    <row r="466" spans="35:50">
      <c r="AI466" s="99"/>
      <c r="AM466" s="99"/>
      <c r="AO466" s="99"/>
      <c r="AR466" s="6"/>
      <c r="AS466" s="6"/>
      <c r="AT466" s="6"/>
      <c r="AU466" s="89"/>
      <c r="AV466" s="100"/>
      <c r="AW466" s="65"/>
      <c r="AX466" s="3"/>
    </row>
    <row r="467" spans="35:50">
      <c r="AI467" s="99"/>
      <c r="AM467" s="99"/>
      <c r="AO467" s="99"/>
      <c r="AR467" s="6"/>
      <c r="AS467" s="6"/>
      <c r="AT467" s="6"/>
      <c r="AU467" s="89"/>
      <c r="AV467" s="100"/>
      <c r="AW467" s="65"/>
      <c r="AX467" s="3"/>
    </row>
    <row r="468" spans="35:50">
      <c r="AI468" s="99"/>
      <c r="AM468" s="99"/>
      <c r="AO468" s="99"/>
      <c r="AR468" s="6"/>
      <c r="AS468" s="6"/>
      <c r="AT468" s="6"/>
      <c r="AU468" s="89"/>
      <c r="AV468" s="100"/>
      <c r="AW468" s="65"/>
      <c r="AX468" s="3"/>
    </row>
    <row r="469" spans="35:50">
      <c r="AI469" s="99"/>
      <c r="AM469" s="99"/>
      <c r="AO469" s="99"/>
      <c r="AR469" s="6"/>
      <c r="AS469" s="6"/>
      <c r="AT469" s="6"/>
      <c r="AU469" s="89"/>
      <c r="AV469" s="100"/>
      <c r="AW469" s="65"/>
      <c r="AX469" s="3"/>
    </row>
    <row r="470" spans="35:50">
      <c r="AI470" s="99"/>
      <c r="AM470" s="99"/>
      <c r="AO470" s="99"/>
      <c r="AR470" s="6"/>
      <c r="AS470" s="6"/>
      <c r="AT470" s="6"/>
      <c r="AU470" s="89"/>
      <c r="AV470" s="100"/>
      <c r="AW470" s="65"/>
      <c r="AX470" s="3"/>
    </row>
    <row r="471" spans="35:50">
      <c r="AI471" s="99"/>
      <c r="AM471" s="99"/>
      <c r="AO471" s="99"/>
      <c r="AR471" s="6"/>
      <c r="AS471" s="6"/>
      <c r="AT471" s="6"/>
      <c r="AU471" s="89"/>
      <c r="AV471" s="100"/>
      <c r="AW471" s="65"/>
      <c r="AX471" s="3"/>
    </row>
    <row r="472" spans="35:50">
      <c r="AI472" s="99"/>
      <c r="AM472" s="99"/>
      <c r="AO472" s="99"/>
      <c r="AR472" s="6"/>
      <c r="AS472" s="6"/>
      <c r="AT472" s="6"/>
      <c r="AU472" s="89"/>
      <c r="AV472" s="100"/>
      <c r="AW472" s="65"/>
      <c r="AX472" s="3"/>
    </row>
    <row r="473" spans="35:50">
      <c r="AI473" s="99"/>
      <c r="AM473" s="99"/>
      <c r="AO473" s="99"/>
      <c r="AR473" s="6"/>
      <c r="AS473" s="6"/>
      <c r="AT473" s="6"/>
      <c r="AU473" s="89"/>
      <c r="AV473" s="100"/>
      <c r="AW473" s="65"/>
      <c r="AX473" s="3"/>
    </row>
    <row r="474" spans="35:50">
      <c r="AI474" s="99"/>
      <c r="AM474" s="99"/>
      <c r="AO474" s="99"/>
      <c r="AR474" s="6"/>
      <c r="AS474" s="6"/>
      <c r="AT474" s="6"/>
      <c r="AU474" s="89"/>
      <c r="AV474" s="100"/>
      <c r="AW474" s="65"/>
      <c r="AX474" s="3"/>
    </row>
    <row r="475" spans="35:50">
      <c r="AI475" s="99"/>
      <c r="AM475" s="99"/>
      <c r="AO475" s="99"/>
      <c r="AR475" s="6"/>
      <c r="AS475" s="6"/>
      <c r="AT475" s="6"/>
      <c r="AU475" s="89"/>
      <c r="AV475" s="100"/>
      <c r="AW475" s="65"/>
      <c r="AX475" s="3"/>
    </row>
    <row r="476" spans="35:50">
      <c r="AI476" s="99"/>
      <c r="AM476" s="99"/>
      <c r="AO476" s="99"/>
      <c r="AR476" s="6"/>
      <c r="AS476" s="6"/>
      <c r="AT476" s="6"/>
      <c r="AU476" s="89"/>
      <c r="AV476" s="100"/>
      <c r="AW476" s="65"/>
      <c r="AX476" s="3"/>
    </row>
    <row r="477" spans="35:50">
      <c r="AI477" s="99"/>
      <c r="AM477" s="99"/>
      <c r="AO477" s="99"/>
      <c r="AR477" s="6"/>
      <c r="AS477" s="6"/>
      <c r="AT477" s="6"/>
      <c r="AU477" s="89"/>
      <c r="AV477" s="100"/>
      <c r="AW477" s="65"/>
      <c r="AX477" s="3"/>
    </row>
    <row r="478" spans="35:50">
      <c r="AI478" s="99"/>
      <c r="AM478" s="99"/>
      <c r="AO478" s="99"/>
      <c r="AR478" s="6"/>
      <c r="AS478" s="6"/>
      <c r="AT478" s="6"/>
      <c r="AU478" s="89"/>
      <c r="AV478" s="100"/>
      <c r="AW478" s="65"/>
      <c r="AX478" s="3"/>
    </row>
    <row r="479" spans="35:50">
      <c r="AI479" s="99"/>
      <c r="AM479" s="99"/>
      <c r="AO479" s="99"/>
      <c r="AR479" s="6"/>
      <c r="AS479" s="6"/>
      <c r="AT479" s="6"/>
      <c r="AU479" s="89"/>
      <c r="AV479" s="100"/>
      <c r="AW479" s="65"/>
      <c r="AX479" s="3"/>
    </row>
    <row r="480" spans="35:50">
      <c r="AI480" s="99"/>
      <c r="AM480" s="99"/>
      <c r="AO480" s="99"/>
      <c r="AR480" s="6"/>
      <c r="AS480" s="6"/>
      <c r="AT480" s="6"/>
      <c r="AU480" s="89"/>
      <c r="AV480" s="100"/>
      <c r="AW480" s="65"/>
      <c r="AX480" s="3"/>
    </row>
    <row r="481" spans="35:50">
      <c r="AI481" s="99"/>
      <c r="AM481" s="99"/>
      <c r="AO481" s="99"/>
      <c r="AR481" s="6"/>
      <c r="AS481" s="6"/>
      <c r="AT481" s="6"/>
      <c r="AU481" s="89"/>
      <c r="AV481" s="100"/>
      <c r="AW481" s="65"/>
      <c r="AX481" s="3"/>
    </row>
    <row r="482" spans="35:50">
      <c r="AI482" s="99"/>
      <c r="AM482" s="99"/>
      <c r="AO482" s="99"/>
      <c r="AR482" s="6"/>
      <c r="AS482" s="6"/>
      <c r="AT482" s="6"/>
      <c r="AU482" s="89"/>
      <c r="AV482" s="100"/>
      <c r="AW482" s="65"/>
      <c r="AX482" s="3"/>
    </row>
    <row r="483" spans="35:50">
      <c r="AI483" s="99"/>
      <c r="AM483" s="99"/>
      <c r="AO483" s="99"/>
      <c r="AR483" s="6"/>
      <c r="AS483" s="6"/>
      <c r="AT483" s="6"/>
      <c r="AU483" s="89"/>
      <c r="AV483" s="100"/>
      <c r="AW483" s="65"/>
      <c r="AX483" s="3"/>
    </row>
    <row r="484" spans="35:50">
      <c r="AI484" s="99"/>
      <c r="AM484" s="99"/>
      <c r="AO484" s="99"/>
      <c r="AR484" s="6"/>
      <c r="AS484" s="6"/>
      <c r="AT484" s="6"/>
      <c r="AU484" s="89"/>
      <c r="AV484" s="100"/>
      <c r="AW484" s="65"/>
      <c r="AX484" s="3"/>
    </row>
    <row r="485" spans="35:50">
      <c r="AI485" s="99"/>
      <c r="AM485" s="99"/>
      <c r="AO485" s="99"/>
      <c r="AR485" s="6"/>
      <c r="AS485" s="6"/>
      <c r="AT485" s="6"/>
      <c r="AU485" s="89"/>
      <c r="AV485" s="100"/>
      <c r="AW485" s="65"/>
      <c r="AX485" s="3"/>
    </row>
    <row r="486" spans="35:50">
      <c r="AI486" s="99"/>
      <c r="AM486" s="99"/>
      <c r="AO486" s="99"/>
      <c r="AR486" s="6"/>
      <c r="AS486" s="6"/>
      <c r="AT486" s="6"/>
      <c r="AU486" s="89"/>
      <c r="AV486" s="100"/>
      <c r="AW486" s="65"/>
      <c r="AX486" s="3"/>
    </row>
    <row r="487" spans="35:50">
      <c r="AI487" s="99"/>
      <c r="AM487" s="99"/>
      <c r="AO487" s="99"/>
      <c r="AR487" s="6"/>
      <c r="AS487" s="6"/>
      <c r="AT487" s="6"/>
      <c r="AU487" s="89"/>
      <c r="AV487" s="100"/>
      <c r="AW487" s="65"/>
      <c r="AX487" s="3"/>
    </row>
    <row r="488" spans="35:50">
      <c r="AI488" s="99"/>
      <c r="AM488" s="99"/>
      <c r="AO488" s="99"/>
      <c r="AR488" s="6"/>
      <c r="AS488" s="6"/>
      <c r="AT488" s="6"/>
      <c r="AU488" s="89"/>
      <c r="AV488" s="100"/>
      <c r="AW488" s="65"/>
      <c r="AX488" s="3"/>
    </row>
    <row r="489" spans="35:50">
      <c r="AI489" s="99"/>
      <c r="AM489" s="99"/>
      <c r="AO489" s="99"/>
      <c r="AR489" s="6"/>
      <c r="AS489" s="6"/>
      <c r="AT489" s="6"/>
      <c r="AU489" s="89"/>
      <c r="AV489" s="100"/>
      <c r="AW489" s="65"/>
      <c r="AX489" s="3"/>
    </row>
    <row r="490" spans="35:50">
      <c r="AI490" s="99"/>
      <c r="AM490" s="99"/>
      <c r="AO490" s="99"/>
      <c r="AR490" s="6"/>
      <c r="AS490" s="6"/>
      <c r="AT490" s="6"/>
      <c r="AU490" s="89"/>
      <c r="AV490" s="100"/>
      <c r="AW490" s="65"/>
      <c r="AX490" s="3"/>
    </row>
    <row r="491" spans="35:50">
      <c r="AI491" s="99"/>
      <c r="AM491" s="99"/>
      <c r="AO491" s="99"/>
      <c r="AR491" s="6"/>
      <c r="AS491" s="6"/>
      <c r="AT491" s="6"/>
      <c r="AU491" s="89"/>
      <c r="AV491" s="100"/>
      <c r="AW491" s="65"/>
      <c r="AX491" s="3"/>
    </row>
    <row r="492" spans="35:50">
      <c r="AI492" s="99"/>
      <c r="AM492" s="99"/>
      <c r="AO492" s="99"/>
      <c r="AR492" s="6"/>
      <c r="AS492" s="6"/>
      <c r="AT492" s="6"/>
      <c r="AU492" s="89"/>
      <c r="AV492" s="100"/>
      <c r="AW492" s="65"/>
      <c r="AX492" s="3"/>
    </row>
    <row r="493" spans="35:50">
      <c r="AI493" s="99"/>
      <c r="AM493" s="99"/>
      <c r="AO493" s="99"/>
      <c r="AR493" s="6"/>
      <c r="AS493" s="6"/>
      <c r="AT493" s="6"/>
      <c r="AU493" s="89"/>
      <c r="AV493" s="100"/>
      <c r="AW493" s="65"/>
      <c r="AX493" s="3"/>
    </row>
    <row r="494" spans="35:50">
      <c r="AI494" s="99"/>
      <c r="AM494" s="99"/>
      <c r="AO494" s="99"/>
      <c r="AR494" s="6"/>
      <c r="AS494" s="6"/>
      <c r="AT494" s="6"/>
      <c r="AU494" s="89"/>
      <c r="AV494" s="100"/>
      <c r="AW494" s="65"/>
      <c r="AX494" s="3"/>
    </row>
    <row r="495" spans="35:50">
      <c r="AI495" s="99"/>
      <c r="AM495" s="99"/>
      <c r="AO495" s="99"/>
      <c r="AR495" s="6"/>
      <c r="AS495" s="6"/>
      <c r="AT495" s="6"/>
      <c r="AU495" s="89"/>
      <c r="AV495" s="100"/>
      <c r="AW495" s="65"/>
      <c r="AX495" s="3"/>
    </row>
    <row r="496" spans="35:50">
      <c r="AI496" s="99"/>
      <c r="AM496" s="99"/>
      <c r="AO496" s="99"/>
      <c r="AR496" s="6"/>
      <c r="AS496" s="6"/>
      <c r="AT496" s="6"/>
      <c r="AU496" s="89"/>
      <c r="AV496" s="100"/>
      <c r="AW496" s="65"/>
      <c r="AX496" s="3"/>
    </row>
    <row r="497" spans="35:50">
      <c r="AI497" s="99"/>
      <c r="AM497" s="99"/>
      <c r="AO497" s="99"/>
      <c r="AR497" s="6"/>
      <c r="AS497" s="6"/>
      <c r="AT497" s="6"/>
      <c r="AU497" s="89"/>
      <c r="AV497" s="100"/>
      <c r="AW497" s="65"/>
      <c r="AX497" s="3"/>
    </row>
    <row r="498" spans="35:50">
      <c r="AI498" s="99"/>
      <c r="AM498" s="99"/>
      <c r="AO498" s="99"/>
      <c r="AR498" s="6"/>
      <c r="AS498" s="6"/>
      <c r="AT498" s="6"/>
      <c r="AU498" s="89"/>
      <c r="AV498" s="100"/>
      <c r="AW498" s="65"/>
      <c r="AX498" s="3"/>
    </row>
    <row r="499" spans="35:50">
      <c r="AI499" s="99"/>
      <c r="AM499" s="99"/>
      <c r="AO499" s="99"/>
      <c r="AR499" s="6"/>
      <c r="AS499" s="6"/>
      <c r="AT499" s="6"/>
      <c r="AU499" s="89"/>
      <c r="AV499" s="100"/>
      <c r="AW499" s="65"/>
      <c r="AX499" s="3"/>
    </row>
    <row r="500" spans="35:50">
      <c r="AI500" s="99"/>
      <c r="AM500" s="99"/>
      <c r="AO500" s="99"/>
      <c r="AR500" s="6"/>
      <c r="AS500" s="6"/>
      <c r="AT500" s="6"/>
      <c r="AU500" s="89"/>
      <c r="AV500" s="100"/>
      <c r="AW500" s="65"/>
      <c r="AX500" s="3"/>
    </row>
    <row r="501" spans="35:50">
      <c r="AI501" s="99"/>
      <c r="AM501" s="99"/>
      <c r="AO501" s="99"/>
      <c r="AR501" s="6"/>
      <c r="AS501" s="6"/>
      <c r="AT501" s="6"/>
      <c r="AU501" s="89"/>
      <c r="AV501" s="100"/>
      <c r="AW501" s="65"/>
      <c r="AX501" s="3"/>
    </row>
    <row r="502" spans="35:50">
      <c r="AI502" s="99"/>
      <c r="AM502" s="99"/>
      <c r="AO502" s="99"/>
      <c r="AR502" s="6"/>
      <c r="AS502" s="6"/>
      <c r="AT502" s="6"/>
      <c r="AU502" s="89"/>
      <c r="AV502" s="100"/>
      <c r="AW502" s="65"/>
      <c r="AX502" s="3"/>
    </row>
    <row r="503" spans="35:50">
      <c r="AI503" s="99"/>
      <c r="AM503" s="99"/>
      <c r="AO503" s="99"/>
      <c r="AR503" s="6"/>
      <c r="AS503" s="6"/>
      <c r="AT503" s="6"/>
      <c r="AU503" s="89"/>
      <c r="AV503" s="100"/>
      <c r="AW503" s="65"/>
      <c r="AX503" s="3"/>
    </row>
    <row r="504" spans="35:50">
      <c r="AI504" s="99"/>
      <c r="AM504" s="99"/>
      <c r="AO504" s="99"/>
      <c r="AR504" s="6"/>
      <c r="AS504" s="6"/>
      <c r="AT504" s="6"/>
      <c r="AU504" s="89"/>
      <c r="AV504" s="100"/>
      <c r="AW504" s="65"/>
      <c r="AX504" s="3"/>
    </row>
    <row r="505" spans="35:50">
      <c r="AI505" s="99"/>
      <c r="AM505" s="99"/>
      <c r="AO505" s="99"/>
      <c r="AR505" s="6"/>
      <c r="AS505" s="6"/>
      <c r="AT505" s="6"/>
      <c r="AU505" s="89"/>
      <c r="AV505" s="100"/>
      <c r="AW505" s="65"/>
      <c r="AX505" s="3"/>
    </row>
    <row r="506" spans="35:50">
      <c r="AI506" s="99"/>
      <c r="AM506" s="99"/>
      <c r="AO506" s="99"/>
      <c r="AR506" s="6"/>
      <c r="AS506" s="6"/>
      <c r="AT506" s="6"/>
      <c r="AU506" s="89"/>
      <c r="AV506" s="100"/>
      <c r="AW506" s="65"/>
      <c r="AX506" s="3"/>
    </row>
    <row r="507" spans="35:50">
      <c r="AI507" s="99"/>
      <c r="AM507" s="99"/>
      <c r="AO507" s="99"/>
      <c r="AR507" s="6"/>
      <c r="AS507" s="6"/>
      <c r="AT507" s="6"/>
      <c r="AU507" s="89"/>
      <c r="AV507" s="100"/>
      <c r="AW507" s="65"/>
      <c r="AX507" s="3"/>
    </row>
    <row r="508" spans="35:50">
      <c r="AI508" s="99"/>
      <c r="AM508" s="99"/>
      <c r="AO508" s="99"/>
      <c r="AR508" s="6"/>
      <c r="AS508" s="6"/>
      <c r="AT508" s="6"/>
      <c r="AU508" s="89"/>
      <c r="AV508" s="100"/>
      <c r="AW508" s="65"/>
      <c r="AX508" s="3"/>
    </row>
    <row r="509" spans="35:50">
      <c r="AI509" s="99"/>
      <c r="AM509" s="99"/>
      <c r="AO509" s="99"/>
      <c r="AR509" s="6"/>
      <c r="AS509" s="6"/>
      <c r="AT509" s="6"/>
      <c r="AU509" s="89"/>
      <c r="AV509" s="100"/>
      <c r="AW509" s="65"/>
      <c r="AX509" s="3"/>
    </row>
    <row r="510" spans="35:50">
      <c r="AI510" s="99"/>
      <c r="AM510" s="99"/>
      <c r="AO510" s="99"/>
      <c r="AR510" s="6"/>
      <c r="AS510" s="6"/>
      <c r="AT510" s="6"/>
      <c r="AU510" s="89"/>
      <c r="AV510" s="100"/>
      <c r="AW510" s="65"/>
      <c r="AX510" s="3"/>
    </row>
    <row r="511" spans="35:50">
      <c r="AI511" s="99"/>
      <c r="AM511" s="99"/>
      <c r="AO511" s="99"/>
      <c r="AR511" s="6"/>
      <c r="AS511" s="6"/>
      <c r="AT511" s="6"/>
      <c r="AU511" s="89"/>
      <c r="AV511" s="100"/>
      <c r="AW511" s="65"/>
      <c r="AX511" s="3"/>
    </row>
    <row r="512" spans="35:50">
      <c r="AI512" s="99"/>
      <c r="AM512" s="99"/>
      <c r="AO512" s="99"/>
      <c r="AR512" s="6"/>
      <c r="AS512" s="6"/>
      <c r="AT512" s="6"/>
      <c r="AU512" s="89"/>
      <c r="AV512" s="100"/>
      <c r="AW512" s="65"/>
      <c r="AX512" s="3"/>
    </row>
    <row r="513" spans="35:50">
      <c r="AI513" s="99"/>
      <c r="AM513" s="99"/>
      <c r="AO513" s="99"/>
      <c r="AR513" s="6"/>
      <c r="AS513" s="6"/>
      <c r="AT513" s="6"/>
      <c r="AU513" s="89"/>
      <c r="AV513" s="100"/>
      <c r="AW513" s="65"/>
      <c r="AX513" s="3"/>
    </row>
    <row r="514" spans="35:50">
      <c r="AI514" s="99"/>
      <c r="AM514" s="99"/>
      <c r="AO514" s="99"/>
      <c r="AR514" s="6"/>
      <c r="AS514" s="6"/>
      <c r="AT514" s="6"/>
      <c r="AU514" s="89"/>
      <c r="AV514" s="100"/>
      <c r="AW514" s="65"/>
      <c r="AX514" s="3"/>
    </row>
    <row r="515" spans="35:50">
      <c r="AI515" s="99"/>
      <c r="AM515" s="99"/>
      <c r="AO515" s="99"/>
      <c r="AR515" s="6"/>
      <c r="AS515" s="6"/>
      <c r="AT515" s="6"/>
      <c r="AU515" s="89"/>
      <c r="AV515" s="100"/>
      <c r="AW515" s="65"/>
      <c r="AX515" s="3"/>
    </row>
    <row r="516" spans="35:50">
      <c r="AI516" s="99"/>
      <c r="AM516" s="99"/>
      <c r="AO516" s="99"/>
      <c r="AR516" s="6"/>
      <c r="AS516" s="6"/>
      <c r="AT516" s="6"/>
      <c r="AU516" s="89"/>
      <c r="AV516" s="100"/>
      <c r="AW516" s="65"/>
      <c r="AX516" s="3"/>
    </row>
    <row r="517" spans="35:50">
      <c r="AI517" s="99"/>
      <c r="AM517" s="99"/>
      <c r="AO517" s="99"/>
      <c r="AR517" s="6"/>
      <c r="AS517" s="6"/>
      <c r="AT517" s="6"/>
      <c r="AU517" s="89"/>
      <c r="AV517" s="100"/>
      <c r="AW517" s="65"/>
      <c r="AX517" s="3"/>
    </row>
    <row r="518" spans="35:50">
      <c r="AI518" s="99"/>
      <c r="AM518" s="99"/>
      <c r="AO518" s="99"/>
      <c r="AR518" s="6"/>
      <c r="AS518" s="6"/>
      <c r="AT518" s="6"/>
      <c r="AU518" s="89"/>
      <c r="AV518" s="100"/>
      <c r="AW518" s="65"/>
      <c r="AX518" s="3"/>
    </row>
    <row r="519" spans="35:50">
      <c r="AI519" s="99"/>
      <c r="AM519" s="99"/>
      <c r="AO519" s="99"/>
      <c r="AR519" s="6"/>
      <c r="AS519" s="6"/>
      <c r="AT519" s="6"/>
      <c r="AU519" s="89"/>
      <c r="AV519" s="100"/>
      <c r="AW519" s="65"/>
      <c r="AX519" s="3"/>
    </row>
    <row r="520" spans="35:50">
      <c r="AI520" s="99"/>
      <c r="AM520" s="99"/>
      <c r="AO520" s="99"/>
      <c r="AR520" s="6"/>
      <c r="AS520" s="6"/>
      <c r="AT520" s="6"/>
      <c r="AU520" s="89"/>
      <c r="AV520" s="100"/>
      <c r="AW520" s="65"/>
      <c r="AX520" s="3"/>
    </row>
    <row r="521" spans="35:50">
      <c r="AI521" s="99"/>
      <c r="AM521" s="99"/>
      <c r="AO521" s="99"/>
      <c r="AR521" s="6"/>
      <c r="AS521" s="6"/>
      <c r="AT521" s="6"/>
      <c r="AU521" s="89"/>
      <c r="AV521" s="100"/>
      <c r="AW521" s="65"/>
      <c r="AX521" s="3"/>
    </row>
    <row r="522" spans="35:50">
      <c r="AI522" s="99"/>
      <c r="AM522" s="99"/>
      <c r="AO522" s="99"/>
      <c r="AR522" s="6"/>
      <c r="AS522" s="6"/>
      <c r="AT522" s="6"/>
      <c r="AU522" s="89"/>
      <c r="AV522" s="100"/>
      <c r="AW522" s="65"/>
      <c r="AX522" s="3"/>
    </row>
    <row r="523" spans="35:50">
      <c r="AI523" s="99"/>
      <c r="AM523" s="99"/>
      <c r="AO523" s="99"/>
      <c r="AR523" s="6"/>
      <c r="AS523" s="6"/>
      <c r="AT523" s="6"/>
      <c r="AU523" s="89"/>
      <c r="AV523" s="100"/>
      <c r="AW523" s="65"/>
      <c r="AX523" s="3"/>
    </row>
    <row r="524" spans="35:50">
      <c r="AI524" s="99"/>
      <c r="AM524" s="99"/>
      <c r="AO524" s="99"/>
      <c r="AR524" s="6"/>
      <c r="AS524" s="6"/>
      <c r="AT524" s="6"/>
      <c r="AU524" s="89"/>
      <c r="AV524" s="100"/>
      <c r="AW524" s="65"/>
      <c r="AX524" s="3"/>
    </row>
    <row r="525" spans="35:50">
      <c r="AI525" s="99"/>
      <c r="AM525" s="99"/>
      <c r="AO525" s="99"/>
      <c r="AR525" s="6"/>
      <c r="AS525" s="6"/>
      <c r="AT525" s="6"/>
      <c r="AU525" s="89"/>
      <c r="AV525" s="100"/>
      <c r="AW525" s="65"/>
      <c r="AX525" s="3"/>
    </row>
    <row r="526" spans="35:50">
      <c r="AI526" s="99"/>
      <c r="AM526" s="99"/>
      <c r="AO526" s="99"/>
      <c r="AR526" s="6"/>
      <c r="AS526" s="6"/>
      <c r="AT526" s="6"/>
      <c r="AU526" s="89"/>
      <c r="AV526" s="100"/>
      <c r="AW526" s="65"/>
      <c r="AX526" s="3"/>
    </row>
    <row r="527" spans="35:50">
      <c r="AI527" s="99"/>
      <c r="AM527" s="99"/>
      <c r="AO527" s="99"/>
      <c r="AR527" s="6"/>
      <c r="AS527" s="6"/>
      <c r="AT527" s="6"/>
      <c r="AU527" s="89"/>
      <c r="AV527" s="100"/>
      <c r="AW527" s="65"/>
      <c r="AX527" s="3"/>
    </row>
    <row r="528" spans="35:50">
      <c r="AI528" s="99"/>
      <c r="AM528" s="99"/>
      <c r="AO528" s="99"/>
      <c r="AR528" s="6"/>
      <c r="AS528" s="6"/>
      <c r="AT528" s="6"/>
      <c r="AU528" s="89"/>
      <c r="AV528" s="100"/>
      <c r="AW528" s="65"/>
      <c r="AX528" s="3"/>
    </row>
    <row r="529" spans="35:50">
      <c r="AI529" s="99"/>
      <c r="AM529" s="99"/>
      <c r="AO529" s="99"/>
      <c r="AR529" s="6"/>
      <c r="AS529" s="6"/>
      <c r="AT529" s="6"/>
      <c r="AU529" s="89"/>
      <c r="AV529" s="100"/>
      <c r="AW529" s="65"/>
      <c r="AX529" s="3"/>
    </row>
    <row r="530" spans="35:50">
      <c r="AI530" s="99"/>
      <c r="AM530" s="99"/>
      <c r="AO530" s="99"/>
      <c r="AR530" s="6"/>
      <c r="AS530" s="6"/>
      <c r="AT530" s="6"/>
      <c r="AU530" s="89"/>
      <c r="AV530" s="100"/>
      <c r="AW530" s="65"/>
      <c r="AX530" s="3"/>
    </row>
    <row r="531" spans="35:50">
      <c r="AI531" s="99"/>
      <c r="AM531" s="99"/>
      <c r="AO531" s="99"/>
      <c r="AR531" s="6"/>
      <c r="AS531" s="6"/>
      <c r="AT531" s="6"/>
      <c r="AU531" s="89"/>
      <c r="AV531" s="100"/>
      <c r="AW531" s="65"/>
      <c r="AX531" s="3"/>
    </row>
    <row r="532" spans="35:50">
      <c r="AI532" s="99"/>
      <c r="AM532" s="99"/>
      <c r="AO532" s="99"/>
      <c r="AR532" s="6"/>
      <c r="AS532" s="6"/>
      <c r="AT532" s="6"/>
      <c r="AU532" s="89"/>
      <c r="AV532" s="100"/>
      <c r="AW532" s="65"/>
      <c r="AX532" s="3"/>
    </row>
    <row r="533" spans="35:50">
      <c r="AI533" s="99"/>
      <c r="AM533" s="99"/>
      <c r="AO533" s="99"/>
      <c r="AR533" s="6"/>
      <c r="AS533" s="6"/>
      <c r="AT533" s="6"/>
      <c r="AU533" s="89"/>
      <c r="AV533" s="100"/>
      <c r="AW533" s="65"/>
      <c r="AX533" s="3"/>
    </row>
    <row r="534" spans="35:50">
      <c r="AI534" s="99"/>
      <c r="AM534" s="99"/>
      <c r="AO534" s="99"/>
      <c r="AR534" s="6"/>
      <c r="AS534" s="6"/>
      <c r="AT534" s="6"/>
      <c r="AU534" s="89"/>
      <c r="AV534" s="100"/>
      <c r="AW534" s="65"/>
      <c r="AX534" s="3"/>
    </row>
    <row r="535" spans="35:50">
      <c r="AI535" s="99"/>
      <c r="AM535" s="99"/>
      <c r="AO535" s="99"/>
      <c r="AR535" s="6"/>
      <c r="AS535" s="6"/>
      <c r="AT535" s="6"/>
      <c r="AU535" s="89"/>
      <c r="AV535" s="100"/>
      <c r="AW535" s="65"/>
      <c r="AX535" s="3"/>
    </row>
    <row r="536" spans="35:50">
      <c r="AI536" s="99"/>
      <c r="AM536" s="99"/>
      <c r="AO536" s="99"/>
      <c r="AR536" s="6"/>
      <c r="AS536" s="6"/>
      <c r="AT536" s="6"/>
      <c r="AU536" s="89"/>
      <c r="AV536" s="100"/>
      <c r="AW536" s="65"/>
      <c r="AX536" s="3"/>
    </row>
    <row r="537" spans="35:50">
      <c r="AI537" s="99"/>
      <c r="AM537" s="99"/>
      <c r="AO537" s="99"/>
      <c r="AR537" s="6"/>
      <c r="AS537" s="6"/>
      <c r="AT537" s="6"/>
      <c r="AU537" s="89"/>
      <c r="AV537" s="100"/>
      <c r="AW537" s="65"/>
      <c r="AX537" s="3"/>
    </row>
    <row r="538" spans="35:50">
      <c r="AI538" s="99"/>
      <c r="AM538" s="99"/>
      <c r="AO538" s="99"/>
      <c r="AR538" s="6"/>
      <c r="AS538" s="6"/>
      <c r="AT538" s="6"/>
      <c r="AU538" s="89"/>
      <c r="AV538" s="100"/>
      <c r="AW538" s="65"/>
      <c r="AX538" s="3"/>
    </row>
    <row r="539" spans="35:50">
      <c r="AI539" s="99"/>
      <c r="AM539" s="99"/>
      <c r="AO539" s="99"/>
      <c r="AR539" s="6"/>
      <c r="AS539" s="6"/>
      <c r="AT539" s="6"/>
      <c r="AU539" s="89"/>
      <c r="AV539" s="100"/>
      <c r="AW539" s="65"/>
      <c r="AX539" s="3"/>
    </row>
    <row r="540" spans="35:50">
      <c r="AI540" s="99"/>
      <c r="AM540" s="99"/>
      <c r="AO540" s="99"/>
      <c r="AR540" s="6"/>
      <c r="AS540" s="6"/>
      <c r="AT540" s="6"/>
      <c r="AU540" s="89"/>
      <c r="AV540" s="100"/>
      <c r="AW540" s="65"/>
      <c r="AX540" s="3"/>
    </row>
    <row r="541" spans="35:50">
      <c r="AI541" s="99"/>
      <c r="AM541" s="99"/>
      <c r="AO541" s="99"/>
      <c r="AR541" s="6"/>
      <c r="AS541" s="6"/>
      <c r="AT541" s="6"/>
      <c r="AU541" s="89"/>
      <c r="AV541" s="100"/>
      <c r="AW541" s="65"/>
      <c r="AX541" s="3"/>
    </row>
    <row r="542" spans="35:50">
      <c r="AI542" s="99"/>
      <c r="AM542" s="99"/>
      <c r="AO542" s="99"/>
      <c r="AR542" s="6"/>
      <c r="AS542" s="6"/>
      <c r="AT542" s="6"/>
      <c r="AU542" s="89"/>
      <c r="AV542" s="100"/>
      <c r="AW542" s="65"/>
      <c r="AX542" s="3"/>
    </row>
    <row r="543" spans="35:50">
      <c r="AI543" s="99"/>
      <c r="AM543" s="99"/>
      <c r="AO543" s="99"/>
      <c r="AR543" s="6"/>
      <c r="AS543" s="6"/>
      <c r="AT543" s="6"/>
      <c r="AU543" s="89"/>
      <c r="AV543" s="100"/>
      <c r="AW543" s="65"/>
      <c r="AX543" s="3"/>
    </row>
    <row r="544" spans="35:50">
      <c r="AI544" s="99"/>
      <c r="AM544" s="99"/>
      <c r="AO544" s="99"/>
      <c r="AR544" s="6"/>
      <c r="AS544" s="6"/>
      <c r="AT544" s="6"/>
      <c r="AU544" s="89"/>
      <c r="AV544" s="100"/>
      <c r="AW544" s="65"/>
      <c r="AX544" s="3"/>
    </row>
    <row r="545" spans="35:50">
      <c r="AI545" s="99"/>
      <c r="AM545" s="99"/>
      <c r="AO545" s="99"/>
      <c r="AR545" s="6"/>
      <c r="AS545" s="6"/>
      <c r="AT545" s="6"/>
      <c r="AU545" s="89"/>
      <c r="AV545" s="100"/>
      <c r="AW545" s="65"/>
      <c r="AX545" s="3"/>
    </row>
    <row r="546" spans="35:50">
      <c r="AI546" s="99"/>
      <c r="AM546" s="99"/>
      <c r="AO546" s="99"/>
      <c r="AR546" s="6"/>
      <c r="AS546" s="6"/>
      <c r="AT546" s="6"/>
      <c r="AU546" s="89"/>
      <c r="AV546" s="100"/>
      <c r="AW546" s="65"/>
      <c r="AX546" s="3"/>
    </row>
    <row r="547" spans="35:50">
      <c r="AI547" s="99"/>
      <c r="AM547" s="99"/>
      <c r="AO547" s="99"/>
      <c r="AR547" s="6"/>
      <c r="AS547" s="6"/>
      <c r="AT547" s="6"/>
      <c r="AU547" s="89"/>
      <c r="AV547" s="100"/>
      <c r="AW547" s="65"/>
      <c r="AX547" s="3"/>
    </row>
    <row r="548" spans="35:50">
      <c r="AI548" s="99"/>
      <c r="AM548" s="99"/>
      <c r="AO548" s="99"/>
      <c r="AR548" s="6"/>
      <c r="AS548" s="6"/>
      <c r="AT548" s="6"/>
      <c r="AU548" s="89"/>
      <c r="AV548" s="100"/>
      <c r="AW548" s="65"/>
      <c r="AX548" s="3"/>
    </row>
    <row r="549" spans="35:50">
      <c r="AI549" s="99"/>
      <c r="AM549" s="99"/>
      <c r="AO549" s="99"/>
      <c r="AR549" s="6"/>
      <c r="AS549" s="6"/>
      <c r="AT549" s="6"/>
      <c r="AU549" s="89"/>
      <c r="AV549" s="100"/>
      <c r="AW549" s="65"/>
      <c r="AX549" s="3"/>
    </row>
    <row r="550" spans="35:50">
      <c r="AI550" s="99"/>
      <c r="AM550" s="99"/>
      <c r="AO550" s="99"/>
      <c r="AR550" s="6"/>
      <c r="AS550" s="6"/>
      <c r="AT550" s="6"/>
      <c r="AU550" s="89"/>
      <c r="AV550" s="100"/>
      <c r="AW550" s="65"/>
      <c r="AX550" s="3"/>
    </row>
    <row r="551" spans="35:50">
      <c r="AI551" s="99"/>
      <c r="AM551" s="99"/>
      <c r="AO551" s="99"/>
      <c r="AR551" s="6"/>
      <c r="AS551" s="6"/>
      <c r="AT551" s="6"/>
      <c r="AU551" s="89"/>
      <c r="AV551" s="100"/>
      <c r="AW551" s="65"/>
      <c r="AX551" s="3"/>
    </row>
    <row r="552" spans="35:50">
      <c r="AI552" s="99"/>
      <c r="AM552" s="99"/>
      <c r="AO552" s="99"/>
      <c r="AR552" s="6"/>
      <c r="AS552" s="6"/>
      <c r="AT552" s="6"/>
      <c r="AU552" s="89"/>
      <c r="AV552" s="100"/>
      <c r="AW552" s="65"/>
      <c r="AX552" s="3"/>
    </row>
    <row r="553" spans="35:50">
      <c r="AI553" s="99"/>
      <c r="AM553" s="99"/>
      <c r="AO553" s="99"/>
      <c r="AR553" s="6"/>
      <c r="AS553" s="6"/>
      <c r="AT553" s="6"/>
      <c r="AU553" s="89"/>
      <c r="AV553" s="100"/>
      <c r="AW553" s="65"/>
      <c r="AX553" s="3"/>
    </row>
    <row r="554" spans="35:50">
      <c r="AI554" s="99"/>
      <c r="AM554" s="99"/>
      <c r="AO554" s="99"/>
      <c r="AR554" s="6"/>
      <c r="AS554" s="6"/>
      <c r="AT554" s="6"/>
      <c r="AU554" s="89"/>
      <c r="AV554" s="100"/>
      <c r="AW554" s="65"/>
      <c r="AX554" s="3"/>
    </row>
    <row r="555" spans="35:50">
      <c r="AI555" s="99"/>
      <c r="AM555" s="99"/>
      <c r="AO555" s="99"/>
      <c r="AR555" s="6"/>
      <c r="AS555" s="6"/>
      <c r="AT555" s="6"/>
      <c r="AU555" s="89"/>
      <c r="AV555" s="100"/>
      <c r="AW555" s="65"/>
      <c r="AX555" s="3"/>
    </row>
    <row r="556" spans="35:50">
      <c r="AI556" s="99"/>
      <c r="AM556" s="99"/>
      <c r="AO556" s="99"/>
      <c r="AR556" s="6"/>
      <c r="AS556" s="6"/>
      <c r="AT556" s="6"/>
      <c r="AU556" s="89"/>
      <c r="AV556" s="100"/>
      <c r="AW556" s="65"/>
      <c r="AX556" s="3"/>
    </row>
    <row r="557" spans="35:50">
      <c r="AI557" s="99"/>
      <c r="AM557" s="99"/>
      <c r="AO557" s="99"/>
      <c r="AR557" s="6"/>
      <c r="AS557" s="6"/>
      <c r="AT557" s="6"/>
      <c r="AU557" s="89"/>
      <c r="AV557" s="100"/>
      <c r="AW557" s="65"/>
      <c r="AX557" s="3"/>
    </row>
    <row r="558" spans="35:50">
      <c r="AI558" s="99"/>
      <c r="AM558" s="99"/>
      <c r="AO558" s="99"/>
      <c r="AR558" s="6"/>
      <c r="AS558" s="6"/>
      <c r="AT558" s="6"/>
      <c r="AU558" s="89"/>
      <c r="AV558" s="100"/>
      <c r="AW558" s="65"/>
      <c r="AX558" s="3"/>
    </row>
    <row r="559" spans="35:50">
      <c r="AI559" s="99"/>
      <c r="AM559" s="99"/>
      <c r="AO559" s="99"/>
      <c r="AR559" s="6"/>
      <c r="AS559" s="6"/>
      <c r="AT559" s="6"/>
      <c r="AU559" s="89"/>
      <c r="AV559" s="100"/>
      <c r="AW559" s="65"/>
      <c r="AX559" s="3"/>
    </row>
    <row r="560" spans="35:50">
      <c r="AI560" s="99"/>
      <c r="AM560" s="99"/>
      <c r="AO560" s="99"/>
      <c r="AR560" s="6"/>
      <c r="AS560" s="6"/>
      <c r="AT560" s="6"/>
      <c r="AU560" s="89"/>
      <c r="AV560" s="100"/>
      <c r="AW560" s="65"/>
      <c r="AX560" s="3"/>
    </row>
    <row r="561" spans="35:50">
      <c r="AI561" s="99"/>
      <c r="AM561" s="99"/>
      <c r="AO561" s="99"/>
      <c r="AR561" s="6"/>
      <c r="AS561" s="6"/>
      <c r="AT561" s="6"/>
      <c r="AU561" s="89"/>
      <c r="AV561" s="100"/>
      <c r="AW561" s="65"/>
      <c r="AX561" s="3"/>
    </row>
    <row r="562" spans="35:50">
      <c r="AI562" s="99"/>
      <c r="AM562" s="99"/>
      <c r="AO562" s="99"/>
      <c r="AR562" s="6"/>
      <c r="AS562" s="6"/>
      <c r="AT562" s="6"/>
      <c r="AU562" s="89"/>
      <c r="AV562" s="100"/>
      <c r="AW562" s="65"/>
      <c r="AX562" s="3"/>
    </row>
    <row r="563" spans="35:50">
      <c r="AI563" s="99"/>
      <c r="AM563" s="99"/>
      <c r="AO563" s="99"/>
      <c r="AR563" s="6"/>
      <c r="AS563" s="6"/>
      <c r="AT563" s="6"/>
      <c r="AU563" s="89"/>
      <c r="AV563" s="100"/>
      <c r="AW563" s="65"/>
      <c r="AX563" s="3"/>
    </row>
    <row r="564" spans="35:50">
      <c r="AI564" s="99"/>
      <c r="AM564" s="99"/>
      <c r="AO564" s="99"/>
      <c r="AR564" s="6"/>
      <c r="AS564" s="6"/>
      <c r="AT564" s="6"/>
      <c r="AU564" s="89"/>
      <c r="AV564" s="100"/>
      <c r="AW564" s="65"/>
      <c r="AX564" s="3"/>
    </row>
    <row r="565" spans="35:50">
      <c r="AI565" s="99"/>
      <c r="AM565" s="99"/>
      <c r="AO565" s="99"/>
      <c r="AR565" s="6"/>
      <c r="AS565" s="6"/>
      <c r="AT565" s="6"/>
      <c r="AU565" s="89"/>
      <c r="AV565" s="100"/>
      <c r="AW565" s="65"/>
      <c r="AX565" s="3"/>
    </row>
    <row r="566" spans="35:50">
      <c r="AI566" s="99"/>
      <c r="AM566" s="99"/>
      <c r="AO566" s="99"/>
      <c r="AR566" s="6"/>
      <c r="AS566" s="6"/>
      <c r="AT566" s="6"/>
      <c r="AU566" s="89"/>
      <c r="AV566" s="100"/>
      <c r="AW566" s="65"/>
      <c r="AX566" s="3"/>
    </row>
    <row r="567" spans="35:50">
      <c r="AI567" s="99"/>
      <c r="AM567" s="99"/>
      <c r="AO567" s="99"/>
      <c r="AR567" s="6"/>
      <c r="AS567" s="6"/>
      <c r="AT567" s="6"/>
      <c r="AU567" s="89"/>
      <c r="AV567" s="100"/>
      <c r="AW567" s="65"/>
      <c r="AX567" s="3"/>
    </row>
    <row r="568" spans="35:50">
      <c r="AI568" s="99"/>
      <c r="AM568" s="99"/>
      <c r="AO568" s="99"/>
      <c r="AR568" s="6"/>
      <c r="AS568" s="6"/>
      <c r="AT568" s="6"/>
      <c r="AU568" s="89"/>
      <c r="AV568" s="100"/>
      <c r="AW568" s="65"/>
      <c r="AX568" s="3"/>
    </row>
    <row r="569" spans="35:50">
      <c r="AI569" s="99"/>
      <c r="AM569" s="99"/>
      <c r="AO569" s="99"/>
      <c r="AR569" s="6"/>
      <c r="AS569" s="6"/>
      <c r="AT569" s="6"/>
      <c r="AU569" s="89"/>
      <c r="AV569" s="100"/>
      <c r="AW569" s="65"/>
      <c r="AX569" s="3"/>
    </row>
    <row r="570" spans="35:50">
      <c r="AI570" s="99"/>
      <c r="AM570" s="99"/>
      <c r="AO570" s="99"/>
      <c r="AR570" s="6"/>
      <c r="AS570" s="6"/>
      <c r="AT570" s="6"/>
      <c r="AU570" s="89"/>
      <c r="AV570" s="100"/>
      <c r="AW570" s="65"/>
      <c r="AX570" s="3"/>
    </row>
    <row r="571" spans="35:50">
      <c r="AI571" s="99"/>
      <c r="AM571" s="99"/>
      <c r="AO571" s="99"/>
      <c r="AR571" s="6"/>
      <c r="AS571" s="6"/>
      <c r="AT571" s="6"/>
      <c r="AU571" s="89"/>
      <c r="AV571" s="100"/>
      <c r="AW571" s="65"/>
      <c r="AX571" s="3"/>
    </row>
    <row r="572" spans="35:50">
      <c r="AI572" s="99"/>
      <c r="AM572" s="99"/>
      <c r="AO572" s="99"/>
      <c r="AR572" s="6"/>
      <c r="AS572" s="6"/>
      <c r="AT572" s="6"/>
      <c r="AU572" s="89"/>
      <c r="AV572" s="100"/>
      <c r="AW572" s="65"/>
      <c r="AX572" s="3"/>
    </row>
    <row r="573" spans="35:50">
      <c r="AI573" s="99"/>
      <c r="AM573" s="99"/>
      <c r="AO573" s="99"/>
      <c r="AR573" s="6"/>
      <c r="AS573" s="6"/>
      <c r="AT573" s="6"/>
      <c r="AU573" s="89"/>
      <c r="AV573" s="100"/>
      <c r="AW573" s="65"/>
      <c r="AX573" s="3"/>
    </row>
    <row r="574" spans="35:50">
      <c r="AI574" s="99"/>
      <c r="AM574" s="99"/>
      <c r="AO574" s="99"/>
      <c r="AR574" s="6"/>
      <c r="AS574" s="6"/>
      <c r="AT574" s="6"/>
      <c r="AU574" s="89"/>
      <c r="AV574" s="100"/>
      <c r="AW574" s="65"/>
      <c r="AX574" s="3"/>
    </row>
    <row r="575" spans="35:50">
      <c r="AI575" s="99"/>
      <c r="AM575" s="99"/>
      <c r="AO575" s="99"/>
      <c r="AR575" s="6"/>
      <c r="AS575" s="6"/>
      <c r="AT575" s="6"/>
      <c r="AU575" s="89"/>
      <c r="AV575" s="100"/>
      <c r="AW575" s="65"/>
      <c r="AX575" s="3"/>
    </row>
    <row r="576" spans="35:50">
      <c r="AI576" s="99"/>
      <c r="AM576" s="99"/>
      <c r="AO576" s="99"/>
      <c r="AR576" s="6"/>
      <c r="AS576" s="6"/>
      <c r="AT576" s="6"/>
      <c r="AU576" s="89"/>
      <c r="AV576" s="100"/>
      <c r="AW576" s="65"/>
      <c r="AX576" s="3"/>
    </row>
    <row r="577" spans="35:50">
      <c r="AI577" s="99"/>
      <c r="AM577" s="99"/>
      <c r="AO577" s="99"/>
      <c r="AR577" s="6"/>
      <c r="AS577" s="6"/>
      <c r="AT577" s="6"/>
      <c r="AU577" s="89"/>
      <c r="AV577" s="100"/>
      <c r="AW577" s="65"/>
      <c r="AX577" s="3"/>
    </row>
    <row r="578" spans="35:50">
      <c r="AI578" s="99"/>
      <c r="AM578" s="99"/>
      <c r="AO578" s="99"/>
      <c r="AR578" s="6"/>
      <c r="AS578" s="6"/>
      <c r="AT578" s="6"/>
      <c r="AU578" s="89"/>
      <c r="AV578" s="100"/>
      <c r="AW578" s="65"/>
      <c r="AX578" s="3"/>
    </row>
    <row r="579" spans="35:50">
      <c r="AI579" s="99"/>
      <c r="AM579" s="99"/>
      <c r="AO579" s="99"/>
      <c r="AR579" s="6"/>
      <c r="AS579" s="6"/>
      <c r="AT579" s="6"/>
      <c r="AU579" s="89"/>
      <c r="AV579" s="100"/>
      <c r="AW579" s="65"/>
      <c r="AX579" s="3"/>
    </row>
    <row r="580" spans="35:50">
      <c r="AI580" s="99"/>
      <c r="AM580" s="99"/>
      <c r="AO580" s="99"/>
      <c r="AR580" s="6"/>
      <c r="AS580" s="6"/>
      <c r="AT580" s="6"/>
      <c r="AU580" s="89"/>
      <c r="AV580" s="100"/>
      <c r="AW580" s="65"/>
      <c r="AX580" s="3"/>
    </row>
    <row r="581" spans="35:50">
      <c r="AI581" s="99"/>
      <c r="AM581" s="99"/>
      <c r="AO581" s="99"/>
      <c r="AR581" s="6"/>
      <c r="AS581" s="6"/>
      <c r="AT581" s="6"/>
      <c r="AU581" s="89"/>
      <c r="AV581" s="100"/>
      <c r="AW581" s="65"/>
      <c r="AX581" s="3"/>
    </row>
    <row r="582" spans="35:50">
      <c r="AI582" s="99"/>
      <c r="AM582" s="99"/>
      <c r="AO582" s="99"/>
      <c r="AR582" s="6"/>
      <c r="AS582" s="6"/>
      <c r="AT582" s="6"/>
      <c r="AU582" s="89"/>
      <c r="AV582" s="100"/>
      <c r="AW582" s="65"/>
      <c r="AX582" s="3"/>
    </row>
    <row r="583" spans="35:50">
      <c r="AI583" s="99"/>
      <c r="AM583" s="99"/>
      <c r="AO583" s="99"/>
      <c r="AR583" s="6"/>
      <c r="AS583" s="6"/>
      <c r="AT583" s="6"/>
      <c r="AU583" s="89"/>
      <c r="AV583" s="100"/>
      <c r="AW583" s="65"/>
      <c r="AX583" s="3"/>
    </row>
    <row r="584" spans="35:50">
      <c r="AI584" s="99"/>
      <c r="AM584" s="99"/>
      <c r="AO584" s="99"/>
      <c r="AR584" s="6"/>
      <c r="AS584" s="6"/>
      <c r="AT584" s="6"/>
      <c r="AU584" s="89"/>
      <c r="AV584" s="100"/>
      <c r="AW584" s="65"/>
      <c r="AX584" s="3"/>
    </row>
    <row r="585" spans="35:50">
      <c r="AI585" s="99"/>
      <c r="AM585" s="99"/>
      <c r="AO585" s="99"/>
      <c r="AR585" s="6"/>
      <c r="AS585" s="6"/>
      <c r="AT585" s="6"/>
      <c r="AU585" s="89"/>
      <c r="AV585" s="100"/>
      <c r="AW585" s="65"/>
      <c r="AX585" s="3"/>
    </row>
    <row r="586" spans="35:50">
      <c r="AI586" s="99"/>
      <c r="AM586" s="99"/>
      <c r="AO586" s="99"/>
      <c r="AR586" s="6"/>
      <c r="AS586" s="6"/>
      <c r="AT586" s="6"/>
      <c r="AU586" s="89"/>
      <c r="AV586" s="100"/>
      <c r="AW586" s="65"/>
      <c r="AX586" s="3"/>
    </row>
    <row r="587" spans="35:50">
      <c r="AI587" s="99"/>
      <c r="AM587" s="99"/>
      <c r="AO587" s="99"/>
      <c r="AR587" s="6"/>
      <c r="AS587" s="6"/>
      <c r="AT587" s="6"/>
      <c r="AU587" s="89"/>
      <c r="AV587" s="100"/>
      <c r="AW587" s="65"/>
      <c r="AX587" s="3"/>
    </row>
    <row r="588" spans="35:50">
      <c r="AI588" s="99"/>
      <c r="AM588" s="99"/>
      <c r="AO588" s="99"/>
      <c r="AR588" s="6"/>
      <c r="AS588" s="6"/>
      <c r="AT588" s="6"/>
      <c r="AU588" s="89"/>
      <c r="AV588" s="100"/>
      <c r="AW588" s="65"/>
      <c r="AX588" s="3"/>
    </row>
    <row r="589" spans="35:50">
      <c r="AI589" s="99"/>
      <c r="AM589" s="99"/>
      <c r="AO589" s="99"/>
      <c r="AR589" s="6"/>
      <c r="AS589" s="6"/>
      <c r="AT589" s="6"/>
      <c r="AU589" s="89"/>
      <c r="AV589" s="100"/>
      <c r="AW589" s="65"/>
      <c r="AX589" s="3"/>
    </row>
    <row r="590" spans="35:50">
      <c r="AI590" s="99"/>
      <c r="AM590" s="99"/>
      <c r="AO590" s="99"/>
      <c r="AR590" s="6"/>
      <c r="AS590" s="6"/>
      <c r="AT590" s="6"/>
      <c r="AU590" s="89"/>
      <c r="AV590" s="100"/>
      <c r="AW590" s="65"/>
      <c r="AX590" s="3"/>
    </row>
    <row r="591" spans="35:50">
      <c r="AI591" s="99"/>
      <c r="AM591" s="99"/>
      <c r="AO591" s="99"/>
      <c r="AR591" s="6"/>
      <c r="AS591" s="6"/>
      <c r="AT591" s="6"/>
      <c r="AU591" s="89"/>
      <c r="AV591" s="100"/>
      <c r="AW591" s="65"/>
      <c r="AX591" s="3"/>
    </row>
    <row r="592" spans="35:50">
      <c r="AI592" s="99"/>
      <c r="AM592" s="99"/>
      <c r="AO592" s="99"/>
      <c r="AR592" s="6"/>
      <c r="AS592" s="6"/>
      <c r="AT592" s="6"/>
      <c r="AU592" s="89"/>
      <c r="AV592" s="100"/>
      <c r="AW592" s="65"/>
      <c r="AX592" s="3"/>
    </row>
    <row r="593" spans="35:50">
      <c r="AI593" s="99"/>
      <c r="AM593" s="99"/>
      <c r="AO593" s="99"/>
      <c r="AR593" s="6"/>
      <c r="AS593" s="6"/>
      <c r="AT593" s="6"/>
      <c r="AU593" s="89"/>
      <c r="AV593" s="100"/>
      <c r="AW593" s="65"/>
      <c r="AX593" s="3"/>
    </row>
    <row r="594" spans="35:50">
      <c r="AI594" s="99"/>
      <c r="AM594" s="99"/>
      <c r="AO594" s="99"/>
      <c r="AR594" s="6"/>
      <c r="AS594" s="6"/>
      <c r="AT594" s="6"/>
      <c r="AU594" s="89"/>
      <c r="AV594" s="100"/>
      <c r="AW594" s="65"/>
      <c r="AX594" s="3"/>
    </row>
    <row r="595" spans="35:50">
      <c r="AI595" s="99"/>
      <c r="AM595" s="99"/>
      <c r="AO595" s="99"/>
      <c r="AR595" s="6"/>
      <c r="AS595" s="6"/>
      <c r="AT595" s="6"/>
      <c r="AU595" s="89"/>
      <c r="AV595" s="100"/>
      <c r="AW595" s="65"/>
      <c r="AX595" s="3"/>
    </row>
    <row r="596" spans="35:50">
      <c r="AI596" s="99"/>
      <c r="AM596" s="99"/>
      <c r="AO596" s="99"/>
      <c r="AR596" s="6"/>
      <c r="AS596" s="6"/>
      <c r="AT596" s="6"/>
      <c r="AU596" s="89"/>
      <c r="AV596" s="100"/>
      <c r="AW596" s="65"/>
      <c r="AX596" s="3"/>
    </row>
    <row r="597" spans="35:50">
      <c r="AI597" s="99"/>
      <c r="AM597" s="99"/>
      <c r="AO597" s="99"/>
      <c r="AR597" s="6"/>
      <c r="AS597" s="6"/>
      <c r="AT597" s="6"/>
      <c r="AU597" s="89"/>
      <c r="AV597" s="100"/>
      <c r="AW597" s="65"/>
      <c r="AX597" s="3"/>
    </row>
    <row r="598" spans="35:50">
      <c r="AI598" s="99"/>
      <c r="AM598" s="99"/>
      <c r="AO598" s="99"/>
      <c r="AR598" s="6"/>
      <c r="AS598" s="6"/>
      <c r="AT598" s="6"/>
      <c r="AU598" s="89"/>
      <c r="AV598" s="100"/>
      <c r="AW598" s="65"/>
      <c r="AX598" s="3"/>
    </row>
    <row r="599" spans="35:50">
      <c r="AI599" s="99"/>
      <c r="AM599" s="99"/>
      <c r="AO599" s="99"/>
      <c r="AR599" s="6"/>
      <c r="AS599" s="6"/>
      <c r="AT599" s="6"/>
      <c r="AU599" s="89"/>
      <c r="AV599" s="100"/>
      <c r="AW599" s="65"/>
      <c r="AX599" s="3"/>
    </row>
    <row r="600" spans="35:50">
      <c r="AI600" s="99"/>
      <c r="AM600" s="99"/>
      <c r="AO600" s="99"/>
      <c r="AR600" s="6"/>
      <c r="AS600" s="6"/>
      <c r="AT600" s="6"/>
      <c r="AU600" s="89"/>
      <c r="AV600" s="100"/>
      <c r="AW600" s="65"/>
      <c r="AX600" s="3"/>
    </row>
    <row r="601" spans="35:50">
      <c r="AI601" s="99"/>
      <c r="AM601" s="99"/>
      <c r="AO601" s="99"/>
      <c r="AR601" s="6"/>
      <c r="AS601" s="6"/>
      <c r="AT601" s="6"/>
      <c r="AU601" s="89"/>
      <c r="AV601" s="100"/>
      <c r="AW601" s="65"/>
      <c r="AX601" s="3"/>
    </row>
    <row r="602" spans="35:50">
      <c r="AI602" s="99"/>
      <c r="AM602" s="99"/>
      <c r="AO602" s="99"/>
      <c r="AR602" s="6"/>
      <c r="AS602" s="6"/>
      <c r="AT602" s="6"/>
      <c r="AU602" s="89"/>
      <c r="AV602" s="100"/>
      <c r="AW602" s="65"/>
      <c r="AX602" s="3"/>
    </row>
    <row r="603" spans="35:50">
      <c r="AI603" s="99"/>
      <c r="AM603" s="99"/>
      <c r="AO603" s="99"/>
      <c r="AR603" s="6"/>
      <c r="AS603" s="6"/>
      <c r="AT603" s="6"/>
      <c r="AU603" s="89"/>
      <c r="AV603" s="100"/>
      <c r="AW603" s="65"/>
      <c r="AX603" s="3"/>
    </row>
    <row r="604" spans="35:50">
      <c r="AI604" s="99"/>
      <c r="AM604" s="99"/>
      <c r="AO604" s="99"/>
      <c r="AR604" s="6"/>
      <c r="AS604" s="6"/>
      <c r="AT604" s="6"/>
      <c r="AU604" s="89"/>
      <c r="AV604" s="100"/>
      <c r="AW604" s="65"/>
      <c r="AX604" s="3"/>
    </row>
    <row r="605" spans="35:50">
      <c r="AI605" s="99"/>
      <c r="AM605" s="99"/>
      <c r="AO605" s="99"/>
      <c r="AR605" s="6"/>
      <c r="AS605" s="6"/>
      <c r="AT605" s="6"/>
      <c r="AU605" s="89"/>
      <c r="AV605" s="100"/>
      <c r="AW605" s="65"/>
      <c r="AX605" s="3"/>
    </row>
    <row r="606" spans="35:50">
      <c r="AI606" s="99"/>
      <c r="AM606" s="99"/>
      <c r="AO606" s="99"/>
      <c r="AR606" s="6"/>
      <c r="AS606" s="6"/>
      <c r="AT606" s="6"/>
      <c r="AU606" s="89"/>
      <c r="AV606" s="100"/>
      <c r="AW606" s="65"/>
      <c r="AX606" s="3"/>
    </row>
    <row r="607" spans="35:50">
      <c r="AI607" s="99"/>
      <c r="AM607" s="99"/>
      <c r="AO607" s="99"/>
      <c r="AR607" s="6"/>
      <c r="AS607" s="6"/>
      <c r="AT607" s="6"/>
      <c r="AU607" s="89"/>
      <c r="AV607" s="100"/>
      <c r="AW607" s="65"/>
      <c r="AX607" s="3"/>
    </row>
    <row r="608" spans="35:50">
      <c r="AI608" s="99"/>
      <c r="AM608" s="99"/>
      <c r="AO608" s="99"/>
      <c r="AR608" s="6"/>
      <c r="AS608" s="6"/>
      <c r="AT608" s="6"/>
      <c r="AU608" s="89"/>
      <c r="AV608" s="100"/>
      <c r="AW608" s="65"/>
      <c r="AX608" s="3"/>
    </row>
    <row r="609" spans="35:50">
      <c r="AI609" s="99"/>
      <c r="AM609" s="99"/>
      <c r="AO609" s="99"/>
      <c r="AR609" s="6"/>
      <c r="AS609" s="6"/>
      <c r="AT609" s="6"/>
      <c r="AU609" s="89"/>
      <c r="AV609" s="100"/>
      <c r="AW609" s="65"/>
      <c r="AX609" s="3"/>
    </row>
    <row r="610" spans="35:50">
      <c r="AI610" s="99"/>
      <c r="AM610" s="99"/>
      <c r="AO610" s="99"/>
      <c r="AR610" s="6"/>
      <c r="AS610" s="6"/>
      <c r="AT610" s="6"/>
      <c r="AU610" s="89"/>
      <c r="AV610" s="100"/>
      <c r="AW610" s="65"/>
      <c r="AX610" s="3"/>
    </row>
    <row r="611" spans="35:50">
      <c r="AI611" s="99"/>
      <c r="AM611" s="99"/>
      <c r="AO611" s="99"/>
      <c r="AR611" s="6"/>
      <c r="AS611" s="6"/>
      <c r="AT611" s="6"/>
      <c r="AU611" s="89"/>
      <c r="AV611" s="100"/>
      <c r="AW611" s="65"/>
      <c r="AX611" s="3"/>
    </row>
    <row r="612" spans="35:50">
      <c r="AI612" s="99"/>
      <c r="AM612" s="99"/>
      <c r="AO612" s="99"/>
      <c r="AR612" s="6"/>
      <c r="AS612" s="6"/>
      <c r="AT612" s="6"/>
      <c r="AU612" s="89"/>
      <c r="AV612" s="100"/>
      <c r="AW612" s="65"/>
      <c r="AX612" s="3"/>
    </row>
    <row r="613" spans="35:50">
      <c r="AI613" s="99"/>
      <c r="AM613" s="99"/>
      <c r="AO613" s="99"/>
      <c r="AR613" s="6"/>
      <c r="AS613" s="6"/>
      <c r="AT613" s="6"/>
      <c r="AU613" s="89"/>
      <c r="AV613" s="100"/>
      <c r="AW613" s="65"/>
      <c r="AX613" s="3"/>
    </row>
    <row r="614" spans="35:50">
      <c r="AI614" s="99"/>
      <c r="AM614" s="99"/>
      <c r="AO614" s="99"/>
      <c r="AR614" s="6"/>
      <c r="AS614" s="6"/>
      <c r="AT614" s="6"/>
      <c r="AU614" s="89"/>
      <c r="AV614" s="100"/>
      <c r="AW614" s="65"/>
      <c r="AX614" s="3"/>
    </row>
    <row r="615" spans="35:50">
      <c r="AI615" s="99"/>
      <c r="AM615" s="99"/>
      <c r="AO615" s="99"/>
      <c r="AR615" s="6"/>
      <c r="AS615" s="6"/>
      <c r="AT615" s="6"/>
      <c r="AU615" s="89"/>
      <c r="AV615" s="100"/>
      <c r="AW615" s="65"/>
      <c r="AX615" s="3"/>
    </row>
    <row r="616" spans="35:50">
      <c r="AI616" s="99"/>
      <c r="AM616" s="99"/>
      <c r="AO616" s="99"/>
      <c r="AR616" s="6"/>
      <c r="AS616" s="6"/>
      <c r="AT616" s="6"/>
      <c r="AU616" s="89"/>
      <c r="AV616" s="100"/>
      <c r="AW616" s="65"/>
      <c r="AX616" s="3"/>
    </row>
    <row r="617" spans="35:50">
      <c r="AI617" s="99"/>
      <c r="AM617" s="99"/>
      <c r="AO617" s="99"/>
      <c r="AR617" s="6"/>
      <c r="AS617" s="6"/>
      <c r="AT617" s="6"/>
      <c r="AU617" s="89"/>
      <c r="AV617" s="100"/>
      <c r="AW617" s="65"/>
      <c r="AX617" s="3"/>
    </row>
    <row r="618" spans="35:50">
      <c r="AI618" s="99"/>
      <c r="AM618" s="99"/>
      <c r="AO618" s="99"/>
      <c r="AR618" s="6"/>
      <c r="AS618" s="6"/>
      <c r="AT618" s="6"/>
      <c r="AU618" s="89"/>
      <c r="AV618" s="100"/>
      <c r="AW618" s="65"/>
      <c r="AX618" s="3"/>
    </row>
    <row r="619" spans="35:50">
      <c r="AI619" s="99"/>
      <c r="AM619" s="99"/>
      <c r="AO619" s="99"/>
      <c r="AR619" s="6"/>
      <c r="AS619" s="6"/>
      <c r="AT619" s="6"/>
      <c r="AU619" s="89"/>
      <c r="AV619" s="100"/>
      <c r="AW619" s="65"/>
      <c r="AX619" s="3"/>
    </row>
    <row r="620" spans="35:50">
      <c r="AI620" s="99"/>
      <c r="AM620" s="99"/>
      <c r="AO620" s="99"/>
      <c r="AR620" s="6"/>
      <c r="AS620" s="6"/>
      <c r="AT620" s="6"/>
      <c r="AU620" s="89"/>
      <c r="AV620" s="100"/>
      <c r="AW620" s="65"/>
      <c r="AX620" s="3"/>
    </row>
    <row r="621" spans="35:50">
      <c r="AI621" s="99"/>
      <c r="AM621" s="99"/>
      <c r="AO621" s="99"/>
      <c r="AR621" s="6"/>
      <c r="AS621" s="6"/>
      <c r="AT621" s="6"/>
      <c r="AU621" s="89"/>
      <c r="AV621" s="100"/>
      <c r="AW621" s="65"/>
      <c r="AX621" s="3"/>
    </row>
    <row r="622" spans="35:50">
      <c r="AI622" s="99"/>
      <c r="AM622" s="99"/>
      <c r="AO622" s="99"/>
      <c r="AR622" s="6"/>
      <c r="AS622" s="6"/>
      <c r="AT622" s="6"/>
      <c r="AU622" s="89"/>
      <c r="AV622" s="100"/>
      <c r="AW622" s="65"/>
      <c r="AX622" s="3"/>
    </row>
    <row r="623" spans="35:50">
      <c r="AI623" s="99"/>
      <c r="AM623" s="99"/>
      <c r="AO623" s="99"/>
      <c r="AR623" s="6"/>
      <c r="AS623" s="6"/>
      <c r="AT623" s="6"/>
      <c r="AU623" s="89"/>
      <c r="AV623" s="100"/>
      <c r="AW623" s="65"/>
      <c r="AX623" s="3"/>
    </row>
    <row r="624" spans="35:50">
      <c r="AI624" s="99"/>
      <c r="AM624" s="99"/>
      <c r="AO624" s="99"/>
      <c r="AR624" s="6"/>
      <c r="AS624" s="6"/>
      <c r="AT624" s="6"/>
      <c r="AU624" s="89"/>
      <c r="AV624" s="100"/>
      <c r="AW624" s="65"/>
      <c r="AX624" s="3"/>
    </row>
    <row r="625" spans="35:50">
      <c r="AI625" s="99"/>
      <c r="AM625" s="99"/>
      <c r="AO625" s="99"/>
      <c r="AR625" s="6"/>
      <c r="AS625" s="6"/>
      <c r="AT625" s="6"/>
      <c r="AU625" s="89"/>
      <c r="AV625" s="100"/>
      <c r="AW625" s="65"/>
      <c r="AX625" s="3"/>
    </row>
    <row r="626" spans="35:50">
      <c r="AI626" s="99"/>
      <c r="AM626" s="99"/>
      <c r="AO626" s="99"/>
      <c r="AR626" s="6"/>
      <c r="AS626" s="6"/>
      <c r="AT626" s="6"/>
      <c r="AU626" s="89"/>
      <c r="AV626" s="100"/>
      <c r="AW626" s="65"/>
      <c r="AX626" s="3"/>
    </row>
    <row r="627" spans="35:50">
      <c r="AI627" s="99"/>
      <c r="AM627" s="99"/>
      <c r="AO627" s="99"/>
      <c r="AR627" s="6"/>
      <c r="AS627" s="6"/>
      <c r="AT627" s="6"/>
      <c r="AU627" s="89"/>
      <c r="AV627" s="100"/>
      <c r="AW627" s="65"/>
      <c r="AX627" s="3"/>
    </row>
    <row r="628" spans="35:50">
      <c r="AI628" s="99"/>
      <c r="AM628" s="99"/>
      <c r="AO628" s="99"/>
      <c r="AR628" s="6"/>
      <c r="AS628" s="6"/>
      <c r="AT628" s="6"/>
      <c r="AU628" s="89"/>
      <c r="AV628" s="100"/>
      <c r="AW628" s="65"/>
      <c r="AX628" s="3"/>
    </row>
    <row r="629" spans="35:50">
      <c r="AI629" s="99"/>
      <c r="AM629" s="99"/>
      <c r="AO629" s="99"/>
      <c r="AR629" s="6"/>
      <c r="AS629" s="6"/>
      <c r="AT629" s="6"/>
      <c r="AU629" s="89"/>
      <c r="AV629" s="100"/>
      <c r="AW629" s="65"/>
      <c r="AX629" s="3"/>
    </row>
    <row r="630" spans="35:50">
      <c r="AI630" s="99"/>
      <c r="AM630" s="99"/>
      <c r="AO630" s="99"/>
      <c r="AR630" s="6"/>
      <c r="AS630" s="6"/>
      <c r="AT630" s="6"/>
      <c r="AU630" s="89"/>
      <c r="AV630" s="100"/>
      <c r="AW630" s="65"/>
      <c r="AX630" s="3"/>
    </row>
    <row r="631" spans="35:50">
      <c r="AI631" s="99"/>
      <c r="AM631" s="99"/>
      <c r="AO631" s="99"/>
      <c r="AR631" s="6"/>
      <c r="AS631" s="6"/>
      <c r="AT631" s="6"/>
      <c r="AU631" s="89"/>
      <c r="AV631" s="100"/>
      <c r="AW631" s="65"/>
      <c r="AX631" s="3"/>
    </row>
    <row r="632" spans="35:50">
      <c r="AI632" s="99"/>
      <c r="AM632" s="99"/>
      <c r="AO632" s="99"/>
      <c r="AR632" s="6"/>
      <c r="AS632" s="6"/>
      <c r="AT632" s="6"/>
      <c r="AU632" s="89"/>
      <c r="AV632" s="100"/>
      <c r="AW632" s="65"/>
      <c r="AX632" s="3"/>
    </row>
    <row r="633" spans="35:50">
      <c r="AI633" s="99"/>
      <c r="AM633" s="99"/>
      <c r="AO633" s="99"/>
      <c r="AR633" s="6"/>
      <c r="AS633" s="6"/>
      <c r="AT633" s="6"/>
      <c r="AU633" s="89"/>
      <c r="AV633" s="100"/>
      <c r="AW633" s="65"/>
      <c r="AX633" s="3"/>
    </row>
    <row r="634" spans="35:50">
      <c r="AI634" s="99"/>
      <c r="AM634" s="99"/>
      <c r="AO634" s="99"/>
      <c r="AR634" s="6"/>
      <c r="AS634" s="6"/>
      <c r="AT634" s="6"/>
      <c r="AU634" s="89"/>
      <c r="AV634" s="100"/>
      <c r="AW634" s="65"/>
      <c r="AX634" s="3"/>
    </row>
    <row r="635" spans="35:50">
      <c r="AI635" s="99"/>
      <c r="AM635" s="99"/>
      <c r="AO635" s="99"/>
      <c r="AR635" s="6"/>
      <c r="AS635" s="6"/>
      <c r="AT635" s="6"/>
      <c r="AU635" s="89"/>
      <c r="AV635" s="100"/>
      <c r="AW635" s="65"/>
      <c r="AX635" s="3"/>
    </row>
    <row r="636" spans="35:50">
      <c r="AI636" s="99"/>
      <c r="AM636" s="99"/>
      <c r="AO636" s="99"/>
      <c r="AR636" s="6"/>
      <c r="AS636" s="6"/>
      <c r="AT636" s="6"/>
      <c r="AU636" s="89"/>
      <c r="AV636" s="100"/>
      <c r="AW636" s="65"/>
      <c r="AX636" s="3"/>
    </row>
    <row r="637" spans="35:50">
      <c r="AI637" s="99"/>
      <c r="AM637" s="99"/>
      <c r="AO637" s="99"/>
      <c r="AR637" s="6"/>
      <c r="AS637" s="6"/>
      <c r="AT637" s="6"/>
      <c r="AU637" s="89"/>
      <c r="AV637" s="100"/>
      <c r="AW637" s="65"/>
      <c r="AX637" s="3"/>
    </row>
    <row r="638" spans="35:50">
      <c r="AI638" s="99"/>
      <c r="AM638" s="99"/>
      <c r="AO638" s="99"/>
      <c r="AR638" s="6"/>
      <c r="AS638" s="6"/>
      <c r="AT638" s="6"/>
      <c r="AU638" s="89"/>
      <c r="AV638" s="100"/>
      <c r="AW638" s="65"/>
      <c r="AX638" s="3"/>
    </row>
    <row r="639" spans="35:50">
      <c r="AI639" s="99"/>
      <c r="AM639" s="99"/>
      <c r="AO639" s="99"/>
      <c r="AR639" s="6"/>
      <c r="AS639" s="6"/>
      <c r="AT639" s="6"/>
      <c r="AU639" s="89"/>
      <c r="AV639" s="100"/>
      <c r="AW639" s="65"/>
      <c r="AX639" s="3"/>
    </row>
    <row r="640" spans="35:50">
      <c r="AI640" s="99"/>
      <c r="AM640" s="99"/>
      <c r="AO640" s="99"/>
      <c r="AR640" s="6"/>
      <c r="AS640" s="6"/>
      <c r="AT640" s="6"/>
      <c r="AU640" s="89"/>
      <c r="AV640" s="100"/>
      <c r="AW640" s="65"/>
      <c r="AX640" s="3"/>
    </row>
    <row r="641" spans="35:50">
      <c r="AI641" s="99"/>
      <c r="AM641" s="99"/>
      <c r="AO641" s="99"/>
      <c r="AR641" s="6"/>
      <c r="AS641" s="6"/>
      <c r="AT641" s="6"/>
      <c r="AU641" s="89"/>
      <c r="AV641" s="100"/>
      <c r="AW641" s="65"/>
      <c r="AX641" s="3"/>
    </row>
    <row r="642" spans="35:50">
      <c r="AI642" s="99"/>
      <c r="AM642" s="99"/>
      <c r="AO642" s="99"/>
      <c r="AR642" s="6"/>
      <c r="AS642" s="6"/>
      <c r="AT642" s="6"/>
      <c r="AU642" s="89"/>
      <c r="AV642" s="100"/>
      <c r="AW642" s="65"/>
      <c r="AX642" s="3"/>
    </row>
    <row r="643" spans="35:50">
      <c r="AI643" s="99"/>
      <c r="AM643" s="99"/>
      <c r="AO643" s="99"/>
      <c r="AR643" s="6"/>
      <c r="AS643" s="6"/>
      <c r="AT643" s="6"/>
      <c r="AU643" s="89"/>
      <c r="AV643" s="100"/>
      <c r="AW643" s="65"/>
      <c r="AX643" s="3"/>
    </row>
    <row r="644" spans="35:50">
      <c r="AI644" s="99"/>
      <c r="AM644" s="99"/>
      <c r="AO644" s="99"/>
      <c r="AR644" s="6"/>
      <c r="AS644" s="6"/>
      <c r="AT644" s="6"/>
      <c r="AU644" s="89"/>
      <c r="AV644" s="100"/>
      <c r="AW644" s="65"/>
      <c r="AX644" s="3"/>
    </row>
    <row r="645" spans="35:50">
      <c r="AI645" s="99"/>
      <c r="AM645" s="99"/>
      <c r="AO645" s="99"/>
      <c r="AR645" s="6"/>
      <c r="AS645" s="6"/>
      <c r="AT645" s="6"/>
      <c r="AU645" s="89"/>
      <c r="AV645" s="100"/>
      <c r="AW645" s="65"/>
      <c r="AX645" s="3"/>
    </row>
    <row r="646" spans="35:50">
      <c r="AI646" s="99"/>
      <c r="AM646" s="99"/>
      <c r="AO646" s="99"/>
      <c r="AR646" s="6"/>
      <c r="AS646" s="6"/>
      <c r="AT646" s="6"/>
      <c r="AU646" s="89"/>
      <c r="AV646" s="100"/>
      <c r="AW646" s="65"/>
      <c r="AX646" s="3"/>
    </row>
    <row r="647" spans="35:50">
      <c r="AI647" s="99"/>
      <c r="AM647" s="99"/>
      <c r="AO647" s="99"/>
      <c r="AR647" s="6"/>
      <c r="AS647" s="6"/>
      <c r="AT647" s="6"/>
      <c r="AU647" s="89"/>
      <c r="AV647" s="100"/>
      <c r="AW647" s="65"/>
      <c r="AX647" s="3"/>
    </row>
    <row r="648" spans="35:50">
      <c r="AI648" s="99"/>
      <c r="AM648" s="99"/>
      <c r="AO648" s="99"/>
      <c r="AR648" s="6"/>
      <c r="AS648" s="6"/>
      <c r="AT648" s="6"/>
      <c r="AU648" s="89"/>
      <c r="AV648" s="100"/>
      <c r="AW648" s="65"/>
      <c r="AX648" s="3"/>
    </row>
    <row r="649" spans="35:50">
      <c r="AI649" s="99"/>
      <c r="AM649" s="99"/>
      <c r="AO649" s="99"/>
      <c r="AR649" s="6"/>
      <c r="AS649" s="6"/>
      <c r="AT649" s="6"/>
      <c r="AU649" s="89"/>
      <c r="AV649" s="100"/>
      <c r="AW649" s="65"/>
      <c r="AX649" s="3"/>
    </row>
    <row r="650" spans="35:50">
      <c r="AI650" s="99"/>
      <c r="AM650" s="99"/>
      <c r="AO650" s="99"/>
      <c r="AR650" s="6"/>
      <c r="AS650" s="6"/>
      <c r="AT650" s="6"/>
      <c r="AU650" s="89"/>
      <c r="AV650" s="100"/>
      <c r="AW650" s="65"/>
      <c r="AX650" s="3"/>
    </row>
    <row r="651" spans="35:50">
      <c r="AI651" s="99"/>
      <c r="AM651" s="99"/>
      <c r="AO651" s="99"/>
      <c r="AR651" s="6"/>
      <c r="AS651" s="6"/>
      <c r="AT651" s="6"/>
      <c r="AU651" s="89"/>
      <c r="AV651" s="100"/>
      <c r="AW651" s="65"/>
      <c r="AX651" s="3"/>
    </row>
    <row r="652" spans="35:50">
      <c r="AI652" s="99"/>
      <c r="AM652" s="99"/>
      <c r="AO652" s="99"/>
      <c r="AR652" s="6"/>
      <c r="AS652" s="6"/>
      <c r="AT652" s="6"/>
      <c r="AU652" s="89"/>
      <c r="AV652" s="100"/>
      <c r="AW652" s="65"/>
      <c r="AX652" s="3"/>
    </row>
    <row r="653" spans="35:50">
      <c r="AI653" s="99"/>
      <c r="AM653" s="99"/>
      <c r="AO653" s="99"/>
      <c r="AR653" s="6"/>
      <c r="AS653" s="6"/>
      <c r="AT653" s="6"/>
      <c r="AU653" s="89"/>
      <c r="AV653" s="100"/>
      <c r="AW653" s="65"/>
      <c r="AX653" s="3"/>
    </row>
    <row r="654" spans="35:50">
      <c r="AI654" s="99"/>
      <c r="AM654" s="99"/>
      <c r="AO654" s="99"/>
      <c r="AR654" s="6"/>
      <c r="AS654" s="6"/>
      <c r="AT654" s="6"/>
      <c r="AU654" s="89"/>
      <c r="AV654" s="100"/>
      <c r="AW654" s="65"/>
      <c r="AX654" s="3"/>
    </row>
    <row r="655" spans="35:50">
      <c r="AI655" s="99"/>
      <c r="AM655" s="99"/>
      <c r="AO655" s="99"/>
      <c r="AR655" s="6"/>
      <c r="AS655" s="6"/>
      <c r="AT655" s="6"/>
      <c r="AU655" s="89"/>
      <c r="AV655" s="100"/>
      <c r="AW655" s="65"/>
      <c r="AX655" s="3"/>
    </row>
    <row r="656" spans="35:50">
      <c r="AI656" s="99"/>
      <c r="AM656" s="99"/>
      <c r="AO656" s="99"/>
      <c r="AR656" s="6"/>
      <c r="AS656" s="6"/>
      <c r="AT656" s="6"/>
      <c r="AU656" s="89"/>
      <c r="AV656" s="100"/>
      <c r="AW656" s="65"/>
      <c r="AX656" s="3"/>
    </row>
    <row r="657" spans="35:50">
      <c r="AI657" s="99"/>
      <c r="AM657" s="99"/>
      <c r="AO657" s="99"/>
      <c r="AR657" s="6"/>
      <c r="AS657" s="6"/>
      <c r="AT657" s="6"/>
      <c r="AU657" s="89"/>
      <c r="AV657" s="100"/>
      <c r="AW657" s="65"/>
      <c r="AX657" s="3"/>
    </row>
    <row r="658" spans="35:50">
      <c r="AI658" s="99"/>
      <c r="AM658" s="99"/>
      <c r="AO658" s="99"/>
      <c r="AR658" s="6"/>
      <c r="AS658" s="6"/>
      <c r="AT658" s="6"/>
      <c r="AU658" s="89"/>
      <c r="AV658" s="100"/>
      <c r="AW658" s="65"/>
      <c r="AX658" s="3"/>
    </row>
    <row r="659" spans="35:50">
      <c r="AI659" s="99"/>
      <c r="AM659" s="99"/>
      <c r="AO659" s="99"/>
      <c r="AR659" s="6"/>
      <c r="AS659" s="6"/>
      <c r="AT659" s="6"/>
      <c r="AU659" s="89"/>
      <c r="AV659" s="100"/>
      <c r="AW659" s="65"/>
      <c r="AX659" s="3"/>
    </row>
    <row r="660" spans="35:50">
      <c r="AI660" s="99"/>
      <c r="AM660" s="99"/>
      <c r="AO660" s="99"/>
      <c r="AR660" s="6"/>
      <c r="AS660" s="6"/>
      <c r="AT660" s="6"/>
      <c r="AU660" s="89"/>
      <c r="AV660" s="100"/>
      <c r="AW660" s="65"/>
      <c r="AX660" s="3"/>
    </row>
    <row r="661" spans="35:50">
      <c r="AI661" s="99"/>
      <c r="AM661" s="99"/>
      <c r="AO661" s="99"/>
      <c r="AR661" s="6"/>
      <c r="AS661" s="6"/>
      <c r="AT661" s="6"/>
      <c r="AU661" s="89"/>
      <c r="AV661" s="100"/>
      <c r="AW661" s="65"/>
      <c r="AX661" s="3"/>
    </row>
    <row r="662" spans="35:50">
      <c r="AI662" s="99"/>
      <c r="AM662" s="99"/>
      <c r="AO662" s="99"/>
      <c r="AR662" s="6"/>
      <c r="AS662" s="6"/>
      <c r="AT662" s="6"/>
      <c r="AU662" s="89"/>
      <c r="AV662" s="100"/>
      <c r="AW662" s="65"/>
      <c r="AX662" s="3"/>
    </row>
    <row r="663" spans="35:50">
      <c r="AI663" s="99"/>
      <c r="AM663" s="99"/>
      <c r="AO663" s="99"/>
      <c r="AR663" s="6"/>
      <c r="AS663" s="6"/>
      <c r="AT663" s="6"/>
      <c r="AU663" s="89"/>
      <c r="AV663" s="100"/>
      <c r="AW663" s="65"/>
      <c r="AX663" s="3"/>
    </row>
    <row r="664" spans="35:50">
      <c r="AI664" s="99"/>
      <c r="AM664" s="99"/>
      <c r="AO664" s="99"/>
      <c r="AR664" s="6"/>
      <c r="AS664" s="6"/>
      <c r="AT664" s="6"/>
      <c r="AU664" s="89"/>
      <c r="AV664" s="100"/>
      <c r="AW664" s="65"/>
      <c r="AX664" s="3"/>
    </row>
    <row r="665" spans="35:50">
      <c r="AI665" s="99"/>
      <c r="AM665" s="99"/>
      <c r="AO665" s="99"/>
      <c r="AR665" s="6"/>
      <c r="AS665" s="6"/>
      <c r="AT665" s="6"/>
      <c r="AU665" s="89"/>
      <c r="AV665" s="100"/>
      <c r="AW665" s="65"/>
      <c r="AX665" s="3"/>
    </row>
    <row r="666" spans="35:50">
      <c r="AI666" s="99"/>
      <c r="AM666" s="99"/>
      <c r="AO666" s="99"/>
      <c r="AR666" s="6"/>
      <c r="AS666" s="6"/>
      <c r="AT666" s="6"/>
      <c r="AU666" s="89"/>
      <c r="AV666" s="100"/>
      <c r="AW666" s="65"/>
      <c r="AX666" s="3"/>
    </row>
    <row r="667" spans="35:50">
      <c r="AI667" s="99"/>
      <c r="AM667" s="99"/>
      <c r="AO667" s="99"/>
      <c r="AR667" s="6"/>
      <c r="AS667" s="6"/>
      <c r="AT667" s="6"/>
      <c r="AU667" s="89"/>
      <c r="AV667" s="100"/>
      <c r="AW667" s="65"/>
      <c r="AX667" s="3"/>
    </row>
    <row r="668" spans="35:50">
      <c r="AI668" s="99"/>
      <c r="AM668" s="99"/>
      <c r="AO668" s="99"/>
      <c r="AR668" s="6"/>
      <c r="AS668" s="6"/>
      <c r="AT668" s="6"/>
      <c r="AU668" s="89"/>
      <c r="AV668" s="100"/>
      <c r="AW668" s="65"/>
      <c r="AX668" s="3"/>
    </row>
    <row r="669" spans="35:50">
      <c r="AI669" s="99"/>
      <c r="AM669" s="99"/>
      <c r="AO669" s="99"/>
      <c r="AR669" s="6"/>
      <c r="AS669" s="6"/>
      <c r="AT669" s="6"/>
      <c r="AU669" s="89"/>
      <c r="AV669" s="100"/>
      <c r="AW669" s="65"/>
      <c r="AX669" s="3"/>
    </row>
    <row r="670" spans="35:50">
      <c r="AI670" s="99"/>
      <c r="AM670" s="99"/>
      <c r="AO670" s="99"/>
      <c r="AR670" s="6"/>
      <c r="AS670" s="6"/>
      <c r="AT670" s="6"/>
      <c r="AU670" s="89"/>
      <c r="AV670" s="100"/>
      <c r="AW670" s="65"/>
      <c r="AX670" s="3"/>
    </row>
    <row r="671" spans="35:50">
      <c r="AI671" s="99"/>
      <c r="AM671" s="99"/>
      <c r="AO671" s="99"/>
      <c r="AR671" s="6"/>
      <c r="AS671" s="6"/>
      <c r="AT671" s="6"/>
      <c r="AU671" s="89"/>
      <c r="AV671" s="100"/>
      <c r="AW671" s="65"/>
      <c r="AX671" s="3"/>
    </row>
    <row r="672" spans="35:50">
      <c r="AI672" s="99"/>
      <c r="AM672" s="99"/>
      <c r="AO672" s="99"/>
      <c r="AR672" s="6"/>
      <c r="AS672" s="6"/>
      <c r="AT672" s="6"/>
      <c r="AU672" s="89"/>
      <c r="AV672" s="100"/>
      <c r="AW672" s="65"/>
      <c r="AX672" s="3"/>
    </row>
    <row r="673" spans="35:50">
      <c r="AI673" s="99"/>
      <c r="AM673" s="99"/>
      <c r="AO673" s="99"/>
      <c r="AR673" s="6"/>
      <c r="AS673" s="6"/>
      <c r="AT673" s="6"/>
      <c r="AU673" s="89"/>
      <c r="AV673" s="100"/>
      <c r="AW673" s="65"/>
      <c r="AX673" s="3"/>
    </row>
    <row r="674" spans="35:50">
      <c r="AI674" s="99"/>
      <c r="AM674" s="99"/>
      <c r="AO674" s="99"/>
      <c r="AR674" s="6"/>
      <c r="AS674" s="6"/>
      <c r="AT674" s="6"/>
      <c r="AU674" s="89"/>
      <c r="AV674" s="100"/>
      <c r="AW674" s="65"/>
      <c r="AX674" s="3"/>
    </row>
    <row r="675" spans="35:50">
      <c r="AI675" s="99"/>
      <c r="AM675" s="99"/>
      <c r="AO675" s="99"/>
      <c r="AR675" s="6"/>
      <c r="AS675" s="6"/>
      <c r="AT675" s="6"/>
      <c r="AU675" s="89"/>
      <c r="AV675" s="100"/>
      <c r="AW675" s="65"/>
      <c r="AX675" s="3"/>
    </row>
    <row r="676" spans="35:50">
      <c r="AI676" s="99"/>
      <c r="AM676" s="99"/>
      <c r="AO676" s="99"/>
      <c r="AR676" s="6"/>
      <c r="AS676" s="6"/>
      <c r="AT676" s="6"/>
      <c r="AU676" s="89"/>
      <c r="AV676" s="100"/>
      <c r="AW676" s="65"/>
      <c r="AX676" s="3"/>
    </row>
    <row r="677" spans="35:50">
      <c r="AI677" s="99"/>
      <c r="AM677" s="99"/>
      <c r="AO677" s="99"/>
      <c r="AR677" s="6"/>
      <c r="AS677" s="6"/>
      <c r="AT677" s="6"/>
      <c r="AU677" s="89"/>
      <c r="AV677" s="100"/>
      <c r="AW677" s="65"/>
      <c r="AX677" s="3"/>
    </row>
    <row r="678" spans="35:50">
      <c r="AI678" s="99"/>
      <c r="AM678" s="99"/>
      <c r="AO678" s="99"/>
      <c r="AR678" s="6"/>
      <c r="AS678" s="6"/>
      <c r="AT678" s="6"/>
      <c r="AU678" s="89"/>
      <c r="AV678" s="100"/>
      <c r="AW678" s="65"/>
      <c r="AX678" s="3"/>
    </row>
    <row r="679" spans="35:50">
      <c r="AI679" s="99"/>
      <c r="AM679" s="99"/>
      <c r="AO679" s="99"/>
      <c r="AR679" s="6"/>
      <c r="AS679" s="6"/>
      <c r="AT679" s="6"/>
      <c r="AU679" s="89"/>
      <c r="AV679" s="100"/>
      <c r="AW679" s="65"/>
      <c r="AX679" s="3"/>
    </row>
    <row r="680" spans="35:50">
      <c r="AI680" s="99"/>
      <c r="AM680" s="99"/>
      <c r="AO680" s="99"/>
      <c r="AR680" s="6"/>
      <c r="AS680" s="6"/>
      <c r="AT680" s="6"/>
      <c r="AU680" s="89"/>
      <c r="AV680" s="100"/>
      <c r="AW680" s="65"/>
      <c r="AX680" s="3"/>
    </row>
    <row r="681" spans="35:50">
      <c r="AI681" s="99"/>
      <c r="AM681" s="99"/>
      <c r="AO681" s="99"/>
      <c r="AR681" s="6"/>
      <c r="AS681" s="6"/>
      <c r="AT681" s="6"/>
      <c r="AU681" s="89"/>
      <c r="AV681" s="100"/>
      <c r="AW681" s="65"/>
      <c r="AX681" s="3"/>
    </row>
    <row r="682" spans="35:50">
      <c r="AI682" s="99"/>
      <c r="AM682" s="99"/>
      <c r="AO682" s="99"/>
      <c r="AR682" s="6"/>
      <c r="AS682" s="6"/>
      <c r="AT682" s="6"/>
      <c r="AU682" s="89"/>
      <c r="AV682" s="100"/>
      <c r="AW682" s="65"/>
      <c r="AX682" s="3"/>
    </row>
    <row r="683" spans="35:50">
      <c r="AI683" s="99"/>
      <c r="AM683" s="99"/>
      <c r="AO683" s="99"/>
      <c r="AR683" s="6"/>
      <c r="AS683" s="6"/>
      <c r="AT683" s="6"/>
      <c r="AU683" s="89"/>
      <c r="AV683" s="100"/>
      <c r="AW683" s="65"/>
      <c r="AX683" s="3"/>
    </row>
    <row r="684" spans="35:50">
      <c r="AI684" s="99"/>
      <c r="AM684" s="99"/>
      <c r="AO684" s="99"/>
      <c r="AR684" s="6"/>
      <c r="AS684" s="6"/>
      <c r="AT684" s="6"/>
      <c r="AU684" s="89"/>
      <c r="AV684" s="100"/>
      <c r="AW684" s="65"/>
      <c r="AX684" s="3"/>
    </row>
    <row r="685" spans="35:50">
      <c r="AI685" s="99"/>
      <c r="AM685" s="99"/>
      <c r="AO685" s="99"/>
      <c r="AR685" s="6"/>
      <c r="AS685" s="6"/>
      <c r="AT685" s="6"/>
      <c r="AU685" s="89"/>
      <c r="AV685" s="100"/>
      <c r="AW685" s="65"/>
      <c r="AX685" s="3"/>
    </row>
    <row r="686" spans="35:50">
      <c r="AI686" s="99"/>
      <c r="AM686" s="99"/>
      <c r="AO686" s="99"/>
      <c r="AR686" s="6"/>
      <c r="AS686" s="6"/>
      <c r="AT686" s="6"/>
      <c r="AU686" s="89"/>
      <c r="AV686" s="100"/>
      <c r="AW686" s="65"/>
      <c r="AX686" s="3"/>
    </row>
    <row r="687" spans="35:50">
      <c r="AI687" s="99"/>
      <c r="AM687" s="99"/>
      <c r="AO687" s="99"/>
      <c r="AR687" s="6"/>
      <c r="AS687" s="6"/>
      <c r="AT687" s="6"/>
      <c r="AU687" s="89"/>
      <c r="AV687" s="100"/>
      <c r="AW687" s="65"/>
      <c r="AX687" s="3"/>
    </row>
    <row r="688" spans="35:50">
      <c r="AI688" s="99"/>
      <c r="AM688" s="99"/>
      <c r="AO688" s="99"/>
      <c r="AR688" s="6"/>
      <c r="AS688" s="6"/>
      <c r="AT688" s="6"/>
      <c r="AU688" s="89"/>
      <c r="AV688" s="100"/>
      <c r="AW688" s="65"/>
      <c r="AX688" s="3"/>
    </row>
    <row r="689" spans="35:50">
      <c r="AI689" s="99"/>
      <c r="AM689" s="99"/>
      <c r="AO689" s="99"/>
      <c r="AR689" s="6"/>
      <c r="AS689" s="6"/>
      <c r="AT689" s="6"/>
      <c r="AU689" s="89"/>
      <c r="AV689" s="100"/>
      <c r="AW689" s="65"/>
      <c r="AX689" s="3"/>
    </row>
    <row r="690" spans="35:50">
      <c r="AI690" s="99"/>
      <c r="AM690" s="99"/>
      <c r="AO690" s="99"/>
      <c r="AR690" s="6"/>
      <c r="AS690" s="6"/>
      <c r="AT690" s="6"/>
      <c r="AU690" s="89"/>
      <c r="AV690" s="100"/>
      <c r="AW690" s="65"/>
      <c r="AX690" s="3"/>
    </row>
    <row r="691" spans="35:50">
      <c r="AI691" s="99"/>
      <c r="AM691" s="99"/>
      <c r="AO691" s="99"/>
      <c r="AR691" s="6"/>
      <c r="AS691" s="6"/>
      <c r="AT691" s="6"/>
      <c r="AU691" s="89"/>
      <c r="AV691" s="100"/>
      <c r="AW691" s="65"/>
      <c r="AX691" s="3"/>
    </row>
    <row r="692" spans="35:50">
      <c r="AI692" s="99"/>
      <c r="AM692" s="99"/>
      <c r="AO692" s="99"/>
      <c r="AR692" s="6"/>
      <c r="AS692" s="6"/>
      <c r="AT692" s="6"/>
      <c r="AU692" s="89"/>
      <c r="AV692" s="100"/>
      <c r="AW692" s="65"/>
      <c r="AX692" s="3"/>
    </row>
    <row r="693" spans="35:50">
      <c r="AI693" s="99"/>
      <c r="AM693" s="99"/>
      <c r="AO693" s="99"/>
      <c r="AR693" s="6"/>
      <c r="AS693" s="6"/>
      <c r="AT693" s="6"/>
      <c r="AU693" s="89"/>
      <c r="AV693" s="100"/>
      <c r="AW693" s="65"/>
      <c r="AX693" s="3"/>
    </row>
    <row r="694" spans="35:50">
      <c r="AI694" s="99"/>
      <c r="AM694" s="99"/>
      <c r="AO694" s="99"/>
      <c r="AR694" s="6"/>
      <c r="AS694" s="6"/>
      <c r="AT694" s="6"/>
      <c r="AU694" s="89"/>
      <c r="AV694" s="100"/>
      <c r="AW694" s="65"/>
      <c r="AX694" s="3"/>
    </row>
    <row r="695" spans="35:50">
      <c r="AI695" s="99"/>
      <c r="AM695" s="99"/>
      <c r="AO695" s="99"/>
      <c r="AR695" s="6"/>
      <c r="AS695" s="6"/>
      <c r="AT695" s="6"/>
      <c r="AU695" s="89"/>
      <c r="AV695" s="100"/>
      <c r="AW695" s="65"/>
      <c r="AX695" s="3"/>
    </row>
    <row r="696" spans="35:50">
      <c r="AI696" s="99"/>
      <c r="AM696" s="99"/>
      <c r="AO696" s="99"/>
      <c r="AR696" s="6"/>
      <c r="AS696" s="6"/>
      <c r="AT696" s="6"/>
      <c r="AU696" s="89"/>
      <c r="AV696" s="100"/>
      <c r="AW696" s="65"/>
      <c r="AX696" s="3"/>
    </row>
    <row r="697" spans="35:50">
      <c r="AI697" s="99"/>
      <c r="AM697" s="99"/>
      <c r="AO697" s="99"/>
      <c r="AR697" s="6"/>
      <c r="AS697" s="6"/>
      <c r="AT697" s="6"/>
      <c r="AU697" s="89"/>
      <c r="AV697" s="100"/>
      <c r="AW697" s="65"/>
      <c r="AX697" s="3"/>
    </row>
    <row r="698" spans="35:50">
      <c r="AI698" s="99"/>
      <c r="AM698" s="99"/>
      <c r="AO698" s="99"/>
      <c r="AR698" s="6"/>
      <c r="AS698" s="6"/>
      <c r="AT698" s="6"/>
      <c r="AU698" s="89"/>
      <c r="AV698" s="100"/>
      <c r="AW698" s="65"/>
      <c r="AX698" s="3"/>
    </row>
    <row r="699" spans="35:50">
      <c r="AI699" s="99"/>
      <c r="AM699" s="99"/>
      <c r="AO699" s="99"/>
      <c r="AR699" s="6"/>
      <c r="AS699" s="6"/>
      <c r="AT699" s="6"/>
      <c r="AU699" s="89"/>
      <c r="AV699" s="100"/>
      <c r="AW699" s="65"/>
      <c r="AX699" s="3"/>
    </row>
    <row r="700" spans="35:50">
      <c r="AI700" s="99"/>
      <c r="AM700" s="99"/>
      <c r="AO700" s="99"/>
      <c r="AR700" s="6"/>
      <c r="AS700" s="6"/>
      <c r="AT700" s="6"/>
      <c r="AU700" s="89"/>
      <c r="AV700" s="100"/>
      <c r="AW700" s="65"/>
      <c r="AX700" s="3"/>
    </row>
    <row r="701" spans="35:50">
      <c r="AI701" s="99"/>
      <c r="AM701" s="99"/>
      <c r="AO701" s="99"/>
      <c r="AR701" s="6"/>
      <c r="AS701" s="6"/>
      <c r="AT701" s="6"/>
      <c r="AU701" s="89"/>
      <c r="AV701" s="100"/>
      <c r="AW701" s="65"/>
      <c r="AX701" s="3"/>
    </row>
    <row r="702" spans="35:50">
      <c r="AI702" s="99"/>
      <c r="AM702" s="99"/>
      <c r="AO702" s="99"/>
      <c r="AR702" s="6"/>
      <c r="AS702" s="6"/>
      <c r="AT702" s="6"/>
      <c r="AU702" s="89"/>
      <c r="AV702" s="100"/>
      <c r="AW702" s="65"/>
      <c r="AX702" s="3"/>
    </row>
    <row r="703" spans="35:50">
      <c r="AI703" s="99"/>
      <c r="AM703" s="99"/>
      <c r="AO703" s="99"/>
      <c r="AR703" s="6"/>
      <c r="AS703" s="6"/>
      <c r="AT703" s="6"/>
      <c r="AU703" s="89"/>
      <c r="AV703" s="100"/>
      <c r="AW703" s="65"/>
      <c r="AX703" s="3"/>
    </row>
    <row r="704" spans="35:50">
      <c r="AI704" s="99"/>
      <c r="AM704" s="99"/>
      <c r="AO704" s="99"/>
      <c r="AR704" s="6"/>
      <c r="AS704" s="6"/>
      <c r="AT704" s="6"/>
      <c r="AU704" s="89"/>
      <c r="AV704" s="100"/>
      <c r="AW704" s="65"/>
      <c r="AX704" s="3"/>
    </row>
    <row r="705" spans="35:50">
      <c r="AI705" s="99"/>
      <c r="AM705" s="99"/>
      <c r="AO705" s="99"/>
      <c r="AR705" s="6"/>
      <c r="AS705" s="6"/>
      <c r="AT705" s="6"/>
      <c r="AU705" s="89"/>
      <c r="AV705" s="100"/>
      <c r="AW705" s="65"/>
      <c r="AX705" s="3"/>
    </row>
    <row r="706" spans="35:50">
      <c r="AI706" s="99"/>
      <c r="AM706" s="99"/>
      <c r="AO706" s="99"/>
      <c r="AR706" s="6"/>
      <c r="AS706" s="6"/>
      <c r="AT706" s="6"/>
      <c r="AU706" s="89"/>
      <c r="AV706" s="100"/>
      <c r="AW706" s="65"/>
      <c r="AX706" s="3"/>
    </row>
    <row r="707" spans="35:50">
      <c r="AI707" s="99"/>
      <c r="AM707" s="99"/>
      <c r="AO707" s="99"/>
      <c r="AR707" s="6"/>
      <c r="AS707" s="6"/>
      <c r="AT707" s="6"/>
      <c r="AU707" s="89"/>
      <c r="AV707" s="100"/>
      <c r="AW707" s="65"/>
      <c r="AX707" s="3"/>
    </row>
    <row r="708" spans="35:50">
      <c r="AI708" s="99"/>
      <c r="AM708" s="99"/>
      <c r="AO708" s="99"/>
      <c r="AR708" s="6"/>
      <c r="AS708" s="6"/>
      <c r="AT708" s="6"/>
      <c r="AU708" s="89"/>
      <c r="AV708" s="100"/>
      <c r="AW708" s="65"/>
      <c r="AX708" s="3"/>
    </row>
    <row r="709" spans="35:50">
      <c r="AI709" s="99"/>
      <c r="AM709" s="99"/>
      <c r="AO709" s="99"/>
      <c r="AR709" s="6"/>
      <c r="AS709" s="6"/>
      <c r="AT709" s="6"/>
      <c r="AU709" s="89"/>
      <c r="AV709" s="100"/>
      <c r="AW709" s="65"/>
      <c r="AX709" s="3"/>
    </row>
    <row r="710" spans="35:50">
      <c r="AI710" s="99"/>
      <c r="AM710" s="99"/>
      <c r="AO710" s="99"/>
      <c r="AR710" s="6"/>
      <c r="AS710" s="6"/>
      <c r="AT710" s="6"/>
      <c r="AU710" s="89"/>
      <c r="AV710" s="100"/>
      <c r="AW710" s="65"/>
      <c r="AX710" s="3"/>
    </row>
    <row r="711" spans="35:50">
      <c r="AI711" s="99"/>
      <c r="AM711" s="99"/>
      <c r="AO711" s="99"/>
      <c r="AR711" s="6"/>
      <c r="AS711" s="6"/>
      <c r="AT711" s="6"/>
      <c r="AU711" s="89"/>
      <c r="AV711" s="100"/>
      <c r="AW711" s="65"/>
      <c r="AX711" s="3"/>
    </row>
    <row r="712" spans="35:50">
      <c r="AI712" s="99"/>
      <c r="AM712" s="99"/>
      <c r="AO712" s="99"/>
      <c r="AR712" s="6"/>
      <c r="AS712" s="6"/>
      <c r="AT712" s="6"/>
      <c r="AU712" s="89"/>
      <c r="AV712" s="100"/>
      <c r="AW712" s="65"/>
      <c r="AX712" s="3"/>
    </row>
    <row r="713" spans="35:50">
      <c r="AI713" s="99"/>
      <c r="AM713" s="99"/>
      <c r="AO713" s="99"/>
      <c r="AR713" s="6"/>
      <c r="AS713" s="6"/>
      <c r="AT713" s="6"/>
      <c r="AU713" s="89"/>
      <c r="AV713" s="100"/>
      <c r="AW713" s="65"/>
      <c r="AX713" s="3"/>
    </row>
    <row r="714" spans="35:50">
      <c r="AI714" s="99"/>
      <c r="AM714" s="99"/>
      <c r="AO714" s="99"/>
      <c r="AR714" s="6"/>
      <c r="AS714" s="6"/>
      <c r="AT714" s="6"/>
      <c r="AU714" s="89"/>
      <c r="AV714" s="100"/>
      <c r="AW714" s="65"/>
      <c r="AX714" s="3"/>
    </row>
    <row r="715" spans="35:50">
      <c r="AI715" s="99"/>
      <c r="AM715" s="99"/>
      <c r="AO715" s="99"/>
      <c r="AR715" s="6"/>
      <c r="AS715" s="6"/>
      <c r="AT715" s="6"/>
      <c r="AU715" s="89"/>
      <c r="AV715" s="100"/>
      <c r="AW715" s="65"/>
      <c r="AX715" s="3"/>
    </row>
    <row r="716" spans="35:50">
      <c r="AI716" s="99"/>
      <c r="AM716" s="99"/>
      <c r="AO716" s="99"/>
      <c r="AR716" s="6"/>
      <c r="AS716" s="6"/>
      <c r="AT716" s="6"/>
      <c r="AU716" s="89"/>
      <c r="AV716" s="100"/>
      <c r="AW716" s="65"/>
      <c r="AX716" s="3"/>
    </row>
    <row r="717" spans="35:50">
      <c r="AI717" s="99"/>
      <c r="AM717" s="99"/>
      <c r="AO717" s="99"/>
      <c r="AR717" s="6"/>
      <c r="AS717" s="6"/>
      <c r="AT717" s="6"/>
      <c r="AU717" s="89"/>
      <c r="AV717" s="100"/>
      <c r="AW717" s="65"/>
      <c r="AX717" s="3"/>
    </row>
    <row r="718" spans="35:50">
      <c r="AI718" s="99"/>
      <c r="AM718" s="99"/>
      <c r="AO718" s="99"/>
      <c r="AR718" s="6"/>
      <c r="AS718" s="6"/>
      <c r="AT718" s="6"/>
      <c r="AU718" s="89"/>
      <c r="AV718" s="100"/>
      <c r="AW718" s="65"/>
      <c r="AX718" s="3"/>
    </row>
    <row r="719" spans="35:50">
      <c r="AI719" s="99"/>
      <c r="AM719" s="99"/>
      <c r="AO719" s="99"/>
      <c r="AR719" s="6"/>
      <c r="AS719" s="6"/>
      <c r="AT719" s="6"/>
      <c r="AU719" s="89"/>
      <c r="AV719" s="100"/>
      <c r="AW719" s="65"/>
      <c r="AX719" s="3"/>
    </row>
    <row r="720" spans="35:50">
      <c r="AI720" s="99"/>
      <c r="AM720" s="99"/>
      <c r="AO720" s="99"/>
      <c r="AR720" s="6"/>
      <c r="AS720" s="6"/>
      <c r="AT720" s="6"/>
      <c r="AU720" s="89"/>
      <c r="AV720" s="100"/>
      <c r="AW720" s="65"/>
      <c r="AX720" s="3"/>
    </row>
    <row r="721" spans="35:50">
      <c r="AI721" s="99"/>
      <c r="AM721" s="99"/>
      <c r="AO721" s="99"/>
      <c r="AR721" s="6"/>
      <c r="AS721" s="6"/>
      <c r="AT721" s="6"/>
      <c r="AU721" s="89"/>
      <c r="AV721" s="100"/>
      <c r="AW721" s="65"/>
      <c r="AX721" s="3"/>
    </row>
    <row r="722" spans="35:50">
      <c r="AI722" s="99"/>
      <c r="AM722" s="99"/>
      <c r="AO722" s="99"/>
      <c r="AR722" s="6"/>
      <c r="AS722" s="6"/>
      <c r="AT722" s="6"/>
      <c r="AU722" s="89"/>
      <c r="AV722" s="100"/>
      <c r="AW722" s="65"/>
      <c r="AX722" s="3"/>
    </row>
    <row r="723" spans="35:50">
      <c r="AI723" s="99"/>
      <c r="AM723" s="99"/>
      <c r="AO723" s="99"/>
      <c r="AR723" s="6"/>
      <c r="AS723" s="6"/>
      <c r="AT723" s="6"/>
      <c r="AU723" s="89"/>
      <c r="AV723" s="100"/>
      <c r="AW723" s="65"/>
      <c r="AX723" s="3"/>
    </row>
    <row r="724" spans="35:50">
      <c r="AI724" s="99"/>
      <c r="AM724" s="99"/>
      <c r="AO724" s="99"/>
      <c r="AR724" s="6"/>
      <c r="AS724" s="6"/>
      <c r="AT724" s="6"/>
      <c r="AU724" s="89"/>
      <c r="AV724" s="100"/>
      <c r="AW724" s="65"/>
      <c r="AX724" s="3"/>
    </row>
    <row r="725" spans="35:50">
      <c r="AI725" s="99"/>
      <c r="AM725" s="99"/>
      <c r="AO725" s="99"/>
      <c r="AR725" s="6"/>
      <c r="AS725" s="6"/>
      <c r="AT725" s="6"/>
      <c r="AU725" s="89"/>
      <c r="AV725" s="100"/>
      <c r="AW725" s="65"/>
      <c r="AX725" s="3"/>
    </row>
    <row r="726" spans="35:50">
      <c r="AI726" s="99"/>
      <c r="AM726" s="99"/>
      <c r="AO726" s="99"/>
      <c r="AR726" s="6"/>
      <c r="AS726" s="6"/>
      <c r="AT726" s="6"/>
      <c r="AU726" s="89"/>
      <c r="AV726" s="100"/>
      <c r="AW726" s="65"/>
      <c r="AX726" s="3"/>
    </row>
    <row r="727" spans="35:50">
      <c r="AI727" s="99"/>
      <c r="AM727" s="99"/>
      <c r="AO727" s="99"/>
      <c r="AR727" s="6"/>
      <c r="AS727" s="6"/>
      <c r="AT727" s="6"/>
      <c r="AU727" s="89"/>
      <c r="AV727" s="100"/>
      <c r="AW727" s="65"/>
      <c r="AX727" s="3"/>
    </row>
    <row r="728" spans="35:50">
      <c r="AI728" s="99"/>
      <c r="AM728" s="99"/>
      <c r="AO728" s="99"/>
      <c r="AR728" s="6"/>
      <c r="AS728" s="6"/>
      <c r="AT728" s="6"/>
      <c r="AU728" s="89"/>
      <c r="AV728" s="100"/>
      <c r="AW728" s="65"/>
      <c r="AX728" s="3"/>
    </row>
    <row r="729" spans="35:50">
      <c r="AI729" s="99"/>
      <c r="AM729" s="99"/>
      <c r="AO729" s="99"/>
      <c r="AR729" s="6"/>
      <c r="AS729" s="6"/>
      <c r="AT729" s="6"/>
      <c r="AU729" s="89"/>
      <c r="AV729" s="100"/>
      <c r="AW729" s="65"/>
      <c r="AX729" s="3"/>
    </row>
    <row r="730" spans="35:50">
      <c r="AI730" s="99"/>
      <c r="AM730" s="99"/>
      <c r="AO730" s="99"/>
      <c r="AR730" s="6"/>
      <c r="AS730" s="6"/>
      <c r="AT730" s="6"/>
      <c r="AU730" s="89"/>
      <c r="AV730" s="100"/>
      <c r="AW730" s="65"/>
      <c r="AX730" s="3"/>
    </row>
    <row r="731" spans="35:50">
      <c r="AI731" s="99"/>
      <c r="AM731" s="99"/>
      <c r="AO731" s="99"/>
      <c r="AR731" s="6"/>
      <c r="AS731" s="6"/>
      <c r="AT731" s="6"/>
      <c r="AU731" s="89"/>
      <c r="AV731" s="100"/>
      <c r="AW731" s="65"/>
      <c r="AX731" s="3"/>
    </row>
    <row r="732" spans="35:50">
      <c r="AI732" s="99"/>
      <c r="AM732" s="99"/>
      <c r="AO732" s="99"/>
      <c r="AR732" s="6"/>
      <c r="AS732" s="6"/>
      <c r="AT732" s="6"/>
      <c r="AU732" s="89"/>
      <c r="AV732" s="100"/>
      <c r="AW732" s="65"/>
      <c r="AX732" s="3"/>
    </row>
    <row r="733" spans="35:50">
      <c r="AI733" s="99"/>
      <c r="AM733" s="99"/>
      <c r="AO733" s="99"/>
      <c r="AR733" s="6"/>
      <c r="AS733" s="6"/>
      <c r="AT733" s="6"/>
      <c r="AU733" s="89"/>
      <c r="AV733" s="100"/>
      <c r="AW733" s="65"/>
      <c r="AX733" s="3"/>
    </row>
    <row r="734" spans="35:50">
      <c r="AI734" s="99"/>
      <c r="AM734" s="99"/>
      <c r="AO734" s="99"/>
      <c r="AR734" s="6"/>
      <c r="AS734" s="6"/>
      <c r="AT734" s="6"/>
      <c r="AU734" s="89"/>
      <c r="AV734" s="100"/>
      <c r="AW734" s="65"/>
      <c r="AX734" s="3"/>
    </row>
    <row r="735" spans="35:50">
      <c r="AI735" s="99"/>
      <c r="AM735" s="99"/>
      <c r="AO735" s="99"/>
      <c r="AR735" s="6"/>
      <c r="AS735" s="6"/>
      <c r="AT735" s="6"/>
      <c r="AU735" s="89"/>
      <c r="AV735" s="100"/>
      <c r="AW735" s="65"/>
      <c r="AX735" s="3"/>
    </row>
    <row r="736" spans="35:50">
      <c r="AI736" s="99"/>
      <c r="AM736" s="99"/>
      <c r="AO736" s="99"/>
      <c r="AR736" s="6"/>
      <c r="AS736" s="6"/>
      <c r="AT736" s="6"/>
      <c r="AU736" s="89"/>
      <c r="AV736" s="100"/>
      <c r="AW736" s="65"/>
      <c r="AX736" s="3"/>
    </row>
    <row r="737" spans="35:50">
      <c r="AI737" s="99"/>
      <c r="AM737" s="99"/>
      <c r="AO737" s="99"/>
      <c r="AR737" s="6"/>
      <c r="AS737" s="6"/>
      <c r="AT737" s="6"/>
      <c r="AU737" s="89"/>
      <c r="AV737" s="100"/>
      <c r="AW737" s="65"/>
      <c r="AX737" s="3"/>
    </row>
    <row r="738" spans="35:50">
      <c r="AI738" s="99"/>
      <c r="AM738" s="99"/>
      <c r="AO738" s="99"/>
      <c r="AR738" s="6"/>
      <c r="AS738" s="6"/>
      <c r="AT738" s="6"/>
      <c r="AU738" s="89"/>
      <c r="AV738" s="100"/>
      <c r="AW738" s="65"/>
      <c r="AX738" s="3"/>
    </row>
    <row r="739" spans="35:50">
      <c r="AI739" s="99"/>
      <c r="AM739" s="99"/>
      <c r="AO739" s="99"/>
      <c r="AR739" s="6"/>
      <c r="AS739" s="6"/>
      <c r="AT739" s="6"/>
      <c r="AU739" s="89"/>
      <c r="AV739" s="100"/>
      <c r="AW739" s="65"/>
      <c r="AX739" s="3"/>
    </row>
    <row r="740" spans="35:50">
      <c r="AI740" s="99"/>
      <c r="AM740" s="99"/>
      <c r="AO740" s="99"/>
      <c r="AR740" s="6"/>
      <c r="AS740" s="6"/>
      <c r="AT740" s="6"/>
      <c r="AU740" s="89"/>
      <c r="AV740" s="100"/>
      <c r="AW740" s="65"/>
      <c r="AX740" s="3"/>
    </row>
    <row r="741" spans="35:50">
      <c r="AI741" s="99"/>
      <c r="AM741" s="99"/>
      <c r="AO741" s="99"/>
      <c r="AR741" s="6"/>
      <c r="AS741" s="6"/>
      <c r="AT741" s="6"/>
      <c r="AU741" s="89"/>
      <c r="AV741" s="100"/>
      <c r="AW741" s="65"/>
      <c r="AX741" s="3"/>
    </row>
    <row r="742" spans="35:50">
      <c r="AI742" s="99"/>
      <c r="AM742" s="99"/>
      <c r="AO742" s="99"/>
      <c r="AR742" s="6"/>
      <c r="AS742" s="6"/>
      <c r="AT742" s="6"/>
      <c r="AU742" s="89"/>
      <c r="AV742" s="100"/>
      <c r="AW742" s="65"/>
      <c r="AX742" s="3"/>
    </row>
    <row r="743" spans="35:50">
      <c r="AI743" s="99"/>
      <c r="AM743" s="99"/>
      <c r="AO743" s="99"/>
      <c r="AR743" s="6"/>
      <c r="AS743" s="6"/>
      <c r="AT743" s="6"/>
      <c r="AU743" s="89"/>
      <c r="AV743" s="100"/>
      <c r="AW743" s="65"/>
      <c r="AX743" s="3"/>
    </row>
    <row r="744" spans="35:50">
      <c r="AI744" s="99"/>
      <c r="AM744" s="99"/>
      <c r="AO744" s="99"/>
      <c r="AR744" s="6"/>
      <c r="AS744" s="6"/>
      <c r="AT744" s="6"/>
      <c r="AU744" s="89"/>
      <c r="AV744" s="100"/>
      <c r="AW744" s="65"/>
      <c r="AX744" s="3"/>
    </row>
    <row r="745" spans="35:50">
      <c r="AI745" s="99"/>
      <c r="AM745" s="99"/>
      <c r="AO745" s="99"/>
      <c r="AR745" s="6"/>
      <c r="AS745" s="6"/>
      <c r="AT745" s="6"/>
      <c r="AU745" s="89"/>
      <c r="AV745" s="100"/>
      <c r="AW745" s="65"/>
      <c r="AX745" s="3"/>
    </row>
    <row r="746" spans="35:50">
      <c r="AI746" s="99"/>
      <c r="AM746" s="99"/>
      <c r="AO746" s="99"/>
      <c r="AR746" s="6"/>
      <c r="AS746" s="6"/>
      <c r="AT746" s="6"/>
      <c r="AU746" s="89"/>
      <c r="AV746" s="100"/>
      <c r="AW746" s="65"/>
      <c r="AX746" s="3"/>
    </row>
    <row r="747" spans="35:50">
      <c r="AI747" s="99"/>
      <c r="AM747" s="99"/>
      <c r="AO747" s="99"/>
      <c r="AR747" s="6"/>
      <c r="AS747" s="6"/>
      <c r="AT747" s="6"/>
      <c r="AU747" s="89"/>
      <c r="AV747" s="100"/>
      <c r="AW747" s="65"/>
      <c r="AX747" s="3"/>
    </row>
    <row r="748" spans="35:50">
      <c r="AI748" s="99"/>
      <c r="AM748" s="99"/>
      <c r="AO748" s="99"/>
      <c r="AR748" s="6"/>
      <c r="AS748" s="6"/>
      <c r="AT748" s="6"/>
      <c r="AU748" s="89"/>
      <c r="AV748" s="100"/>
      <c r="AW748" s="65"/>
      <c r="AX748" s="3"/>
    </row>
    <row r="749" spans="35:50">
      <c r="AI749" s="99"/>
      <c r="AM749" s="99"/>
      <c r="AO749" s="99"/>
      <c r="AR749" s="6"/>
      <c r="AS749" s="6"/>
      <c r="AT749" s="6"/>
      <c r="AU749" s="89"/>
      <c r="AV749" s="100"/>
      <c r="AW749" s="65"/>
      <c r="AX749" s="3"/>
    </row>
    <row r="750" spans="35:50">
      <c r="AI750" s="99"/>
      <c r="AM750" s="99"/>
      <c r="AO750" s="99"/>
      <c r="AR750" s="6"/>
      <c r="AS750" s="6"/>
      <c r="AT750" s="6"/>
      <c r="AU750" s="89"/>
      <c r="AV750" s="100"/>
      <c r="AW750" s="65"/>
      <c r="AX750" s="3"/>
    </row>
    <row r="751" spans="35:50">
      <c r="AI751" s="99"/>
      <c r="AM751" s="99"/>
      <c r="AO751" s="99"/>
      <c r="AR751" s="6"/>
      <c r="AS751" s="6"/>
      <c r="AT751" s="6"/>
      <c r="AU751" s="89"/>
      <c r="AV751" s="100"/>
      <c r="AW751" s="65"/>
      <c r="AX751" s="3"/>
    </row>
    <row r="752" spans="35:50">
      <c r="AI752" s="99"/>
      <c r="AM752" s="99"/>
      <c r="AO752" s="99"/>
      <c r="AR752" s="6"/>
      <c r="AS752" s="6"/>
      <c r="AT752" s="6"/>
      <c r="AU752" s="89"/>
      <c r="AV752" s="100"/>
      <c r="AW752" s="65"/>
      <c r="AX752" s="3"/>
    </row>
    <row r="753" spans="35:50">
      <c r="AI753" s="99"/>
      <c r="AM753" s="99"/>
      <c r="AO753" s="99"/>
      <c r="AR753" s="6"/>
      <c r="AS753" s="6"/>
      <c r="AT753" s="6"/>
      <c r="AU753" s="89"/>
      <c r="AV753" s="100"/>
      <c r="AW753" s="65"/>
      <c r="AX753" s="3"/>
    </row>
    <row r="754" spans="35:50">
      <c r="AI754" s="99"/>
      <c r="AM754" s="99"/>
      <c r="AO754" s="99"/>
      <c r="AR754" s="6"/>
      <c r="AS754" s="6"/>
      <c r="AT754" s="6"/>
      <c r="AU754" s="89"/>
      <c r="AV754" s="100"/>
      <c r="AW754" s="65"/>
      <c r="AX754" s="3"/>
    </row>
    <row r="755" spans="35:50">
      <c r="AI755" s="99"/>
      <c r="AM755" s="99"/>
      <c r="AO755" s="99"/>
      <c r="AR755" s="6"/>
      <c r="AS755" s="6"/>
      <c r="AT755" s="6"/>
      <c r="AU755" s="89"/>
      <c r="AV755" s="100"/>
      <c r="AW755" s="65"/>
      <c r="AX755" s="3"/>
    </row>
    <row r="756" spans="35:50">
      <c r="AI756" s="99"/>
      <c r="AM756" s="99"/>
      <c r="AO756" s="99"/>
      <c r="AR756" s="6"/>
      <c r="AS756" s="6"/>
      <c r="AT756" s="6"/>
      <c r="AU756" s="89"/>
      <c r="AV756" s="100"/>
      <c r="AW756" s="65"/>
      <c r="AX756" s="3"/>
    </row>
    <row r="757" spans="35:50">
      <c r="AI757" s="99"/>
      <c r="AM757" s="99"/>
      <c r="AO757" s="99"/>
      <c r="AR757" s="6"/>
      <c r="AS757" s="6"/>
      <c r="AT757" s="6"/>
      <c r="AU757" s="89"/>
      <c r="AV757" s="100"/>
      <c r="AW757" s="65"/>
      <c r="AX757" s="3"/>
    </row>
    <row r="758" spans="35:50">
      <c r="AI758" s="99"/>
      <c r="AM758" s="99"/>
      <c r="AO758" s="99"/>
      <c r="AR758" s="6"/>
      <c r="AS758" s="6"/>
      <c r="AT758" s="6"/>
      <c r="AU758" s="89"/>
      <c r="AV758" s="100"/>
      <c r="AW758" s="65"/>
      <c r="AX758" s="3"/>
    </row>
    <row r="759" spans="35:50">
      <c r="AI759" s="99"/>
      <c r="AM759" s="99"/>
      <c r="AO759" s="99"/>
      <c r="AR759" s="6"/>
      <c r="AS759" s="6"/>
      <c r="AT759" s="6"/>
      <c r="AU759" s="89"/>
      <c r="AV759" s="100"/>
      <c r="AW759" s="65"/>
      <c r="AX759" s="3"/>
    </row>
    <row r="760" spans="35:50">
      <c r="AI760" s="99"/>
      <c r="AM760" s="99"/>
      <c r="AO760" s="99"/>
      <c r="AR760" s="6"/>
      <c r="AS760" s="6"/>
      <c r="AT760" s="6"/>
      <c r="AU760" s="89"/>
      <c r="AV760" s="100"/>
      <c r="AW760" s="65"/>
      <c r="AX760" s="3"/>
    </row>
    <row r="761" spans="35:50">
      <c r="AI761" s="99"/>
      <c r="AM761" s="99"/>
      <c r="AO761" s="99"/>
      <c r="AR761" s="6"/>
      <c r="AS761" s="6"/>
      <c r="AT761" s="6"/>
      <c r="AU761" s="89"/>
      <c r="AV761" s="100"/>
      <c r="AW761" s="65"/>
      <c r="AX761" s="3"/>
    </row>
    <row r="762" spans="35:50">
      <c r="AI762" s="99"/>
      <c r="AM762" s="99"/>
      <c r="AO762" s="99"/>
      <c r="AR762" s="6"/>
      <c r="AS762" s="6"/>
      <c r="AT762" s="6"/>
      <c r="AU762" s="89"/>
      <c r="AV762" s="100"/>
      <c r="AW762" s="65"/>
      <c r="AX762" s="3"/>
    </row>
    <row r="763" spans="35:50">
      <c r="AI763" s="99"/>
      <c r="AM763" s="99"/>
      <c r="AO763" s="99"/>
      <c r="AR763" s="6"/>
      <c r="AS763" s="6"/>
      <c r="AT763" s="6"/>
      <c r="AU763" s="89"/>
      <c r="AV763" s="100"/>
      <c r="AW763" s="65"/>
      <c r="AX763" s="3"/>
    </row>
    <row r="764" spans="35:50">
      <c r="AI764" s="99"/>
      <c r="AM764" s="99"/>
      <c r="AO764" s="99"/>
      <c r="AR764" s="6"/>
      <c r="AS764" s="6"/>
      <c r="AT764" s="6"/>
      <c r="AU764" s="89"/>
      <c r="AV764" s="100"/>
      <c r="AW764" s="65"/>
      <c r="AX764" s="3"/>
    </row>
    <row r="765" spans="35:50">
      <c r="AI765" s="99"/>
      <c r="AM765" s="99"/>
      <c r="AO765" s="99"/>
      <c r="AR765" s="6"/>
      <c r="AS765" s="6"/>
      <c r="AT765" s="6"/>
      <c r="AU765" s="89"/>
      <c r="AV765" s="100"/>
      <c r="AW765" s="65"/>
      <c r="AX765" s="3"/>
    </row>
    <row r="766" spans="35:50">
      <c r="AI766" s="99"/>
      <c r="AM766" s="99"/>
      <c r="AO766" s="99"/>
      <c r="AR766" s="6"/>
      <c r="AS766" s="6"/>
      <c r="AT766" s="6"/>
      <c r="AU766" s="89"/>
      <c r="AV766" s="100"/>
      <c r="AW766" s="65"/>
      <c r="AX766" s="3"/>
    </row>
    <row r="767" spans="35:50">
      <c r="AI767" s="99"/>
      <c r="AM767" s="99"/>
      <c r="AO767" s="99"/>
      <c r="AR767" s="6"/>
      <c r="AS767" s="6"/>
      <c r="AT767" s="6"/>
      <c r="AU767" s="89"/>
      <c r="AV767" s="100"/>
      <c r="AW767" s="65"/>
      <c r="AX767" s="3"/>
    </row>
    <row r="768" spans="35:50">
      <c r="AI768" s="99"/>
      <c r="AM768" s="99"/>
      <c r="AO768" s="99"/>
      <c r="AR768" s="6"/>
      <c r="AS768" s="6"/>
      <c r="AT768" s="6"/>
      <c r="AU768" s="89"/>
      <c r="AV768" s="100"/>
      <c r="AW768" s="65"/>
      <c r="AX768" s="3"/>
    </row>
    <row r="769" spans="35:50">
      <c r="AI769" s="99"/>
      <c r="AM769" s="99"/>
      <c r="AO769" s="99"/>
      <c r="AR769" s="6"/>
      <c r="AS769" s="6"/>
      <c r="AT769" s="6"/>
      <c r="AU769" s="89"/>
      <c r="AV769" s="100"/>
      <c r="AW769" s="65"/>
      <c r="AX769" s="3"/>
    </row>
    <row r="770" spans="35:50">
      <c r="AI770" s="99"/>
      <c r="AM770" s="99"/>
      <c r="AO770" s="99"/>
      <c r="AR770" s="6"/>
      <c r="AS770" s="6"/>
      <c r="AT770" s="6"/>
      <c r="AU770" s="89"/>
      <c r="AV770" s="100"/>
      <c r="AW770" s="65"/>
      <c r="AX770" s="3"/>
    </row>
    <row r="771" spans="35:50">
      <c r="AI771" s="99"/>
      <c r="AM771" s="99"/>
      <c r="AO771" s="99"/>
      <c r="AR771" s="6"/>
      <c r="AS771" s="6"/>
      <c r="AT771" s="6"/>
      <c r="AU771" s="89"/>
      <c r="AV771" s="100"/>
      <c r="AW771" s="65"/>
      <c r="AX771" s="3"/>
    </row>
    <row r="772" spans="35:50">
      <c r="AI772" s="99"/>
      <c r="AM772" s="99"/>
      <c r="AO772" s="99"/>
      <c r="AR772" s="6"/>
      <c r="AS772" s="6"/>
      <c r="AT772" s="6"/>
      <c r="AU772" s="89"/>
      <c r="AV772" s="100"/>
      <c r="AW772" s="65"/>
      <c r="AX772" s="3"/>
    </row>
    <row r="773" spans="35:50">
      <c r="AI773" s="99"/>
      <c r="AM773" s="99"/>
      <c r="AO773" s="99"/>
      <c r="AR773" s="6"/>
      <c r="AS773" s="6"/>
      <c r="AT773" s="6"/>
      <c r="AU773" s="89"/>
      <c r="AV773" s="100"/>
      <c r="AW773" s="65"/>
      <c r="AX773" s="3"/>
    </row>
    <row r="774" spans="35:50">
      <c r="AI774" s="99"/>
      <c r="AM774" s="99"/>
      <c r="AO774" s="99"/>
      <c r="AR774" s="6"/>
      <c r="AS774" s="6"/>
      <c r="AT774" s="6"/>
      <c r="AU774" s="89"/>
      <c r="AV774" s="100"/>
      <c r="AW774" s="65"/>
      <c r="AX774" s="3"/>
    </row>
    <row r="775" spans="35:50">
      <c r="AI775" s="99"/>
      <c r="AM775" s="99"/>
      <c r="AO775" s="99"/>
      <c r="AR775" s="6"/>
      <c r="AS775" s="6"/>
      <c r="AT775" s="6"/>
      <c r="AU775" s="89"/>
      <c r="AV775" s="100"/>
      <c r="AW775" s="65"/>
      <c r="AX775" s="3"/>
    </row>
    <row r="776" spans="35:50">
      <c r="AI776" s="99"/>
      <c r="AM776" s="99"/>
      <c r="AO776" s="99"/>
      <c r="AR776" s="6"/>
      <c r="AS776" s="6"/>
      <c r="AT776" s="6"/>
      <c r="AU776" s="89"/>
      <c r="AV776" s="100"/>
      <c r="AW776" s="65"/>
      <c r="AX776" s="3"/>
    </row>
    <row r="777" spans="35:50">
      <c r="AI777" s="99"/>
      <c r="AM777" s="99"/>
      <c r="AO777" s="99"/>
      <c r="AR777" s="6"/>
      <c r="AS777" s="6"/>
      <c r="AT777" s="6"/>
      <c r="AU777" s="89"/>
      <c r="AV777" s="100"/>
      <c r="AW777" s="65"/>
      <c r="AX777" s="3"/>
    </row>
    <row r="778" spans="35:50">
      <c r="AI778" s="99"/>
      <c r="AM778" s="99"/>
      <c r="AO778" s="99"/>
      <c r="AR778" s="6"/>
      <c r="AS778" s="6"/>
      <c r="AT778" s="6"/>
      <c r="AU778" s="89"/>
      <c r="AV778" s="100"/>
      <c r="AW778" s="65"/>
      <c r="AX778" s="3"/>
    </row>
    <row r="779" spans="35:50">
      <c r="AI779" s="99"/>
      <c r="AM779" s="99"/>
      <c r="AO779" s="99"/>
      <c r="AR779" s="6"/>
      <c r="AS779" s="6"/>
      <c r="AT779" s="6"/>
      <c r="AU779" s="89"/>
      <c r="AV779" s="100"/>
      <c r="AW779" s="65"/>
      <c r="AX779" s="3"/>
    </row>
    <row r="780" spans="35:50">
      <c r="AI780" s="99"/>
      <c r="AM780" s="99"/>
      <c r="AO780" s="99"/>
      <c r="AR780" s="6"/>
      <c r="AS780" s="6"/>
      <c r="AT780" s="6"/>
      <c r="AU780" s="89"/>
      <c r="AV780" s="100"/>
      <c r="AW780" s="65"/>
      <c r="AX780" s="3"/>
    </row>
    <row r="781" spans="35:50">
      <c r="AI781" s="99"/>
      <c r="AM781" s="99"/>
      <c r="AO781" s="99"/>
      <c r="AR781" s="6"/>
      <c r="AS781" s="6"/>
      <c r="AT781" s="6"/>
      <c r="AU781" s="89"/>
      <c r="AV781" s="100"/>
      <c r="AW781" s="65"/>
      <c r="AX781" s="3"/>
    </row>
    <row r="782" spans="35:50">
      <c r="AI782" s="99"/>
      <c r="AM782" s="99"/>
      <c r="AO782" s="99"/>
      <c r="AR782" s="6"/>
      <c r="AS782" s="6"/>
      <c r="AT782" s="6"/>
      <c r="AU782" s="89"/>
      <c r="AV782" s="100"/>
      <c r="AW782" s="65"/>
      <c r="AX782" s="3"/>
    </row>
    <row r="783" spans="35:50">
      <c r="AI783" s="99"/>
      <c r="AM783" s="99"/>
      <c r="AO783" s="99"/>
      <c r="AR783" s="6"/>
      <c r="AS783" s="6"/>
      <c r="AT783" s="6"/>
      <c r="AU783" s="89"/>
      <c r="AV783" s="100"/>
      <c r="AW783" s="65"/>
      <c r="AX783" s="3"/>
    </row>
    <row r="784" spans="35:50">
      <c r="AI784" s="99"/>
      <c r="AM784" s="99"/>
      <c r="AO784" s="99"/>
      <c r="AR784" s="6"/>
      <c r="AS784" s="6"/>
      <c r="AT784" s="6"/>
      <c r="AU784" s="89"/>
      <c r="AV784" s="100"/>
      <c r="AW784" s="65"/>
      <c r="AX784" s="3"/>
    </row>
    <row r="785" spans="35:50">
      <c r="AI785" s="99"/>
      <c r="AM785" s="99"/>
      <c r="AO785" s="99"/>
      <c r="AR785" s="6"/>
      <c r="AS785" s="6"/>
      <c r="AT785" s="6"/>
      <c r="AU785" s="89"/>
      <c r="AV785" s="100"/>
      <c r="AW785" s="65"/>
      <c r="AX785" s="3"/>
    </row>
    <row r="786" spans="35:50">
      <c r="AI786" s="99"/>
      <c r="AM786" s="99"/>
      <c r="AO786" s="99"/>
      <c r="AR786" s="6"/>
      <c r="AS786" s="6"/>
      <c r="AT786" s="6"/>
      <c r="AU786" s="89"/>
      <c r="AV786" s="100"/>
      <c r="AW786" s="65"/>
      <c r="AX786" s="3"/>
    </row>
    <row r="787" spans="35:50">
      <c r="AI787" s="99"/>
      <c r="AM787" s="99"/>
      <c r="AO787" s="99"/>
      <c r="AR787" s="6"/>
      <c r="AS787" s="6"/>
      <c r="AT787" s="6"/>
      <c r="AU787" s="89"/>
      <c r="AV787" s="100"/>
      <c r="AW787" s="65"/>
      <c r="AX787" s="3"/>
    </row>
    <row r="788" spans="35:50">
      <c r="AI788" s="99"/>
      <c r="AM788" s="99"/>
      <c r="AO788" s="99"/>
      <c r="AR788" s="6"/>
      <c r="AS788" s="6"/>
      <c r="AT788" s="6"/>
      <c r="AU788" s="89"/>
      <c r="AV788" s="100"/>
      <c r="AW788" s="65"/>
      <c r="AX788" s="3"/>
    </row>
    <row r="789" spans="35:50">
      <c r="AI789" s="99"/>
      <c r="AM789" s="99"/>
      <c r="AO789" s="99"/>
      <c r="AR789" s="6"/>
      <c r="AS789" s="6"/>
      <c r="AT789" s="6"/>
      <c r="AU789" s="89"/>
      <c r="AV789" s="100"/>
      <c r="AW789" s="65"/>
      <c r="AX789" s="3"/>
    </row>
    <row r="790" spans="35:50">
      <c r="AI790" s="99"/>
      <c r="AM790" s="99"/>
      <c r="AO790" s="99"/>
      <c r="AR790" s="6"/>
      <c r="AS790" s="6"/>
      <c r="AT790" s="6"/>
      <c r="AU790" s="89"/>
      <c r="AV790" s="100"/>
      <c r="AW790" s="65"/>
      <c r="AX790" s="3"/>
    </row>
    <row r="791" spans="35:50">
      <c r="AI791" s="99"/>
      <c r="AM791" s="99"/>
      <c r="AO791" s="99"/>
      <c r="AR791" s="6"/>
      <c r="AS791" s="6"/>
      <c r="AT791" s="6"/>
      <c r="AU791" s="89"/>
      <c r="AV791" s="100"/>
      <c r="AW791" s="65"/>
      <c r="AX791" s="3"/>
    </row>
    <row r="792" spans="35:50">
      <c r="AI792" s="99"/>
      <c r="AM792" s="99"/>
      <c r="AO792" s="99"/>
      <c r="AR792" s="6"/>
      <c r="AS792" s="6"/>
      <c r="AT792" s="6"/>
      <c r="AU792" s="89"/>
      <c r="AV792" s="100"/>
      <c r="AW792" s="65"/>
      <c r="AX792" s="3"/>
    </row>
    <row r="793" spans="35:50">
      <c r="AI793" s="99"/>
      <c r="AM793" s="99"/>
      <c r="AO793" s="99"/>
      <c r="AR793" s="6"/>
      <c r="AS793" s="6"/>
      <c r="AT793" s="6"/>
      <c r="AU793" s="89"/>
      <c r="AV793" s="100"/>
      <c r="AW793" s="65"/>
      <c r="AX793" s="3"/>
    </row>
    <row r="794" spans="35:50">
      <c r="AI794" s="99"/>
      <c r="AM794" s="99"/>
      <c r="AO794" s="99"/>
      <c r="AR794" s="6"/>
      <c r="AS794" s="6"/>
      <c r="AT794" s="6"/>
      <c r="AU794" s="89"/>
      <c r="AV794" s="100"/>
      <c r="AW794" s="65"/>
      <c r="AX794" s="3"/>
    </row>
    <row r="795" spans="35:50">
      <c r="AI795" s="99"/>
      <c r="AM795" s="99"/>
      <c r="AO795" s="99"/>
      <c r="AR795" s="6"/>
      <c r="AS795" s="6"/>
      <c r="AT795" s="6"/>
      <c r="AU795" s="89"/>
      <c r="AV795" s="100"/>
      <c r="AW795" s="65"/>
      <c r="AX795" s="3"/>
    </row>
    <row r="796" spans="35:50">
      <c r="AI796" s="99"/>
      <c r="AM796" s="99"/>
      <c r="AO796" s="99"/>
      <c r="AR796" s="6"/>
      <c r="AS796" s="6"/>
      <c r="AT796" s="6"/>
      <c r="AU796" s="89"/>
      <c r="AV796" s="100"/>
      <c r="AW796" s="65"/>
      <c r="AX796" s="3"/>
    </row>
    <row r="797" spans="35:50">
      <c r="AI797" s="99"/>
      <c r="AM797" s="99"/>
      <c r="AO797" s="99"/>
      <c r="AR797" s="6"/>
      <c r="AS797" s="6"/>
      <c r="AT797" s="6"/>
      <c r="AU797" s="89"/>
      <c r="AV797" s="100"/>
      <c r="AW797" s="65"/>
      <c r="AX797" s="3"/>
    </row>
    <row r="798" spans="35:50">
      <c r="AI798" s="99"/>
      <c r="AM798" s="99"/>
      <c r="AO798" s="99"/>
      <c r="AR798" s="6"/>
      <c r="AS798" s="6"/>
      <c r="AT798" s="6"/>
      <c r="AU798" s="89"/>
      <c r="AV798" s="100"/>
      <c r="AW798" s="65"/>
      <c r="AX798" s="3"/>
    </row>
    <row r="799" spans="35:50">
      <c r="AI799" s="99"/>
      <c r="AM799" s="99"/>
      <c r="AO799" s="99"/>
      <c r="AR799" s="6"/>
      <c r="AS799" s="6"/>
      <c r="AT799" s="6"/>
      <c r="AU799" s="89"/>
      <c r="AV799" s="100"/>
      <c r="AW799" s="65"/>
      <c r="AX799" s="3"/>
    </row>
    <row r="800" spans="35:50">
      <c r="AI800" s="99"/>
      <c r="AM800" s="99"/>
      <c r="AO800" s="99"/>
      <c r="AR800" s="6"/>
      <c r="AS800" s="6"/>
      <c r="AT800" s="6"/>
      <c r="AU800" s="89"/>
      <c r="AV800" s="100"/>
      <c r="AW800" s="65"/>
      <c r="AX800" s="3"/>
    </row>
    <row r="801" spans="35:50">
      <c r="AI801" s="99"/>
      <c r="AM801" s="99"/>
      <c r="AO801" s="99"/>
      <c r="AR801" s="6"/>
      <c r="AS801" s="6"/>
      <c r="AT801" s="6"/>
      <c r="AU801" s="89"/>
      <c r="AV801" s="100"/>
      <c r="AW801" s="65"/>
      <c r="AX801" s="3"/>
    </row>
    <row r="802" spans="35:50">
      <c r="AI802" s="99"/>
      <c r="AM802" s="99"/>
      <c r="AO802" s="99"/>
      <c r="AR802" s="6"/>
      <c r="AS802" s="6"/>
      <c r="AT802" s="6"/>
      <c r="AU802" s="89"/>
      <c r="AV802" s="100"/>
      <c r="AW802" s="65"/>
      <c r="AX802" s="3"/>
    </row>
    <row r="803" spans="35:50">
      <c r="AI803" s="99"/>
      <c r="AM803" s="99"/>
      <c r="AO803" s="99"/>
      <c r="AR803" s="6"/>
      <c r="AS803" s="6"/>
      <c r="AT803" s="6"/>
      <c r="AU803" s="89"/>
      <c r="AV803" s="100"/>
      <c r="AW803" s="65"/>
      <c r="AX803" s="3"/>
    </row>
    <row r="804" spans="35:50">
      <c r="AI804" s="99"/>
      <c r="AM804" s="99"/>
      <c r="AO804" s="99"/>
      <c r="AR804" s="6"/>
      <c r="AS804" s="6"/>
      <c r="AT804" s="6"/>
      <c r="AU804" s="89"/>
      <c r="AV804" s="100"/>
      <c r="AW804" s="65"/>
      <c r="AX804" s="3"/>
    </row>
    <row r="805" spans="35:50">
      <c r="AI805" s="99"/>
      <c r="AM805" s="99"/>
      <c r="AO805" s="99"/>
      <c r="AR805" s="6"/>
      <c r="AS805" s="6"/>
      <c r="AT805" s="6"/>
      <c r="AU805" s="89"/>
      <c r="AV805" s="100"/>
      <c r="AW805" s="65"/>
      <c r="AX805" s="3"/>
    </row>
    <row r="806" spans="35:50">
      <c r="AI806" s="99"/>
      <c r="AM806" s="99"/>
      <c r="AO806" s="99"/>
      <c r="AR806" s="6"/>
      <c r="AS806" s="6"/>
      <c r="AT806" s="6"/>
      <c r="AU806" s="89"/>
      <c r="AV806" s="100"/>
      <c r="AW806" s="65"/>
      <c r="AX806" s="3"/>
    </row>
    <row r="807" spans="35:50">
      <c r="AI807" s="99"/>
      <c r="AM807" s="99"/>
      <c r="AO807" s="99"/>
      <c r="AR807" s="6"/>
      <c r="AS807" s="6"/>
      <c r="AT807" s="6"/>
      <c r="AU807" s="89"/>
      <c r="AV807" s="100"/>
      <c r="AW807" s="65"/>
      <c r="AX807" s="3"/>
    </row>
    <row r="808" spans="35:50">
      <c r="AI808" s="99"/>
      <c r="AM808" s="99"/>
      <c r="AO808" s="99"/>
      <c r="AR808" s="6"/>
      <c r="AS808" s="6"/>
      <c r="AT808" s="6"/>
      <c r="AU808" s="89"/>
      <c r="AV808" s="100"/>
      <c r="AW808" s="65"/>
      <c r="AX808" s="3"/>
    </row>
    <row r="809" spans="35:50">
      <c r="AI809" s="99"/>
      <c r="AM809" s="99"/>
      <c r="AO809" s="99"/>
      <c r="AR809" s="6"/>
      <c r="AS809" s="6"/>
      <c r="AT809" s="6"/>
      <c r="AU809" s="89"/>
      <c r="AV809" s="100"/>
      <c r="AW809" s="65"/>
      <c r="AX809" s="3"/>
    </row>
    <row r="810" spans="35:50">
      <c r="AI810" s="99"/>
      <c r="AM810" s="99"/>
      <c r="AO810" s="99"/>
      <c r="AR810" s="6"/>
      <c r="AS810" s="6"/>
      <c r="AT810" s="6"/>
      <c r="AU810" s="89"/>
      <c r="AV810" s="100"/>
      <c r="AW810" s="65"/>
      <c r="AX810" s="3"/>
    </row>
    <row r="811" spans="35:50">
      <c r="AI811" s="99"/>
      <c r="AM811" s="99"/>
      <c r="AO811" s="99"/>
      <c r="AR811" s="6"/>
      <c r="AS811" s="6"/>
      <c r="AT811" s="6"/>
      <c r="AU811" s="89"/>
      <c r="AV811" s="100"/>
      <c r="AW811" s="65"/>
      <c r="AX811" s="3"/>
    </row>
    <row r="812" spans="35:50">
      <c r="AI812" s="99"/>
      <c r="AM812" s="99"/>
      <c r="AO812" s="99"/>
      <c r="AR812" s="6"/>
      <c r="AS812" s="6"/>
      <c r="AT812" s="6"/>
      <c r="AU812" s="89"/>
      <c r="AV812" s="100"/>
      <c r="AW812" s="65"/>
      <c r="AX812" s="3"/>
    </row>
    <row r="813" spans="35:50">
      <c r="AI813" s="99"/>
      <c r="AM813" s="99"/>
      <c r="AO813" s="99"/>
      <c r="AR813" s="6"/>
      <c r="AS813" s="6"/>
      <c r="AT813" s="6"/>
      <c r="AU813" s="89"/>
      <c r="AV813" s="100"/>
      <c r="AW813" s="65"/>
      <c r="AX813" s="3"/>
    </row>
    <row r="814" spans="35:50">
      <c r="AI814" s="99"/>
      <c r="AM814" s="99"/>
      <c r="AO814" s="99"/>
      <c r="AR814" s="6"/>
      <c r="AS814" s="6"/>
      <c r="AT814" s="6"/>
      <c r="AU814" s="89"/>
      <c r="AV814" s="100"/>
      <c r="AW814" s="65"/>
      <c r="AX814" s="3"/>
    </row>
    <row r="815" spans="35:50">
      <c r="AI815" s="99"/>
      <c r="AM815" s="99"/>
      <c r="AO815" s="99"/>
      <c r="AR815" s="6"/>
      <c r="AS815" s="6"/>
      <c r="AT815" s="6"/>
      <c r="AU815" s="89"/>
      <c r="AV815" s="100"/>
      <c r="AW815" s="65"/>
      <c r="AX815" s="3"/>
    </row>
    <row r="816" spans="35:50">
      <c r="AI816" s="99"/>
      <c r="AM816" s="99"/>
      <c r="AO816" s="99"/>
      <c r="AR816" s="6"/>
      <c r="AS816" s="6"/>
      <c r="AT816" s="6"/>
      <c r="AU816" s="89"/>
      <c r="AV816" s="100"/>
      <c r="AW816" s="65"/>
      <c r="AX816" s="3"/>
    </row>
    <row r="817" spans="35:50">
      <c r="AI817" s="99"/>
      <c r="AM817" s="99"/>
      <c r="AO817" s="99"/>
      <c r="AR817" s="6"/>
      <c r="AS817" s="6"/>
      <c r="AT817" s="6"/>
      <c r="AU817" s="89"/>
      <c r="AV817" s="100"/>
      <c r="AW817" s="65"/>
      <c r="AX817" s="3"/>
    </row>
    <row r="818" spans="35:50">
      <c r="AI818" s="99"/>
      <c r="AM818" s="99"/>
      <c r="AO818" s="99"/>
      <c r="AR818" s="6"/>
      <c r="AS818" s="6"/>
      <c r="AT818" s="6"/>
      <c r="AU818" s="89"/>
      <c r="AV818" s="100"/>
      <c r="AW818" s="65"/>
      <c r="AX818" s="3"/>
    </row>
    <row r="819" spans="35:50">
      <c r="AI819" s="99"/>
      <c r="AM819" s="99"/>
      <c r="AO819" s="99"/>
      <c r="AR819" s="6"/>
      <c r="AS819" s="6"/>
      <c r="AT819" s="6"/>
      <c r="AU819" s="89"/>
      <c r="AV819" s="100"/>
      <c r="AW819" s="65"/>
      <c r="AX819" s="3"/>
    </row>
    <row r="820" spans="35:50">
      <c r="AI820" s="99"/>
      <c r="AM820" s="99"/>
      <c r="AO820" s="99"/>
      <c r="AR820" s="6"/>
      <c r="AS820" s="6"/>
      <c r="AT820" s="6"/>
      <c r="AU820" s="89"/>
      <c r="AV820" s="100"/>
      <c r="AW820" s="65"/>
      <c r="AX820" s="3"/>
    </row>
    <row r="821" spans="35:50">
      <c r="AI821" s="99"/>
      <c r="AM821" s="99"/>
      <c r="AO821" s="99"/>
      <c r="AR821" s="6"/>
      <c r="AS821" s="6"/>
      <c r="AT821" s="6"/>
      <c r="AU821" s="89"/>
      <c r="AV821" s="100"/>
      <c r="AW821" s="65"/>
      <c r="AX821" s="3"/>
    </row>
    <row r="822" spans="35:50">
      <c r="AI822" s="99"/>
      <c r="AM822" s="99"/>
      <c r="AO822" s="99"/>
      <c r="AR822" s="6"/>
      <c r="AS822" s="6"/>
      <c r="AT822" s="6"/>
      <c r="AU822" s="89"/>
      <c r="AV822" s="100"/>
      <c r="AW822" s="65"/>
      <c r="AX822" s="3"/>
    </row>
    <row r="823" spans="35:50">
      <c r="AI823" s="99"/>
      <c r="AM823" s="99"/>
      <c r="AO823" s="99"/>
      <c r="AR823" s="6"/>
      <c r="AS823" s="6"/>
      <c r="AT823" s="6"/>
      <c r="AU823" s="89"/>
      <c r="AV823" s="100"/>
      <c r="AW823" s="65"/>
      <c r="AX823" s="3"/>
    </row>
    <row r="824" spans="35:50">
      <c r="AI824" s="99"/>
      <c r="AM824" s="99"/>
      <c r="AO824" s="99"/>
      <c r="AR824" s="6"/>
      <c r="AS824" s="6"/>
      <c r="AT824" s="6"/>
      <c r="AU824" s="89"/>
      <c r="AV824" s="100"/>
      <c r="AW824" s="65"/>
      <c r="AX824" s="3"/>
    </row>
    <row r="825" spans="35:50">
      <c r="AI825" s="99"/>
      <c r="AM825" s="99"/>
      <c r="AO825" s="99"/>
      <c r="AR825" s="6"/>
      <c r="AS825" s="6"/>
      <c r="AT825" s="6"/>
      <c r="AU825" s="89"/>
      <c r="AV825" s="100"/>
      <c r="AW825" s="65"/>
      <c r="AX825" s="3"/>
    </row>
    <row r="826" spans="35:50">
      <c r="AI826" s="99"/>
      <c r="AM826" s="99"/>
      <c r="AO826" s="99"/>
      <c r="AR826" s="6"/>
      <c r="AS826" s="6"/>
      <c r="AT826" s="6"/>
      <c r="AU826" s="89"/>
      <c r="AV826" s="100"/>
      <c r="AW826" s="65"/>
      <c r="AX826" s="3"/>
    </row>
    <row r="827" spans="35:50">
      <c r="AI827" s="99"/>
      <c r="AM827" s="99"/>
      <c r="AO827" s="99"/>
      <c r="AR827" s="6"/>
      <c r="AS827" s="6"/>
      <c r="AT827" s="6"/>
      <c r="AU827" s="89"/>
      <c r="AV827" s="100"/>
      <c r="AW827" s="65"/>
      <c r="AX827" s="3"/>
    </row>
    <row r="828" spans="35:50">
      <c r="AI828" s="99"/>
      <c r="AM828" s="99"/>
      <c r="AO828" s="99"/>
      <c r="AR828" s="6"/>
      <c r="AS828" s="6"/>
      <c r="AT828" s="6"/>
      <c r="AU828" s="89"/>
      <c r="AV828" s="100"/>
      <c r="AW828" s="65"/>
      <c r="AX828" s="3"/>
    </row>
    <row r="829" spans="35:50">
      <c r="AI829" s="99"/>
      <c r="AM829" s="99"/>
      <c r="AO829" s="99"/>
      <c r="AR829" s="6"/>
      <c r="AS829" s="6"/>
      <c r="AT829" s="6"/>
      <c r="AU829" s="89"/>
      <c r="AV829" s="100"/>
      <c r="AW829" s="65"/>
      <c r="AX829" s="3"/>
    </row>
    <row r="830" spans="35:50">
      <c r="AI830" s="99"/>
      <c r="AM830" s="99"/>
      <c r="AO830" s="99"/>
      <c r="AR830" s="6"/>
      <c r="AS830" s="6"/>
      <c r="AT830" s="6"/>
      <c r="AU830" s="89"/>
      <c r="AV830" s="100"/>
      <c r="AW830" s="65"/>
      <c r="AX830" s="3"/>
    </row>
    <row r="831" spans="35:50">
      <c r="AI831" s="99"/>
      <c r="AM831" s="99"/>
      <c r="AO831" s="99"/>
      <c r="AR831" s="6"/>
      <c r="AS831" s="6"/>
      <c r="AT831" s="6"/>
      <c r="AU831" s="89"/>
      <c r="AV831" s="100"/>
      <c r="AW831" s="65"/>
      <c r="AX831" s="3"/>
    </row>
    <row r="832" spans="35:50">
      <c r="AI832" s="99"/>
      <c r="AM832" s="99"/>
      <c r="AO832" s="99"/>
      <c r="AR832" s="6"/>
      <c r="AS832" s="6"/>
      <c r="AT832" s="6"/>
      <c r="AU832" s="89"/>
      <c r="AV832" s="100"/>
      <c r="AW832" s="65"/>
      <c r="AX832" s="3"/>
    </row>
    <row r="833" spans="35:50">
      <c r="AI833" s="99"/>
      <c r="AM833" s="99"/>
      <c r="AO833" s="99"/>
      <c r="AR833" s="6"/>
      <c r="AS833" s="6"/>
      <c r="AT833" s="6"/>
      <c r="AU833" s="89"/>
      <c r="AV833" s="100"/>
      <c r="AW833" s="65"/>
      <c r="AX833" s="3"/>
    </row>
    <row r="834" spans="35:50">
      <c r="AI834" s="99"/>
      <c r="AM834" s="99"/>
      <c r="AO834" s="99"/>
      <c r="AR834" s="6"/>
      <c r="AS834" s="6"/>
      <c r="AT834" s="6"/>
      <c r="AU834" s="89"/>
      <c r="AV834" s="100"/>
      <c r="AW834" s="65"/>
      <c r="AX834" s="3"/>
    </row>
    <row r="835" spans="35:50">
      <c r="AI835" s="99"/>
      <c r="AM835" s="99"/>
      <c r="AO835" s="99"/>
      <c r="AR835" s="6"/>
      <c r="AS835" s="6"/>
      <c r="AT835" s="6"/>
      <c r="AU835" s="89"/>
      <c r="AV835" s="100"/>
      <c r="AW835" s="65"/>
      <c r="AX835" s="3"/>
    </row>
    <row r="836" spans="35:50">
      <c r="AI836" s="99"/>
      <c r="AM836" s="99"/>
      <c r="AO836" s="99"/>
      <c r="AR836" s="6"/>
      <c r="AS836" s="6"/>
      <c r="AT836" s="6"/>
      <c r="AU836" s="89"/>
      <c r="AV836" s="100"/>
      <c r="AW836" s="65"/>
      <c r="AX836" s="3"/>
    </row>
    <row r="837" spans="35:50">
      <c r="AI837" s="99"/>
      <c r="AM837" s="99"/>
      <c r="AO837" s="99"/>
      <c r="AR837" s="6"/>
      <c r="AS837" s="6"/>
      <c r="AT837" s="6"/>
      <c r="AU837" s="89"/>
      <c r="AV837" s="100"/>
      <c r="AW837" s="65"/>
      <c r="AX837" s="3"/>
    </row>
    <row r="838" spans="35:50">
      <c r="AI838" s="99"/>
      <c r="AM838" s="99"/>
      <c r="AO838" s="99"/>
      <c r="AR838" s="6"/>
      <c r="AS838" s="6"/>
      <c r="AT838" s="6"/>
      <c r="AU838" s="89"/>
      <c r="AV838" s="100"/>
      <c r="AW838" s="65"/>
      <c r="AX838" s="3"/>
    </row>
    <row r="839" spans="35:50">
      <c r="AI839" s="99"/>
      <c r="AM839" s="99"/>
      <c r="AO839" s="99"/>
      <c r="AR839" s="6"/>
      <c r="AS839" s="6"/>
      <c r="AT839" s="6"/>
      <c r="AU839" s="89"/>
      <c r="AV839" s="100"/>
      <c r="AW839" s="65"/>
      <c r="AX839" s="3"/>
    </row>
    <row r="840" spans="35:50">
      <c r="AI840" s="99"/>
      <c r="AM840" s="99"/>
      <c r="AO840" s="99"/>
      <c r="AR840" s="6"/>
      <c r="AS840" s="6"/>
      <c r="AT840" s="6"/>
      <c r="AU840" s="89"/>
      <c r="AV840" s="100"/>
      <c r="AW840" s="65"/>
      <c r="AX840" s="3"/>
    </row>
    <row r="841" spans="35:50">
      <c r="AI841" s="99"/>
      <c r="AM841" s="99"/>
      <c r="AO841" s="99"/>
      <c r="AR841" s="6"/>
      <c r="AS841" s="6"/>
      <c r="AT841" s="6"/>
      <c r="AU841" s="89"/>
      <c r="AV841" s="100"/>
      <c r="AW841" s="65"/>
      <c r="AX841" s="3"/>
    </row>
    <row r="842" spans="35:50">
      <c r="AI842" s="99"/>
      <c r="AM842" s="99"/>
      <c r="AO842" s="99"/>
      <c r="AR842" s="6"/>
      <c r="AS842" s="6"/>
      <c r="AT842" s="6"/>
      <c r="AU842" s="89"/>
      <c r="AV842" s="100"/>
      <c r="AW842" s="65"/>
      <c r="AX842" s="3"/>
    </row>
    <row r="843" spans="35:50">
      <c r="AI843" s="99"/>
      <c r="AM843" s="99"/>
      <c r="AO843" s="99"/>
      <c r="AR843" s="6"/>
      <c r="AS843" s="6"/>
      <c r="AT843" s="6"/>
      <c r="AU843" s="89"/>
      <c r="AV843" s="100"/>
      <c r="AW843" s="65"/>
      <c r="AX843" s="3"/>
    </row>
    <row r="844" spans="35:50">
      <c r="AI844" s="99"/>
      <c r="AM844" s="99"/>
      <c r="AO844" s="99"/>
      <c r="AR844" s="6"/>
      <c r="AS844" s="6"/>
      <c r="AT844" s="6"/>
      <c r="AU844" s="89"/>
      <c r="AV844" s="100"/>
      <c r="AW844" s="65"/>
      <c r="AX844" s="3"/>
    </row>
    <row r="845" spans="35:50">
      <c r="AI845" s="99"/>
      <c r="AM845" s="99"/>
      <c r="AO845" s="99"/>
      <c r="AR845" s="6"/>
      <c r="AS845" s="6"/>
      <c r="AT845" s="6"/>
      <c r="AU845" s="89"/>
      <c r="AV845" s="100"/>
      <c r="AW845" s="65"/>
      <c r="AX845" s="3"/>
    </row>
    <row r="846" spans="35:50">
      <c r="AI846" s="99"/>
      <c r="AM846" s="99"/>
      <c r="AO846" s="99"/>
      <c r="AR846" s="6"/>
      <c r="AS846" s="6"/>
      <c r="AT846" s="6"/>
      <c r="AU846" s="89"/>
      <c r="AV846" s="100"/>
      <c r="AW846" s="65"/>
      <c r="AX846" s="3"/>
    </row>
    <row r="847" spans="35:50">
      <c r="AI847" s="99"/>
      <c r="AM847" s="99"/>
      <c r="AO847" s="99"/>
      <c r="AR847" s="6"/>
      <c r="AS847" s="6"/>
      <c r="AT847" s="6"/>
      <c r="AU847" s="89"/>
      <c r="AV847" s="100"/>
      <c r="AW847" s="65"/>
      <c r="AX847" s="3"/>
    </row>
    <row r="848" spans="35:50">
      <c r="AI848" s="99"/>
      <c r="AM848" s="99"/>
      <c r="AO848" s="99"/>
      <c r="AR848" s="6"/>
      <c r="AS848" s="6"/>
      <c r="AT848" s="6"/>
      <c r="AU848" s="89"/>
      <c r="AV848" s="100"/>
      <c r="AW848" s="65"/>
      <c r="AX848" s="3"/>
    </row>
    <row r="849" spans="35:50">
      <c r="AI849" s="99"/>
      <c r="AM849" s="99"/>
      <c r="AO849" s="99"/>
      <c r="AR849" s="6"/>
      <c r="AS849" s="6"/>
      <c r="AT849" s="6"/>
      <c r="AU849" s="89"/>
      <c r="AV849" s="100"/>
      <c r="AW849" s="65"/>
      <c r="AX849" s="3"/>
    </row>
    <row r="850" spans="35:50">
      <c r="AI850" s="99"/>
      <c r="AM850" s="99"/>
      <c r="AO850" s="99"/>
      <c r="AR850" s="6"/>
      <c r="AS850" s="6"/>
      <c r="AT850" s="6"/>
      <c r="AU850" s="89"/>
      <c r="AV850" s="100"/>
      <c r="AW850" s="65"/>
      <c r="AX850" s="3"/>
    </row>
    <row r="851" spans="35:50">
      <c r="AI851" s="99"/>
      <c r="AM851" s="99"/>
      <c r="AO851" s="99"/>
      <c r="AR851" s="6"/>
      <c r="AS851" s="6"/>
      <c r="AT851" s="6"/>
      <c r="AU851" s="89"/>
      <c r="AV851" s="100"/>
      <c r="AW851" s="65"/>
      <c r="AX851" s="3"/>
    </row>
    <row r="852" spans="35:50">
      <c r="AI852" s="99"/>
      <c r="AM852" s="99"/>
      <c r="AO852" s="99"/>
      <c r="AR852" s="6"/>
      <c r="AS852" s="6"/>
      <c r="AT852" s="6"/>
      <c r="AU852" s="89"/>
      <c r="AV852" s="100"/>
      <c r="AW852" s="65"/>
      <c r="AX852" s="3"/>
    </row>
    <row r="853" spans="35:50">
      <c r="AI853" s="99"/>
      <c r="AM853" s="99"/>
      <c r="AO853" s="99"/>
      <c r="AR853" s="6"/>
      <c r="AS853" s="6"/>
      <c r="AT853" s="6"/>
      <c r="AU853" s="89"/>
      <c r="AV853" s="100"/>
      <c r="AW853" s="65"/>
      <c r="AX853" s="3"/>
    </row>
    <row r="854" spans="35:50">
      <c r="AI854" s="99"/>
      <c r="AM854" s="99"/>
      <c r="AO854" s="99"/>
      <c r="AR854" s="6"/>
      <c r="AS854" s="6"/>
      <c r="AT854" s="6"/>
      <c r="AU854" s="89"/>
      <c r="AV854" s="100"/>
      <c r="AW854" s="65"/>
      <c r="AX854" s="3"/>
    </row>
    <row r="855" spans="35:50">
      <c r="AI855" s="99"/>
      <c r="AM855" s="99"/>
      <c r="AO855" s="99"/>
      <c r="AR855" s="6"/>
      <c r="AS855" s="6"/>
      <c r="AT855" s="6"/>
      <c r="AU855" s="89"/>
      <c r="AV855" s="100"/>
      <c r="AW855" s="65"/>
      <c r="AX855" s="3"/>
    </row>
    <row r="856" spans="35:50">
      <c r="AI856" s="99"/>
      <c r="AM856" s="99"/>
      <c r="AO856" s="99"/>
      <c r="AR856" s="6"/>
      <c r="AS856" s="6"/>
      <c r="AT856" s="6"/>
      <c r="AU856" s="89"/>
      <c r="AV856" s="100"/>
      <c r="AW856" s="65"/>
      <c r="AX856" s="3"/>
    </row>
    <row r="857" spans="35:50">
      <c r="AI857" s="99"/>
      <c r="AM857" s="99"/>
      <c r="AO857" s="99"/>
      <c r="AR857" s="6"/>
      <c r="AS857" s="6"/>
      <c r="AT857" s="6"/>
      <c r="AU857" s="89"/>
      <c r="AV857" s="100"/>
      <c r="AW857" s="65"/>
      <c r="AX857" s="3"/>
    </row>
    <row r="858" spans="35:50">
      <c r="AI858" s="99"/>
      <c r="AM858" s="99"/>
      <c r="AO858" s="99"/>
      <c r="AR858" s="6"/>
      <c r="AS858" s="6"/>
      <c r="AT858" s="6"/>
      <c r="AU858" s="89"/>
      <c r="AV858" s="100"/>
      <c r="AW858" s="65"/>
      <c r="AX858" s="3"/>
    </row>
    <row r="859" spans="35:50">
      <c r="AI859" s="99"/>
      <c r="AM859" s="99"/>
      <c r="AO859" s="99"/>
      <c r="AR859" s="6"/>
      <c r="AS859" s="6"/>
      <c r="AT859" s="6"/>
      <c r="AU859" s="89"/>
      <c r="AV859" s="100"/>
      <c r="AW859" s="65"/>
      <c r="AX859" s="3"/>
    </row>
    <row r="860" spans="35:50">
      <c r="AI860" s="99"/>
      <c r="AM860" s="99"/>
      <c r="AO860" s="99"/>
      <c r="AR860" s="6"/>
      <c r="AS860" s="6"/>
      <c r="AT860" s="6"/>
      <c r="AU860" s="89"/>
      <c r="AV860" s="100"/>
      <c r="AW860" s="65"/>
      <c r="AX860" s="3"/>
    </row>
    <row r="861" spans="35:50">
      <c r="AI861" s="99"/>
      <c r="AM861" s="99"/>
      <c r="AO861" s="99"/>
      <c r="AR861" s="6"/>
      <c r="AS861" s="6"/>
      <c r="AT861" s="6"/>
      <c r="AU861" s="89"/>
      <c r="AV861" s="100"/>
      <c r="AW861" s="65"/>
      <c r="AX861" s="3"/>
    </row>
    <row r="862" spans="35:50">
      <c r="AI862" s="99"/>
      <c r="AM862" s="99"/>
      <c r="AO862" s="99"/>
      <c r="AR862" s="6"/>
      <c r="AS862" s="6"/>
      <c r="AT862" s="6"/>
      <c r="AU862" s="89"/>
      <c r="AV862" s="100"/>
      <c r="AW862" s="65"/>
      <c r="AX862" s="3"/>
    </row>
    <row r="863" spans="35:50">
      <c r="AI863" s="99"/>
      <c r="AM863" s="99"/>
      <c r="AO863" s="99"/>
      <c r="AR863" s="6"/>
      <c r="AS863" s="6"/>
      <c r="AT863" s="6"/>
      <c r="AU863" s="89"/>
      <c r="AV863" s="100"/>
      <c r="AW863" s="65"/>
      <c r="AX863" s="3"/>
    </row>
    <row r="864" spans="35:50">
      <c r="AI864" s="99"/>
      <c r="AM864" s="99"/>
      <c r="AO864" s="99"/>
      <c r="AR864" s="6"/>
      <c r="AS864" s="6"/>
      <c r="AT864" s="6"/>
      <c r="AU864" s="89"/>
      <c r="AV864" s="100"/>
      <c r="AW864" s="65"/>
      <c r="AX864" s="3"/>
    </row>
    <row r="865" spans="35:50">
      <c r="AI865" s="99"/>
      <c r="AM865" s="99"/>
      <c r="AO865" s="99"/>
      <c r="AR865" s="6"/>
      <c r="AS865" s="6"/>
      <c r="AT865" s="6"/>
      <c r="AU865" s="89"/>
      <c r="AV865" s="100"/>
      <c r="AW865" s="65"/>
      <c r="AX865" s="3"/>
    </row>
    <row r="866" spans="35:50">
      <c r="AI866" s="99"/>
      <c r="AM866" s="99"/>
      <c r="AO866" s="99"/>
      <c r="AR866" s="6"/>
      <c r="AS866" s="6"/>
      <c r="AT866" s="6"/>
      <c r="AU866" s="89"/>
      <c r="AV866" s="100"/>
      <c r="AW866" s="65"/>
      <c r="AX866" s="3"/>
    </row>
    <row r="867" spans="35:50">
      <c r="AI867" s="99"/>
      <c r="AM867" s="99"/>
      <c r="AO867" s="99"/>
      <c r="AR867" s="6"/>
      <c r="AS867" s="6"/>
      <c r="AT867" s="6"/>
      <c r="AU867" s="89"/>
      <c r="AV867" s="100"/>
      <c r="AW867" s="65"/>
      <c r="AX867" s="3"/>
    </row>
    <row r="868" spans="35:50">
      <c r="AI868" s="99"/>
      <c r="AM868" s="99"/>
      <c r="AO868" s="99"/>
      <c r="AR868" s="6"/>
      <c r="AS868" s="6"/>
      <c r="AT868" s="6"/>
      <c r="AU868" s="89"/>
      <c r="AV868" s="100"/>
      <c r="AW868" s="65"/>
      <c r="AX868" s="3"/>
    </row>
    <row r="869" spans="35:50">
      <c r="AI869" s="99"/>
      <c r="AM869" s="99"/>
      <c r="AO869" s="99"/>
      <c r="AR869" s="6"/>
      <c r="AS869" s="6"/>
      <c r="AT869" s="6"/>
      <c r="AU869" s="89"/>
      <c r="AV869" s="100"/>
      <c r="AW869" s="65"/>
      <c r="AX869" s="3"/>
    </row>
    <row r="870" spans="35:50">
      <c r="AI870" s="99"/>
      <c r="AM870" s="99"/>
      <c r="AO870" s="99"/>
      <c r="AR870" s="6"/>
      <c r="AS870" s="6"/>
      <c r="AT870" s="6"/>
      <c r="AU870" s="89"/>
      <c r="AV870" s="100"/>
      <c r="AW870" s="65"/>
      <c r="AX870" s="3"/>
    </row>
    <row r="871" spans="35:50">
      <c r="AI871" s="99"/>
      <c r="AM871" s="99"/>
      <c r="AO871" s="99"/>
      <c r="AR871" s="6"/>
      <c r="AS871" s="6"/>
      <c r="AT871" s="6"/>
      <c r="AU871" s="89"/>
      <c r="AV871" s="100"/>
      <c r="AW871" s="65"/>
      <c r="AX871" s="3"/>
    </row>
    <row r="872" spans="35:50">
      <c r="AI872" s="99"/>
      <c r="AM872" s="99"/>
      <c r="AO872" s="99"/>
      <c r="AR872" s="6"/>
      <c r="AS872" s="6"/>
      <c r="AT872" s="6"/>
      <c r="AU872" s="89"/>
      <c r="AV872" s="100"/>
      <c r="AW872" s="65"/>
      <c r="AX872" s="3"/>
    </row>
    <row r="873" spans="35:50">
      <c r="AI873" s="99"/>
      <c r="AM873" s="99"/>
      <c r="AO873" s="99"/>
      <c r="AR873" s="6"/>
      <c r="AS873" s="6"/>
      <c r="AT873" s="6"/>
      <c r="AU873" s="89"/>
      <c r="AV873" s="100"/>
      <c r="AW873" s="65"/>
      <c r="AX873" s="3"/>
    </row>
    <row r="874" spans="35:50">
      <c r="AI874" s="99"/>
      <c r="AM874" s="99"/>
      <c r="AO874" s="99"/>
      <c r="AR874" s="6"/>
      <c r="AS874" s="6"/>
      <c r="AT874" s="6"/>
      <c r="AU874" s="89"/>
      <c r="AV874" s="100"/>
      <c r="AW874" s="65"/>
      <c r="AX874" s="3"/>
    </row>
    <row r="875" spans="35:50">
      <c r="AI875" s="99"/>
      <c r="AM875" s="99"/>
      <c r="AO875" s="99"/>
      <c r="AR875" s="6"/>
      <c r="AS875" s="6"/>
      <c r="AT875" s="6"/>
      <c r="AU875" s="89"/>
      <c r="AV875" s="100"/>
      <c r="AW875" s="65"/>
      <c r="AX875" s="3"/>
    </row>
    <row r="876" spans="35:50">
      <c r="AI876" s="99"/>
      <c r="AM876" s="99"/>
      <c r="AO876" s="99"/>
      <c r="AR876" s="6"/>
      <c r="AS876" s="6"/>
      <c r="AT876" s="6"/>
      <c r="AU876" s="89"/>
      <c r="AV876" s="100"/>
      <c r="AW876" s="65"/>
      <c r="AX876" s="3"/>
    </row>
    <row r="877" spans="35:50">
      <c r="AI877" s="99"/>
      <c r="AM877" s="99"/>
      <c r="AO877" s="99"/>
      <c r="AR877" s="6"/>
      <c r="AS877" s="6"/>
      <c r="AT877" s="6"/>
      <c r="AU877" s="89"/>
      <c r="AV877" s="100"/>
      <c r="AW877" s="65"/>
      <c r="AX877" s="3"/>
    </row>
    <row r="878" spans="35:50">
      <c r="AI878" s="99"/>
      <c r="AM878" s="99"/>
      <c r="AO878" s="99"/>
      <c r="AR878" s="6"/>
      <c r="AS878" s="6"/>
      <c r="AT878" s="6"/>
      <c r="AU878" s="89"/>
      <c r="AV878" s="100"/>
      <c r="AW878" s="65"/>
      <c r="AX878" s="3"/>
    </row>
    <row r="879" spans="35:50">
      <c r="AI879" s="99"/>
      <c r="AM879" s="99"/>
      <c r="AO879" s="99"/>
      <c r="AR879" s="6"/>
      <c r="AS879" s="6"/>
      <c r="AT879" s="6"/>
      <c r="AU879" s="89"/>
      <c r="AV879" s="100"/>
      <c r="AW879" s="65"/>
      <c r="AX879" s="3"/>
    </row>
    <row r="880" spans="35:50">
      <c r="AI880" s="99"/>
      <c r="AM880" s="99"/>
      <c r="AO880" s="99"/>
      <c r="AR880" s="6"/>
      <c r="AS880" s="6"/>
      <c r="AT880" s="6"/>
      <c r="AU880" s="89"/>
      <c r="AV880" s="100"/>
      <c r="AW880" s="65"/>
      <c r="AX880" s="3"/>
    </row>
    <row r="881" spans="35:50">
      <c r="AI881" s="99"/>
      <c r="AM881" s="99"/>
      <c r="AO881" s="99"/>
      <c r="AR881" s="6"/>
      <c r="AS881" s="6"/>
      <c r="AT881" s="6"/>
      <c r="AU881" s="89"/>
      <c r="AV881" s="100"/>
      <c r="AW881" s="65"/>
      <c r="AX881" s="3"/>
    </row>
    <row r="882" spans="35:50">
      <c r="AI882" s="99"/>
      <c r="AM882" s="99"/>
      <c r="AO882" s="99"/>
      <c r="AR882" s="6"/>
      <c r="AS882" s="6"/>
      <c r="AT882" s="6"/>
      <c r="AU882" s="89"/>
      <c r="AV882" s="100"/>
      <c r="AW882" s="65"/>
      <c r="AX882" s="3"/>
    </row>
    <row r="883" spans="35:50">
      <c r="AI883" s="99"/>
      <c r="AM883" s="99"/>
      <c r="AO883" s="99"/>
      <c r="AR883" s="6"/>
      <c r="AS883" s="6"/>
      <c r="AT883" s="6"/>
      <c r="AU883" s="89"/>
      <c r="AV883" s="100"/>
      <c r="AW883" s="65"/>
      <c r="AX883" s="3"/>
    </row>
    <row r="884" spans="35:50">
      <c r="AI884" s="99"/>
      <c r="AM884" s="99"/>
      <c r="AO884" s="99"/>
      <c r="AR884" s="6"/>
      <c r="AS884" s="6"/>
      <c r="AT884" s="6"/>
      <c r="AU884" s="89"/>
      <c r="AV884" s="100"/>
      <c r="AW884" s="65"/>
      <c r="AX884" s="3"/>
    </row>
    <row r="885" spans="35:50">
      <c r="AI885" s="99"/>
      <c r="AM885" s="99"/>
      <c r="AO885" s="99"/>
      <c r="AR885" s="6"/>
      <c r="AS885" s="6"/>
      <c r="AT885" s="6"/>
      <c r="AU885" s="89"/>
      <c r="AV885" s="100"/>
      <c r="AW885" s="65"/>
      <c r="AX885" s="3"/>
    </row>
    <row r="886" spans="35:50">
      <c r="AI886" s="99"/>
      <c r="AM886" s="99"/>
      <c r="AO886" s="99"/>
      <c r="AR886" s="6"/>
      <c r="AS886" s="6"/>
      <c r="AT886" s="6"/>
      <c r="AU886" s="89"/>
      <c r="AV886" s="100"/>
      <c r="AW886" s="65"/>
      <c r="AX886" s="3"/>
    </row>
    <row r="887" spans="35:50">
      <c r="AI887" s="99"/>
      <c r="AM887" s="99"/>
      <c r="AO887" s="99"/>
      <c r="AR887" s="6"/>
      <c r="AS887" s="6"/>
      <c r="AT887" s="6"/>
      <c r="AU887" s="89"/>
      <c r="AV887" s="100"/>
      <c r="AW887" s="65"/>
      <c r="AX887" s="3"/>
    </row>
    <row r="888" spans="35:50">
      <c r="AI888" s="99"/>
      <c r="AM888" s="99"/>
      <c r="AO888" s="99"/>
      <c r="AR888" s="6"/>
      <c r="AS888" s="6"/>
      <c r="AT888" s="6"/>
      <c r="AU888" s="89"/>
      <c r="AV888" s="100"/>
      <c r="AW888" s="65"/>
      <c r="AX888" s="3"/>
    </row>
    <row r="889" spans="35:50">
      <c r="AI889" s="99"/>
      <c r="AM889" s="99"/>
      <c r="AO889" s="99"/>
      <c r="AR889" s="6"/>
      <c r="AS889" s="6"/>
      <c r="AT889" s="6"/>
      <c r="AU889" s="89"/>
      <c r="AV889" s="100"/>
      <c r="AW889" s="65"/>
      <c r="AX889" s="3"/>
    </row>
    <row r="890" spans="35:50">
      <c r="AI890" s="99"/>
      <c r="AM890" s="99"/>
      <c r="AO890" s="99"/>
      <c r="AR890" s="6"/>
      <c r="AS890" s="6"/>
      <c r="AT890" s="6"/>
      <c r="AU890" s="89"/>
      <c r="AV890" s="100"/>
      <c r="AW890" s="65"/>
      <c r="AX890" s="3"/>
    </row>
    <row r="891" spans="35:50">
      <c r="AI891" s="99"/>
      <c r="AM891" s="99"/>
      <c r="AO891" s="99"/>
      <c r="AR891" s="6"/>
      <c r="AS891" s="6"/>
      <c r="AT891" s="6"/>
      <c r="AU891" s="89"/>
      <c r="AV891" s="100"/>
      <c r="AW891" s="65"/>
      <c r="AX891" s="3"/>
    </row>
    <row r="892" spans="35:50">
      <c r="AI892" s="99"/>
      <c r="AM892" s="99"/>
      <c r="AO892" s="99"/>
      <c r="AR892" s="6"/>
      <c r="AS892" s="6"/>
      <c r="AT892" s="6"/>
      <c r="AU892" s="89"/>
      <c r="AV892" s="100"/>
      <c r="AW892" s="65"/>
      <c r="AX892" s="3"/>
    </row>
    <row r="893" spans="35:50">
      <c r="AI893" s="99"/>
      <c r="AM893" s="99"/>
      <c r="AO893" s="99"/>
      <c r="AR893" s="6"/>
      <c r="AS893" s="6"/>
      <c r="AT893" s="6"/>
      <c r="AU893" s="89"/>
      <c r="AV893" s="100"/>
      <c r="AW893" s="65"/>
      <c r="AX893" s="3"/>
    </row>
    <row r="894" spans="35:50">
      <c r="AI894" s="99"/>
      <c r="AM894" s="99"/>
      <c r="AO894" s="99"/>
      <c r="AR894" s="6"/>
      <c r="AS894" s="6"/>
      <c r="AT894" s="6"/>
      <c r="AU894" s="89"/>
      <c r="AV894" s="100"/>
      <c r="AW894" s="65"/>
      <c r="AX894" s="3"/>
    </row>
    <row r="895" spans="35:50">
      <c r="AI895" s="99"/>
      <c r="AM895" s="99"/>
      <c r="AO895" s="99"/>
      <c r="AR895" s="6"/>
      <c r="AS895" s="6"/>
      <c r="AT895" s="6"/>
      <c r="AU895" s="89"/>
      <c r="AV895" s="100"/>
      <c r="AW895" s="65"/>
      <c r="AX895" s="3"/>
    </row>
    <row r="896" spans="35:50">
      <c r="AI896" s="99"/>
      <c r="AM896" s="99"/>
      <c r="AO896" s="99"/>
      <c r="AR896" s="6"/>
      <c r="AS896" s="6"/>
      <c r="AT896" s="6"/>
      <c r="AU896" s="89"/>
      <c r="AV896" s="100"/>
      <c r="AW896" s="65"/>
      <c r="AX896" s="3"/>
    </row>
    <row r="897" spans="35:50">
      <c r="AI897" s="99"/>
      <c r="AM897" s="99"/>
      <c r="AO897" s="99"/>
      <c r="AR897" s="6"/>
      <c r="AS897" s="6"/>
      <c r="AT897" s="6"/>
      <c r="AU897" s="89"/>
      <c r="AV897" s="100"/>
      <c r="AW897" s="65"/>
      <c r="AX897" s="3"/>
    </row>
    <row r="898" spans="35:50">
      <c r="AI898" s="99"/>
      <c r="AM898" s="99"/>
      <c r="AO898" s="99"/>
      <c r="AR898" s="6"/>
      <c r="AS898" s="6"/>
      <c r="AT898" s="6"/>
      <c r="AU898" s="89"/>
      <c r="AV898" s="100"/>
      <c r="AW898" s="65"/>
      <c r="AX898" s="3"/>
    </row>
    <row r="899" spans="35:50">
      <c r="AI899" s="99"/>
      <c r="AM899" s="99"/>
      <c r="AO899" s="99"/>
      <c r="AR899" s="6"/>
      <c r="AS899" s="6"/>
      <c r="AT899" s="6"/>
      <c r="AU899" s="89"/>
      <c r="AV899" s="100"/>
      <c r="AW899" s="65"/>
      <c r="AX899" s="3"/>
    </row>
    <row r="900" spans="35:50">
      <c r="AI900" s="99"/>
      <c r="AM900" s="99"/>
      <c r="AO900" s="99"/>
      <c r="AR900" s="6"/>
      <c r="AS900" s="6"/>
      <c r="AT900" s="6"/>
      <c r="AU900" s="89"/>
      <c r="AV900" s="100"/>
      <c r="AW900" s="65"/>
      <c r="AX900" s="3"/>
    </row>
    <row r="901" spans="35:50">
      <c r="AI901" s="99"/>
      <c r="AM901" s="99"/>
      <c r="AO901" s="99"/>
      <c r="AR901" s="6"/>
      <c r="AS901" s="6"/>
      <c r="AT901" s="6"/>
      <c r="AU901" s="89"/>
      <c r="AV901" s="100"/>
      <c r="AW901" s="65"/>
      <c r="AX901" s="3"/>
    </row>
    <row r="902" spans="35:50">
      <c r="AI902" s="99"/>
      <c r="AM902" s="99"/>
      <c r="AO902" s="99"/>
      <c r="AR902" s="6"/>
      <c r="AS902" s="6"/>
      <c r="AT902" s="6"/>
      <c r="AU902" s="89"/>
      <c r="AV902" s="100"/>
      <c r="AW902" s="65"/>
      <c r="AX902" s="3"/>
    </row>
    <row r="903" spans="35:50">
      <c r="AI903" s="99"/>
      <c r="AM903" s="99"/>
      <c r="AO903" s="99"/>
      <c r="AR903" s="6"/>
      <c r="AS903" s="6"/>
      <c r="AT903" s="6"/>
      <c r="AU903" s="89"/>
      <c r="AV903" s="100"/>
      <c r="AW903" s="65"/>
      <c r="AX903" s="3"/>
    </row>
    <row r="904" spans="35:50">
      <c r="AI904" s="99"/>
      <c r="AM904" s="99"/>
      <c r="AO904" s="99"/>
      <c r="AR904" s="6"/>
      <c r="AS904" s="6"/>
      <c r="AT904" s="6"/>
      <c r="AU904" s="89"/>
      <c r="AV904" s="100"/>
      <c r="AW904" s="65"/>
      <c r="AX904" s="3"/>
    </row>
    <row r="905" spans="35:50">
      <c r="AI905" s="99"/>
      <c r="AM905" s="99"/>
      <c r="AO905" s="99"/>
      <c r="AR905" s="6"/>
      <c r="AS905" s="6"/>
      <c r="AT905" s="6"/>
      <c r="AU905" s="89"/>
      <c r="AV905" s="100"/>
      <c r="AW905" s="65"/>
      <c r="AX905" s="3"/>
    </row>
    <row r="906" spans="35:50">
      <c r="AI906" s="99"/>
      <c r="AM906" s="99"/>
      <c r="AO906" s="99"/>
      <c r="AR906" s="6"/>
      <c r="AS906" s="6"/>
      <c r="AT906" s="6"/>
      <c r="AU906" s="89"/>
      <c r="AV906" s="100"/>
      <c r="AW906" s="65"/>
      <c r="AX906" s="3"/>
    </row>
    <row r="907" spans="35:50">
      <c r="AI907" s="99"/>
      <c r="AM907" s="99"/>
      <c r="AO907" s="99"/>
      <c r="AR907" s="6"/>
      <c r="AS907" s="6"/>
      <c r="AT907" s="6"/>
      <c r="AU907" s="89"/>
      <c r="AV907" s="100"/>
      <c r="AW907" s="65"/>
      <c r="AX907" s="3"/>
    </row>
    <row r="908" spans="35:50">
      <c r="AI908" s="99"/>
      <c r="AM908" s="99"/>
      <c r="AO908" s="99"/>
      <c r="AR908" s="6"/>
      <c r="AS908" s="6"/>
      <c r="AT908" s="6"/>
      <c r="AU908" s="89"/>
      <c r="AV908" s="100"/>
      <c r="AW908" s="65"/>
      <c r="AX908" s="3"/>
    </row>
    <row r="909" spans="35:50">
      <c r="AI909" s="99"/>
      <c r="AM909" s="99"/>
      <c r="AO909" s="99"/>
      <c r="AR909" s="6"/>
      <c r="AS909" s="6"/>
      <c r="AT909" s="6"/>
      <c r="AU909" s="89"/>
      <c r="AV909" s="100"/>
      <c r="AW909" s="65"/>
      <c r="AX909" s="3"/>
    </row>
    <row r="910" spans="35:50">
      <c r="AI910" s="99"/>
      <c r="AM910" s="99"/>
      <c r="AO910" s="99"/>
      <c r="AR910" s="6"/>
      <c r="AS910" s="6"/>
      <c r="AT910" s="6"/>
      <c r="AU910" s="89"/>
      <c r="AV910" s="100"/>
      <c r="AW910" s="65"/>
      <c r="AX910" s="3"/>
    </row>
    <row r="911" spans="35:50">
      <c r="AI911" s="99"/>
      <c r="AM911" s="99"/>
      <c r="AO911" s="99"/>
      <c r="AR911" s="6"/>
      <c r="AS911" s="6"/>
      <c r="AT911" s="6"/>
      <c r="AU911" s="89"/>
      <c r="AV911" s="100"/>
      <c r="AW911" s="65"/>
      <c r="AX911" s="3"/>
    </row>
    <row r="912" spans="35:50">
      <c r="AI912" s="99"/>
      <c r="AM912" s="99"/>
      <c r="AO912" s="99"/>
      <c r="AR912" s="6"/>
      <c r="AS912" s="6"/>
      <c r="AT912" s="6"/>
      <c r="AU912" s="89"/>
      <c r="AV912" s="100"/>
      <c r="AW912" s="65"/>
      <c r="AX912" s="3"/>
    </row>
    <row r="913" spans="35:50">
      <c r="AI913" s="99"/>
      <c r="AM913" s="99"/>
      <c r="AO913" s="99"/>
      <c r="AR913" s="6"/>
      <c r="AS913" s="6"/>
      <c r="AT913" s="6"/>
      <c r="AU913" s="89"/>
      <c r="AV913" s="100"/>
      <c r="AW913" s="65"/>
      <c r="AX913" s="3"/>
    </row>
    <row r="914" spans="35:50">
      <c r="AI914" s="99"/>
      <c r="AM914" s="99"/>
      <c r="AO914" s="99"/>
      <c r="AR914" s="6"/>
      <c r="AS914" s="6"/>
      <c r="AT914" s="6"/>
      <c r="AU914" s="89"/>
      <c r="AV914" s="100"/>
      <c r="AW914" s="65"/>
      <c r="AX914" s="3"/>
    </row>
    <row r="915" spans="35:50">
      <c r="AI915" s="99"/>
      <c r="AM915" s="99"/>
      <c r="AO915" s="99"/>
      <c r="AR915" s="6"/>
      <c r="AS915" s="6"/>
      <c r="AT915" s="6"/>
      <c r="AU915" s="89"/>
      <c r="AV915" s="100"/>
      <c r="AW915" s="65"/>
      <c r="AX915" s="3"/>
    </row>
    <row r="916" spans="35:50">
      <c r="AI916" s="99"/>
      <c r="AM916" s="99"/>
      <c r="AO916" s="99"/>
      <c r="AR916" s="6"/>
      <c r="AS916" s="6"/>
      <c r="AT916" s="6"/>
      <c r="AU916" s="89"/>
      <c r="AV916" s="100"/>
      <c r="AW916" s="65"/>
      <c r="AX916" s="3"/>
    </row>
    <row r="917" spans="35:50">
      <c r="AI917" s="99"/>
      <c r="AM917" s="99"/>
      <c r="AO917" s="99"/>
      <c r="AR917" s="6"/>
      <c r="AS917" s="6"/>
      <c r="AT917" s="6"/>
      <c r="AU917" s="89"/>
      <c r="AV917" s="100"/>
      <c r="AW917" s="65"/>
      <c r="AX917" s="3"/>
    </row>
    <row r="918" spans="35:50">
      <c r="AI918" s="99"/>
      <c r="AM918" s="99"/>
      <c r="AO918" s="99"/>
      <c r="AR918" s="6"/>
      <c r="AS918" s="6"/>
      <c r="AT918" s="6"/>
      <c r="AU918" s="89"/>
      <c r="AV918" s="100"/>
      <c r="AW918" s="65"/>
      <c r="AX918" s="3"/>
    </row>
    <row r="919" spans="35:50">
      <c r="AI919" s="99"/>
      <c r="AM919" s="99"/>
      <c r="AO919" s="99"/>
      <c r="AR919" s="6"/>
      <c r="AS919" s="6"/>
      <c r="AT919" s="6"/>
      <c r="AU919" s="89"/>
      <c r="AV919" s="100"/>
      <c r="AW919" s="65"/>
      <c r="AX919" s="3"/>
    </row>
    <row r="920" spans="35:50">
      <c r="AI920" s="99"/>
      <c r="AM920" s="99"/>
      <c r="AO920" s="99"/>
      <c r="AR920" s="6"/>
      <c r="AS920" s="6"/>
      <c r="AT920" s="6"/>
      <c r="AU920" s="89"/>
      <c r="AV920" s="100"/>
      <c r="AW920" s="65"/>
      <c r="AX920" s="3"/>
    </row>
    <row r="921" spans="35:50">
      <c r="AI921" s="99"/>
      <c r="AM921" s="99"/>
      <c r="AO921" s="99"/>
      <c r="AR921" s="6"/>
      <c r="AS921" s="6"/>
      <c r="AT921" s="6"/>
      <c r="AU921" s="89"/>
      <c r="AV921" s="100"/>
      <c r="AW921" s="65"/>
      <c r="AX921" s="3"/>
    </row>
    <row r="922" spans="35:50">
      <c r="AI922" s="99"/>
      <c r="AM922" s="99"/>
      <c r="AO922" s="99"/>
      <c r="AR922" s="6"/>
      <c r="AS922" s="6"/>
      <c r="AT922" s="6"/>
      <c r="AU922" s="89"/>
      <c r="AV922" s="100"/>
      <c r="AW922" s="65"/>
      <c r="AX922" s="3"/>
    </row>
    <row r="923" spans="35:50">
      <c r="AI923" s="99"/>
      <c r="AM923" s="99"/>
      <c r="AO923" s="99"/>
      <c r="AR923" s="6"/>
      <c r="AS923" s="6"/>
      <c r="AT923" s="6"/>
      <c r="AU923" s="89"/>
      <c r="AV923" s="100"/>
      <c r="AW923" s="65"/>
      <c r="AX923" s="3"/>
    </row>
    <row r="924" spans="35:50">
      <c r="AI924" s="99"/>
      <c r="AM924" s="99"/>
      <c r="AO924" s="99"/>
      <c r="AR924" s="6"/>
      <c r="AS924" s="6"/>
      <c r="AT924" s="6"/>
      <c r="AU924" s="89"/>
      <c r="AV924" s="100"/>
      <c r="AW924" s="65"/>
      <c r="AX924" s="3"/>
    </row>
    <row r="925" spans="35:50">
      <c r="AI925" s="99"/>
      <c r="AM925" s="99"/>
      <c r="AO925" s="99"/>
      <c r="AR925" s="6"/>
      <c r="AS925" s="6"/>
      <c r="AT925" s="6"/>
      <c r="AU925" s="89"/>
      <c r="AV925" s="100"/>
      <c r="AW925" s="65"/>
      <c r="AX925" s="3"/>
    </row>
    <row r="926" spans="35:50">
      <c r="AI926" s="99"/>
      <c r="AM926" s="99"/>
      <c r="AO926" s="99"/>
      <c r="AR926" s="6"/>
      <c r="AS926" s="6"/>
      <c r="AT926" s="6"/>
      <c r="AU926" s="89"/>
      <c r="AV926" s="100"/>
      <c r="AW926" s="65"/>
      <c r="AX926" s="3"/>
    </row>
    <row r="927" spans="35:50">
      <c r="AI927" s="99"/>
      <c r="AM927" s="99"/>
      <c r="AO927" s="99"/>
      <c r="AR927" s="6"/>
      <c r="AS927" s="6"/>
      <c r="AT927" s="6"/>
      <c r="AU927" s="89"/>
      <c r="AV927" s="100"/>
      <c r="AW927" s="65"/>
      <c r="AX927" s="3"/>
    </row>
    <row r="928" spans="35:50">
      <c r="AI928" s="99"/>
      <c r="AM928" s="99"/>
      <c r="AO928" s="99"/>
      <c r="AR928" s="6"/>
      <c r="AS928" s="6"/>
      <c r="AT928" s="6"/>
      <c r="AU928" s="89"/>
      <c r="AV928" s="100"/>
      <c r="AW928" s="65"/>
      <c r="AX928" s="3"/>
    </row>
    <row r="929" spans="35:50">
      <c r="AI929" s="99"/>
      <c r="AM929" s="99"/>
      <c r="AO929" s="99"/>
      <c r="AR929" s="6"/>
      <c r="AS929" s="6"/>
      <c r="AT929" s="6"/>
      <c r="AU929" s="89"/>
      <c r="AV929" s="100"/>
      <c r="AW929" s="65"/>
      <c r="AX929" s="3"/>
    </row>
    <row r="930" spans="35:50">
      <c r="AI930" s="99"/>
      <c r="AM930" s="99"/>
      <c r="AO930" s="99"/>
      <c r="AR930" s="6"/>
      <c r="AS930" s="6"/>
      <c r="AT930" s="6"/>
      <c r="AU930" s="89"/>
      <c r="AV930" s="100"/>
      <c r="AW930" s="65"/>
      <c r="AX930" s="3"/>
    </row>
    <row r="931" spans="35:50">
      <c r="AI931" s="99"/>
      <c r="AM931" s="99"/>
      <c r="AO931" s="99"/>
      <c r="AR931" s="6"/>
      <c r="AS931" s="6"/>
      <c r="AT931" s="6"/>
      <c r="AU931" s="89"/>
      <c r="AV931" s="100"/>
      <c r="AW931" s="65"/>
      <c r="AX931" s="3"/>
    </row>
    <row r="932" spans="35:50">
      <c r="AI932" s="99"/>
      <c r="AM932" s="99"/>
      <c r="AO932" s="99"/>
      <c r="AR932" s="6"/>
      <c r="AS932" s="6"/>
      <c r="AT932" s="6"/>
      <c r="AU932" s="89"/>
      <c r="AV932" s="100"/>
      <c r="AW932" s="65"/>
      <c r="AX932" s="3"/>
    </row>
    <row r="933" spans="35:50">
      <c r="AI933" s="99"/>
      <c r="AM933" s="99"/>
      <c r="AO933" s="99"/>
      <c r="AR933" s="6"/>
      <c r="AS933" s="6"/>
      <c r="AT933" s="6"/>
      <c r="AU933" s="89"/>
      <c r="AV933" s="100"/>
      <c r="AW933" s="65"/>
      <c r="AX933" s="3"/>
    </row>
    <row r="934" spans="35:50">
      <c r="AI934" s="99"/>
      <c r="AM934" s="99"/>
      <c r="AO934" s="99"/>
      <c r="AR934" s="6"/>
      <c r="AS934" s="6"/>
      <c r="AT934" s="6"/>
      <c r="AU934" s="89"/>
      <c r="AV934" s="100"/>
      <c r="AW934" s="65"/>
      <c r="AX934" s="3"/>
    </row>
    <row r="935" spans="35:50">
      <c r="AI935" s="99"/>
      <c r="AM935" s="99"/>
      <c r="AO935" s="99"/>
      <c r="AR935" s="6"/>
      <c r="AS935" s="6"/>
      <c r="AT935" s="6"/>
      <c r="AU935" s="89"/>
      <c r="AV935" s="100"/>
      <c r="AW935" s="65"/>
      <c r="AX935" s="3"/>
    </row>
    <row r="936" spans="35:50">
      <c r="AI936" s="99"/>
      <c r="AM936" s="99"/>
      <c r="AO936" s="99"/>
      <c r="AR936" s="6"/>
      <c r="AS936" s="6"/>
      <c r="AT936" s="6"/>
      <c r="AU936" s="89"/>
      <c r="AV936" s="100"/>
      <c r="AW936" s="65"/>
      <c r="AX936" s="3"/>
    </row>
    <row r="937" spans="35:50">
      <c r="AI937" s="99"/>
      <c r="AM937" s="99"/>
      <c r="AO937" s="99"/>
      <c r="AR937" s="6"/>
      <c r="AS937" s="6"/>
      <c r="AT937" s="6"/>
      <c r="AU937" s="89"/>
      <c r="AV937" s="100"/>
      <c r="AW937" s="65"/>
      <c r="AX937" s="3"/>
    </row>
    <row r="938" spans="35:50">
      <c r="AI938" s="99"/>
      <c r="AM938" s="99"/>
      <c r="AO938" s="99"/>
      <c r="AR938" s="6"/>
      <c r="AS938" s="6"/>
      <c r="AT938" s="6"/>
      <c r="AU938" s="89"/>
      <c r="AV938" s="100"/>
      <c r="AW938" s="65"/>
      <c r="AX938" s="3"/>
    </row>
    <row r="939" spans="35:50">
      <c r="AI939" s="99"/>
      <c r="AM939" s="99"/>
      <c r="AO939" s="99"/>
      <c r="AR939" s="6"/>
      <c r="AS939" s="6"/>
      <c r="AT939" s="6"/>
      <c r="AU939" s="89"/>
      <c r="AV939" s="100"/>
      <c r="AW939" s="65"/>
      <c r="AX939" s="3"/>
    </row>
    <row r="940" spans="35:50">
      <c r="AI940" s="99"/>
      <c r="AM940" s="99"/>
      <c r="AO940" s="99"/>
      <c r="AR940" s="6"/>
      <c r="AS940" s="6"/>
      <c r="AT940" s="6"/>
      <c r="AU940" s="89"/>
      <c r="AV940" s="100"/>
      <c r="AW940" s="65"/>
      <c r="AX940" s="3"/>
    </row>
    <row r="941" spans="35:50">
      <c r="AI941" s="99"/>
      <c r="AM941" s="99"/>
      <c r="AO941" s="99"/>
      <c r="AR941" s="6"/>
      <c r="AS941" s="6"/>
      <c r="AT941" s="6"/>
      <c r="AU941" s="89"/>
      <c r="AV941" s="100"/>
      <c r="AW941" s="65"/>
      <c r="AX941" s="3"/>
    </row>
    <row r="942" spans="35:50">
      <c r="AI942" s="99"/>
      <c r="AM942" s="99"/>
      <c r="AO942" s="99"/>
      <c r="AR942" s="6"/>
      <c r="AS942" s="6"/>
      <c r="AT942" s="6"/>
      <c r="AU942" s="89"/>
      <c r="AV942" s="100"/>
      <c r="AW942" s="65"/>
      <c r="AX942" s="3"/>
    </row>
    <row r="943" spans="35:50">
      <c r="AI943" s="99"/>
      <c r="AM943" s="99"/>
      <c r="AO943" s="99"/>
      <c r="AR943" s="6"/>
      <c r="AS943" s="6"/>
      <c r="AT943" s="6"/>
      <c r="AU943" s="89"/>
      <c r="AV943" s="100"/>
      <c r="AW943" s="65"/>
      <c r="AX943" s="3"/>
    </row>
    <row r="944" spans="35:50">
      <c r="AI944" s="99"/>
      <c r="AM944" s="99"/>
      <c r="AO944" s="99"/>
      <c r="AR944" s="6"/>
      <c r="AS944" s="6"/>
      <c r="AT944" s="6"/>
      <c r="AU944" s="89"/>
      <c r="AV944" s="100"/>
      <c r="AW944" s="65"/>
      <c r="AX944" s="3"/>
    </row>
    <row r="945" spans="35:50">
      <c r="AI945" s="99"/>
      <c r="AM945" s="99"/>
      <c r="AO945" s="99"/>
      <c r="AR945" s="6"/>
      <c r="AS945" s="6"/>
      <c r="AT945" s="6"/>
      <c r="AU945" s="89"/>
      <c r="AV945" s="100"/>
      <c r="AW945" s="65"/>
      <c r="AX945" s="3"/>
    </row>
    <row r="946" spans="35:50">
      <c r="AI946" s="99"/>
      <c r="AM946" s="99"/>
      <c r="AO946" s="99"/>
      <c r="AR946" s="6"/>
      <c r="AS946" s="6"/>
      <c r="AT946" s="6"/>
      <c r="AU946" s="89"/>
      <c r="AV946" s="100"/>
      <c r="AW946" s="65"/>
      <c r="AX946" s="3"/>
    </row>
    <row r="947" spans="35:50">
      <c r="AI947" s="99"/>
      <c r="AM947" s="99"/>
      <c r="AO947" s="99"/>
      <c r="AR947" s="6"/>
      <c r="AS947" s="6"/>
      <c r="AT947" s="6"/>
      <c r="AU947" s="89"/>
      <c r="AV947" s="100"/>
      <c r="AW947" s="65"/>
      <c r="AX947" s="3"/>
    </row>
    <row r="948" spans="35:50">
      <c r="AI948" s="99"/>
      <c r="AM948" s="99"/>
      <c r="AO948" s="99"/>
      <c r="AR948" s="6"/>
      <c r="AS948" s="6"/>
      <c r="AT948" s="6"/>
      <c r="AU948" s="89"/>
      <c r="AV948" s="100"/>
      <c r="AW948" s="65"/>
      <c r="AX948" s="3"/>
    </row>
    <row r="949" spans="35:50">
      <c r="AI949" s="99"/>
      <c r="AM949" s="99"/>
      <c r="AO949" s="99"/>
      <c r="AR949" s="6"/>
      <c r="AS949" s="6"/>
      <c r="AT949" s="6"/>
      <c r="AU949" s="89"/>
      <c r="AV949" s="100"/>
      <c r="AW949" s="65"/>
      <c r="AX949" s="3"/>
    </row>
    <row r="950" spans="35:50">
      <c r="AI950" s="99"/>
      <c r="AM950" s="99"/>
      <c r="AO950" s="99"/>
      <c r="AR950" s="6"/>
      <c r="AS950" s="6"/>
      <c r="AT950" s="6"/>
      <c r="AU950" s="89"/>
      <c r="AV950" s="100"/>
      <c r="AW950" s="65"/>
      <c r="AX950" s="3"/>
    </row>
    <row r="951" spans="35:50">
      <c r="AI951" s="99"/>
      <c r="AM951" s="99"/>
      <c r="AO951" s="99"/>
      <c r="AR951" s="6"/>
      <c r="AS951" s="6"/>
      <c r="AT951" s="6"/>
      <c r="AU951" s="89"/>
      <c r="AV951" s="100"/>
      <c r="AW951" s="65"/>
      <c r="AX951" s="3"/>
    </row>
    <row r="952" spans="35:50">
      <c r="AI952" s="99"/>
      <c r="AM952" s="99"/>
      <c r="AO952" s="99"/>
      <c r="AR952" s="6"/>
      <c r="AS952" s="6"/>
      <c r="AT952" s="6"/>
      <c r="AU952" s="89"/>
      <c r="AV952" s="100"/>
      <c r="AW952" s="65"/>
      <c r="AX952" s="3"/>
    </row>
    <row r="953" spans="35:50">
      <c r="AI953" s="99"/>
      <c r="AM953" s="99"/>
      <c r="AO953" s="99"/>
      <c r="AR953" s="6"/>
      <c r="AS953" s="6"/>
      <c r="AT953" s="6"/>
      <c r="AU953" s="89"/>
      <c r="AV953" s="100"/>
      <c r="AW953" s="65"/>
      <c r="AX953" s="3"/>
    </row>
    <row r="954" spans="35:50">
      <c r="AI954" s="99"/>
      <c r="AM954" s="99"/>
      <c r="AO954" s="99"/>
      <c r="AR954" s="6"/>
      <c r="AS954" s="6"/>
      <c r="AT954" s="6"/>
      <c r="AU954" s="89"/>
      <c r="AV954" s="100"/>
      <c r="AW954" s="65"/>
      <c r="AX954" s="3"/>
    </row>
    <row r="955" spans="35:50">
      <c r="AI955" s="99"/>
      <c r="AM955" s="99"/>
      <c r="AO955" s="99"/>
      <c r="AR955" s="6"/>
      <c r="AS955" s="6"/>
      <c r="AT955" s="6"/>
      <c r="AU955" s="89"/>
      <c r="AV955" s="100"/>
      <c r="AW955" s="65"/>
      <c r="AX955" s="3"/>
    </row>
    <row r="956" spans="35:50">
      <c r="AI956" s="99"/>
      <c r="AM956" s="99"/>
      <c r="AO956" s="99"/>
      <c r="AR956" s="6"/>
      <c r="AS956" s="6"/>
      <c r="AT956" s="6"/>
      <c r="AU956" s="89"/>
      <c r="AV956" s="100"/>
      <c r="AW956" s="65"/>
      <c r="AX956" s="3"/>
    </row>
    <row r="957" spans="35:50">
      <c r="AI957" s="99"/>
      <c r="AM957" s="99"/>
      <c r="AO957" s="99"/>
      <c r="AR957" s="6"/>
      <c r="AS957" s="6"/>
      <c r="AT957" s="6"/>
      <c r="AU957" s="89"/>
      <c r="AV957" s="100"/>
      <c r="AW957" s="65"/>
      <c r="AX957" s="3"/>
    </row>
    <row r="958" spans="35:50">
      <c r="AI958" s="99"/>
      <c r="AM958" s="99"/>
      <c r="AO958" s="99"/>
      <c r="AR958" s="6"/>
      <c r="AS958" s="6"/>
      <c r="AT958" s="6"/>
      <c r="AU958" s="89"/>
      <c r="AV958" s="100"/>
      <c r="AW958" s="65"/>
      <c r="AX958" s="3"/>
    </row>
    <row r="959" spans="35:50">
      <c r="AI959" s="99"/>
      <c r="AM959" s="99"/>
      <c r="AO959" s="99"/>
      <c r="AR959" s="6"/>
      <c r="AS959" s="6"/>
      <c r="AT959" s="6"/>
      <c r="AU959" s="89"/>
      <c r="AV959" s="100"/>
      <c r="AW959" s="65"/>
      <c r="AX959" s="3"/>
    </row>
    <row r="960" spans="35:50">
      <c r="AI960" s="99"/>
      <c r="AM960" s="99"/>
      <c r="AO960" s="99"/>
      <c r="AR960" s="6"/>
      <c r="AS960" s="6"/>
      <c r="AT960" s="6"/>
      <c r="AU960" s="89"/>
      <c r="AV960" s="100"/>
      <c r="AW960" s="65"/>
      <c r="AX960" s="3"/>
    </row>
    <row r="961" spans="35:50">
      <c r="AI961" s="99"/>
      <c r="AM961" s="99"/>
      <c r="AO961" s="99"/>
      <c r="AR961" s="6"/>
      <c r="AS961" s="6"/>
      <c r="AT961" s="6"/>
      <c r="AU961" s="89"/>
      <c r="AV961" s="100"/>
      <c r="AW961" s="65"/>
      <c r="AX961" s="3"/>
    </row>
    <row r="962" spans="35:50">
      <c r="AI962" s="99"/>
      <c r="AM962" s="99"/>
      <c r="AO962" s="99"/>
      <c r="AR962" s="6"/>
      <c r="AS962" s="6"/>
      <c r="AT962" s="6"/>
      <c r="AU962" s="89"/>
      <c r="AV962" s="100"/>
      <c r="AW962" s="65"/>
      <c r="AX962" s="3"/>
    </row>
    <row r="963" spans="35:50">
      <c r="AI963" s="99"/>
      <c r="AM963" s="99"/>
      <c r="AO963" s="99"/>
      <c r="AR963" s="6"/>
      <c r="AS963" s="6"/>
      <c r="AT963" s="6"/>
      <c r="AU963" s="89"/>
      <c r="AV963" s="100"/>
      <c r="AW963" s="65"/>
      <c r="AX963" s="3"/>
    </row>
    <row r="964" spans="35:50">
      <c r="AI964" s="99"/>
      <c r="AM964" s="99"/>
      <c r="AO964" s="99"/>
      <c r="AR964" s="6"/>
      <c r="AS964" s="6"/>
      <c r="AT964" s="6"/>
      <c r="AU964" s="89"/>
      <c r="AV964" s="100"/>
      <c r="AW964" s="65"/>
      <c r="AX964" s="3"/>
    </row>
    <row r="965" spans="35:50">
      <c r="AI965" s="99"/>
      <c r="AM965" s="99"/>
      <c r="AO965" s="99"/>
      <c r="AR965" s="6"/>
      <c r="AS965" s="6"/>
      <c r="AT965" s="6"/>
      <c r="AU965" s="89"/>
      <c r="AV965" s="100"/>
      <c r="AW965" s="65"/>
      <c r="AX965" s="3"/>
    </row>
    <row r="966" spans="35:50">
      <c r="AI966" s="99"/>
      <c r="AM966" s="99"/>
      <c r="AO966" s="99"/>
      <c r="AR966" s="6"/>
      <c r="AS966" s="6"/>
      <c r="AT966" s="6"/>
      <c r="AU966" s="89"/>
      <c r="AV966" s="100"/>
      <c r="AW966" s="65"/>
      <c r="AX966" s="3"/>
    </row>
    <row r="967" spans="35:50">
      <c r="AI967" s="99"/>
      <c r="AM967" s="99"/>
      <c r="AO967" s="99"/>
      <c r="AR967" s="6"/>
      <c r="AS967" s="6"/>
      <c r="AT967" s="6"/>
      <c r="AU967" s="89"/>
      <c r="AV967" s="100"/>
      <c r="AW967" s="65"/>
      <c r="AX967" s="3"/>
    </row>
    <row r="968" spans="35:50">
      <c r="AI968" s="99"/>
      <c r="AM968" s="99"/>
      <c r="AO968" s="99"/>
      <c r="AR968" s="6"/>
      <c r="AS968" s="6"/>
      <c r="AT968" s="6"/>
      <c r="AU968" s="89"/>
      <c r="AV968" s="100"/>
      <c r="AW968" s="65"/>
      <c r="AX968" s="3"/>
    </row>
    <row r="969" spans="35:50">
      <c r="AI969" s="99"/>
      <c r="AM969" s="99"/>
      <c r="AO969" s="99"/>
      <c r="AR969" s="6"/>
      <c r="AS969" s="6"/>
      <c r="AT969" s="6"/>
      <c r="AU969" s="89"/>
      <c r="AV969" s="100"/>
      <c r="AW969" s="65"/>
      <c r="AX969" s="3"/>
    </row>
    <row r="970" spans="35:50">
      <c r="AI970" s="99"/>
      <c r="AM970" s="99"/>
      <c r="AO970" s="99"/>
      <c r="AR970" s="6"/>
      <c r="AS970" s="6"/>
      <c r="AT970" s="6"/>
      <c r="AU970" s="89"/>
      <c r="AV970" s="100"/>
      <c r="AW970" s="65"/>
      <c r="AX970" s="3"/>
    </row>
    <row r="971" spans="35:50">
      <c r="AI971" s="99"/>
      <c r="AM971" s="99"/>
      <c r="AO971" s="99"/>
      <c r="AR971" s="6"/>
      <c r="AS971" s="6"/>
      <c r="AT971" s="6"/>
      <c r="AU971" s="89"/>
      <c r="AV971" s="100"/>
      <c r="AW971" s="65"/>
      <c r="AX971" s="3"/>
    </row>
    <row r="972" spans="35:50">
      <c r="AI972" s="99"/>
      <c r="AM972" s="99"/>
      <c r="AO972" s="99"/>
      <c r="AR972" s="6"/>
      <c r="AS972" s="6"/>
      <c r="AT972" s="6"/>
      <c r="AU972" s="89"/>
      <c r="AV972" s="100"/>
      <c r="AW972" s="65"/>
      <c r="AX972" s="3"/>
    </row>
    <row r="973" spans="35:50">
      <c r="AI973" s="99"/>
      <c r="AM973" s="99"/>
      <c r="AO973" s="99"/>
      <c r="AR973" s="6"/>
      <c r="AS973" s="6"/>
      <c r="AT973" s="6"/>
      <c r="AU973" s="89"/>
      <c r="AV973" s="100"/>
      <c r="AW973" s="65"/>
      <c r="AX973" s="3"/>
    </row>
    <row r="974" spans="35:50">
      <c r="AI974" s="99"/>
      <c r="AM974" s="99"/>
      <c r="AO974" s="99"/>
      <c r="AR974" s="6"/>
      <c r="AS974" s="6"/>
      <c r="AT974" s="6"/>
      <c r="AU974" s="89"/>
      <c r="AV974" s="100"/>
      <c r="AW974" s="65"/>
      <c r="AX974" s="3"/>
    </row>
    <row r="975" spans="35:50">
      <c r="AI975" s="99"/>
      <c r="AM975" s="99"/>
      <c r="AO975" s="99"/>
      <c r="AR975" s="6"/>
      <c r="AS975" s="6"/>
      <c r="AT975" s="6"/>
      <c r="AU975" s="89"/>
      <c r="AV975" s="100"/>
      <c r="AW975" s="65"/>
      <c r="AX975" s="3"/>
    </row>
    <row r="976" spans="35:50">
      <c r="AI976" s="99"/>
      <c r="AM976" s="99"/>
      <c r="AO976" s="99"/>
      <c r="AR976" s="6"/>
      <c r="AS976" s="6"/>
      <c r="AT976" s="6"/>
      <c r="AU976" s="89"/>
      <c r="AV976" s="100"/>
      <c r="AW976" s="65"/>
      <c r="AX976" s="3"/>
    </row>
    <row r="977" spans="35:50">
      <c r="AI977" s="99"/>
      <c r="AM977" s="99"/>
      <c r="AO977" s="99"/>
      <c r="AR977" s="6"/>
      <c r="AS977" s="6"/>
      <c r="AT977" s="6"/>
      <c r="AU977" s="89"/>
      <c r="AV977" s="100"/>
      <c r="AW977" s="65"/>
      <c r="AX977" s="3"/>
    </row>
    <row r="978" spans="35:50">
      <c r="AI978" s="99"/>
      <c r="AM978" s="99"/>
      <c r="AO978" s="99"/>
      <c r="AR978" s="6"/>
      <c r="AS978" s="6"/>
      <c r="AT978" s="6"/>
      <c r="AU978" s="89"/>
      <c r="AV978" s="100"/>
      <c r="AW978" s="65"/>
      <c r="AX978" s="3"/>
    </row>
    <row r="979" spans="35:50">
      <c r="AI979" s="99"/>
      <c r="AM979" s="99"/>
      <c r="AO979" s="99"/>
      <c r="AR979" s="6"/>
      <c r="AS979" s="6"/>
      <c r="AT979" s="6"/>
      <c r="AU979" s="89"/>
      <c r="AV979" s="100"/>
      <c r="AW979" s="65"/>
      <c r="AX979" s="3"/>
    </row>
    <row r="980" spans="35:50">
      <c r="AI980" s="99"/>
      <c r="AM980" s="99"/>
      <c r="AO980" s="99"/>
      <c r="AR980" s="6"/>
      <c r="AS980" s="6"/>
      <c r="AT980" s="6"/>
      <c r="AU980" s="89"/>
      <c r="AV980" s="100"/>
      <c r="AW980" s="65"/>
      <c r="AX980" s="3"/>
    </row>
    <row r="981" spans="35:50">
      <c r="AI981" s="99"/>
      <c r="AM981" s="99"/>
      <c r="AO981" s="99"/>
      <c r="AR981" s="6"/>
      <c r="AS981" s="6"/>
      <c r="AT981" s="6"/>
      <c r="AU981" s="89"/>
      <c r="AV981" s="100"/>
      <c r="AW981" s="65"/>
      <c r="AX981" s="3"/>
    </row>
    <row r="982" spans="35:50">
      <c r="AI982" s="99"/>
      <c r="AM982" s="99"/>
      <c r="AO982" s="99"/>
      <c r="AR982" s="6"/>
      <c r="AS982" s="6"/>
      <c r="AT982" s="6"/>
      <c r="AU982" s="89"/>
      <c r="AV982" s="100"/>
      <c r="AW982" s="65"/>
      <c r="AX982" s="3"/>
    </row>
    <row r="983" spans="35:50">
      <c r="AI983" s="99"/>
      <c r="AM983" s="99"/>
      <c r="AO983" s="99"/>
      <c r="AR983" s="6"/>
      <c r="AS983" s="6"/>
      <c r="AT983" s="6"/>
      <c r="AU983" s="89"/>
      <c r="AV983" s="100"/>
      <c r="AW983" s="65"/>
      <c r="AX983" s="3"/>
    </row>
    <row r="984" spans="35:50">
      <c r="AI984" s="99"/>
      <c r="AM984" s="99"/>
      <c r="AO984" s="99"/>
      <c r="AR984" s="6"/>
      <c r="AS984" s="6"/>
      <c r="AT984" s="6"/>
      <c r="AU984" s="89"/>
      <c r="AV984" s="100"/>
      <c r="AW984" s="65"/>
      <c r="AX984" s="3"/>
    </row>
    <row r="985" spans="35:50">
      <c r="AI985" s="99"/>
      <c r="AM985" s="99"/>
      <c r="AO985" s="99"/>
      <c r="AR985" s="6"/>
      <c r="AS985" s="6"/>
      <c r="AT985" s="6"/>
      <c r="AU985" s="89"/>
      <c r="AV985" s="100"/>
      <c r="AW985" s="65"/>
      <c r="AX985" s="3"/>
    </row>
    <row r="986" spans="35:50">
      <c r="AI986" s="99"/>
      <c r="AM986" s="99"/>
      <c r="AO986" s="99"/>
      <c r="AR986" s="6"/>
      <c r="AS986" s="6"/>
      <c r="AT986" s="6"/>
      <c r="AU986" s="89"/>
      <c r="AV986" s="100"/>
      <c r="AW986" s="65"/>
      <c r="AX986" s="3"/>
    </row>
    <row r="987" spans="35:50">
      <c r="AI987" s="99"/>
      <c r="AM987" s="99"/>
      <c r="AO987" s="99"/>
      <c r="AR987" s="6"/>
      <c r="AS987" s="6"/>
      <c r="AT987" s="6"/>
      <c r="AU987" s="89"/>
      <c r="AV987" s="100"/>
      <c r="AW987" s="65"/>
      <c r="AX987" s="3"/>
    </row>
    <row r="988" spans="35:50">
      <c r="AI988" s="99"/>
      <c r="AM988" s="99"/>
      <c r="AO988" s="99"/>
      <c r="AR988" s="6"/>
      <c r="AS988" s="6"/>
      <c r="AT988" s="6"/>
      <c r="AU988" s="89"/>
      <c r="AV988" s="100"/>
      <c r="AW988" s="65"/>
      <c r="AX988" s="3"/>
    </row>
    <row r="989" spans="35:50">
      <c r="AI989" s="99"/>
      <c r="AM989" s="99"/>
      <c r="AO989" s="99"/>
      <c r="AR989" s="6"/>
      <c r="AS989" s="6"/>
      <c r="AT989" s="6"/>
      <c r="AU989" s="89"/>
      <c r="AV989" s="100"/>
      <c r="AW989" s="65"/>
      <c r="AX989" s="3"/>
    </row>
    <row r="990" spans="35:50">
      <c r="AI990" s="99"/>
      <c r="AM990" s="99"/>
      <c r="AO990" s="99"/>
      <c r="AR990" s="6"/>
      <c r="AS990" s="6"/>
      <c r="AT990" s="6"/>
      <c r="AU990" s="89"/>
      <c r="AV990" s="100"/>
      <c r="AW990" s="65"/>
      <c r="AX990" s="3"/>
    </row>
    <row r="991" spans="35:50">
      <c r="AI991" s="99"/>
      <c r="AM991" s="99"/>
      <c r="AO991" s="99"/>
      <c r="AR991" s="6"/>
      <c r="AS991" s="6"/>
      <c r="AT991" s="6"/>
      <c r="AU991" s="89"/>
      <c r="AV991" s="100"/>
      <c r="AW991" s="65"/>
      <c r="AX991" s="3"/>
    </row>
    <row r="992" spans="35:50">
      <c r="AI992" s="99"/>
      <c r="AM992" s="99"/>
      <c r="AO992" s="99"/>
      <c r="AR992" s="6"/>
      <c r="AS992" s="6"/>
      <c r="AT992" s="6"/>
      <c r="AU992" s="89"/>
      <c r="AV992" s="100"/>
      <c r="AW992" s="65"/>
      <c r="AX992" s="3"/>
    </row>
    <row r="993" spans="35:50">
      <c r="AI993" s="99"/>
      <c r="AM993" s="99"/>
      <c r="AO993" s="99"/>
      <c r="AR993" s="6"/>
      <c r="AS993" s="6"/>
      <c r="AT993" s="6"/>
      <c r="AU993" s="89"/>
      <c r="AV993" s="100"/>
      <c r="AW993" s="65"/>
      <c r="AX993" s="3"/>
    </row>
    <row r="994" spans="35:50">
      <c r="AI994" s="99"/>
      <c r="AM994" s="99"/>
      <c r="AO994" s="99"/>
      <c r="AR994" s="6"/>
      <c r="AS994" s="6"/>
      <c r="AT994" s="6"/>
      <c r="AU994" s="89"/>
      <c r="AV994" s="100"/>
      <c r="AW994" s="65"/>
      <c r="AX994" s="3"/>
    </row>
    <row r="995" spans="35:50">
      <c r="AI995" s="99"/>
      <c r="AM995" s="99"/>
      <c r="AO995" s="99"/>
      <c r="AR995" s="6"/>
      <c r="AS995" s="6"/>
      <c r="AT995" s="6"/>
      <c r="AU995" s="89"/>
      <c r="AV995" s="100"/>
      <c r="AW995" s="65"/>
      <c r="AX995" s="3"/>
    </row>
    <row r="996" spans="35:50">
      <c r="AI996" s="99"/>
      <c r="AM996" s="99"/>
      <c r="AO996" s="99"/>
      <c r="AR996" s="6"/>
      <c r="AS996" s="6"/>
      <c r="AT996" s="6"/>
      <c r="AU996" s="89"/>
      <c r="AV996" s="100"/>
      <c r="AW996" s="65"/>
      <c r="AX996" s="3"/>
    </row>
    <row r="997" spans="35:50">
      <c r="AI997" s="99"/>
      <c r="AM997" s="99"/>
      <c r="AO997" s="99"/>
      <c r="AR997" s="6"/>
      <c r="AS997" s="6"/>
      <c r="AT997" s="6"/>
      <c r="AU997" s="89"/>
      <c r="AV997" s="100"/>
      <c r="AW997" s="65"/>
      <c r="AX997" s="3"/>
    </row>
    <row r="998" spans="35:50">
      <c r="AI998" s="99"/>
      <c r="AM998" s="99"/>
      <c r="AO998" s="99"/>
      <c r="AR998" s="6"/>
      <c r="AS998" s="6"/>
      <c r="AT998" s="6"/>
      <c r="AU998" s="89"/>
      <c r="AV998" s="100"/>
      <c r="AW998" s="65"/>
      <c r="AX998" s="3"/>
    </row>
    <row r="999" spans="35:50">
      <c r="AI999" s="99"/>
      <c r="AM999" s="99"/>
      <c r="AO999" s="99"/>
      <c r="AR999" s="6"/>
      <c r="AS999" s="6"/>
      <c r="AT999" s="6"/>
      <c r="AU999" s="89"/>
      <c r="AV999" s="100"/>
      <c r="AW999" s="65"/>
      <c r="AX999" s="3"/>
    </row>
    <row r="1000" spans="35:50">
      <c r="AI1000" s="99"/>
      <c r="AM1000" s="99"/>
      <c r="AO1000" s="99"/>
      <c r="AR1000" s="6"/>
      <c r="AS1000" s="6"/>
      <c r="AT1000" s="6"/>
      <c r="AU1000" s="89"/>
      <c r="AV1000" s="100"/>
      <c r="AW1000" s="65"/>
      <c r="AX1000" s="3"/>
    </row>
    <row r="1001" spans="35:50">
      <c r="AI1001" s="99"/>
      <c r="AM1001" s="99"/>
      <c r="AO1001" s="99"/>
      <c r="AR1001" s="6"/>
      <c r="AS1001" s="6"/>
      <c r="AT1001" s="6"/>
      <c r="AU1001" s="89"/>
      <c r="AV1001" s="100"/>
      <c r="AW1001" s="65"/>
      <c r="AX1001" s="3"/>
    </row>
    <row r="1002" spans="35:50">
      <c r="AI1002" s="99"/>
      <c r="AM1002" s="99"/>
      <c r="AO1002" s="99"/>
      <c r="AR1002" s="6"/>
      <c r="AS1002" s="6"/>
      <c r="AT1002" s="6"/>
      <c r="AU1002" s="89"/>
      <c r="AV1002" s="100"/>
      <c r="AW1002" s="65"/>
      <c r="AX1002" s="3"/>
    </row>
    <row r="1003" spans="35:50">
      <c r="AI1003" s="99"/>
      <c r="AM1003" s="99"/>
      <c r="AO1003" s="99"/>
      <c r="AR1003" s="6"/>
      <c r="AS1003" s="6"/>
      <c r="AT1003" s="6"/>
      <c r="AU1003" s="89"/>
      <c r="AV1003" s="100"/>
      <c r="AW1003" s="65"/>
      <c r="AX1003" s="3"/>
    </row>
    <row r="1004" spans="35:50">
      <c r="AI1004" s="99"/>
      <c r="AM1004" s="99"/>
      <c r="AO1004" s="99"/>
      <c r="AR1004" s="6"/>
      <c r="AS1004" s="6"/>
      <c r="AT1004" s="6"/>
      <c r="AU1004" s="89"/>
      <c r="AV1004" s="100"/>
      <c r="AW1004" s="65"/>
      <c r="AX1004" s="3"/>
    </row>
    <row r="1005" spans="35:50">
      <c r="AI1005" s="99"/>
      <c r="AM1005" s="99"/>
      <c r="AO1005" s="99"/>
      <c r="AR1005" s="6"/>
      <c r="AS1005" s="6"/>
      <c r="AT1005" s="6"/>
      <c r="AU1005" s="89"/>
      <c r="AV1005" s="100"/>
      <c r="AW1005" s="65"/>
      <c r="AX1005" s="3"/>
    </row>
    <row r="1006" spans="35:50">
      <c r="AI1006" s="99"/>
      <c r="AM1006" s="99"/>
      <c r="AO1006" s="99"/>
      <c r="AR1006" s="6"/>
      <c r="AS1006" s="6"/>
      <c r="AT1006" s="6"/>
      <c r="AU1006" s="89"/>
      <c r="AV1006" s="100"/>
      <c r="AW1006" s="65"/>
      <c r="AX1006" s="3"/>
    </row>
    <row r="1007" spans="35:50">
      <c r="AI1007" s="99"/>
      <c r="AM1007" s="99"/>
      <c r="AO1007" s="99"/>
      <c r="AR1007" s="6"/>
      <c r="AS1007" s="6"/>
      <c r="AT1007" s="6"/>
      <c r="AU1007" s="89"/>
      <c r="AV1007" s="100"/>
      <c r="AW1007" s="65"/>
      <c r="AX1007" s="3"/>
    </row>
    <row r="1008" spans="35:50">
      <c r="AI1008" s="99"/>
      <c r="AM1008" s="99"/>
      <c r="AO1008" s="99"/>
      <c r="AR1008" s="6"/>
      <c r="AS1008" s="6"/>
      <c r="AT1008" s="6"/>
      <c r="AU1008" s="89"/>
      <c r="AV1008" s="100"/>
      <c r="AW1008" s="65"/>
      <c r="AX1008" s="3"/>
    </row>
    <row r="1009" spans="35:50">
      <c r="AI1009" s="99"/>
      <c r="AM1009" s="99"/>
      <c r="AO1009" s="99"/>
      <c r="AR1009" s="6"/>
      <c r="AS1009" s="6"/>
      <c r="AT1009" s="6"/>
      <c r="AU1009" s="89"/>
      <c r="AV1009" s="100"/>
      <c r="AW1009" s="65"/>
      <c r="AX1009" s="3"/>
    </row>
    <row r="1010" spans="35:50">
      <c r="AI1010" s="99"/>
      <c r="AM1010" s="99"/>
      <c r="AO1010" s="99"/>
      <c r="AR1010" s="6"/>
      <c r="AS1010" s="6"/>
      <c r="AT1010" s="6"/>
      <c r="AU1010" s="89"/>
      <c r="AV1010" s="100"/>
      <c r="AW1010" s="65"/>
      <c r="AX1010" s="3"/>
    </row>
    <row r="1011" spans="35:50">
      <c r="AI1011" s="99"/>
      <c r="AM1011" s="99"/>
      <c r="AO1011" s="99"/>
      <c r="AR1011" s="6"/>
      <c r="AS1011" s="6"/>
      <c r="AT1011" s="6"/>
      <c r="AU1011" s="89"/>
      <c r="AV1011" s="100"/>
      <c r="AW1011" s="65"/>
      <c r="AX1011" s="3"/>
    </row>
    <row r="1012" spans="35:50">
      <c r="AI1012" s="99"/>
      <c r="AM1012" s="99"/>
      <c r="AO1012" s="99"/>
      <c r="AR1012" s="6"/>
      <c r="AS1012" s="6"/>
      <c r="AT1012" s="6"/>
      <c r="AU1012" s="89"/>
      <c r="AV1012" s="100"/>
      <c r="AW1012" s="65"/>
      <c r="AX1012" s="3"/>
    </row>
    <row r="1013" spans="35:50">
      <c r="AI1013" s="99"/>
      <c r="AM1013" s="99"/>
      <c r="AO1013" s="99"/>
      <c r="AR1013" s="6"/>
      <c r="AS1013" s="6"/>
      <c r="AT1013" s="6"/>
      <c r="AU1013" s="89"/>
      <c r="AV1013" s="100"/>
      <c r="AW1013" s="65"/>
      <c r="AX1013" s="3"/>
    </row>
    <row r="1014" spans="35:50">
      <c r="AI1014" s="99"/>
      <c r="AM1014" s="99"/>
      <c r="AO1014" s="99"/>
      <c r="AR1014" s="6"/>
      <c r="AS1014" s="6"/>
      <c r="AT1014" s="6"/>
      <c r="AU1014" s="89"/>
      <c r="AV1014" s="100"/>
      <c r="AW1014" s="65"/>
      <c r="AX1014" s="3"/>
    </row>
    <row r="1015" spans="35:50">
      <c r="AI1015" s="99"/>
      <c r="AM1015" s="99"/>
      <c r="AO1015" s="99"/>
      <c r="AR1015" s="6"/>
      <c r="AS1015" s="6"/>
      <c r="AT1015" s="6"/>
      <c r="AU1015" s="89"/>
      <c r="AV1015" s="100"/>
      <c r="AW1015" s="65"/>
      <c r="AX1015" s="3"/>
    </row>
    <row r="1016" spans="35:50">
      <c r="AI1016" s="99"/>
      <c r="AM1016" s="99"/>
      <c r="AO1016" s="99"/>
      <c r="AR1016" s="6"/>
      <c r="AS1016" s="6"/>
      <c r="AT1016" s="6"/>
      <c r="AU1016" s="89"/>
      <c r="AV1016" s="100"/>
      <c r="AW1016" s="65"/>
      <c r="AX1016" s="3"/>
    </row>
    <row r="1017" spans="35:50">
      <c r="AI1017" s="99"/>
      <c r="AM1017" s="99"/>
      <c r="AO1017" s="99"/>
      <c r="AR1017" s="6"/>
      <c r="AS1017" s="6"/>
      <c r="AT1017" s="6"/>
      <c r="AU1017" s="89"/>
      <c r="AV1017" s="100"/>
      <c r="AW1017" s="65"/>
      <c r="AX1017" s="3"/>
    </row>
    <row r="1018" spans="35:50">
      <c r="AI1018" s="99"/>
      <c r="AM1018" s="99"/>
      <c r="AO1018" s="99"/>
      <c r="AR1018" s="6"/>
      <c r="AS1018" s="6"/>
      <c r="AT1018" s="6"/>
      <c r="AU1018" s="89"/>
      <c r="AV1018" s="100"/>
      <c r="AW1018" s="65"/>
      <c r="AX1018" s="3"/>
    </row>
    <row r="1019" spans="35:50">
      <c r="AI1019" s="99"/>
      <c r="AM1019" s="99"/>
      <c r="AO1019" s="99"/>
      <c r="AR1019" s="6"/>
      <c r="AS1019" s="6"/>
      <c r="AT1019" s="6"/>
      <c r="AU1019" s="89"/>
      <c r="AV1019" s="100"/>
      <c r="AW1019" s="65"/>
      <c r="AX1019" s="3"/>
    </row>
    <row r="1020" spans="35:50">
      <c r="AI1020" s="99"/>
      <c r="AM1020" s="99"/>
      <c r="AO1020" s="99"/>
      <c r="AR1020" s="6"/>
      <c r="AS1020" s="6"/>
      <c r="AT1020" s="6"/>
      <c r="AU1020" s="89"/>
      <c r="AV1020" s="100"/>
      <c r="AW1020" s="65"/>
      <c r="AX1020" s="3"/>
    </row>
    <row r="1021" spans="35:50">
      <c r="AI1021" s="99"/>
      <c r="AM1021" s="99"/>
      <c r="AO1021" s="99"/>
      <c r="AR1021" s="6"/>
      <c r="AS1021" s="6"/>
      <c r="AT1021" s="6"/>
      <c r="AU1021" s="89"/>
      <c r="AV1021" s="100"/>
      <c r="AW1021" s="65"/>
      <c r="AX1021" s="3"/>
    </row>
    <row r="1022" spans="35:50">
      <c r="AI1022" s="99"/>
      <c r="AM1022" s="99"/>
      <c r="AO1022" s="99"/>
      <c r="AR1022" s="6"/>
      <c r="AS1022" s="6"/>
      <c r="AT1022" s="6"/>
      <c r="AU1022" s="89"/>
      <c r="AV1022" s="100"/>
      <c r="AW1022" s="65"/>
      <c r="AX1022" s="3"/>
    </row>
    <row r="1023" spans="35:50">
      <c r="AI1023" s="99"/>
      <c r="AM1023" s="99"/>
      <c r="AO1023" s="99"/>
      <c r="AR1023" s="6"/>
      <c r="AS1023" s="6"/>
      <c r="AT1023" s="6"/>
      <c r="AU1023" s="89"/>
      <c r="AV1023" s="100"/>
      <c r="AW1023" s="65"/>
      <c r="AX1023" s="3"/>
    </row>
    <row r="1024" spans="35:50">
      <c r="AI1024" s="99"/>
      <c r="AM1024" s="99"/>
      <c r="AO1024" s="99"/>
      <c r="AR1024" s="6"/>
      <c r="AS1024" s="6"/>
      <c r="AT1024" s="6"/>
      <c r="AU1024" s="89"/>
      <c r="AV1024" s="100"/>
      <c r="AW1024" s="65"/>
      <c r="AX1024" s="3"/>
    </row>
    <row r="1025" spans="35:50">
      <c r="AI1025" s="99"/>
      <c r="AM1025" s="99"/>
      <c r="AO1025" s="99"/>
      <c r="AR1025" s="6"/>
      <c r="AS1025" s="6"/>
      <c r="AT1025" s="6"/>
      <c r="AU1025" s="89"/>
      <c r="AV1025" s="100"/>
      <c r="AW1025" s="65"/>
      <c r="AX1025" s="3"/>
    </row>
    <row r="1026" spans="35:50">
      <c r="AI1026" s="99"/>
      <c r="AM1026" s="99"/>
      <c r="AO1026" s="99"/>
      <c r="AR1026" s="6"/>
      <c r="AS1026" s="6"/>
      <c r="AT1026" s="6"/>
      <c r="AU1026" s="89"/>
      <c r="AV1026" s="100"/>
      <c r="AW1026" s="65"/>
      <c r="AX1026" s="3"/>
    </row>
    <row r="1027" spans="35:50">
      <c r="AI1027" s="99"/>
      <c r="AM1027" s="99"/>
      <c r="AO1027" s="99"/>
      <c r="AR1027" s="6"/>
      <c r="AS1027" s="6"/>
      <c r="AT1027" s="6"/>
      <c r="AU1027" s="89"/>
      <c r="AV1027" s="100"/>
      <c r="AW1027" s="65"/>
      <c r="AX1027" s="3"/>
    </row>
    <row r="1028" spans="35:50">
      <c r="AI1028" s="99"/>
      <c r="AM1028" s="99"/>
      <c r="AO1028" s="99"/>
      <c r="AR1028" s="6"/>
      <c r="AS1028" s="6"/>
      <c r="AT1028" s="6"/>
      <c r="AU1028" s="89"/>
      <c r="AV1028" s="100"/>
      <c r="AW1028" s="65"/>
      <c r="AX1028" s="3"/>
    </row>
    <row r="1029" spans="35:50">
      <c r="AI1029" s="99"/>
      <c r="AM1029" s="99"/>
      <c r="AO1029" s="99"/>
      <c r="AR1029" s="6"/>
      <c r="AS1029" s="6"/>
      <c r="AT1029" s="6"/>
      <c r="AU1029" s="89"/>
      <c r="AV1029" s="100"/>
      <c r="AW1029" s="65"/>
      <c r="AX1029" s="3"/>
    </row>
    <row r="1030" spans="35:50">
      <c r="AI1030" s="99"/>
      <c r="AM1030" s="99"/>
      <c r="AO1030" s="99"/>
      <c r="AR1030" s="6"/>
      <c r="AS1030" s="6"/>
      <c r="AT1030" s="6"/>
      <c r="AU1030" s="89"/>
      <c r="AV1030" s="100"/>
      <c r="AW1030" s="65"/>
      <c r="AX1030" s="3"/>
    </row>
    <row r="1031" spans="35:50">
      <c r="AI1031" s="99"/>
      <c r="AM1031" s="99"/>
      <c r="AO1031" s="99"/>
      <c r="AR1031" s="6"/>
      <c r="AS1031" s="6"/>
      <c r="AT1031" s="6"/>
      <c r="AU1031" s="89"/>
      <c r="AV1031" s="100"/>
      <c r="AW1031" s="65"/>
      <c r="AX1031" s="3"/>
    </row>
    <row r="1032" spans="35:50">
      <c r="AI1032" s="99"/>
      <c r="AM1032" s="99"/>
      <c r="AO1032" s="99"/>
      <c r="AR1032" s="6"/>
      <c r="AS1032" s="6"/>
      <c r="AT1032" s="6"/>
      <c r="AU1032" s="89"/>
      <c r="AV1032" s="100"/>
      <c r="AW1032" s="65"/>
      <c r="AX1032" s="3"/>
    </row>
    <row r="1033" spans="35:50">
      <c r="AI1033" s="99"/>
      <c r="AM1033" s="99"/>
      <c r="AO1033" s="99"/>
      <c r="AR1033" s="6"/>
      <c r="AS1033" s="6"/>
      <c r="AT1033" s="6"/>
      <c r="AU1033" s="89"/>
      <c r="AV1033" s="100"/>
      <c r="AW1033" s="65"/>
      <c r="AX1033" s="3"/>
    </row>
    <row r="1034" spans="35:50">
      <c r="AI1034" s="99"/>
      <c r="AM1034" s="99"/>
      <c r="AO1034" s="99"/>
      <c r="AR1034" s="6"/>
      <c r="AS1034" s="6"/>
      <c r="AT1034" s="6"/>
      <c r="AU1034" s="89"/>
      <c r="AV1034" s="100"/>
      <c r="AW1034" s="65"/>
      <c r="AX1034" s="3"/>
    </row>
    <row r="1035" spans="35:50">
      <c r="AI1035" s="99"/>
      <c r="AM1035" s="99"/>
      <c r="AO1035" s="99"/>
      <c r="AR1035" s="6"/>
      <c r="AS1035" s="6"/>
      <c r="AT1035" s="6"/>
      <c r="AU1035" s="89"/>
      <c r="AV1035" s="100"/>
      <c r="AW1035" s="65"/>
      <c r="AX1035" s="3"/>
    </row>
    <row r="1036" spans="35:50">
      <c r="AI1036" s="99"/>
      <c r="AM1036" s="99"/>
      <c r="AO1036" s="99"/>
      <c r="AR1036" s="6"/>
      <c r="AS1036" s="6"/>
      <c r="AT1036" s="6"/>
      <c r="AU1036" s="89"/>
      <c r="AV1036" s="100"/>
      <c r="AW1036" s="65"/>
      <c r="AX1036" s="3"/>
    </row>
    <row r="1037" spans="35:50">
      <c r="AI1037" s="99"/>
      <c r="AM1037" s="99"/>
      <c r="AO1037" s="99"/>
      <c r="AR1037" s="6"/>
      <c r="AS1037" s="6"/>
      <c r="AT1037" s="6"/>
      <c r="AU1037" s="89"/>
      <c r="AV1037" s="100"/>
      <c r="AW1037" s="65"/>
      <c r="AX1037" s="3"/>
    </row>
    <row r="1038" spans="35:50">
      <c r="AI1038" s="99"/>
      <c r="AM1038" s="99"/>
      <c r="AO1038" s="99"/>
      <c r="AR1038" s="6"/>
      <c r="AS1038" s="6"/>
      <c r="AT1038" s="6"/>
      <c r="AU1038" s="89"/>
      <c r="AV1038" s="100"/>
      <c r="AW1038" s="65"/>
      <c r="AX1038" s="3"/>
    </row>
    <row r="1039" spans="35:50">
      <c r="AI1039" s="99"/>
      <c r="AM1039" s="99"/>
      <c r="AO1039" s="99"/>
      <c r="AR1039" s="6"/>
      <c r="AS1039" s="6"/>
      <c r="AT1039" s="6"/>
      <c r="AU1039" s="89"/>
      <c r="AV1039" s="100"/>
      <c r="AW1039" s="65"/>
      <c r="AX1039" s="3"/>
    </row>
    <row r="1040" spans="35:50">
      <c r="AI1040" s="99"/>
      <c r="AM1040" s="99"/>
      <c r="AO1040" s="99"/>
      <c r="AR1040" s="6"/>
      <c r="AS1040" s="6"/>
      <c r="AT1040" s="6"/>
      <c r="AU1040" s="89"/>
      <c r="AV1040" s="100"/>
      <c r="AW1040" s="65"/>
      <c r="AX1040" s="3"/>
    </row>
    <row r="1041" spans="35:50">
      <c r="AI1041" s="99"/>
      <c r="AM1041" s="99"/>
      <c r="AO1041" s="99"/>
      <c r="AR1041" s="6"/>
      <c r="AS1041" s="6"/>
      <c r="AT1041" s="6"/>
      <c r="AU1041" s="89"/>
      <c r="AV1041" s="100"/>
      <c r="AW1041" s="65"/>
      <c r="AX1041" s="3"/>
    </row>
    <row r="1042" spans="35:50">
      <c r="AI1042" s="99"/>
      <c r="AM1042" s="99"/>
      <c r="AO1042" s="99"/>
      <c r="AR1042" s="6"/>
      <c r="AS1042" s="6"/>
      <c r="AT1042" s="6"/>
      <c r="AU1042" s="89"/>
      <c r="AV1042" s="100"/>
      <c r="AW1042" s="65"/>
      <c r="AX1042" s="3"/>
    </row>
    <row r="1043" spans="35:50">
      <c r="AI1043" s="99"/>
      <c r="AM1043" s="99"/>
      <c r="AO1043" s="99"/>
      <c r="AR1043" s="6"/>
      <c r="AS1043" s="6"/>
      <c r="AT1043" s="6"/>
      <c r="AU1043" s="89"/>
      <c r="AV1043" s="100"/>
      <c r="AW1043" s="65"/>
      <c r="AX1043" s="3"/>
    </row>
    <row r="1044" spans="35:50">
      <c r="AI1044" s="99"/>
      <c r="AM1044" s="99"/>
      <c r="AO1044" s="99"/>
      <c r="AR1044" s="6"/>
      <c r="AS1044" s="6"/>
      <c r="AT1044" s="6"/>
      <c r="AU1044" s="89"/>
      <c r="AV1044" s="100"/>
      <c r="AW1044" s="65"/>
      <c r="AX1044" s="3"/>
    </row>
    <row r="1045" spans="35:50">
      <c r="AI1045" s="99"/>
      <c r="AM1045" s="99"/>
      <c r="AO1045" s="99"/>
      <c r="AR1045" s="6"/>
      <c r="AS1045" s="6"/>
      <c r="AT1045" s="6"/>
      <c r="AU1045" s="89"/>
      <c r="AV1045" s="100"/>
      <c r="AW1045" s="65"/>
      <c r="AX1045" s="3"/>
    </row>
    <row r="1046" spans="35:50">
      <c r="AI1046" s="99"/>
      <c r="AM1046" s="99"/>
      <c r="AO1046" s="99"/>
      <c r="AR1046" s="6"/>
      <c r="AS1046" s="6"/>
      <c r="AT1046" s="6"/>
      <c r="AU1046" s="89"/>
      <c r="AV1046" s="100"/>
      <c r="AW1046" s="65"/>
      <c r="AX1046" s="3"/>
    </row>
    <row r="1047" spans="35:50">
      <c r="AI1047" s="99"/>
      <c r="AM1047" s="99"/>
      <c r="AO1047" s="99"/>
      <c r="AR1047" s="6"/>
      <c r="AS1047" s="6"/>
      <c r="AT1047" s="6"/>
      <c r="AU1047" s="89"/>
      <c r="AV1047" s="100"/>
      <c r="AW1047" s="65"/>
      <c r="AX1047" s="3"/>
    </row>
    <row r="1048" spans="35:50">
      <c r="AI1048" s="99"/>
      <c r="AM1048" s="99"/>
      <c r="AO1048" s="99"/>
      <c r="AR1048" s="6"/>
      <c r="AS1048" s="6"/>
      <c r="AT1048" s="6"/>
      <c r="AU1048" s="89"/>
      <c r="AV1048" s="100"/>
      <c r="AW1048" s="65"/>
      <c r="AX1048" s="3"/>
    </row>
    <row r="1049" spans="35:50">
      <c r="AI1049" s="99"/>
      <c r="AM1049" s="99"/>
      <c r="AO1049" s="99"/>
      <c r="AR1049" s="6"/>
      <c r="AS1049" s="6"/>
      <c r="AT1049" s="6"/>
      <c r="AU1049" s="89"/>
      <c r="AV1049" s="100"/>
      <c r="AW1049" s="65"/>
      <c r="AX1049" s="3"/>
    </row>
    <row r="1050" spans="35:50">
      <c r="AI1050" s="99"/>
      <c r="AM1050" s="99"/>
      <c r="AO1050" s="99"/>
      <c r="AR1050" s="6"/>
      <c r="AS1050" s="6"/>
      <c r="AT1050" s="6"/>
      <c r="AU1050" s="89"/>
      <c r="AV1050" s="100"/>
      <c r="AW1050" s="65"/>
      <c r="AX1050" s="3"/>
    </row>
    <row r="1051" spans="35:50">
      <c r="AI1051" s="99"/>
      <c r="AM1051" s="99"/>
      <c r="AO1051" s="99"/>
      <c r="AR1051" s="6"/>
      <c r="AS1051" s="6"/>
      <c r="AT1051" s="6"/>
      <c r="AU1051" s="89"/>
      <c r="AV1051" s="100"/>
      <c r="AW1051" s="65"/>
      <c r="AX1051" s="3"/>
    </row>
    <row r="1052" spans="35:50">
      <c r="AI1052" s="99"/>
      <c r="AM1052" s="99"/>
      <c r="AO1052" s="99"/>
      <c r="AR1052" s="6"/>
      <c r="AS1052" s="6"/>
      <c r="AT1052" s="6"/>
      <c r="AU1052" s="89"/>
      <c r="AV1052" s="100"/>
      <c r="AW1052" s="65"/>
      <c r="AX1052" s="3"/>
    </row>
    <row r="1053" spans="35:50">
      <c r="AI1053" s="99"/>
      <c r="AM1053" s="99"/>
      <c r="AO1053" s="99"/>
      <c r="AR1053" s="6"/>
      <c r="AS1053" s="6"/>
      <c r="AT1053" s="6"/>
      <c r="AU1053" s="89"/>
      <c r="AV1053" s="100"/>
      <c r="AW1053" s="65"/>
      <c r="AX1053" s="3"/>
    </row>
    <row r="1054" spans="35:50">
      <c r="AI1054" s="99"/>
      <c r="AM1054" s="99"/>
      <c r="AO1054" s="99"/>
      <c r="AR1054" s="6"/>
      <c r="AS1054" s="6"/>
      <c r="AT1054" s="6"/>
      <c r="AU1054" s="89"/>
      <c r="AV1054" s="100"/>
      <c r="AW1054" s="65"/>
      <c r="AX1054" s="3"/>
    </row>
    <row r="1055" spans="35:50">
      <c r="AI1055" s="99"/>
      <c r="AM1055" s="99"/>
      <c r="AO1055" s="99"/>
      <c r="AR1055" s="6"/>
      <c r="AS1055" s="6"/>
      <c r="AT1055" s="6"/>
      <c r="AU1055" s="89"/>
      <c r="AV1055" s="100"/>
      <c r="AW1055" s="65"/>
      <c r="AX1055" s="3"/>
    </row>
    <row r="1056" spans="35:50">
      <c r="AI1056" s="99"/>
      <c r="AM1056" s="99"/>
      <c r="AO1056" s="99"/>
      <c r="AR1056" s="6"/>
      <c r="AS1056" s="6"/>
      <c r="AT1056" s="6"/>
      <c r="AU1056" s="89"/>
      <c r="AV1056" s="100"/>
      <c r="AW1056" s="65"/>
      <c r="AX1056" s="3"/>
    </row>
    <row r="1057" spans="35:50">
      <c r="AI1057" s="99"/>
      <c r="AM1057" s="99"/>
      <c r="AO1057" s="99"/>
      <c r="AR1057" s="6"/>
      <c r="AS1057" s="6"/>
      <c r="AT1057" s="6"/>
      <c r="AU1057" s="89"/>
      <c r="AV1057" s="100"/>
      <c r="AW1057" s="65"/>
      <c r="AX1057" s="3"/>
    </row>
    <row r="1058" spans="35:50">
      <c r="AI1058" s="99"/>
      <c r="AM1058" s="99"/>
      <c r="AO1058" s="99"/>
      <c r="AR1058" s="6"/>
      <c r="AS1058" s="6"/>
      <c r="AT1058" s="6"/>
      <c r="AU1058" s="89"/>
      <c r="AV1058" s="100"/>
      <c r="AW1058" s="65"/>
      <c r="AX1058" s="3"/>
    </row>
    <row r="1059" spans="35:50">
      <c r="AI1059" s="99"/>
      <c r="AM1059" s="99"/>
      <c r="AO1059" s="99"/>
      <c r="AR1059" s="6"/>
      <c r="AS1059" s="6"/>
      <c r="AT1059" s="6"/>
      <c r="AU1059" s="89"/>
      <c r="AV1059" s="100"/>
      <c r="AW1059" s="65"/>
      <c r="AX1059" s="3"/>
    </row>
    <row r="1060" spans="35:50">
      <c r="AI1060" s="99"/>
      <c r="AM1060" s="99"/>
      <c r="AO1060" s="99"/>
      <c r="AR1060" s="6"/>
      <c r="AS1060" s="6"/>
      <c r="AT1060" s="6"/>
      <c r="AU1060" s="89"/>
      <c r="AV1060" s="100"/>
      <c r="AW1060" s="65"/>
      <c r="AX1060" s="3"/>
    </row>
    <row r="1061" spans="35:50">
      <c r="AI1061" s="99"/>
      <c r="AM1061" s="99"/>
      <c r="AO1061" s="99"/>
      <c r="AR1061" s="6"/>
      <c r="AS1061" s="6"/>
      <c r="AT1061" s="6"/>
      <c r="AU1061" s="89"/>
      <c r="AV1061" s="100"/>
      <c r="AW1061" s="65"/>
      <c r="AX1061" s="3"/>
    </row>
    <row r="1062" spans="35:50">
      <c r="AI1062" s="99"/>
      <c r="AM1062" s="99"/>
      <c r="AO1062" s="99"/>
      <c r="AR1062" s="6"/>
      <c r="AS1062" s="6"/>
      <c r="AT1062" s="6"/>
      <c r="AU1062" s="89"/>
      <c r="AV1062" s="100"/>
      <c r="AW1062" s="65"/>
      <c r="AX1062" s="3"/>
    </row>
    <row r="1063" spans="35:50">
      <c r="AI1063" s="99"/>
      <c r="AM1063" s="99"/>
      <c r="AO1063" s="99"/>
      <c r="AR1063" s="6"/>
      <c r="AS1063" s="6"/>
      <c r="AT1063" s="6"/>
      <c r="AU1063" s="89"/>
      <c r="AV1063" s="100"/>
      <c r="AW1063" s="65"/>
      <c r="AX1063" s="3"/>
    </row>
    <row r="1064" spans="35:50">
      <c r="AI1064" s="99"/>
      <c r="AM1064" s="99"/>
      <c r="AO1064" s="99"/>
      <c r="AR1064" s="6"/>
      <c r="AS1064" s="6"/>
      <c r="AT1064" s="6"/>
      <c r="AU1064" s="89"/>
      <c r="AV1064" s="100"/>
      <c r="AW1064" s="65"/>
      <c r="AX1064" s="3"/>
    </row>
    <row r="1065" spans="35:50">
      <c r="AI1065" s="99"/>
      <c r="AM1065" s="99"/>
      <c r="AO1065" s="99"/>
      <c r="AR1065" s="6"/>
      <c r="AS1065" s="6"/>
      <c r="AT1065" s="6"/>
      <c r="AU1065" s="89"/>
      <c r="AV1065" s="100"/>
      <c r="AW1065" s="65"/>
      <c r="AX1065" s="3"/>
    </row>
    <row r="1066" spans="35:50">
      <c r="AI1066" s="99"/>
      <c r="AM1066" s="99"/>
      <c r="AO1066" s="99"/>
      <c r="AR1066" s="6"/>
      <c r="AS1066" s="6"/>
      <c r="AT1066" s="6"/>
      <c r="AU1066" s="89"/>
      <c r="AV1066" s="100"/>
      <c r="AW1066" s="65"/>
      <c r="AX1066" s="3"/>
    </row>
    <row r="1067" spans="35:50">
      <c r="AI1067" s="99"/>
      <c r="AM1067" s="99"/>
      <c r="AO1067" s="99"/>
      <c r="AR1067" s="6"/>
      <c r="AS1067" s="6"/>
      <c r="AT1067" s="6"/>
      <c r="AU1067" s="89"/>
      <c r="AV1067" s="100"/>
      <c r="AW1067" s="65"/>
      <c r="AX1067" s="3"/>
    </row>
    <row r="1068" spans="35:50">
      <c r="AI1068" s="99"/>
      <c r="AM1068" s="99"/>
      <c r="AO1068" s="99"/>
      <c r="AR1068" s="6"/>
      <c r="AS1068" s="6"/>
      <c r="AT1068" s="6"/>
      <c r="AU1068" s="89"/>
      <c r="AV1068" s="100"/>
      <c r="AW1068" s="65"/>
      <c r="AX1068" s="3"/>
    </row>
    <row r="1069" spans="35:50">
      <c r="AI1069" s="99"/>
      <c r="AM1069" s="99"/>
      <c r="AO1069" s="99"/>
      <c r="AR1069" s="6"/>
      <c r="AS1069" s="6"/>
      <c r="AT1069" s="6"/>
      <c r="AU1069" s="89"/>
      <c r="AV1069" s="100"/>
      <c r="AW1069" s="65"/>
      <c r="AX1069" s="3"/>
    </row>
    <row r="1070" spans="35:50">
      <c r="AI1070" s="99"/>
      <c r="AM1070" s="99"/>
      <c r="AO1070" s="99"/>
      <c r="AR1070" s="6"/>
      <c r="AS1070" s="6"/>
      <c r="AT1070" s="6"/>
      <c r="AU1070" s="89"/>
      <c r="AV1070" s="100"/>
      <c r="AW1070" s="65"/>
      <c r="AX1070" s="3"/>
    </row>
    <row r="1071" spans="35:50">
      <c r="AI1071" s="99"/>
      <c r="AM1071" s="99"/>
      <c r="AO1071" s="99"/>
      <c r="AR1071" s="6"/>
      <c r="AS1071" s="6"/>
      <c r="AT1071" s="6"/>
      <c r="AU1071" s="89"/>
      <c r="AV1071" s="100"/>
      <c r="AW1071" s="65"/>
      <c r="AX1071" s="3"/>
    </row>
    <row r="1072" spans="35:50">
      <c r="AI1072" s="99"/>
      <c r="AM1072" s="99"/>
      <c r="AO1072" s="99"/>
      <c r="AR1072" s="6"/>
      <c r="AS1072" s="6"/>
      <c r="AT1072" s="6"/>
      <c r="AU1072" s="89"/>
      <c r="AV1072" s="100"/>
      <c r="AW1072" s="65"/>
      <c r="AX1072" s="3"/>
    </row>
    <row r="1073" spans="35:50">
      <c r="AI1073" s="99"/>
      <c r="AM1073" s="99"/>
      <c r="AO1073" s="99"/>
      <c r="AR1073" s="6"/>
      <c r="AS1073" s="6"/>
      <c r="AT1073" s="6"/>
      <c r="AU1073" s="89"/>
      <c r="AV1073" s="100"/>
      <c r="AW1073" s="65"/>
      <c r="AX1073" s="3"/>
    </row>
    <row r="1074" spans="35:50">
      <c r="AI1074" s="99"/>
      <c r="AM1074" s="99"/>
      <c r="AO1074" s="99"/>
      <c r="AR1074" s="6"/>
      <c r="AS1074" s="6"/>
      <c r="AT1074" s="6"/>
      <c r="AU1074" s="89"/>
      <c r="AV1074" s="100"/>
      <c r="AW1074" s="65"/>
      <c r="AX1074" s="3"/>
    </row>
    <row r="1075" spans="35:50">
      <c r="AI1075" s="99"/>
      <c r="AM1075" s="99"/>
      <c r="AO1075" s="99"/>
      <c r="AR1075" s="6"/>
      <c r="AS1075" s="6"/>
      <c r="AT1075" s="6"/>
      <c r="AU1075" s="89"/>
      <c r="AV1075" s="100"/>
      <c r="AW1075" s="65"/>
      <c r="AX1075" s="3"/>
    </row>
    <row r="1076" spans="35:50">
      <c r="AI1076" s="99"/>
      <c r="AM1076" s="99"/>
      <c r="AO1076" s="99"/>
      <c r="AR1076" s="6"/>
      <c r="AS1076" s="6"/>
      <c r="AT1076" s="6"/>
      <c r="AU1076" s="89"/>
      <c r="AV1076" s="100"/>
      <c r="AW1076" s="65"/>
      <c r="AX1076" s="3"/>
    </row>
    <row r="1077" spans="35:50">
      <c r="AI1077" s="99"/>
      <c r="AM1077" s="99"/>
      <c r="AO1077" s="99"/>
      <c r="AR1077" s="6"/>
      <c r="AS1077" s="6"/>
      <c r="AT1077" s="6"/>
      <c r="AU1077" s="89"/>
      <c r="AV1077" s="100"/>
      <c r="AW1077" s="65"/>
      <c r="AX1077" s="3"/>
    </row>
    <row r="1078" spans="35:50">
      <c r="AI1078" s="99"/>
      <c r="AM1078" s="99"/>
      <c r="AO1078" s="99"/>
      <c r="AR1078" s="6"/>
      <c r="AS1078" s="6"/>
      <c r="AT1078" s="6"/>
      <c r="AU1078" s="89"/>
      <c r="AV1078" s="100"/>
      <c r="AW1078" s="65"/>
      <c r="AX1078" s="3"/>
    </row>
    <row r="1079" spans="35:50">
      <c r="AI1079" s="99"/>
      <c r="AM1079" s="99"/>
      <c r="AO1079" s="99"/>
      <c r="AR1079" s="6"/>
      <c r="AS1079" s="6"/>
      <c r="AT1079" s="6"/>
      <c r="AU1079" s="89"/>
      <c r="AV1079" s="100"/>
      <c r="AW1079" s="65"/>
      <c r="AX1079" s="3"/>
    </row>
    <row r="1080" spans="35:50">
      <c r="AI1080" s="99"/>
      <c r="AM1080" s="99"/>
      <c r="AO1080" s="99"/>
      <c r="AR1080" s="6"/>
      <c r="AS1080" s="6"/>
      <c r="AT1080" s="6"/>
      <c r="AU1080" s="89"/>
      <c r="AV1080" s="100"/>
      <c r="AW1080" s="65"/>
      <c r="AX1080" s="3"/>
    </row>
    <row r="1081" spans="35:50">
      <c r="AI1081" s="99"/>
      <c r="AM1081" s="99"/>
      <c r="AO1081" s="99"/>
      <c r="AR1081" s="6"/>
      <c r="AS1081" s="6"/>
      <c r="AT1081" s="6"/>
      <c r="AU1081" s="89"/>
      <c r="AV1081" s="100"/>
      <c r="AW1081" s="65"/>
      <c r="AX1081" s="3"/>
    </row>
    <row r="1082" spans="35:50">
      <c r="AI1082" s="99"/>
      <c r="AM1082" s="99"/>
      <c r="AO1082" s="99"/>
      <c r="AR1082" s="6"/>
      <c r="AS1082" s="6"/>
      <c r="AT1082" s="6"/>
      <c r="AU1082" s="89"/>
      <c r="AV1082" s="100"/>
      <c r="AW1082" s="65"/>
      <c r="AX1082" s="3"/>
    </row>
    <row r="1083" spans="35:50">
      <c r="AI1083" s="99"/>
      <c r="AM1083" s="99"/>
      <c r="AO1083" s="99"/>
      <c r="AR1083" s="6"/>
      <c r="AS1083" s="6"/>
      <c r="AT1083" s="6"/>
      <c r="AU1083" s="89"/>
      <c r="AV1083" s="100"/>
      <c r="AW1083" s="65"/>
      <c r="AX1083" s="3"/>
    </row>
    <row r="1084" spans="35:50">
      <c r="AI1084" s="99"/>
      <c r="AM1084" s="99"/>
      <c r="AO1084" s="99"/>
      <c r="AR1084" s="6"/>
      <c r="AS1084" s="6"/>
      <c r="AT1084" s="6"/>
      <c r="AU1084" s="89"/>
      <c r="AV1084" s="100"/>
      <c r="AW1084" s="65"/>
      <c r="AX1084" s="3"/>
    </row>
    <row r="1085" spans="35:50">
      <c r="AI1085" s="99"/>
      <c r="AM1085" s="99"/>
      <c r="AO1085" s="99"/>
      <c r="AR1085" s="6"/>
      <c r="AS1085" s="6"/>
      <c r="AT1085" s="6"/>
      <c r="AU1085" s="89"/>
      <c r="AV1085" s="100"/>
      <c r="AW1085" s="65"/>
      <c r="AX1085" s="3"/>
    </row>
    <row r="1086" spans="35:50">
      <c r="AI1086" s="99"/>
      <c r="AM1086" s="99"/>
      <c r="AO1086" s="99"/>
      <c r="AR1086" s="6"/>
      <c r="AS1086" s="6"/>
      <c r="AT1086" s="6"/>
      <c r="AU1086" s="89"/>
      <c r="AV1086" s="100"/>
      <c r="AW1086" s="65"/>
      <c r="AX1086" s="3"/>
    </row>
    <row r="1087" spans="35:50">
      <c r="AI1087" s="99"/>
      <c r="AM1087" s="99"/>
      <c r="AO1087" s="99"/>
      <c r="AR1087" s="6"/>
      <c r="AS1087" s="6"/>
      <c r="AT1087" s="6"/>
      <c r="AU1087" s="89"/>
      <c r="AV1087" s="100"/>
      <c r="AW1087" s="65"/>
      <c r="AX1087" s="3"/>
    </row>
    <row r="1088" spans="35:50">
      <c r="AI1088" s="99"/>
      <c r="AM1088" s="99"/>
      <c r="AO1088" s="99"/>
      <c r="AR1088" s="6"/>
      <c r="AS1088" s="6"/>
      <c r="AT1088" s="6"/>
      <c r="AU1088" s="89"/>
      <c r="AV1088" s="100"/>
      <c r="AW1088" s="65"/>
      <c r="AX1088" s="3"/>
    </row>
    <row r="1089" spans="35:50">
      <c r="AI1089" s="99"/>
      <c r="AM1089" s="99"/>
      <c r="AO1089" s="99"/>
      <c r="AR1089" s="6"/>
      <c r="AS1089" s="6"/>
      <c r="AT1089" s="6"/>
      <c r="AU1089" s="89"/>
      <c r="AV1089" s="100"/>
      <c r="AW1089" s="65"/>
      <c r="AX1089" s="3"/>
    </row>
    <row r="1090" spans="35:50">
      <c r="AI1090" s="99"/>
      <c r="AM1090" s="99"/>
      <c r="AO1090" s="99"/>
      <c r="AR1090" s="6"/>
      <c r="AS1090" s="6"/>
      <c r="AT1090" s="6"/>
      <c r="AU1090" s="89"/>
      <c r="AV1090" s="100"/>
      <c r="AW1090" s="65"/>
      <c r="AX1090" s="3"/>
    </row>
    <row r="1091" spans="35:50">
      <c r="AI1091" s="99"/>
      <c r="AM1091" s="99"/>
      <c r="AO1091" s="99"/>
      <c r="AR1091" s="6"/>
      <c r="AS1091" s="6"/>
      <c r="AT1091" s="6"/>
      <c r="AU1091" s="89"/>
      <c r="AV1091" s="100"/>
      <c r="AW1091" s="65"/>
      <c r="AX1091" s="3"/>
    </row>
    <row r="1092" spans="35:50">
      <c r="AI1092" s="99"/>
      <c r="AM1092" s="99"/>
      <c r="AO1092" s="99"/>
      <c r="AR1092" s="6"/>
      <c r="AS1092" s="6"/>
      <c r="AT1092" s="6"/>
      <c r="AU1092" s="89"/>
      <c r="AV1092" s="100"/>
      <c r="AW1092" s="65"/>
      <c r="AX1092" s="3"/>
    </row>
    <row r="1093" spans="35:50">
      <c r="AI1093" s="99"/>
      <c r="AM1093" s="99"/>
      <c r="AO1093" s="99"/>
      <c r="AR1093" s="6"/>
      <c r="AS1093" s="6"/>
      <c r="AT1093" s="6"/>
      <c r="AU1093" s="89"/>
      <c r="AV1093" s="100"/>
      <c r="AW1093" s="65"/>
      <c r="AX1093" s="3"/>
    </row>
    <row r="1094" spans="35:50">
      <c r="AI1094" s="99"/>
      <c r="AM1094" s="99"/>
      <c r="AO1094" s="99"/>
      <c r="AR1094" s="6"/>
      <c r="AS1094" s="6"/>
      <c r="AT1094" s="6"/>
      <c r="AU1094" s="89"/>
      <c r="AV1094" s="100"/>
      <c r="AW1094" s="65"/>
      <c r="AX1094" s="3"/>
    </row>
    <row r="1095" spans="35:50">
      <c r="AI1095" s="99"/>
      <c r="AM1095" s="99"/>
      <c r="AO1095" s="99"/>
      <c r="AR1095" s="6"/>
      <c r="AS1095" s="6"/>
      <c r="AT1095" s="6"/>
      <c r="AU1095" s="89"/>
      <c r="AV1095" s="100"/>
      <c r="AW1095" s="65"/>
      <c r="AX1095" s="3"/>
    </row>
    <row r="1096" spans="35:50">
      <c r="AI1096" s="99"/>
      <c r="AM1096" s="99"/>
      <c r="AO1096" s="99"/>
      <c r="AR1096" s="6"/>
      <c r="AS1096" s="6"/>
      <c r="AT1096" s="6"/>
      <c r="AU1096" s="89"/>
      <c r="AV1096" s="100"/>
      <c r="AW1096" s="65"/>
      <c r="AX1096" s="3"/>
    </row>
    <row r="1097" spans="35:50">
      <c r="AI1097" s="99"/>
      <c r="AM1097" s="99"/>
      <c r="AO1097" s="99"/>
      <c r="AR1097" s="6"/>
      <c r="AS1097" s="6"/>
      <c r="AT1097" s="6"/>
      <c r="AU1097" s="89"/>
      <c r="AV1097" s="100"/>
      <c r="AW1097" s="65"/>
      <c r="AX1097" s="3"/>
    </row>
    <row r="1098" spans="35:50">
      <c r="AI1098" s="99"/>
      <c r="AM1098" s="99"/>
      <c r="AO1098" s="99"/>
      <c r="AR1098" s="6"/>
      <c r="AS1098" s="6"/>
      <c r="AT1098" s="6"/>
      <c r="AU1098" s="89"/>
      <c r="AV1098" s="100"/>
      <c r="AW1098" s="65"/>
      <c r="AX1098" s="3"/>
    </row>
    <row r="1099" spans="35:50">
      <c r="AI1099" s="99"/>
      <c r="AM1099" s="99"/>
      <c r="AO1099" s="99"/>
      <c r="AR1099" s="6"/>
      <c r="AS1099" s="6"/>
      <c r="AT1099" s="6"/>
      <c r="AU1099" s="89"/>
      <c r="AV1099" s="100"/>
      <c r="AW1099" s="65"/>
      <c r="AX1099" s="3"/>
    </row>
    <row r="1100" spans="35:50">
      <c r="AI1100" s="99"/>
      <c r="AM1100" s="99"/>
      <c r="AO1100" s="99"/>
      <c r="AR1100" s="6"/>
      <c r="AS1100" s="6"/>
      <c r="AT1100" s="6"/>
      <c r="AU1100" s="89"/>
      <c r="AV1100" s="100"/>
      <c r="AW1100" s="65"/>
      <c r="AX1100" s="3"/>
    </row>
    <row r="1101" spans="35:50">
      <c r="AI1101" s="99"/>
      <c r="AM1101" s="99"/>
      <c r="AO1101" s="99"/>
      <c r="AR1101" s="6"/>
      <c r="AS1101" s="6"/>
      <c r="AT1101" s="6"/>
      <c r="AU1101" s="89"/>
      <c r="AV1101" s="100"/>
      <c r="AW1101" s="65"/>
      <c r="AX1101" s="3"/>
    </row>
    <row r="1102" spans="35:50">
      <c r="AI1102" s="99"/>
      <c r="AM1102" s="99"/>
      <c r="AO1102" s="99"/>
      <c r="AR1102" s="6"/>
      <c r="AS1102" s="6"/>
      <c r="AT1102" s="6"/>
      <c r="AU1102" s="89"/>
      <c r="AV1102" s="100"/>
      <c r="AW1102" s="65"/>
      <c r="AX1102" s="3"/>
    </row>
    <row r="1103" spans="35:50">
      <c r="AI1103" s="99"/>
      <c r="AM1103" s="99"/>
      <c r="AO1103" s="99"/>
      <c r="AR1103" s="6"/>
      <c r="AS1103" s="6"/>
      <c r="AT1103" s="6"/>
      <c r="AU1103" s="89"/>
      <c r="AV1103" s="100"/>
      <c r="AW1103" s="65"/>
      <c r="AX1103" s="3"/>
    </row>
    <row r="1104" spans="35:50">
      <c r="AI1104" s="99"/>
      <c r="AM1104" s="99"/>
      <c r="AO1104" s="99"/>
      <c r="AR1104" s="6"/>
      <c r="AS1104" s="6"/>
      <c r="AT1104" s="6"/>
      <c r="AU1104" s="89"/>
      <c r="AV1104" s="100"/>
      <c r="AW1104" s="65"/>
      <c r="AX1104" s="3"/>
    </row>
    <row r="1105" spans="35:50">
      <c r="AI1105" s="99"/>
      <c r="AM1105" s="99"/>
      <c r="AO1105" s="99"/>
      <c r="AR1105" s="6"/>
      <c r="AS1105" s="6"/>
      <c r="AT1105" s="6"/>
      <c r="AU1105" s="89"/>
      <c r="AV1105" s="100"/>
      <c r="AW1105" s="65"/>
      <c r="AX1105" s="3"/>
    </row>
    <row r="1106" spans="35:50">
      <c r="AI1106" s="99"/>
      <c r="AM1106" s="99"/>
      <c r="AO1106" s="99"/>
      <c r="AR1106" s="6"/>
      <c r="AS1106" s="6"/>
      <c r="AT1106" s="6"/>
      <c r="AU1106" s="89"/>
      <c r="AV1106" s="100"/>
      <c r="AW1106" s="65"/>
      <c r="AX1106" s="3"/>
    </row>
    <row r="1107" spans="35:50">
      <c r="AI1107" s="99"/>
      <c r="AM1107" s="99"/>
      <c r="AO1107" s="99"/>
      <c r="AR1107" s="6"/>
      <c r="AS1107" s="6"/>
      <c r="AT1107" s="6"/>
      <c r="AU1107" s="89"/>
      <c r="AV1107" s="100"/>
      <c r="AW1107" s="65"/>
      <c r="AX1107" s="3"/>
    </row>
    <row r="1108" spans="35:50">
      <c r="AI1108" s="99"/>
      <c r="AM1108" s="99"/>
      <c r="AO1108" s="99"/>
      <c r="AR1108" s="6"/>
      <c r="AS1108" s="6"/>
      <c r="AT1108" s="6"/>
      <c r="AU1108" s="89"/>
      <c r="AV1108" s="100"/>
      <c r="AW1108" s="65"/>
      <c r="AX1108" s="3"/>
    </row>
    <row r="1109" spans="35:50">
      <c r="AI1109" s="99"/>
      <c r="AM1109" s="99"/>
      <c r="AO1109" s="99"/>
      <c r="AR1109" s="6"/>
      <c r="AS1109" s="6"/>
      <c r="AT1109" s="6"/>
      <c r="AU1109" s="89"/>
      <c r="AV1109" s="100"/>
      <c r="AW1109" s="65"/>
      <c r="AX1109" s="3"/>
    </row>
    <row r="1110" spans="35:50">
      <c r="AI1110" s="99"/>
      <c r="AM1110" s="99"/>
      <c r="AO1110" s="99"/>
      <c r="AR1110" s="6"/>
      <c r="AS1110" s="6"/>
      <c r="AT1110" s="6"/>
      <c r="AU1110" s="89"/>
      <c r="AV1110" s="100"/>
      <c r="AW1110" s="65"/>
      <c r="AX1110" s="3"/>
    </row>
    <row r="1111" spans="35:50">
      <c r="AI1111" s="99"/>
      <c r="AM1111" s="99"/>
      <c r="AO1111" s="99"/>
      <c r="AR1111" s="6"/>
      <c r="AS1111" s="6"/>
      <c r="AT1111" s="6"/>
      <c r="AU1111" s="89"/>
      <c r="AV1111" s="100"/>
      <c r="AW1111" s="65"/>
      <c r="AX1111" s="3"/>
    </row>
    <row r="1112" spans="35:50">
      <c r="AI1112" s="99"/>
      <c r="AM1112" s="99"/>
      <c r="AO1112" s="99"/>
      <c r="AR1112" s="6"/>
      <c r="AS1112" s="6"/>
      <c r="AT1112" s="6"/>
      <c r="AU1112" s="89"/>
      <c r="AV1112" s="100"/>
      <c r="AW1112" s="65"/>
      <c r="AX1112" s="3"/>
    </row>
    <row r="1113" spans="35:50">
      <c r="AI1113" s="99"/>
      <c r="AM1113" s="99"/>
      <c r="AO1113" s="99"/>
      <c r="AR1113" s="6"/>
      <c r="AS1113" s="6"/>
      <c r="AT1113" s="6"/>
      <c r="AU1113" s="89"/>
      <c r="AV1113" s="100"/>
      <c r="AW1113" s="65"/>
      <c r="AX1113" s="3"/>
    </row>
    <row r="1114" spans="35:50">
      <c r="AI1114" s="99"/>
      <c r="AM1114" s="99"/>
      <c r="AO1114" s="99"/>
      <c r="AR1114" s="6"/>
      <c r="AS1114" s="6"/>
      <c r="AT1114" s="6"/>
      <c r="AU1114" s="89"/>
      <c r="AV1114" s="100"/>
      <c r="AW1114" s="65"/>
      <c r="AX1114" s="3"/>
    </row>
    <row r="1115" spans="35:50">
      <c r="AI1115" s="99"/>
      <c r="AM1115" s="99"/>
      <c r="AO1115" s="99"/>
      <c r="AR1115" s="6"/>
      <c r="AS1115" s="6"/>
      <c r="AT1115" s="6"/>
      <c r="AU1115" s="89"/>
      <c r="AV1115" s="100"/>
      <c r="AW1115" s="65"/>
      <c r="AX1115" s="3"/>
    </row>
    <row r="1116" spans="35:50">
      <c r="AI1116" s="99"/>
      <c r="AM1116" s="99"/>
      <c r="AO1116" s="99"/>
      <c r="AR1116" s="6"/>
      <c r="AS1116" s="6"/>
      <c r="AT1116" s="6"/>
      <c r="AU1116" s="89"/>
      <c r="AV1116" s="100"/>
      <c r="AW1116" s="65"/>
      <c r="AX1116" s="3"/>
    </row>
    <row r="1117" spans="35:50">
      <c r="AI1117" s="99"/>
      <c r="AM1117" s="99"/>
      <c r="AO1117" s="99"/>
      <c r="AR1117" s="6"/>
      <c r="AS1117" s="6"/>
      <c r="AT1117" s="6"/>
      <c r="AU1117" s="89"/>
      <c r="AV1117" s="100"/>
      <c r="AW1117" s="65"/>
      <c r="AX1117" s="3"/>
    </row>
    <row r="1118" spans="35:50">
      <c r="AI1118" s="99"/>
      <c r="AM1118" s="99"/>
      <c r="AO1118" s="99"/>
      <c r="AR1118" s="6"/>
      <c r="AS1118" s="6"/>
      <c r="AT1118" s="6"/>
      <c r="AU1118" s="89"/>
      <c r="AV1118" s="100"/>
      <c r="AW1118" s="65"/>
      <c r="AX1118" s="3"/>
    </row>
    <row r="1119" spans="35:50">
      <c r="AI1119" s="99"/>
      <c r="AM1119" s="99"/>
      <c r="AO1119" s="99"/>
      <c r="AR1119" s="6"/>
      <c r="AS1119" s="6"/>
      <c r="AT1119" s="6"/>
      <c r="AU1119" s="89"/>
      <c r="AV1119" s="100"/>
      <c r="AW1119" s="65"/>
      <c r="AX1119" s="3"/>
    </row>
    <row r="1120" spans="35:50">
      <c r="AI1120" s="99"/>
      <c r="AM1120" s="99"/>
      <c r="AO1120" s="99"/>
      <c r="AR1120" s="6"/>
      <c r="AS1120" s="6"/>
      <c r="AT1120" s="6"/>
      <c r="AU1120" s="89"/>
      <c r="AV1120" s="100"/>
      <c r="AW1120" s="65"/>
      <c r="AX1120" s="3"/>
    </row>
    <row r="1121" spans="35:50">
      <c r="AI1121" s="99"/>
      <c r="AM1121" s="99"/>
      <c r="AO1121" s="99"/>
      <c r="AR1121" s="6"/>
      <c r="AS1121" s="6"/>
      <c r="AT1121" s="6"/>
      <c r="AU1121" s="89"/>
      <c r="AV1121" s="100"/>
      <c r="AW1121" s="65"/>
      <c r="AX1121" s="3"/>
    </row>
    <row r="1122" spans="35:50">
      <c r="AI1122" s="99"/>
      <c r="AM1122" s="99"/>
      <c r="AO1122" s="99"/>
      <c r="AR1122" s="6"/>
      <c r="AS1122" s="6"/>
      <c r="AT1122" s="6"/>
      <c r="AU1122" s="89"/>
      <c r="AV1122" s="100"/>
      <c r="AW1122" s="65"/>
      <c r="AX1122" s="3"/>
    </row>
    <row r="1123" spans="35:50">
      <c r="AI1123" s="99"/>
      <c r="AM1123" s="99"/>
      <c r="AO1123" s="99"/>
      <c r="AR1123" s="6"/>
      <c r="AS1123" s="6"/>
      <c r="AT1123" s="6"/>
      <c r="AU1123" s="89"/>
      <c r="AV1123" s="100"/>
      <c r="AW1123" s="65"/>
      <c r="AX1123" s="3"/>
    </row>
    <row r="1124" spans="35:50">
      <c r="AI1124" s="99"/>
      <c r="AM1124" s="99"/>
      <c r="AO1124" s="99"/>
      <c r="AR1124" s="6"/>
      <c r="AS1124" s="6"/>
      <c r="AT1124" s="6"/>
      <c r="AU1124" s="89"/>
      <c r="AV1124" s="100"/>
      <c r="AW1124" s="65"/>
      <c r="AX1124" s="3"/>
    </row>
    <row r="1125" spans="35:50">
      <c r="AI1125" s="99"/>
      <c r="AM1125" s="99"/>
      <c r="AO1125" s="99"/>
      <c r="AR1125" s="6"/>
      <c r="AS1125" s="6"/>
      <c r="AT1125" s="6"/>
      <c r="AU1125" s="89"/>
      <c r="AV1125" s="100"/>
      <c r="AW1125" s="65"/>
      <c r="AX1125" s="3"/>
    </row>
    <row r="1126" spans="35:50">
      <c r="AI1126" s="99"/>
      <c r="AM1126" s="99"/>
      <c r="AO1126" s="99"/>
      <c r="AR1126" s="6"/>
      <c r="AS1126" s="6"/>
      <c r="AT1126" s="6"/>
      <c r="AU1126" s="89"/>
      <c r="AV1126" s="100"/>
      <c r="AW1126" s="65"/>
      <c r="AX1126" s="3"/>
    </row>
    <row r="1127" spans="35:50">
      <c r="AI1127" s="99"/>
      <c r="AM1127" s="99"/>
      <c r="AO1127" s="99"/>
      <c r="AR1127" s="6"/>
      <c r="AS1127" s="6"/>
      <c r="AT1127" s="6"/>
      <c r="AU1127" s="89"/>
      <c r="AV1127" s="100"/>
      <c r="AW1127" s="65"/>
      <c r="AX1127" s="3"/>
    </row>
    <row r="1128" spans="35:50">
      <c r="AI1128" s="99"/>
      <c r="AM1128" s="99"/>
      <c r="AO1128" s="99"/>
      <c r="AR1128" s="6"/>
      <c r="AS1128" s="6"/>
      <c r="AT1128" s="6"/>
      <c r="AU1128" s="89"/>
      <c r="AV1128" s="100"/>
      <c r="AW1128" s="65"/>
      <c r="AX1128" s="3"/>
    </row>
    <row r="1129" spans="35:50">
      <c r="AI1129" s="99"/>
      <c r="AM1129" s="99"/>
      <c r="AO1129" s="99"/>
      <c r="AR1129" s="6"/>
      <c r="AS1129" s="6"/>
      <c r="AT1129" s="6"/>
      <c r="AU1129" s="89"/>
      <c r="AV1129" s="100"/>
      <c r="AW1129" s="65"/>
      <c r="AX1129" s="3"/>
    </row>
    <row r="1130" spans="35:50">
      <c r="AI1130" s="99"/>
      <c r="AM1130" s="99"/>
      <c r="AO1130" s="99"/>
      <c r="AR1130" s="6"/>
      <c r="AS1130" s="6"/>
      <c r="AT1130" s="6"/>
      <c r="AU1130" s="89"/>
      <c r="AV1130" s="100"/>
      <c r="AW1130" s="65"/>
      <c r="AX1130" s="3"/>
    </row>
    <row r="1131" spans="35:50">
      <c r="AI1131" s="99"/>
      <c r="AM1131" s="99"/>
      <c r="AO1131" s="99"/>
      <c r="AR1131" s="6"/>
      <c r="AS1131" s="6"/>
      <c r="AT1131" s="6"/>
      <c r="AU1131" s="89"/>
      <c r="AV1131" s="100"/>
      <c r="AW1131" s="65"/>
      <c r="AX1131" s="3"/>
    </row>
    <row r="1132" spans="35:50">
      <c r="AI1132" s="99"/>
      <c r="AM1132" s="99"/>
      <c r="AO1132" s="99"/>
      <c r="AR1132" s="6"/>
      <c r="AS1132" s="6"/>
      <c r="AT1132" s="6"/>
      <c r="AU1132" s="89"/>
      <c r="AV1132" s="100"/>
      <c r="AW1132" s="65"/>
      <c r="AX1132" s="3"/>
    </row>
    <row r="1133" spans="35:50">
      <c r="AI1133" s="99"/>
      <c r="AM1133" s="99"/>
      <c r="AO1133" s="99"/>
      <c r="AR1133" s="6"/>
      <c r="AS1133" s="6"/>
      <c r="AT1133" s="6"/>
      <c r="AU1133" s="89"/>
      <c r="AV1133" s="100"/>
      <c r="AW1133" s="65"/>
      <c r="AX1133" s="3"/>
    </row>
    <row r="1134" spans="35:50">
      <c r="AI1134" s="99"/>
      <c r="AM1134" s="99"/>
      <c r="AO1134" s="99"/>
      <c r="AR1134" s="6"/>
      <c r="AS1134" s="6"/>
      <c r="AT1134" s="6"/>
      <c r="AU1134" s="89"/>
      <c r="AV1134" s="100"/>
      <c r="AW1134" s="65"/>
      <c r="AX1134" s="3"/>
    </row>
    <row r="1135" spans="35:50">
      <c r="AI1135" s="99"/>
      <c r="AM1135" s="99"/>
      <c r="AO1135" s="99"/>
      <c r="AR1135" s="6"/>
      <c r="AS1135" s="6"/>
      <c r="AT1135" s="6"/>
      <c r="AU1135" s="89"/>
      <c r="AV1135" s="100"/>
      <c r="AW1135" s="65"/>
      <c r="AX1135" s="3"/>
    </row>
    <row r="1136" spans="35:50">
      <c r="AI1136" s="99"/>
      <c r="AM1136" s="99"/>
      <c r="AO1136" s="99"/>
      <c r="AR1136" s="6"/>
      <c r="AS1136" s="6"/>
      <c r="AT1136" s="6"/>
      <c r="AU1136" s="89"/>
      <c r="AV1136" s="100"/>
      <c r="AW1136" s="65"/>
      <c r="AX1136" s="3"/>
    </row>
    <row r="1137" spans="35:50">
      <c r="AI1137" s="99"/>
      <c r="AM1137" s="99"/>
      <c r="AO1137" s="99"/>
      <c r="AR1137" s="6"/>
      <c r="AS1137" s="6"/>
      <c r="AT1137" s="6"/>
      <c r="AU1137" s="89"/>
      <c r="AV1137" s="100"/>
      <c r="AW1137" s="65"/>
      <c r="AX1137" s="3"/>
    </row>
    <row r="1138" spans="35:50">
      <c r="AI1138" s="99"/>
      <c r="AM1138" s="99"/>
      <c r="AO1138" s="99"/>
      <c r="AR1138" s="6"/>
      <c r="AS1138" s="6"/>
      <c r="AT1138" s="6"/>
      <c r="AU1138" s="89"/>
      <c r="AV1138" s="100"/>
      <c r="AW1138" s="65"/>
      <c r="AX1138" s="3"/>
    </row>
    <row r="1139" spans="35:50">
      <c r="AI1139" s="99"/>
      <c r="AM1139" s="99"/>
      <c r="AO1139" s="99"/>
      <c r="AR1139" s="6"/>
      <c r="AS1139" s="6"/>
      <c r="AT1139" s="6"/>
      <c r="AU1139" s="89"/>
      <c r="AV1139" s="100"/>
      <c r="AW1139" s="65"/>
      <c r="AX1139" s="3"/>
    </row>
    <row r="1140" spans="35:50">
      <c r="AI1140" s="99"/>
      <c r="AM1140" s="99"/>
      <c r="AO1140" s="99"/>
      <c r="AR1140" s="6"/>
      <c r="AS1140" s="6"/>
      <c r="AT1140" s="6"/>
      <c r="AU1140" s="89"/>
      <c r="AV1140" s="100"/>
      <c r="AW1140" s="65"/>
      <c r="AX1140" s="3"/>
    </row>
    <row r="1141" spans="35:50">
      <c r="AI1141" s="99"/>
      <c r="AM1141" s="99"/>
      <c r="AO1141" s="99"/>
      <c r="AR1141" s="6"/>
      <c r="AS1141" s="6"/>
      <c r="AT1141" s="6"/>
      <c r="AU1141" s="89"/>
      <c r="AV1141" s="100"/>
      <c r="AW1141" s="65"/>
      <c r="AX1141" s="3"/>
    </row>
    <row r="1142" spans="35:50">
      <c r="AI1142" s="99"/>
      <c r="AM1142" s="99"/>
      <c r="AO1142" s="99"/>
      <c r="AR1142" s="6"/>
      <c r="AS1142" s="6"/>
      <c r="AT1142" s="6"/>
      <c r="AU1142" s="89"/>
      <c r="AV1142" s="100"/>
      <c r="AW1142" s="65"/>
      <c r="AX1142" s="3"/>
    </row>
    <row r="1143" spans="35:50">
      <c r="AI1143" s="99"/>
      <c r="AM1143" s="99"/>
      <c r="AO1143" s="99"/>
      <c r="AR1143" s="6"/>
      <c r="AS1143" s="6"/>
      <c r="AT1143" s="6"/>
      <c r="AU1143" s="89"/>
      <c r="AV1143" s="100"/>
      <c r="AW1143" s="65"/>
      <c r="AX1143" s="3"/>
    </row>
    <row r="1144" spans="35:50">
      <c r="AI1144" s="99"/>
      <c r="AM1144" s="99"/>
      <c r="AO1144" s="99"/>
      <c r="AR1144" s="6"/>
      <c r="AS1144" s="6"/>
      <c r="AT1144" s="6"/>
      <c r="AU1144" s="89"/>
      <c r="AV1144" s="100"/>
      <c r="AW1144" s="65"/>
      <c r="AX1144" s="3"/>
    </row>
    <row r="1145" spans="35:50">
      <c r="AI1145" s="99"/>
      <c r="AM1145" s="99"/>
      <c r="AO1145" s="99"/>
      <c r="AR1145" s="6"/>
      <c r="AS1145" s="6"/>
      <c r="AT1145" s="6"/>
      <c r="AU1145" s="89"/>
      <c r="AV1145" s="100"/>
      <c r="AW1145" s="65"/>
      <c r="AX1145" s="3"/>
    </row>
    <row r="1146" spans="35:50">
      <c r="AI1146" s="99"/>
      <c r="AM1146" s="99"/>
      <c r="AO1146" s="99"/>
      <c r="AR1146" s="6"/>
      <c r="AS1146" s="6"/>
      <c r="AT1146" s="6"/>
      <c r="AU1146" s="89"/>
      <c r="AV1146" s="100"/>
      <c r="AW1146" s="65"/>
      <c r="AX1146" s="3"/>
    </row>
    <row r="1147" spans="35:50">
      <c r="AI1147" s="99"/>
      <c r="AM1147" s="99"/>
      <c r="AO1147" s="99"/>
      <c r="AR1147" s="6"/>
      <c r="AS1147" s="6"/>
      <c r="AT1147" s="6"/>
      <c r="AU1147" s="89"/>
      <c r="AV1147" s="100"/>
      <c r="AW1147" s="65"/>
      <c r="AX1147" s="3"/>
    </row>
    <row r="1148" spans="35:50">
      <c r="AI1148" s="99"/>
      <c r="AM1148" s="99"/>
      <c r="AO1148" s="99"/>
      <c r="AR1148" s="6"/>
      <c r="AS1148" s="6"/>
      <c r="AT1148" s="6"/>
      <c r="AU1148" s="89"/>
      <c r="AV1148" s="100"/>
      <c r="AW1148" s="65"/>
      <c r="AX1148" s="3"/>
    </row>
    <row r="1149" spans="35:50">
      <c r="AI1149" s="99"/>
      <c r="AM1149" s="99"/>
      <c r="AO1149" s="99"/>
      <c r="AR1149" s="6"/>
      <c r="AS1149" s="6"/>
      <c r="AT1149" s="6"/>
      <c r="AU1149" s="89"/>
      <c r="AV1149" s="100"/>
      <c r="AW1149" s="65"/>
      <c r="AX1149" s="3"/>
    </row>
    <row r="1150" spans="35:50">
      <c r="AI1150" s="99"/>
      <c r="AM1150" s="99"/>
      <c r="AO1150" s="99"/>
      <c r="AR1150" s="6"/>
      <c r="AS1150" s="6"/>
      <c r="AT1150" s="6"/>
      <c r="AU1150" s="89"/>
      <c r="AV1150" s="100"/>
      <c r="AW1150" s="65"/>
      <c r="AX1150" s="3"/>
    </row>
    <row r="1151" spans="35:50">
      <c r="AI1151" s="99"/>
      <c r="AM1151" s="99"/>
      <c r="AO1151" s="99"/>
      <c r="AR1151" s="6"/>
      <c r="AS1151" s="6"/>
      <c r="AT1151" s="6"/>
      <c r="AU1151" s="89"/>
      <c r="AV1151" s="100"/>
      <c r="AW1151" s="65"/>
      <c r="AX1151" s="3"/>
    </row>
    <row r="1152" spans="35:50">
      <c r="AI1152" s="99"/>
      <c r="AM1152" s="99"/>
      <c r="AO1152" s="99"/>
      <c r="AR1152" s="6"/>
      <c r="AS1152" s="6"/>
      <c r="AT1152" s="6"/>
      <c r="AU1152" s="89"/>
      <c r="AV1152" s="100"/>
      <c r="AW1152" s="65"/>
      <c r="AX1152" s="3"/>
    </row>
    <row r="1153" spans="35:50">
      <c r="AI1153" s="99"/>
      <c r="AM1153" s="99"/>
      <c r="AO1153" s="99"/>
      <c r="AR1153" s="6"/>
      <c r="AS1153" s="6"/>
      <c r="AT1153" s="6"/>
      <c r="AU1153" s="89"/>
      <c r="AV1153" s="100"/>
      <c r="AW1153" s="65"/>
      <c r="AX1153" s="3"/>
    </row>
    <row r="1154" spans="35:50">
      <c r="AI1154" s="99"/>
      <c r="AM1154" s="99"/>
      <c r="AO1154" s="99"/>
      <c r="AR1154" s="6"/>
      <c r="AS1154" s="6"/>
      <c r="AT1154" s="6"/>
      <c r="AU1154" s="89"/>
      <c r="AV1154" s="100"/>
      <c r="AW1154" s="65"/>
      <c r="AX1154" s="3"/>
    </row>
    <row r="1155" spans="35:50">
      <c r="AI1155" s="99"/>
      <c r="AM1155" s="99"/>
      <c r="AO1155" s="99"/>
      <c r="AR1155" s="6"/>
      <c r="AS1155" s="6"/>
      <c r="AT1155" s="6"/>
      <c r="AU1155" s="89"/>
      <c r="AV1155" s="100"/>
      <c r="AW1155" s="65"/>
      <c r="AX1155" s="3"/>
    </row>
    <row r="1156" spans="35:50">
      <c r="AI1156" s="99"/>
      <c r="AM1156" s="99"/>
      <c r="AO1156" s="99"/>
      <c r="AR1156" s="6"/>
      <c r="AS1156" s="6"/>
      <c r="AT1156" s="6"/>
      <c r="AU1156" s="89"/>
      <c r="AV1156" s="100"/>
      <c r="AW1156" s="65"/>
      <c r="AX1156" s="3"/>
    </row>
    <row r="1157" spans="35:50">
      <c r="AI1157" s="99"/>
      <c r="AM1157" s="99"/>
      <c r="AO1157" s="99"/>
      <c r="AR1157" s="6"/>
      <c r="AS1157" s="6"/>
      <c r="AT1157" s="6"/>
      <c r="AU1157" s="89"/>
      <c r="AV1157" s="100"/>
      <c r="AW1157" s="65"/>
      <c r="AX1157" s="3"/>
    </row>
    <row r="1158" spans="35:50">
      <c r="AI1158" s="99"/>
      <c r="AM1158" s="99"/>
      <c r="AO1158" s="99"/>
      <c r="AR1158" s="6"/>
      <c r="AS1158" s="6"/>
      <c r="AT1158" s="6"/>
      <c r="AU1158" s="89"/>
      <c r="AV1158" s="100"/>
      <c r="AW1158" s="65"/>
      <c r="AX1158" s="3"/>
    </row>
    <row r="1159" spans="35:50">
      <c r="AI1159" s="99"/>
      <c r="AM1159" s="99"/>
      <c r="AO1159" s="99"/>
      <c r="AR1159" s="6"/>
      <c r="AS1159" s="6"/>
      <c r="AT1159" s="6"/>
      <c r="AU1159" s="89"/>
      <c r="AV1159" s="100"/>
      <c r="AW1159" s="65"/>
      <c r="AX1159" s="3"/>
    </row>
    <row r="1160" spans="35:50">
      <c r="AI1160" s="99"/>
      <c r="AM1160" s="99"/>
      <c r="AO1160" s="99"/>
      <c r="AR1160" s="6"/>
      <c r="AS1160" s="6"/>
      <c r="AT1160" s="6"/>
      <c r="AU1160" s="89"/>
      <c r="AV1160" s="100"/>
      <c r="AW1160" s="65"/>
      <c r="AX1160" s="3"/>
    </row>
    <row r="1161" spans="35:50">
      <c r="AI1161" s="99"/>
      <c r="AM1161" s="99"/>
      <c r="AO1161" s="99"/>
      <c r="AR1161" s="6"/>
      <c r="AS1161" s="6"/>
      <c r="AT1161" s="6"/>
      <c r="AU1161" s="89"/>
      <c r="AV1161" s="100"/>
      <c r="AW1161" s="65"/>
      <c r="AX1161" s="3"/>
    </row>
    <row r="1162" spans="35:50">
      <c r="AI1162" s="99"/>
      <c r="AM1162" s="99"/>
      <c r="AO1162" s="99"/>
      <c r="AR1162" s="6"/>
      <c r="AS1162" s="6"/>
      <c r="AT1162" s="6"/>
      <c r="AU1162" s="89"/>
      <c r="AV1162" s="100"/>
      <c r="AW1162" s="65"/>
      <c r="AX1162" s="3"/>
    </row>
    <row r="1163" spans="35:50">
      <c r="AI1163" s="99"/>
      <c r="AM1163" s="99"/>
      <c r="AO1163" s="99"/>
      <c r="AR1163" s="6"/>
      <c r="AS1163" s="6"/>
      <c r="AT1163" s="6"/>
      <c r="AU1163" s="89"/>
      <c r="AV1163" s="100"/>
      <c r="AW1163" s="65"/>
      <c r="AX1163" s="3"/>
    </row>
    <row r="1164" spans="35:50">
      <c r="AI1164" s="99"/>
      <c r="AM1164" s="99"/>
      <c r="AO1164" s="99"/>
      <c r="AR1164" s="6"/>
      <c r="AS1164" s="6"/>
      <c r="AT1164" s="6"/>
      <c r="AU1164" s="89"/>
      <c r="AV1164" s="100"/>
      <c r="AW1164" s="65"/>
      <c r="AX1164" s="3"/>
    </row>
    <row r="1165" spans="35:50">
      <c r="AI1165" s="99"/>
      <c r="AM1165" s="99"/>
      <c r="AO1165" s="99"/>
      <c r="AR1165" s="6"/>
      <c r="AS1165" s="6"/>
      <c r="AT1165" s="6"/>
      <c r="AU1165" s="89"/>
      <c r="AV1165" s="100"/>
      <c r="AW1165" s="65"/>
      <c r="AX1165" s="3"/>
    </row>
    <row r="1166" spans="35:50">
      <c r="AI1166" s="99"/>
      <c r="AM1166" s="99"/>
      <c r="AO1166" s="99"/>
      <c r="AR1166" s="6"/>
      <c r="AS1166" s="6"/>
      <c r="AT1166" s="6"/>
      <c r="AU1166" s="89"/>
      <c r="AV1166" s="100"/>
      <c r="AW1166" s="65"/>
      <c r="AX1166" s="3"/>
    </row>
    <row r="1167" spans="35:50">
      <c r="AI1167" s="99"/>
      <c r="AM1167" s="99"/>
      <c r="AO1167" s="99"/>
      <c r="AR1167" s="6"/>
      <c r="AS1167" s="6"/>
      <c r="AT1167" s="6"/>
      <c r="AU1167" s="89"/>
      <c r="AV1167" s="100"/>
      <c r="AW1167" s="65"/>
      <c r="AX1167" s="3"/>
    </row>
    <row r="1168" spans="35:50">
      <c r="AI1168" s="99"/>
      <c r="AM1168" s="99"/>
      <c r="AO1168" s="99"/>
      <c r="AR1168" s="6"/>
      <c r="AS1168" s="6"/>
      <c r="AT1168" s="6"/>
      <c r="AU1168" s="89"/>
      <c r="AV1168" s="100"/>
      <c r="AW1168" s="65"/>
      <c r="AX1168" s="3"/>
    </row>
    <row r="1169" spans="35:50">
      <c r="AI1169" s="99"/>
      <c r="AM1169" s="99"/>
      <c r="AO1169" s="99"/>
      <c r="AR1169" s="6"/>
      <c r="AS1169" s="6"/>
      <c r="AT1169" s="6"/>
      <c r="AU1169" s="89"/>
      <c r="AV1169" s="100"/>
      <c r="AW1169" s="65"/>
      <c r="AX1169" s="3"/>
    </row>
    <row r="1170" spans="35:50">
      <c r="AI1170" s="99"/>
      <c r="AM1170" s="99"/>
      <c r="AO1170" s="99"/>
      <c r="AR1170" s="6"/>
      <c r="AS1170" s="6"/>
      <c r="AT1170" s="6"/>
      <c r="AU1170" s="89"/>
      <c r="AV1170" s="100"/>
      <c r="AW1170" s="65"/>
      <c r="AX1170" s="3"/>
    </row>
    <row r="1171" spans="35:50">
      <c r="AI1171" s="99"/>
      <c r="AM1171" s="99"/>
      <c r="AO1171" s="99"/>
      <c r="AR1171" s="6"/>
      <c r="AS1171" s="6"/>
      <c r="AT1171" s="6"/>
      <c r="AU1171" s="89"/>
      <c r="AV1171" s="100"/>
      <c r="AW1171" s="65"/>
      <c r="AX1171" s="3"/>
    </row>
    <row r="1172" spans="35:50">
      <c r="AI1172" s="99"/>
      <c r="AM1172" s="99"/>
      <c r="AO1172" s="99"/>
      <c r="AR1172" s="6"/>
      <c r="AS1172" s="6"/>
      <c r="AT1172" s="6"/>
      <c r="AU1172" s="89"/>
      <c r="AV1172" s="100"/>
      <c r="AW1172" s="65"/>
      <c r="AX1172" s="3"/>
    </row>
    <row r="1173" spans="35:50">
      <c r="AI1173" s="99"/>
      <c r="AM1173" s="99"/>
      <c r="AO1173" s="99"/>
      <c r="AR1173" s="6"/>
      <c r="AS1173" s="6"/>
      <c r="AT1173" s="6"/>
      <c r="AU1173" s="89"/>
      <c r="AV1173" s="100"/>
      <c r="AW1173" s="65"/>
      <c r="AX1173" s="3"/>
    </row>
    <row r="1174" spans="35:50">
      <c r="AI1174" s="99"/>
      <c r="AM1174" s="99"/>
      <c r="AO1174" s="99"/>
      <c r="AR1174" s="6"/>
      <c r="AS1174" s="6"/>
      <c r="AT1174" s="6"/>
      <c r="AU1174" s="89"/>
      <c r="AV1174" s="100"/>
      <c r="AW1174" s="65"/>
      <c r="AX1174" s="3"/>
    </row>
    <row r="1175" spans="35:50">
      <c r="AI1175" s="99"/>
      <c r="AM1175" s="99"/>
      <c r="AO1175" s="99"/>
      <c r="AR1175" s="6"/>
      <c r="AS1175" s="6"/>
      <c r="AT1175" s="6"/>
      <c r="AU1175" s="89"/>
      <c r="AV1175" s="100"/>
      <c r="AW1175" s="65"/>
      <c r="AX1175" s="3"/>
    </row>
    <row r="1176" spans="35:50">
      <c r="AI1176" s="99"/>
      <c r="AM1176" s="99"/>
      <c r="AO1176" s="99"/>
      <c r="AR1176" s="6"/>
      <c r="AS1176" s="6"/>
      <c r="AT1176" s="6"/>
      <c r="AU1176" s="89"/>
      <c r="AV1176" s="100"/>
      <c r="AW1176" s="65"/>
      <c r="AX1176" s="3"/>
    </row>
    <row r="1177" spans="35:50">
      <c r="AI1177" s="99"/>
      <c r="AM1177" s="99"/>
      <c r="AO1177" s="99"/>
      <c r="AR1177" s="6"/>
      <c r="AS1177" s="6"/>
      <c r="AT1177" s="6"/>
      <c r="AU1177" s="89"/>
      <c r="AV1177" s="100"/>
      <c r="AW1177" s="65"/>
      <c r="AX1177" s="3"/>
    </row>
    <row r="1178" spans="35:50">
      <c r="AI1178" s="99"/>
      <c r="AM1178" s="99"/>
      <c r="AO1178" s="99"/>
      <c r="AR1178" s="6"/>
      <c r="AS1178" s="6"/>
      <c r="AT1178" s="6"/>
      <c r="AU1178" s="89"/>
      <c r="AV1178" s="100"/>
      <c r="AW1178" s="65"/>
      <c r="AX1178" s="3"/>
    </row>
    <row r="1179" spans="35:50">
      <c r="AI1179" s="99"/>
      <c r="AM1179" s="99"/>
      <c r="AO1179" s="99"/>
      <c r="AR1179" s="6"/>
      <c r="AS1179" s="6"/>
      <c r="AT1179" s="6"/>
      <c r="AU1179" s="89"/>
      <c r="AV1179" s="100"/>
      <c r="AW1179" s="65"/>
      <c r="AX1179" s="3"/>
    </row>
    <row r="1180" spans="35:50">
      <c r="AI1180" s="99"/>
      <c r="AM1180" s="99"/>
      <c r="AO1180" s="99"/>
      <c r="AR1180" s="6"/>
      <c r="AS1180" s="6"/>
      <c r="AT1180" s="6"/>
      <c r="AU1180" s="89"/>
      <c r="AV1180" s="100"/>
      <c r="AW1180" s="65"/>
      <c r="AX1180" s="3"/>
    </row>
    <row r="1181" spans="35:50">
      <c r="AI1181" s="99"/>
      <c r="AM1181" s="99"/>
      <c r="AO1181" s="99"/>
      <c r="AR1181" s="6"/>
      <c r="AS1181" s="6"/>
      <c r="AT1181" s="6"/>
      <c r="AU1181" s="89"/>
      <c r="AV1181" s="100"/>
      <c r="AW1181" s="65"/>
      <c r="AX1181" s="3"/>
    </row>
    <row r="1182" spans="35:50">
      <c r="AI1182" s="99"/>
      <c r="AM1182" s="99"/>
      <c r="AO1182" s="99"/>
      <c r="AR1182" s="6"/>
      <c r="AS1182" s="6"/>
      <c r="AT1182" s="6"/>
      <c r="AU1182" s="89"/>
      <c r="AV1182" s="100"/>
      <c r="AW1182" s="65"/>
      <c r="AX1182" s="3"/>
    </row>
    <row r="1183" spans="35:50">
      <c r="AI1183" s="99"/>
      <c r="AM1183" s="99"/>
      <c r="AO1183" s="99"/>
      <c r="AR1183" s="6"/>
      <c r="AS1183" s="6"/>
      <c r="AT1183" s="6"/>
      <c r="AU1183" s="89"/>
      <c r="AV1183" s="100"/>
      <c r="AW1183" s="65"/>
      <c r="AX1183" s="3"/>
    </row>
    <row r="1184" spans="35:50">
      <c r="AI1184" s="99"/>
      <c r="AM1184" s="99"/>
      <c r="AO1184" s="99"/>
      <c r="AR1184" s="6"/>
      <c r="AS1184" s="6"/>
      <c r="AT1184" s="6"/>
      <c r="AU1184" s="89"/>
      <c r="AV1184" s="100"/>
      <c r="AW1184" s="65"/>
      <c r="AX1184" s="3"/>
    </row>
    <row r="1185" spans="35:50">
      <c r="AI1185" s="99"/>
      <c r="AM1185" s="99"/>
      <c r="AO1185" s="99"/>
      <c r="AR1185" s="6"/>
      <c r="AS1185" s="6"/>
      <c r="AT1185" s="6"/>
      <c r="AU1185" s="89"/>
      <c r="AV1185" s="100"/>
      <c r="AW1185" s="65"/>
      <c r="AX1185" s="3"/>
    </row>
    <row r="1186" spans="35:50">
      <c r="AI1186" s="99"/>
      <c r="AM1186" s="99"/>
      <c r="AO1186" s="99"/>
      <c r="AR1186" s="6"/>
      <c r="AS1186" s="6"/>
      <c r="AT1186" s="6"/>
      <c r="AU1186" s="89"/>
      <c r="AV1186" s="100"/>
      <c r="AW1186" s="65"/>
      <c r="AX1186" s="3"/>
    </row>
    <row r="1187" spans="35:50">
      <c r="AI1187" s="99"/>
      <c r="AM1187" s="99"/>
      <c r="AO1187" s="99"/>
      <c r="AR1187" s="6"/>
      <c r="AS1187" s="6"/>
      <c r="AT1187" s="6"/>
      <c r="AU1187" s="89"/>
      <c r="AV1187" s="100"/>
      <c r="AW1187" s="65"/>
      <c r="AX1187" s="3"/>
    </row>
    <row r="1188" spans="35:50">
      <c r="AI1188" s="99"/>
      <c r="AM1188" s="99"/>
      <c r="AO1188" s="99"/>
      <c r="AR1188" s="6"/>
      <c r="AS1188" s="6"/>
      <c r="AT1188" s="6"/>
      <c r="AU1188" s="89"/>
      <c r="AV1188" s="100"/>
      <c r="AW1188" s="65"/>
      <c r="AX1188" s="3"/>
    </row>
    <row r="1189" spans="35:50">
      <c r="AI1189" s="99"/>
      <c r="AM1189" s="99"/>
      <c r="AO1189" s="99"/>
      <c r="AR1189" s="6"/>
      <c r="AS1189" s="6"/>
      <c r="AT1189" s="6"/>
      <c r="AU1189" s="89"/>
      <c r="AV1189" s="100"/>
      <c r="AW1189" s="65"/>
      <c r="AX1189" s="3"/>
    </row>
    <row r="1190" spans="35:50">
      <c r="AI1190" s="99"/>
      <c r="AM1190" s="99"/>
      <c r="AO1190" s="99"/>
      <c r="AR1190" s="6"/>
      <c r="AS1190" s="6"/>
      <c r="AT1190" s="6"/>
      <c r="AU1190" s="89"/>
      <c r="AV1190" s="100"/>
      <c r="AW1190" s="65"/>
      <c r="AX1190" s="3"/>
    </row>
    <row r="1191" spans="35:50">
      <c r="AI1191" s="99"/>
      <c r="AM1191" s="99"/>
      <c r="AO1191" s="99"/>
      <c r="AR1191" s="6"/>
      <c r="AS1191" s="6"/>
      <c r="AT1191" s="6"/>
      <c r="AU1191" s="89"/>
      <c r="AV1191" s="100"/>
      <c r="AW1191" s="65"/>
      <c r="AX1191" s="3"/>
    </row>
    <row r="1192" spans="35:50">
      <c r="AI1192" s="99"/>
      <c r="AM1192" s="99"/>
      <c r="AO1192" s="99"/>
      <c r="AR1192" s="6"/>
      <c r="AS1192" s="6"/>
      <c r="AT1192" s="6"/>
      <c r="AU1192" s="89"/>
      <c r="AV1192" s="100"/>
      <c r="AW1192" s="65"/>
      <c r="AX1192" s="3"/>
    </row>
    <row r="1193" spans="35:50">
      <c r="AI1193" s="99"/>
      <c r="AM1193" s="99"/>
      <c r="AO1193" s="99"/>
      <c r="AR1193" s="6"/>
      <c r="AS1193" s="6"/>
      <c r="AT1193" s="6"/>
      <c r="AU1193" s="89"/>
      <c r="AV1193" s="100"/>
      <c r="AW1193" s="65"/>
      <c r="AX1193" s="3"/>
    </row>
    <row r="1194" spans="35:50">
      <c r="AI1194" s="99"/>
      <c r="AM1194" s="99"/>
      <c r="AO1194" s="99"/>
      <c r="AR1194" s="6"/>
      <c r="AS1194" s="6"/>
      <c r="AT1194" s="6"/>
      <c r="AU1194" s="89"/>
      <c r="AV1194" s="100"/>
      <c r="AW1194" s="65"/>
      <c r="AX1194" s="3"/>
    </row>
    <row r="1195" spans="35:50">
      <c r="AI1195" s="99"/>
      <c r="AM1195" s="99"/>
      <c r="AO1195" s="99"/>
      <c r="AR1195" s="6"/>
      <c r="AS1195" s="6"/>
      <c r="AT1195" s="6"/>
      <c r="AU1195" s="89"/>
      <c r="AV1195" s="100"/>
      <c r="AW1195" s="65"/>
      <c r="AX1195" s="3"/>
    </row>
    <row r="1196" spans="35:50">
      <c r="AI1196" s="99"/>
      <c r="AM1196" s="99"/>
      <c r="AO1196" s="99"/>
      <c r="AR1196" s="6"/>
      <c r="AS1196" s="6"/>
      <c r="AT1196" s="6"/>
      <c r="AU1196" s="89"/>
      <c r="AV1196" s="100"/>
      <c r="AW1196" s="65"/>
      <c r="AX1196" s="3"/>
    </row>
    <row r="1197" spans="35:50">
      <c r="AI1197" s="99"/>
      <c r="AM1197" s="99"/>
      <c r="AO1197" s="99"/>
      <c r="AR1197" s="6"/>
      <c r="AS1197" s="6"/>
      <c r="AT1197" s="6"/>
      <c r="AU1197" s="89"/>
      <c r="AV1197" s="100"/>
      <c r="AW1197" s="65"/>
      <c r="AX1197" s="3"/>
    </row>
    <row r="1198" spans="35:50">
      <c r="AI1198" s="99"/>
      <c r="AM1198" s="99"/>
      <c r="AO1198" s="99"/>
      <c r="AR1198" s="6"/>
      <c r="AS1198" s="6"/>
      <c r="AT1198" s="6"/>
      <c r="AU1198" s="89"/>
      <c r="AV1198" s="100"/>
      <c r="AW1198" s="65"/>
      <c r="AX1198" s="3"/>
    </row>
    <row r="1199" spans="35:50">
      <c r="AI1199" s="99"/>
      <c r="AM1199" s="99"/>
      <c r="AO1199" s="99"/>
      <c r="AR1199" s="6"/>
      <c r="AS1199" s="6"/>
      <c r="AT1199" s="6"/>
      <c r="AU1199" s="89"/>
      <c r="AV1199" s="100"/>
      <c r="AW1199" s="65"/>
      <c r="AX1199" s="3"/>
    </row>
    <row r="1200" spans="35:50">
      <c r="AI1200" s="99"/>
      <c r="AM1200" s="99"/>
      <c r="AO1200" s="99"/>
      <c r="AR1200" s="6"/>
      <c r="AS1200" s="6"/>
      <c r="AT1200" s="6"/>
      <c r="AU1200" s="89"/>
      <c r="AV1200" s="100"/>
      <c r="AW1200" s="65"/>
      <c r="AX1200" s="3"/>
    </row>
    <row r="1201" spans="35:50">
      <c r="AI1201" s="99"/>
      <c r="AM1201" s="99"/>
      <c r="AO1201" s="99"/>
      <c r="AR1201" s="6"/>
      <c r="AS1201" s="6"/>
      <c r="AT1201" s="6"/>
      <c r="AU1201" s="89"/>
      <c r="AV1201" s="100"/>
      <c r="AW1201" s="65"/>
      <c r="AX1201" s="3"/>
    </row>
    <row r="1202" spans="35:50">
      <c r="AI1202" s="99"/>
      <c r="AM1202" s="99"/>
      <c r="AO1202" s="99"/>
      <c r="AR1202" s="6"/>
      <c r="AS1202" s="6"/>
      <c r="AT1202" s="6"/>
      <c r="AU1202" s="89"/>
      <c r="AV1202" s="100"/>
      <c r="AW1202" s="65"/>
      <c r="AX1202" s="3"/>
    </row>
    <row r="1203" spans="35:50">
      <c r="AI1203" s="99"/>
      <c r="AM1203" s="99"/>
      <c r="AO1203" s="99"/>
      <c r="AR1203" s="6"/>
      <c r="AS1203" s="6"/>
      <c r="AT1203" s="6"/>
      <c r="AU1203" s="89"/>
      <c r="AV1203" s="100"/>
      <c r="AW1203" s="65"/>
      <c r="AX1203" s="3"/>
    </row>
    <row r="1204" spans="35:50">
      <c r="AI1204" s="99"/>
      <c r="AM1204" s="99"/>
      <c r="AO1204" s="99"/>
      <c r="AR1204" s="6"/>
      <c r="AS1204" s="6"/>
      <c r="AT1204" s="6"/>
      <c r="AU1204" s="89"/>
      <c r="AV1204" s="100"/>
      <c r="AW1204" s="65"/>
      <c r="AX1204" s="3"/>
    </row>
    <row r="1205" spans="35:50">
      <c r="AI1205" s="99"/>
      <c r="AM1205" s="99"/>
      <c r="AO1205" s="99"/>
      <c r="AR1205" s="6"/>
      <c r="AS1205" s="6"/>
      <c r="AT1205" s="6"/>
      <c r="AU1205" s="89"/>
      <c r="AV1205" s="100"/>
      <c r="AW1205" s="65"/>
      <c r="AX1205" s="3"/>
    </row>
    <row r="1206" spans="35:50">
      <c r="AI1206" s="99"/>
      <c r="AM1206" s="99"/>
      <c r="AO1206" s="99"/>
      <c r="AR1206" s="6"/>
      <c r="AS1206" s="6"/>
      <c r="AT1206" s="6"/>
      <c r="AU1206" s="89"/>
      <c r="AV1206" s="100"/>
      <c r="AW1206" s="65"/>
      <c r="AX1206" s="3"/>
    </row>
    <row r="1207" spans="35:50">
      <c r="AI1207" s="99"/>
      <c r="AM1207" s="99"/>
      <c r="AO1207" s="99"/>
      <c r="AR1207" s="6"/>
      <c r="AS1207" s="6"/>
      <c r="AT1207" s="6"/>
      <c r="AU1207" s="89"/>
      <c r="AV1207" s="100"/>
      <c r="AW1207" s="65"/>
      <c r="AX1207" s="3"/>
    </row>
    <row r="1208" spans="35:50">
      <c r="AI1208" s="99"/>
      <c r="AM1208" s="99"/>
      <c r="AO1208" s="99"/>
      <c r="AR1208" s="6"/>
      <c r="AS1208" s="6"/>
      <c r="AT1208" s="6"/>
      <c r="AU1208" s="89"/>
      <c r="AV1208" s="100"/>
      <c r="AW1208" s="65"/>
      <c r="AX1208" s="3"/>
    </row>
    <row r="1209" spans="35:50">
      <c r="AI1209" s="99"/>
      <c r="AM1209" s="99"/>
      <c r="AO1209" s="99"/>
      <c r="AR1209" s="6"/>
      <c r="AS1209" s="6"/>
      <c r="AT1209" s="6"/>
      <c r="AU1209" s="89"/>
      <c r="AV1209" s="100"/>
      <c r="AW1209" s="65"/>
      <c r="AX1209" s="3"/>
    </row>
    <row r="1210" spans="35:50">
      <c r="AI1210" s="99"/>
      <c r="AM1210" s="99"/>
      <c r="AO1210" s="99"/>
      <c r="AR1210" s="6"/>
      <c r="AS1210" s="6"/>
      <c r="AT1210" s="6"/>
      <c r="AU1210" s="89"/>
      <c r="AV1210" s="100"/>
      <c r="AW1210" s="65"/>
      <c r="AX1210" s="3"/>
    </row>
    <row r="1211" spans="35:50">
      <c r="AI1211" s="99"/>
      <c r="AM1211" s="99"/>
      <c r="AO1211" s="99"/>
      <c r="AR1211" s="6"/>
      <c r="AS1211" s="6"/>
      <c r="AT1211" s="6"/>
      <c r="AU1211" s="89"/>
      <c r="AV1211" s="100"/>
      <c r="AW1211" s="65"/>
      <c r="AX1211" s="3"/>
    </row>
    <row r="1212" spans="35:50">
      <c r="AI1212" s="99"/>
      <c r="AM1212" s="99"/>
      <c r="AO1212" s="99"/>
      <c r="AR1212" s="6"/>
      <c r="AS1212" s="6"/>
      <c r="AT1212" s="6"/>
      <c r="AU1212" s="89"/>
      <c r="AV1212" s="100"/>
      <c r="AW1212" s="65"/>
      <c r="AX1212" s="3"/>
    </row>
    <row r="1213" spans="35:50">
      <c r="AI1213" s="99"/>
      <c r="AM1213" s="99"/>
      <c r="AO1213" s="99"/>
      <c r="AR1213" s="6"/>
      <c r="AS1213" s="6"/>
      <c r="AT1213" s="6"/>
      <c r="AU1213" s="89"/>
      <c r="AV1213" s="100"/>
      <c r="AW1213" s="65"/>
      <c r="AX1213" s="3"/>
    </row>
    <row r="1214" spans="35:50">
      <c r="AI1214" s="99"/>
      <c r="AM1214" s="99"/>
      <c r="AO1214" s="99"/>
      <c r="AR1214" s="6"/>
      <c r="AS1214" s="6"/>
      <c r="AT1214" s="6"/>
      <c r="AU1214" s="89"/>
      <c r="AV1214" s="100"/>
      <c r="AW1214" s="65"/>
      <c r="AX1214" s="3"/>
    </row>
    <row r="1215" spans="35:50">
      <c r="AI1215" s="99"/>
      <c r="AM1215" s="99"/>
      <c r="AO1215" s="99"/>
      <c r="AR1215" s="6"/>
      <c r="AS1215" s="6"/>
      <c r="AT1215" s="6"/>
      <c r="AU1215" s="89"/>
      <c r="AV1215" s="100"/>
      <c r="AW1215" s="65"/>
      <c r="AX1215" s="3"/>
    </row>
    <row r="1216" spans="35:50">
      <c r="AI1216" s="99"/>
      <c r="AM1216" s="99"/>
      <c r="AO1216" s="99"/>
      <c r="AR1216" s="6"/>
      <c r="AS1216" s="6"/>
      <c r="AT1216" s="6"/>
      <c r="AU1216" s="89"/>
      <c r="AV1216" s="100"/>
      <c r="AW1216" s="65"/>
      <c r="AX1216" s="3"/>
    </row>
    <row r="1217" spans="35:50">
      <c r="AI1217" s="99"/>
      <c r="AM1217" s="99"/>
      <c r="AO1217" s="99"/>
      <c r="AR1217" s="6"/>
      <c r="AS1217" s="6"/>
      <c r="AT1217" s="6"/>
      <c r="AU1217" s="89"/>
      <c r="AV1217" s="100"/>
      <c r="AW1217" s="65"/>
      <c r="AX1217" s="3"/>
    </row>
    <row r="1218" spans="35:50">
      <c r="AI1218" s="99"/>
      <c r="AM1218" s="99"/>
      <c r="AO1218" s="99"/>
      <c r="AR1218" s="6"/>
      <c r="AS1218" s="6"/>
      <c r="AT1218" s="6"/>
      <c r="AU1218" s="89"/>
      <c r="AV1218" s="100"/>
      <c r="AW1218" s="65"/>
      <c r="AX1218" s="3"/>
    </row>
    <row r="1219" spans="35:50">
      <c r="AI1219" s="99"/>
      <c r="AM1219" s="99"/>
      <c r="AO1219" s="99"/>
      <c r="AR1219" s="6"/>
      <c r="AS1219" s="6"/>
      <c r="AT1219" s="6"/>
      <c r="AU1219" s="89"/>
      <c r="AV1219" s="100"/>
      <c r="AW1219" s="65"/>
      <c r="AX1219" s="3"/>
    </row>
    <row r="1220" spans="35:50">
      <c r="AI1220" s="99"/>
      <c r="AM1220" s="99"/>
      <c r="AO1220" s="99"/>
      <c r="AR1220" s="6"/>
      <c r="AS1220" s="6"/>
      <c r="AT1220" s="6"/>
      <c r="AU1220" s="89"/>
      <c r="AV1220" s="100"/>
      <c r="AW1220" s="65"/>
      <c r="AX1220" s="3"/>
    </row>
    <row r="1221" spans="35:50">
      <c r="AI1221" s="99"/>
      <c r="AM1221" s="99"/>
      <c r="AO1221" s="99"/>
      <c r="AR1221" s="6"/>
      <c r="AS1221" s="6"/>
      <c r="AT1221" s="6"/>
      <c r="AU1221" s="89"/>
      <c r="AV1221" s="100"/>
      <c r="AW1221" s="65"/>
      <c r="AX1221" s="3"/>
    </row>
    <row r="1222" spans="35:50">
      <c r="AI1222" s="99"/>
      <c r="AM1222" s="99"/>
      <c r="AO1222" s="99"/>
      <c r="AR1222" s="6"/>
      <c r="AS1222" s="6"/>
      <c r="AT1222" s="6"/>
      <c r="AU1222" s="89"/>
      <c r="AV1222" s="100"/>
      <c r="AW1222" s="65"/>
      <c r="AX1222" s="3"/>
    </row>
    <row r="1223" spans="35:50">
      <c r="AI1223" s="99"/>
      <c r="AM1223" s="99"/>
      <c r="AO1223" s="99"/>
      <c r="AR1223" s="6"/>
      <c r="AS1223" s="6"/>
      <c r="AT1223" s="6"/>
      <c r="AU1223" s="89"/>
      <c r="AV1223" s="100"/>
      <c r="AW1223" s="65"/>
      <c r="AX1223" s="3"/>
    </row>
    <row r="1224" spans="35:50">
      <c r="AI1224" s="99"/>
      <c r="AM1224" s="99"/>
      <c r="AO1224" s="99"/>
      <c r="AR1224" s="6"/>
      <c r="AS1224" s="6"/>
      <c r="AT1224" s="6"/>
      <c r="AU1224" s="89"/>
      <c r="AV1224" s="100"/>
      <c r="AW1224" s="65"/>
      <c r="AX1224" s="3"/>
    </row>
    <row r="1225" spans="35:50">
      <c r="AI1225" s="99"/>
      <c r="AM1225" s="99"/>
      <c r="AO1225" s="99"/>
      <c r="AR1225" s="6"/>
      <c r="AS1225" s="6"/>
      <c r="AT1225" s="6"/>
      <c r="AU1225" s="89"/>
      <c r="AV1225" s="100"/>
      <c r="AW1225" s="65"/>
      <c r="AX1225" s="3"/>
    </row>
    <row r="1226" spans="35:50">
      <c r="AI1226" s="99"/>
      <c r="AM1226" s="99"/>
      <c r="AO1226" s="99"/>
      <c r="AR1226" s="6"/>
      <c r="AS1226" s="6"/>
      <c r="AT1226" s="6"/>
      <c r="AU1226" s="89"/>
      <c r="AV1226" s="100"/>
      <c r="AW1226" s="65"/>
      <c r="AX1226" s="3"/>
    </row>
    <row r="1227" spans="35:50">
      <c r="AI1227" s="99"/>
      <c r="AM1227" s="99"/>
      <c r="AO1227" s="99"/>
      <c r="AR1227" s="6"/>
      <c r="AS1227" s="6"/>
      <c r="AT1227" s="6"/>
      <c r="AU1227" s="89"/>
      <c r="AV1227" s="100"/>
      <c r="AW1227" s="65"/>
      <c r="AX1227" s="3"/>
    </row>
    <row r="1228" spans="35:50">
      <c r="AI1228" s="99"/>
      <c r="AM1228" s="99"/>
      <c r="AO1228" s="99"/>
      <c r="AR1228" s="6"/>
      <c r="AS1228" s="6"/>
      <c r="AT1228" s="6"/>
      <c r="AU1228" s="89"/>
      <c r="AV1228" s="100"/>
      <c r="AW1228" s="65"/>
      <c r="AX1228" s="3"/>
    </row>
    <row r="1229" spans="35:50">
      <c r="AI1229" s="99"/>
      <c r="AM1229" s="99"/>
      <c r="AO1229" s="99"/>
      <c r="AR1229" s="6"/>
      <c r="AS1229" s="6"/>
      <c r="AT1229" s="6"/>
      <c r="AU1229" s="89"/>
      <c r="AV1229" s="100"/>
      <c r="AW1229" s="65"/>
      <c r="AX1229" s="3"/>
    </row>
    <row r="1230" spans="35:50">
      <c r="AI1230" s="99"/>
      <c r="AM1230" s="99"/>
      <c r="AO1230" s="99"/>
      <c r="AR1230" s="6"/>
      <c r="AS1230" s="6"/>
      <c r="AT1230" s="6"/>
      <c r="AU1230" s="89"/>
      <c r="AV1230" s="100"/>
      <c r="AW1230" s="65"/>
      <c r="AX1230" s="3"/>
    </row>
    <row r="1231" spans="35:50">
      <c r="AI1231" s="99"/>
      <c r="AM1231" s="99"/>
      <c r="AO1231" s="99"/>
      <c r="AR1231" s="6"/>
      <c r="AS1231" s="6"/>
      <c r="AT1231" s="6"/>
      <c r="AU1231" s="89"/>
      <c r="AV1231" s="100"/>
      <c r="AW1231" s="65"/>
      <c r="AX1231" s="3"/>
    </row>
    <row r="1232" spans="35:50">
      <c r="AI1232" s="99"/>
      <c r="AM1232" s="99"/>
      <c r="AO1232" s="99"/>
      <c r="AR1232" s="6"/>
      <c r="AS1232" s="6"/>
      <c r="AT1232" s="6"/>
      <c r="AU1232" s="89"/>
      <c r="AV1232" s="100"/>
      <c r="AW1232" s="65"/>
      <c r="AX1232" s="3"/>
    </row>
    <row r="1233" spans="35:50">
      <c r="AI1233" s="99"/>
      <c r="AM1233" s="99"/>
      <c r="AO1233" s="99"/>
      <c r="AR1233" s="6"/>
      <c r="AS1233" s="6"/>
      <c r="AT1233" s="6"/>
      <c r="AU1233" s="89"/>
      <c r="AV1233" s="100"/>
      <c r="AW1233" s="65"/>
      <c r="AX1233" s="3"/>
    </row>
    <row r="1234" spans="35:50">
      <c r="AI1234" s="99"/>
      <c r="AM1234" s="99"/>
      <c r="AO1234" s="99"/>
      <c r="AR1234" s="6"/>
      <c r="AS1234" s="6"/>
      <c r="AT1234" s="6"/>
      <c r="AU1234" s="89"/>
      <c r="AV1234" s="100"/>
      <c r="AW1234" s="65"/>
      <c r="AX1234" s="3"/>
    </row>
    <row r="1235" spans="35:50">
      <c r="AI1235" s="99"/>
      <c r="AM1235" s="99"/>
      <c r="AO1235" s="99"/>
      <c r="AR1235" s="6"/>
      <c r="AS1235" s="6"/>
      <c r="AT1235" s="6"/>
      <c r="AU1235" s="89"/>
      <c r="AV1235" s="100"/>
      <c r="AW1235" s="65"/>
      <c r="AX1235" s="3"/>
    </row>
    <row r="1236" spans="35:50">
      <c r="AI1236" s="99"/>
      <c r="AM1236" s="99"/>
      <c r="AO1236" s="99"/>
      <c r="AR1236" s="6"/>
      <c r="AS1236" s="6"/>
      <c r="AT1236" s="6"/>
      <c r="AU1236" s="89"/>
      <c r="AV1236" s="100"/>
      <c r="AW1236" s="65"/>
      <c r="AX1236" s="3"/>
    </row>
    <row r="1237" spans="35:50">
      <c r="AI1237" s="99"/>
      <c r="AM1237" s="99"/>
      <c r="AO1237" s="99"/>
      <c r="AR1237" s="6"/>
      <c r="AS1237" s="6"/>
      <c r="AT1237" s="6"/>
      <c r="AU1237" s="89"/>
      <c r="AV1237" s="100"/>
      <c r="AW1237" s="65"/>
      <c r="AX1237" s="3"/>
    </row>
    <row r="1238" spans="35:50">
      <c r="AI1238" s="99"/>
      <c r="AM1238" s="99"/>
      <c r="AO1238" s="99"/>
      <c r="AR1238" s="6"/>
      <c r="AS1238" s="6"/>
      <c r="AT1238" s="6"/>
      <c r="AU1238" s="89"/>
      <c r="AV1238" s="100"/>
      <c r="AW1238" s="65"/>
      <c r="AX1238" s="3"/>
    </row>
    <row r="1239" spans="35:50">
      <c r="AI1239" s="99"/>
      <c r="AM1239" s="99"/>
      <c r="AO1239" s="99"/>
      <c r="AR1239" s="6"/>
      <c r="AS1239" s="6"/>
      <c r="AT1239" s="6"/>
      <c r="AU1239" s="89"/>
      <c r="AV1239" s="100"/>
      <c r="AW1239" s="65"/>
      <c r="AX1239" s="3"/>
    </row>
    <row r="1240" spans="35:50">
      <c r="AI1240" s="99"/>
      <c r="AM1240" s="99"/>
      <c r="AO1240" s="99"/>
      <c r="AR1240" s="6"/>
      <c r="AS1240" s="6"/>
      <c r="AT1240" s="6"/>
      <c r="AU1240" s="89"/>
      <c r="AV1240" s="100"/>
      <c r="AW1240" s="65"/>
      <c r="AX1240" s="3"/>
    </row>
    <row r="1241" spans="35:50">
      <c r="AI1241" s="99"/>
      <c r="AM1241" s="99"/>
      <c r="AO1241" s="99"/>
      <c r="AR1241" s="6"/>
      <c r="AS1241" s="6"/>
      <c r="AT1241" s="6"/>
      <c r="AU1241" s="89"/>
      <c r="AV1241" s="100"/>
      <c r="AW1241" s="65"/>
      <c r="AX1241" s="3"/>
    </row>
    <row r="1242" spans="35:50">
      <c r="AI1242" s="99"/>
      <c r="AM1242" s="99"/>
      <c r="AO1242" s="99"/>
      <c r="AR1242" s="6"/>
      <c r="AS1242" s="6"/>
      <c r="AT1242" s="6"/>
      <c r="AU1242" s="89"/>
      <c r="AV1242" s="100"/>
      <c r="AW1242" s="65"/>
      <c r="AX1242" s="3"/>
    </row>
    <row r="1243" spans="35:50">
      <c r="AI1243" s="99"/>
      <c r="AM1243" s="99"/>
      <c r="AO1243" s="99"/>
      <c r="AR1243" s="6"/>
      <c r="AS1243" s="6"/>
      <c r="AT1243" s="6"/>
      <c r="AU1243" s="89"/>
      <c r="AV1243" s="100"/>
      <c r="AW1243" s="65"/>
      <c r="AX1243" s="3"/>
    </row>
    <row r="1244" spans="35:50">
      <c r="AI1244" s="99"/>
      <c r="AM1244" s="99"/>
      <c r="AO1244" s="99"/>
      <c r="AR1244" s="6"/>
      <c r="AS1244" s="6"/>
      <c r="AT1244" s="6"/>
      <c r="AU1244" s="89"/>
      <c r="AV1244" s="100"/>
      <c r="AW1244" s="65"/>
      <c r="AX1244" s="3"/>
    </row>
    <row r="1245" spans="35:50">
      <c r="AI1245" s="99"/>
      <c r="AM1245" s="99"/>
      <c r="AO1245" s="99"/>
      <c r="AR1245" s="6"/>
      <c r="AS1245" s="6"/>
      <c r="AT1245" s="6"/>
      <c r="AU1245" s="89"/>
      <c r="AV1245" s="100"/>
      <c r="AW1245" s="65"/>
      <c r="AX1245" s="3"/>
    </row>
    <row r="1246" spans="35:50">
      <c r="AI1246" s="99"/>
      <c r="AM1246" s="99"/>
      <c r="AO1246" s="99"/>
      <c r="AR1246" s="6"/>
      <c r="AS1246" s="6"/>
      <c r="AT1246" s="6"/>
      <c r="AU1246" s="89"/>
      <c r="AV1246" s="100"/>
      <c r="AW1246" s="65"/>
      <c r="AX1246" s="3"/>
    </row>
    <row r="1247" spans="35:50">
      <c r="AI1247" s="99"/>
      <c r="AM1247" s="99"/>
      <c r="AO1247" s="99"/>
      <c r="AR1247" s="6"/>
      <c r="AS1247" s="6"/>
      <c r="AT1247" s="6"/>
      <c r="AU1247" s="89"/>
      <c r="AV1247" s="100"/>
      <c r="AW1247" s="65"/>
      <c r="AX1247" s="3"/>
    </row>
    <row r="1248" spans="35:50">
      <c r="AI1248" s="99"/>
      <c r="AM1248" s="99"/>
      <c r="AO1248" s="99"/>
      <c r="AR1248" s="6"/>
      <c r="AS1248" s="6"/>
      <c r="AT1248" s="6"/>
      <c r="AU1248" s="89"/>
      <c r="AV1248" s="100"/>
      <c r="AW1248" s="65"/>
      <c r="AX1248" s="3"/>
    </row>
    <row r="1249" spans="35:50">
      <c r="AI1249" s="99"/>
      <c r="AM1249" s="99"/>
      <c r="AO1249" s="99"/>
      <c r="AR1249" s="6"/>
      <c r="AS1249" s="6"/>
      <c r="AT1249" s="6"/>
      <c r="AU1249" s="89"/>
      <c r="AV1249" s="100"/>
      <c r="AW1249" s="65"/>
      <c r="AX1249" s="3"/>
    </row>
    <row r="1250" spans="35:50">
      <c r="AI1250" s="99"/>
      <c r="AM1250" s="99"/>
      <c r="AO1250" s="99"/>
      <c r="AR1250" s="6"/>
      <c r="AS1250" s="6"/>
      <c r="AT1250" s="6"/>
      <c r="AU1250" s="89"/>
      <c r="AV1250" s="100"/>
      <c r="AW1250" s="65"/>
      <c r="AX1250" s="3"/>
    </row>
    <row r="1251" spans="35:50">
      <c r="AI1251" s="99"/>
      <c r="AM1251" s="99"/>
      <c r="AO1251" s="99"/>
      <c r="AR1251" s="6"/>
      <c r="AS1251" s="6"/>
      <c r="AT1251" s="6"/>
      <c r="AU1251" s="89"/>
      <c r="AV1251" s="100"/>
      <c r="AW1251" s="65"/>
      <c r="AX1251" s="3"/>
    </row>
    <row r="1252" spans="35:50">
      <c r="AI1252" s="99"/>
      <c r="AM1252" s="99"/>
      <c r="AO1252" s="99"/>
      <c r="AR1252" s="6"/>
      <c r="AS1252" s="6"/>
      <c r="AT1252" s="6"/>
      <c r="AU1252" s="89"/>
      <c r="AV1252" s="100"/>
      <c r="AW1252" s="65"/>
      <c r="AX1252" s="3"/>
    </row>
    <row r="1253" spans="35:50">
      <c r="AI1253" s="99"/>
      <c r="AM1253" s="99"/>
      <c r="AO1253" s="99"/>
      <c r="AR1253" s="6"/>
      <c r="AS1253" s="6"/>
      <c r="AT1253" s="6"/>
      <c r="AU1253" s="89"/>
      <c r="AV1253" s="100"/>
      <c r="AW1253" s="65"/>
      <c r="AX1253" s="3"/>
    </row>
    <row r="1254" spans="35:50">
      <c r="AI1254" s="99"/>
      <c r="AM1254" s="99"/>
      <c r="AO1254" s="99"/>
      <c r="AR1254" s="6"/>
      <c r="AS1254" s="6"/>
      <c r="AT1254" s="6"/>
      <c r="AU1254" s="89"/>
      <c r="AV1254" s="100"/>
      <c r="AW1254" s="65"/>
      <c r="AX1254" s="3"/>
    </row>
    <row r="1255" spans="35:50">
      <c r="AI1255" s="99"/>
      <c r="AM1255" s="99"/>
      <c r="AO1255" s="99"/>
      <c r="AR1255" s="6"/>
      <c r="AS1255" s="6"/>
      <c r="AT1255" s="6"/>
      <c r="AU1255" s="89"/>
      <c r="AV1255" s="100"/>
      <c r="AW1255" s="65"/>
      <c r="AX1255" s="3"/>
    </row>
    <row r="1256" spans="35:50">
      <c r="AI1256" s="99"/>
      <c r="AM1256" s="99"/>
      <c r="AO1256" s="99"/>
      <c r="AR1256" s="6"/>
      <c r="AS1256" s="6"/>
      <c r="AT1256" s="6"/>
      <c r="AU1256" s="89"/>
      <c r="AV1256" s="100"/>
      <c r="AW1256" s="65"/>
      <c r="AX1256" s="3"/>
    </row>
    <row r="1257" spans="35:50">
      <c r="AI1257" s="99"/>
      <c r="AM1257" s="99"/>
      <c r="AO1257" s="99"/>
      <c r="AR1257" s="6"/>
      <c r="AS1257" s="6"/>
      <c r="AT1257" s="6"/>
      <c r="AU1257" s="89"/>
      <c r="AV1257" s="100"/>
      <c r="AW1257" s="65"/>
      <c r="AX1257" s="3"/>
    </row>
    <row r="1258" spans="35:50">
      <c r="AI1258" s="99"/>
      <c r="AM1258" s="99"/>
      <c r="AO1258" s="99"/>
      <c r="AR1258" s="6"/>
      <c r="AS1258" s="6"/>
      <c r="AT1258" s="6"/>
      <c r="AU1258" s="89"/>
      <c r="AV1258" s="100"/>
      <c r="AW1258" s="65"/>
      <c r="AX1258" s="3"/>
    </row>
    <row r="1259" spans="35:50">
      <c r="AI1259" s="99"/>
      <c r="AM1259" s="99"/>
      <c r="AO1259" s="99"/>
      <c r="AR1259" s="6"/>
      <c r="AS1259" s="6"/>
      <c r="AT1259" s="6"/>
      <c r="AU1259" s="89"/>
      <c r="AV1259" s="100"/>
      <c r="AW1259" s="65"/>
      <c r="AX1259" s="3"/>
    </row>
    <row r="1260" spans="35:50">
      <c r="AI1260" s="99"/>
      <c r="AM1260" s="99"/>
      <c r="AO1260" s="99"/>
      <c r="AR1260" s="6"/>
      <c r="AS1260" s="6"/>
      <c r="AT1260" s="6"/>
      <c r="AU1260" s="89"/>
      <c r="AV1260" s="100"/>
      <c r="AW1260" s="65"/>
      <c r="AX1260" s="3"/>
    </row>
    <row r="1261" spans="35:50">
      <c r="AI1261" s="99"/>
      <c r="AM1261" s="99"/>
      <c r="AO1261" s="99"/>
      <c r="AR1261" s="6"/>
      <c r="AS1261" s="6"/>
      <c r="AT1261" s="6"/>
      <c r="AU1261" s="89"/>
      <c r="AV1261" s="100"/>
      <c r="AW1261" s="65"/>
      <c r="AX1261" s="3"/>
    </row>
    <row r="1262" spans="35:50">
      <c r="AI1262" s="99"/>
      <c r="AM1262" s="99"/>
      <c r="AO1262" s="99"/>
      <c r="AR1262" s="6"/>
      <c r="AS1262" s="6"/>
      <c r="AT1262" s="6"/>
      <c r="AU1262" s="89"/>
      <c r="AV1262" s="100"/>
      <c r="AW1262" s="65"/>
      <c r="AX1262" s="3"/>
    </row>
    <row r="1263" spans="35:50">
      <c r="AI1263" s="99"/>
      <c r="AM1263" s="99"/>
      <c r="AO1263" s="99"/>
      <c r="AR1263" s="6"/>
      <c r="AS1263" s="6"/>
      <c r="AT1263" s="6"/>
      <c r="AU1263" s="89"/>
      <c r="AV1263" s="100"/>
      <c r="AW1263" s="65"/>
      <c r="AX1263" s="3"/>
    </row>
    <row r="1264" spans="35:50">
      <c r="AI1264" s="99"/>
      <c r="AM1264" s="99"/>
      <c r="AO1264" s="99"/>
      <c r="AR1264" s="6"/>
      <c r="AS1264" s="6"/>
      <c r="AT1264" s="6"/>
      <c r="AU1264" s="89"/>
      <c r="AV1264" s="100"/>
      <c r="AW1264" s="65"/>
      <c r="AX1264" s="3"/>
    </row>
    <row r="1265" spans="35:50">
      <c r="AI1265" s="99"/>
      <c r="AM1265" s="99"/>
      <c r="AO1265" s="99"/>
      <c r="AR1265" s="6"/>
      <c r="AS1265" s="6"/>
      <c r="AT1265" s="6"/>
      <c r="AU1265" s="89"/>
      <c r="AV1265" s="100"/>
      <c r="AW1265" s="65"/>
      <c r="AX1265" s="3"/>
    </row>
    <row r="1266" spans="35:50">
      <c r="AI1266" s="99"/>
      <c r="AM1266" s="99"/>
      <c r="AO1266" s="99"/>
      <c r="AR1266" s="6"/>
      <c r="AS1266" s="6"/>
      <c r="AT1266" s="6"/>
      <c r="AU1266" s="89"/>
      <c r="AV1266" s="100"/>
      <c r="AW1266" s="65"/>
      <c r="AX1266" s="3"/>
    </row>
    <row r="1267" spans="35:50">
      <c r="AI1267" s="99"/>
      <c r="AM1267" s="99"/>
      <c r="AO1267" s="99"/>
      <c r="AR1267" s="6"/>
      <c r="AS1267" s="6"/>
      <c r="AT1267" s="6"/>
      <c r="AU1267" s="89"/>
      <c r="AV1267" s="100"/>
      <c r="AW1267" s="65"/>
      <c r="AX1267" s="3"/>
    </row>
    <row r="1268" spans="35:50">
      <c r="AI1268" s="99"/>
      <c r="AM1268" s="99"/>
      <c r="AO1268" s="99"/>
      <c r="AR1268" s="6"/>
      <c r="AS1268" s="6"/>
      <c r="AT1268" s="6"/>
      <c r="AU1268" s="89"/>
      <c r="AV1268" s="100"/>
      <c r="AW1268" s="65"/>
      <c r="AX1268" s="3"/>
    </row>
    <row r="1269" spans="35:50">
      <c r="AI1269" s="99"/>
      <c r="AM1269" s="99"/>
      <c r="AO1269" s="99"/>
      <c r="AR1269" s="6"/>
      <c r="AS1269" s="6"/>
      <c r="AT1269" s="6"/>
      <c r="AU1269" s="89"/>
      <c r="AV1269" s="100"/>
      <c r="AW1269" s="65"/>
      <c r="AX1269" s="3"/>
    </row>
    <row r="1270" spans="35:50">
      <c r="AI1270" s="99"/>
      <c r="AM1270" s="99"/>
      <c r="AO1270" s="99"/>
      <c r="AR1270" s="6"/>
      <c r="AS1270" s="6"/>
      <c r="AT1270" s="6"/>
      <c r="AU1270" s="89"/>
      <c r="AV1270" s="100"/>
      <c r="AW1270" s="65"/>
      <c r="AX1270" s="3"/>
    </row>
    <row r="1271" spans="35:50">
      <c r="AI1271" s="99"/>
      <c r="AM1271" s="99"/>
      <c r="AO1271" s="99"/>
      <c r="AR1271" s="6"/>
      <c r="AS1271" s="6"/>
      <c r="AT1271" s="6"/>
      <c r="AU1271" s="89"/>
      <c r="AV1271" s="100"/>
      <c r="AW1271" s="65"/>
      <c r="AX1271" s="3"/>
    </row>
    <row r="1272" spans="35:50">
      <c r="AI1272" s="99"/>
      <c r="AM1272" s="99"/>
      <c r="AO1272" s="99"/>
      <c r="AR1272" s="6"/>
      <c r="AS1272" s="6"/>
      <c r="AT1272" s="6"/>
      <c r="AU1272" s="89"/>
      <c r="AV1272" s="100"/>
      <c r="AW1272" s="65"/>
      <c r="AX1272" s="3"/>
    </row>
    <row r="1273" spans="35:50">
      <c r="AI1273" s="99"/>
      <c r="AM1273" s="99"/>
      <c r="AO1273" s="99"/>
      <c r="AR1273" s="6"/>
      <c r="AS1273" s="6"/>
      <c r="AT1273" s="6"/>
      <c r="AU1273" s="89"/>
      <c r="AV1273" s="100"/>
      <c r="AW1273" s="65"/>
      <c r="AX1273" s="3"/>
    </row>
    <row r="1274" spans="35:50">
      <c r="AI1274" s="99"/>
      <c r="AM1274" s="99"/>
      <c r="AO1274" s="99"/>
      <c r="AR1274" s="6"/>
      <c r="AS1274" s="6"/>
      <c r="AT1274" s="6"/>
      <c r="AU1274" s="89"/>
      <c r="AV1274" s="100"/>
      <c r="AW1274" s="65"/>
      <c r="AX1274" s="3"/>
    </row>
    <row r="1275" spans="35:50">
      <c r="AI1275" s="99"/>
      <c r="AM1275" s="99"/>
      <c r="AO1275" s="99"/>
      <c r="AR1275" s="6"/>
      <c r="AS1275" s="6"/>
      <c r="AT1275" s="6"/>
      <c r="AU1275" s="89"/>
      <c r="AV1275" s="100"/>
      <c r="AW1275" s="65"/>
      <c r="AX1275" s="3"/>
    </row>
    <row r="1276" spans="35:50">
      <c r="AI1276" s="99"/>
      <c r="AM1276" s="99"/>
      <c r="AO1276" s="99"/>
      <c r="AR1276" s="6"/>
      <c r="AS1276" s="6"/>
      <c r="AT1276" s="6"/>
      <c r="AU1276" s="89"/>
      <c r="AV1276" s="100"/>
      <c r="AW1276" s="65"/>
      <c r="AX1276" s="3"/>
    </row>
    <row r="1277" spans="35:50">
      <c r="AI1277" s="99"/>
      <c r="AM1277" s="99"/>
      <c r="AO1277" s="99"/>
      <c r="AR1277" s="6"/>
      <c r="AS1277" s="6"/>
      <c r="AT1277" s="6"/>
      <c r="AU1277" s="89"/>
      <c r="AV1277" s="100"/>
      <c r="AW1277" s="65"/>
      <c r="AX1277" s="3"/>
    </row>
    <row r="1278" spans="35:50">
      <c r="AI1278" s="99"/>
      <c r="AM1278" s="99"/>
      <c r="AO1278" s="99"/>
      <c r="AR1278" s="6"/>
      <c r="AS1278" s="6"/>
      <c r="AT1278" s="6"/>
      <c r="AU1278" s="89"/>
      <c r="AV1278" s="100"/>
      <c r="AW1278" s="65"/>
      <c r="AX1278" s="3"/>
    </row>
    <row r="1279" spans="35:50">
      <c r="AI1279" s="99"/>
      <c r="AM1279" s="99"/>
      <c r="AO1279" s="99"/>
      <c r="AR1279" s="6"/>
      <c r="AS1279" s="6"/>
      <c r="AT1279" s="6"/>
      <c r="AU1279" s="89"/>
      <c r="AV1279" s="100"/>
      <c r="AW1279" s="65"/>
      <c r="AX1279" s="3"/>
    </row>
    <row r="1280" spans="35:50">
      <c r="AI1280" s="99"/>
      <c r="AM1280" s="99"/>
      <c r="AO1280" s="99"/>
      <c r="AR1280" s="6"/>
      <c r="AS1280" s="6"/>
      <c r="AT1280" s="6"/>
      <c r="AU1280" s="89"/>
      <c r="AV1280" s="100"/>
      <c r="AW1280" s="65"/>
      <c r="AX1280" s="3"/>
    </row>
    <row r="1281" spans="35:50">
      <c r="AI1281" s="99"/>
      <c r="AM1281" s="99"/>
      <c r="AO1281" s="99"/>
      <c r="AR1281" s="6"/>
      <c r="AS1281" s="6"/>
      <c r="AT1281" s="6"/>
      <c r="AU1281" s="89"/>
      <c r="AV1281" s="100"/>
      <c r="AW1281" s="65"/>
      <c r="AX1281" s="3"/>
    </row>
    <row r="1282" spans="35:50">
      <c r="AI1282" s="99"/>
      <c r="AM1282" s="99"/>
      <c r="AO1282" s="99"/>
      <c r="AR1282" s="6"/>
      <c r="AS1282" s="6"/>
      <c r="AT1282" s="6"/>
      <c r="AU1282" s="89"/>
      <c r="AV1282" s="100"/>
      <c r="AW1282" s="65"/>
      <c r="AX1282" s="3"/>
    </row>
    <row r="1283" spans="35:50">
      <c r="AI1283" s="99"/>
      <c r="AM1283" s="99"/>
      <c r="AO1283" s="99"/>
      <c r="AR1283" s="6"/>
      <c r="AS1283" s="6"/>
      <c r="AT1283" s="6"/>
      <c r="AU1283" s="89"/>
      <c r="AV1283" s="100"/>
      <c r="AW1283" s="65"/>
      <c r="AX1283" s="3"/>
    </row>
    <row r="1284" spans="35:50">
      <c r="AI1284" s="99"/>
      <c r="AM1284" s="99"/>
      <c r="AO1284" s="99"/>
      <c r="AR1284" s="6"/>
      <c r="AS1284" s="6"/>
      <c r="AT1284" s="6"/>
      <c r="AU1284" s="89"/>
      <c r="AV1284" s="100"/>
      <c r="AW1284" s="65"/>
      <c r="AX1284" s="3"/>
    </row>
    <row r="1285" spans="35:50">
      <c r="AI1285" s="99"/>
      <c r="AM1285" s="99"/>
      <c r="AO1285" s="99"/>
      <c r="AR1285" s="6"/>
      <c r="AS1285" s="6"/>
      <c r="AT1285" s="6"/>
      <c r="AU1285" s="89"/>
      <c r="AV1285" s="100"/>
      <c r="AW1285" s="65"/>
      <c r="AX1285" s="3"/>
    </row>
    <row r="1286" spans="35:50">
      <c r="AI1286" s="99"/>
      <c r="AM1286" s="99"/>
      <c r="AO1286" s="99"/>
      <c r="AR1286" s="6"/>
      <c r="AS1286" s="6"/>
      <c r="AT1286" s="6"/>
      <c r="AU1286" s="89"/>
      <c r="AV1286" s="100"/>
      <c r="AW1286" s="65"/>
      <c r="AX1286" s="3"/>
    </row>
    <row r="1287" spans="35:50">
      <c r="AI1287" s="99"/>
      <c r="AM1287" s="99"/>
      <c r="AO1287" s="99"/>
      <c r="AR1287" s="6"/>
      <c r="AS1287" s="6"/>
      <c r="AT1287" s="6"/>
      <c r="AU1287" s="89"/>
      <c r="AV1287" s="100"/>
      <c r="AW1287" s="65"/>
      <c r="AX1287" s="3"/>
    </row>
    <row r="1288" spans="35:50">
      <c r="AI1288" s="99"/>
      <c r="AM1288" s="99"/>
      <c r="AO1288" s="99"/>
      <c r="AR1288" s="6"/>
      <c r="AS1288" s="6"/>
      <c r="AT1288" s="6"/>
      <c r="AU1288" s="89"/>
      <c r="AV1288" s="100"/>
      <c r="AW1288" s="65"/>
      <c r="AX1288" s="3"/>
    </row>
    <row r="1289" spans="35:50">
      <c r="AI1289" s="99"/>
      <c r="AM1289" s="99"/>
      <c r="AO1289" s="99"/>
      <c r="AR1289" s="6"/>
      <c r="AS1289" s="6"/>
      <c r="AT1289" s="6"/>
      <c r="AU1289" s="89"/>
      <c r="AV1289" s="100"/>
      <c r="AW1289" s="65"/>
      <c r="AX1289" s="3"/>
    </row>
    <row r="1290" spans="35:50">
      <c r="AI1290" s="99"/>
      <c r="AM1290" s="99"/>
      <c r="AO1290" s="99"/>
      <c r="AR1290" s="6"/>
      <c r="AS1290" s="6"/>
      <c r="AT1290" s="6"/>
      <c r="AU1290" s="89"/>
      <c r="AV1290" s="100"/>
      <c r="AW1290" s="65"/>
      <c r="AX1290" s="3"/>
    </row>
    <row r="1291" spans="35:50">
      <c r="AI1291" s="99"/>
      <c r="AM1291" s="99"/>
      <c r="AO1291" s="99"/>
      <c r="AR1291" s="6"/>
      <c r="AS1291" s="6"/>
      <c r="AT1291" s="6"/>
      <c r="AU1291" s="89"/>
      <c r="AV1291" s="100"/>
      <c r="AW1291" s="65"/>
      <c r="AX1291" s="3"/>
    </row>
    <row r="1292" spans="35:50">
      <c r="AI1292" s="99"/>
      <c r="AM1292" s="99"/>
      <c r="AO1292" s="99"/>
      <c r="AR1292" s="6"/>
      <c r="AS1292" s="6"/>
      <c r="AT1292" s="6"/>
      <c r="AU1292" s="89"/>
      <c r="AV1292" s="100"/>
      <c r="AW1292" s="65"/>
      <c r="AX1292" s="3"/>
    </row>
    <row r="1293" spans="35:50">
      <c r="AI1293" s="99"/>
      <c r="AM1293" s="99"/>
      <c r="AO1293" s="99"/>
      <c r="AR1293" s="6"/>
      <c r="AS1293" s="6"/>
      <c r="AT1293" s="6"/>
      <c r="AU1293" s="89"/>
      <c r="AV1293" s="100"/>
      <c r="AW1293" s="65"/>
      <c r="AX1293" s="3"/>
    </row>
    <row r="1294" spans="35:50">
      <c r="AI1294" s="99"/>
      <c r="AM1294" s="99"/>
      <c r="AO1294" s="99"/>
      <c r="AR1294" s="6"/>
      <c r="AS1294" s="6"/>
      <c r="AT1294" s="6"/>
      <c r="AU1294" s="89"/>
      <c r="AV1294" s="100"/>
      <c r="AW1294" s="65"/>
      <c r="AX1294" s="3"/>
    </row>
    <row r="1295" spans="35:50">
      <c r="AI1295" s="99"/>
      <c r="AM1295" s="99"/>
      <c r="AO1295" s="99"/>
      <c r="AR1295" s="6"/>
      <c r="AS1295" s="6"/>
      <c r="AT1295" s="6"/>
      <c r="AU1295" s="89"/>
      <c r="AV1295" s="100"/>
      <c r="AW1295" s="65"/>
      <c r="AX1295" s="3"/>
    </row>
    <row r="1296" spans="35:50">
      <c r="AI1296" s="99"/>
      <c r="AM1296" s="99"/>
      <c r="AO1296" s="99"/>
      <c r="AR1296" s="6"/>
      <c r="AS1296" s="6"/>
      <c r="AT1296" s="6"/>
      <c r="AU1296" s="89"/>
      <c r="AV1296" s="100"/>
      <c r="AW1296" s="65"/>
      <c r="AX1296" s="3"/>
    </row>
    <row r="1297" spans="35:50">
      <c r="AI1297" s="99"/>
      <c r="AM1297" s="99"/>
      <c r="AO1297" s="99"/>
      <c r="AR1297" s="6"/>
      <c r="AS1297" s="6"/>
      <c r="AT1297" s="6"/>
      <c r="AU1297" s="89"/>
      <c r="AV1297" s="100"/>
      <c r="AW1297" s="65"/>
      <c r="AX1297" s="3"/>
    </row>
    <row r="1298" spans="35:50">
      <c r="AI1298" s="99"/>
      <c r="AM1298" s="99"/>
      <c r="AO1298" s="99"/>
      <c r="AR1298" s="6"/>
      <c r="AS1298" s="6"/>
      <c r="AT1298" s="6"/>
      <c r="AU1298" s="89"/>
      <c r="AV1298" s="100"/>
      <c r="AW1298" s="65"/>
      <c r="AX1298" s="3"/>
    </row>
    <row r="1299" spans="35:50">
      <c r="AI1299" s="99"/>
      <c r="AM1299" s="99"/>
      <c r="AO1299" s="99"/>
      <c r="AR1299" s="6"/>
      <c r="AS1299" s="6"/>
      <c r="AT1299" s="6"/>
      <c r="AU1299" s="89"/>
      <c r="AV1299" s="100"/>
      <c r="AW1299" s="65"/>
      <c r="AX1299" s="3"/>
    </row>
    <row r="1300" spans="35:50">
      <c r="AI1300" s="99"/>
      <c r="AM1300" s="99"/>
      <c r="AO1300" s="99"/>
      <c r="AR1300" s="6"/>
      <c r="AS1300" s="6"/>
      <c r="AT1300" s="6"/>
      <c r="AU1300" s="89"/>
      <c r="AV1300" s="100"/>
      <c r="AW1300" s="65"/>
      <c r="AX1300" s="3"/>
    </row>
    <row r="1301" spans="35:50">
      <c r="AI1301" s="99"/>
      <c r="AM1301" s="99"/>
      <c r="AO1301" s="99"/>
      <c r="AR1301" s="6"/>
      <c r="AS1301" s="6"/>
      <c r="AT1301" s="6"/>
      <c r="AU1301" s="89"/>
      <c r="AV1301" s="100"/>
      <c r="AW1301" s="65"/>
      <c r="AX1301" s="3"/>
    </row>
    <row r="1302" spans="35:50">
      <c r="AI1302" s="99"/>
      <c r="AM1302" s="99"/>
      <c r="AO1302" s="99"/>
      <c r="AR1302" s="6"/>
      <c r="AS1302" s="6"/>
      <c r="AT1302" s="6"/>
      <c r="AU1302" s="89"/>
      <c r="AV1302" s="100"/>
      <c r="AW1302" s="65"/>
      <c r="AX1302" s="3"/>
    </row>
    <row r="1303" spans="35:50">
      <c r="AI1303" s="99"/>
      <c r="AM1303" s="99"/>
      <c r="AO1303" s="99"/>
      <c r="AR1303" s="6"/>
      <c r="AS1303" s="6"/>
      <c r="AT1303" s="6"/>
      <c r="AU1303" s="89"/>
      <c r="AV1303" s="100"/>
      <c r="AW1303" s="65"/>
      <c r="AX1303" s="3"/>
    </row>
    <row r="1304" spans="35:50">
      <c r="AI1304" s="99"/>
      <c r="AM1304" s="99"/>
      <c r="AO1304" s="99"/>
      <c r="AR1304" s="6"/>
      <c r="AS1304" s="6"/>
      <c r="AT1304" s="6"/>
      <c r="AU1304" s="89"/>
      <c r="AV1304" s="100"/>
      <c r="AW1304" s="65"/>
      <c r="AX1304" s="3"/>
    </row>
    <row r="1305" spans="35:50">
      <c r="AI1305" s="99"/>
      <c r="AM1305" s="99"/>
      <c r="AO1305" s="99"/>
      <c r="AR1305" s="6"/>
      <c r="AS1305" s="6"/>
      <c r="AT1305" s="6"/>
      <c r="AU1305" s="89"/>
      <c r="AV1305" s="100"/>
      <c r="AW1305" s="65"/>
      <c r="AX1305" s="3"/>
    </row>
    <row r="1306" spans="35:50">
      <c r="AI1306" s="99"/>
      <c r="AM1306" s="99"/>
      <c r="AO1306" s="99"/>
      <c r="AR1306" s="6"/>
      <c r="AS1306" s="6"/>
      <c r="AT1306" s="6"/>
      <c r="AU1306" s="89"/>
      <c r="AV1306" s="100"/>
      <c r="AW1306" s="65"/>
      <c r="AX1306" s="3"/>
    </row>
    <row r="1307" spans="35:50">
      <c r="AI1307" s="99"/>
      <c r="AM1307" s="99"/>
      <c r="AO1307" s="99"/>
      <c r="AR1307" s="6"/>
      <c r="AS1307" s="6"/>
      <c r="AT1307" s="6"/>
      <c r="AU1307" s="89"/>
      <c r="AV1307" s="100"/>
      <c r="AW1307" s="65"/>
      <c r="AX1307" s="3"/>
    </row>
    <row r="1308" spans="35:50">
      <c r="AI1308" s="99"/>
      <c r="AM1308" s="99"/>
      <c r="AO1308" s="99"/>
      <c r="AR1308" s="6"/>
      <c r="AS1308" s="6"/>
      <c r="AT1308" s="6"/>
      <c r="AU1308" s="89"/>
      <c r="AV1308" s="100"/>
      <c r="AW1308" s="65"/>
      <c r="AX1308" s="3"/>
    </row>
    <row r="1309" spans="35:50">
      <c r="AI1309" s="99"/>
      <c r="AM1309" s="99"/>
      <c r="AO1309" s="99"/>
      <c r="AR1309" s="6"/>
      <c r="AS1309" s="6"/>
      <c r="AT1309" s="6"/>
      <c r="AU1309" s="89"/>
      <c r="AV1309" s="100"/>
      <c r="AW1309" s="65"/>
      <c r="AX1309" s="3"/>
    </row>
    <row r="1310" spans="35:50">
      <c r="AI1310" s="99"/>
      <c r="AM1310" s="99"/>
      <c r="AO1310" s="99"/>
      <c r="AR1310" s="6"/>
      <c r="AS1310" s="6"/>
      <c r="AT1310" s="6"/>
      <c r="AU1310" s="89"/>
      <c r="AV1310" s="100"/>
      <c r="AW1310" s="65"/>
      <c r="AX1310" s="3"/>
    </row>
    <row r="1311" spans="35:50">
      <c r="AI1311" s="99"/>
      <c r="AM1311" s="99"/>
      <c r="AO1311" s="99"/>
      <c r="AR1311" s="6"/>
      <c r="AS1311" s="6"/>
      <c r="AT1311" s="6"/>
      <c r="AU1311" s="89"/>
      <c r="AV1311" s="100"/>
      <c r="AW1311" s="65"/>
      <c r="AX1311" s="3"/>
    </row>
    <row r="1312" spans="35:50">
      <c r="AI1312" s="99"/>
      <c r="AM1312" s="99"/>
      <c r="AO1312" s="99"/>
      <c r="AR1312" s="6"/>
      <c r="AS1312" s="6"/>
      <c r="AT1312" s="6"/>
      <c r="AU1312" s="89"/>
      <c r="AV1312" s="100"/>
      <c r="AW1312" s="65"/>
      <c r="AX1312" s="3"/>
    </row>
    <row r="1313" spans="35:50">
      <c r="AI1313" s="99"/>
      <c r="AM1313" s="99"/>
      <c r="AO1313" s="99"/>
      <c r="AR1313" s="6"/>
      <c r="AS1313" s="6"/>
      <c r="AT1313" s="6"/>
      <c r="AU1313" s="89"/>
      <c r="AV1313" s="100"/>
      <c r="AW1313" s="65"/>
      <c r="AX1313" s="3"/>
    </row>
    <row r="1314" spans="35:50">
      <c r="AI1314" s="99"/>
      <c r="AM1314" s="99"/>
      <c r="AO1314" s="99"/>
      <c r="AR1314" s="6"/>
      <c r="AS1314" s="6"/>
      <c r="AT1314" s="6"/>
      <c r="AU1314" s="89"/>
      <c r="AV1314" s="100"/>
      <c r="AW1314" s="65"/>
      <c r="AX1314" s="3"/>
    </row>
    <row r="1315" spans="35:50">
      <c r="AI1315" s="99"/>
      <c r="AM1315" s="99"/>
      <c r="AO1315" s="99"/>
      <c r="AR1315" s="6"/>
      <c r="AS1315" s="6"/>
      <c r="AT1315" s="6"/>
      <c r="AU1315" s="89"/>
      <c r="AV1315" s="100"/>
      <c r="AW1315" s="65"/>
      <c r="AX1315" s="3"/>
    </row>
    <row r="1316" spans="35:50">
      <c r="AI1316" s="99"/>
      <c r="AM1316" s="99"/>
      <c r="AO1316" s="99"/>
      <c r="AR1316" s="6"/>
      <c r="AS1316" s="6"/>
      <c r="AT1316" s="6"/>
      <c r="AU1316" s="89"/>
      <c r="AV1316" s="100"/>
      <c r="AW1316" s="65"/>
      <c r="AX1316" s="3"/>
    </row>
    <row r="1317" spans="35:50">
      <c r="AI1317" s="99"/>
      <c r="AM1317" s="99"/>
      <c r="AO1317" s="99"/>
      <c r="AR1317" s="6"/>
      <c r="AS1317" s="6"/>
      <c r="AT1317" s="6"/>
      <c r="AU1317" s="89"/>
      <c r="AV1317" s="100"/>
      <c r="AW1317" s="65"/>
      <c r="AX1317" s="3"/>
    </row>
    <row r="1318" spans="35:50">
      <c r="AI1318" s="99"/>
      <c r="AM1318" s="99"/>
      <c r="AO1318" s="99"/>
      <c r="AR1318" s="6"/>
      <c r="AS1318" s="6"/>
      <c r="AT1318" s="6"/>
      <c r="AU1318" s="89"/>
      <c r="AV1318" s="100"/>
      <c r="AW1318" s="65"/>
      <c r="AX1318" s="3"/>
    </row>
    <row r="1319" spans="35:50">
      <c r="AI1319" s="99"/>
      <c r="AM1319" s="99"/>
      <c r="AO1319" s="99"/>
      <c r="AR1319" s="6"/>
      <c r="AS1319" s="6"/>
      <c r="AT1319" s="6"/>
      <c r="AU1319" s="89"/>
      <c r="AV1319" s="100"/>
      <c r="AW1319" s="65"/>
      <c r="AX1319" s="3"/>
    </row>
    <row r="1320" spans="35:50">
      <c r="AI1320" s="99"/>
      <c r="AM1320" s="99"/>
      <c r="AO1320" s="99"/>
      <c r="AR1320" s="6"/>
      <c r="AS1320" s="6"/>
      <c r="AT1320" s="6"/>
      <c r="AU1320" s="89"/>
      <c r="AV1320" s="100"/>
      <c r="AW1320" s="65"/>
      <c r="AX1320" s="3"/>
    </row>
    <row r="1321" spans="35:50">
      <c r="AI1321" s="99"/>
      <c r="AM1321" s="99"/>
      <c r="AO1321" s="99"/>
      <c r="AR1321" s="6"/>
      <c r="AS1321" s="6"/>
      <c r="AT1321" s="6"/>
      <c r="AU1321" s="89"/>
      <c r="AV1321" s="100"/>
      <c r="AW1321" s="65"/>
      <c r="AX1321" s="3"/>
    </row>
    <row r="1322" spans="35:50">
      <c r="AI1322" s="99"/>
      <c r="AM1322" s="99"/>
      <c r="AO1322" s="99"/>
      <c r="AR1322" s="6"/>
      <c r="AS1322" s="6"/>
      <c r="AT1322" s="6"/>
      <c r="AU1322" s="89"/>
      <c r="AV1322" s="100"/>
      <c r="AW1322" s="65"/>
      <c r="AX1322" s="3"/>
    </row>
    <row r="1323" spans="35:50">
      <c r="AI1323" s="99"/>
      <c r="AM1323" s="99"/>
      <c r="AO1323" s="99"/>
      <c r="AR1323" s="6"/>
      <c r="AS1323" s="6"/>
      <c r="AT1323" s="6"/>
      <c r="AU1323" s="89"/>
      <c r="AV1323" s="100"/>
      <c r="AW1323" s="65"/>
      <c r="AX1323" s="3"/>
    </row>
    <row r="1324" spans="35:50">
      <c r="AI1324" s="99"/>
      <c r="AM1324" s="99"/>
      <c r="AO1324" s="99"/>
      <c r="AR1324" s="6"/>
      <c r="AS1324" s="6"/>
      <c r="AT1324" s="6"/>
      <c r="AU1324" s="89"/>
      <c r="AV1324" s="100"/>
      <c r="AW1324" s="65"/>
      <c r="AX1324" s="3"/>
    </row>
    <row r="1325" spans="35:50">
      <c r="AI1325" s="99"/>
      <c r="AM1325" s="99"/>
      <c r="AO1325" s="99"/>
      <c r="AR1325" s="6"/>
      <c r="AS1325" s="6"/>
      <c r="AT1325" s="6"/>
      <c r="AU1325" s="89"/>
      <c r="AV1325" s="100"/>
      <c r="AW1325" s="65"/>
      <c r="AX1325" s="3"/>
    </row>
    <row r="1326" spans="35:50">
      <c r="AI1326" s="99"/>
      <c r="AM1326" s="99"/>
      <c r="AO1326" s="99"/>
      <c r="AR1326" s="6"/>
      <c r="AS1326" s="6"/>
      <c r="AT1326" s="6"/>
      <c r="AU1326" s="89"/>
      <c r="AV1326" s="100"/>
      <c r="AW1326" s="65"/>
      <c r="AX1326" s="3"/>
    </row>
    <row r="1327" spans="35:50">
      <c r="AI1327" s="99"/>
      <c r="AM1327" s="99"/>
      <c r="AO1327" s="99"/>
      <c r="AR1327" s="6"/>
      <c r="AS1327" s="6"/>
      <c r="AT1327" s="6"/>
      <c r="AU1327" s="89"/>
      <c r="AV1327" s="100"/>
      <c r="AW1327" s="65"/>
      <c r="AX1327" s="3"/>
    </row>
    <row r="1328" spans="35:50">
      <c r="AI1328" s="99"/>
      <c r="AM1328" s="99"/>
      <c r="AO1328" s="99"/>
      <c r="AR1328" s="6"/>
      <c r="AS1328" s="6"/>
      <c r="AT1328" s="6"/>
      <c r="AU1328" s="89"/>
      <c r="AV1328" s="100"/>
      <c r="AW1328" s="65"/>
      <c r="AX1328" s="3"/>
    </row>
    <row r="1329" spans="35:50">
      <c r="AI1329" s="99"/>
      <c r="AM1329" s="99"/>
      <c r="AO1329" s="99"/>
      <c r="AR1329" s="6"/>
      <c r="AS1329" s="6"/>
      <c r="AT1329" s="6"/>
      <c r="AU1329" s="89"/>
      <c r="AV1329" s="100"/>
      <c r="AW1329" s="65"/>
      <c r="AX1329" s="3"/>
    </row>
    <row r="1330" spans="35:50">
      <c r="AI1330" s="99"/>
      <c r="AM1330" s="99"/>
      <c r="AO1330" s="99"/>
      <c r="AR1330" s="6"/>
      <c r="AS1330" s="6"/>
      <c r="AT1330" s="6"/>
      <c r="AU1330" s="89"/>
      <c r="AV1330" s="100"/>
      <c r="AW1330" s="65"/>
      <c r="AX1330" s="3"/>
    </row>
    <row r="1331" spans="35:50">
      <c r="AI1331" s="99"/>
      <c r="AM1331" s="99"/>
      <c r="AO1331" s="99"/>
      <c r="AR1331" s="6"/>
      <c r="AS1331" s="6"/>
      <c r="AT1331" s="6"/>
      <c r="AU1331" s="89"/>
      <c r="AV1331" s="100"/>
      <c r="AW1331" s="65"/>
      <c r="AX1331" s="3"/>
    </row>
    <row r="1332" spans="35:50">
      <c r="AI1332" s="99"/>
      <c r="AM1332" s="99"/>
      <c r="AO1332" s="99"/>
      <c r="AR1332" s="6"/>
      <c r="AS1332" s="6"/>
      <c r="AT1332" s="6"/>
      <c r="AU1332" s="89"/>
      <c r="AV1332" s="100"/>
      <c r="AW1332" s="65"/>
      <c r="AX1332" s="3"/>
    </row>
    <row r="1333" spans="35:50">
      <c r="AI1333" s="99"/>
      <c r="AM1333" s="99"/>
      <c r="AO1333" s="99"/>
      <c r="AR1333" s="6"/>
      <c r="AS1333" s="6"/>
      <c r="AT1333" s="6"/>
      <c r="AU1333" s="89"/>
      <c r="AV1333" s="100"/>
      <c r="AW1333" s="65"/>
      <c r="AX1333" s="3"/>
    </row>
    <row r="1334" spans="35:50">
      <c r="AI1334" s="99"/>
      <c r="AM1334" s="99"/>
      <c r="AO1334" s="99"/>
      <c r="AR1334" s="6"/>
      <c r="AS1334" s="6"/>
      <c r="AT1334" s="6"/>
      <c r="AU1334" s="89"/>
      <c r="AV1334" s="100"/>
      <c r="AW1334" s="65"/>
      <c r="AX1334" s="3"/>
    </row>
    <row r="1335" spans="35:50">
      <c r="AI1335" s="99"/>
      <c r="AM1335" s="99"/>
      <c r="AO1335" s="99"/>
      <c r="AR1335" s="6"/>
      <c r="AS1335" s="6"/>
      <c r="AT1335" s="6"/>
      <c r="AU1335" s="89"/>
      <c r="AV1335" s="100"/>
      <c r="AW1335" s="65"/>
      <c r="AX1335" s="3"/>
    </row>
    <row r="1336" spans="35:50">
      <c r="AI1336" s="99"/>
      <c r="AM1336" s="99"/>
      <c r="AO1336" s="99"/>
      <c r="AR1336" s="6"/>
      <c r="AS1336" s="6"/>
      <c r="AT1336" s="6"/>
      <c r="AU1336" s="89"/>
      <c r="AV1336" s="100"/>
      <c r="AW1336" s="65"/>
      <c r="AX1336" s="3"/>
    </row>
    <row r="1337" spans="35:50">
      <c r="AI1337" s="99"/>
      <c r="AM1337" s="99"/>
      <c r="AO1337" s="99"/>
      <c r="AR1337" s="6"/>
      <c r="AS1337" s="6"/>
      <c r="AT1337" s="6"/>
      <c r="AU1337" s="89"/>
      <c r="AV1337" s="100"/>
      <c r="AW1337" s="65"/>
      <c r="AX1337" s="3"/>
    </row>
    <row r="1338" spans="35:50">
      <c r="AI1338" s="99"/>
      <c r="AM1338" s="99"/>
      <c r="AO1338" s="99"/>
      <c r="AR1338" s="6"/>
      <c r="AS1338" s="6"/>
      <c r="AT1338" s="6"/>
      <c r="AU1338" s="89"/>
      <c r="AV1338" s="100"/>
      <c r="AW1338" s="65"/>
      <c r="AX1338" s="3"/>
    </row>
    <row r="1339" spans="35:50">
      <c r="AI1339" s="99"/>
      <c r="AM1339" s="99"/>
      <c r="AO1339" s="99"/>
      <c r="AR1339" s="6"/>
      <c r="AS1339" s="6"/>
      <c r="AT1339" s="6"/>
      <c r="AU1339" s="89"/>
      <c r="AV1339" s="100"/>
      <c r="AW1339" s="65"/>
      <c r="AX1339" s="3"/>
    </row>
    <row r="1340" spans="35:50">
      <c r="AI1340" s="99"/>
      <c r="AM1340" s="99"/>
      <c r="AO1340" s="99"/>
      <c r="AR1340" s="6"/>
      <c r="AS1340" s="6"/>
      <c r="AT1340" s="6"/>
      <c r="AU1340" s="89"/>
      <c r="AV1340" s="100"/>
      <c r="AW1340" s="65"/>
      <c r="AX1340" s="3"/>
    </row>
    <row r="1341" spans="35:50">
      <c r="AI1341" s="99"/>
      <c r="AM1341" s="99"/>
      <c r="AO1341" s="99"/>
      <c r="AR1341" s="6"/>
      <c r="AS1341" s="6"/>
      <c r="AT1341" s="6"/>
      <c r="AU1341" s="89"/>
      <c r="AV1341" s="100"/>
      <c r="AW1341" s="65"/>
      <c r="AX1341" s="3"/>
    </row>
    <row r="1342" spans="35:50">
      <c r="AI1342" s="99"/>
      <c r="AM1342" s="99"/>
      <c r="AO1342" s="99"/>
      <c r="AR1342" s="6"/>
      <c r="AS1342" s="6"/>
      <c r="AT1342" s="6"/>
      <c r="AU1342" s="89"/>
      <c r="AV1342" s="100"/>
      <c r="AW1342" s="65"/>
      <c r="AX1342" s="3"/>
    </row>
    <row r="1343" spans="35:50">
      <c r="AI1343" s="99"/>
      <c r="AM1343" s="99"/>
      <c r="AO1343" s="99"/>
      <c r="AR1343" s="6"/>
      <c r="AS1343" s="6"/>
      <c r="AT1343" s="6"/>
      <c r="AU1343" s="89"/>
      <c r="AV1343" s="100"/>
      <c r="AW1343" s="65"/>
      <c r="AX1343" s="3"/>
    </row>
    <row r="1344" spans="35:50">
      <c r="AI1344" s="99"/>
      <c r="AM1344" s="99"/>
      <c r="AO1344" s="99"/>
      <c r="AR1344" s="6"/>
      <c r="AS1344" s="6"/>
      <c r="AT1344" s="6"/>
      <c r="AU1344" s="89"/>
      <c r="AV1344" s="100"/>
      <c r="AW1344" s="65"/>
      <c r="AX1344" s="3"/>
    </row>
    <row r="1345" spans="35:50">
      <c r="AI1345" s="99"/>
      <c r="AM1345" s="99"/>
      <c r="AO1345" s="99"/>
      <c r="AR1345" s="6"/>
      <c r="AS1345" s="6"/>
      <c r="AT1345" s="6"/>
      <c r="AU1345" s="89"/>
      <c r="AV1345" s="100"/>
      <c r="AW1345" s="65"/>
      <c r="AX1345" s="3"/>
    </row>
    <row r="1346" spans="35:50">
      <c r="AI1346" s="99"/>
      <c r="AM1346" s="99"/>
      <c r="AO1346" s="99"/>
      <c r="AR1346" s="6"/>
      <c r="AS1346" s="6"/>
      <c r="AT1346" s="6"/>
      <c r="AU1346" s="89"/>
      <c r="AV1346" s="100"/>
      <c r="AW1346" s="65"/>
      <c r="AX1346" s="3"/>
    </row>
    <row r="1347" spans="35:50">
      <c r="AI1347" s="99"/>
      <c r="AM1347" s="99"/>
      <c r="AO1347" s="99"/>
      <c r="AR1347" s="6"/>
      <c r="AS1347" s="6"/>
      <c r="AT1347" s="6"/>
      <c r="AU1347" s="89"/>
      <c r="AV1347" s="100"/>
      <c r="AW1347" s="65"/>
      <c r="AX1347" s="3"/>
    </row>
    <row r="1348" spans="35:50">
      <c r="AI1348" s="99"/>
      <c r="AM1348" s="99"/>
      <c r="AO1348" s="99"/>
      <c r="AR1348" s="6"/>
      <c r="AS1348" s="6"/>
      <c r="AT1348" s="6"/>
      <c r="AU1348" s="89"/>
      <c r="AV1348" s="100"/>
      <c r="AW1348" s="65"/>
      <c r="AX1348" s="3"/>
    </row>
    <row r="1349" spans="35:50">
      <c r="AI1349" s="99"/>
      <c r="AM1349" s="99"/>
      <c r="AO1349" s="99"/>
      <c r="AR1349" s="6"/>
      <c r="AS1349" s="6"/>
      <c r="AT1349" s="6"/>
      <c r="AU1349" s="89"/>
      <c r="AV1349" s="100"/>
      <c r="AW1349" s="65"/>
      <c r="AX1349" s="3"/>
    </row>
    <row r="1350" spans="35:50">
      <c r="AI1350" s="99"/>
      <c r="AM1350" s="99"/>
      <c r="AO1350" s="99"/>
      <c r="AR1350" s="6"/>
      <c r="AS1350" s="6"/>
      <c r="AT1350" s="6"/>
      <c r="AU1350" s="89"/>
      <c r="AV1350" s="100"/>
      <c r="AW1350" s="65"/>
      <c r="AX1350" s="3"/>
    </row>
    <row r="1351" spans="35:50">
      <c r="AI1351" s="99"/>
      <c r="AM1351" s="99"/>
      <c r="AO1351" s="99"/>
      <c r="AR1351" s="6"/>
      <c r="AS1351" s="6"/>
      <c r="AT1351" s="6"/>
      <c r="AU1351" s="89"/>
      <c r="AV1351" s="100"/>
      <c r="AW1351" s="65"/>
      <c r="AX1351" s="3"/>
    </row>
    <row r="1352" spans="35:50">
      <c r="AI1352" s="99"/>
      <c r="AM1352" s="99"/>
      <c r="AO1352" s="99"/>
      <c r="AR1352" s="6"/>
      <c r="AS1352" s="6"/>
      <c r="AT1352" s="6"/>
      <c r="AU1352" s="89"/>
      <c r="AV1352" s="100"/>
      <c r="AW1352" s="65"/>
      <c r="AX1352" s="3"/>
    </row>
    <row r="1353" spans="35:50">
      <c r="AI1353" s="99"/>
      <c r="AM1353" s="99"/>
      <c r="AO1353" s="99"/>
      <c r="AR1353" s="6"/>
      <c r="AS1353" s="6"/>
      <c r="AT1353" s="6"/>
      <c r="AU1353" s="89"/>
      <c r="AV1353" s="100"/>
      <c r="AW1353" s="65"/>
      <c r="AX1353" s="3"/>
    </row>
    <row r="1354" spans="35:50">
      <c r="AI1354" s="99"/>
      <c r="AM1354" s="99"/>
      <c r="AO1354" s="99"/>
      <c r="AR1354" s="6"/>
      <c r="AS1354" s="6"/>
      <c r="AT1354" s="6"/>
      <c r="AU1354" s="89"/>
      <c r="AV1354" s="100"/>
      <c r="AW1354" s="65"/>
      <c r="AX1354" s="3"/>
    </row>
    <row r="1355" spans="35:50">
      <c r="AI1355" s="99"/>
      <c r="AM1355" s="99"/>
      <c r="AO1355" s="99"/>
      <c r="AR1355" s="6"/>
      <c r="AS1355" s="6"/>
      <c r="AT1355" s="6"/>
      <c r="AU1355" s="89"/>
      <c r="AV1355" s="100"/>
      <c r="AW1355" s="65"/>
      <c r="AX1355" s="3"/>
    </row>
    <row r="1356" spans="35:50">
      <c r="AI1356" s="99"/>
      <c r="AM1356" s="99"/>
      <c r="AO1356" s="99"/>
      <c r="AR1356" s="6"/>
      <c r="AS1356" s="6"/>
      <c r="AT1356" s="6"/>
      <c r="AU1356" s="89"/>
      <c r="AV1356" s="100"/>
      <c r="AW1356" s="65"/>
      <c r="AX1356" s="3"/>
    </row>
    <row r="1357" spans="35:50">
      <c r="AI1357" s="99"/>
      <c r="AM1357" s="99"/>
      <c r="AO1357" s="99"/>
      <c r="AR1357" s="6"/>
      <c r="AS1357" s="6"/>
      <c r="AT1357" s="6"/>
      <c r="AU1357" s="89"/>
      <c r="AV1357" s="100"/>
      <c r="AW1357" s="65"/>
      <c r="AX1357" s="3"/>
    </row>
    <row r="1358" spans="35:50">
      <c r="AI1358" s="99"/>
      <c r="AM1358" s="99"/>
      <c r="AO1358" s="99"/>
      <c r="AR1358" s="6"/>
      <c r="AS1358" s="6"/>
      <c r="AT1358" s="6"/>
      <c r="AU1358" s="89"/>
      <c r="AV1358" s="100"/>
      <c r="AW1358" s="65"/>
      <c r="AX1358" s="3"/>
    </row>
    <row r="1359" spans="35:50">
      <c r="AI1359" s="99"/>
      <c r="AM1359" s="99"/>
      <c r="AO1359" s="99"/>
      <c r="AR1359" s="6"/>
      <c r="AS1359" s="6"/>
      <c r="AT1359" s="6"/>
      <c r="AU1359" s="89"/>
      <c r="AV1359" s="100"/>
      <c r="AW1359" s="65"/>
      <c r="AX1359" s="3"/>
    </row>
    <row r="1360" spans="35:50">
      <c r="AI1360" s="99"/>
      <c r="AM1360" s="99"/>
      <c r="AO1360" s="99"/>
      <c r="AR1360" s="6"/>
      <c r="AS1360" s="6"/>
      <c r="AT1360" s="6"/>
      <c r="AU1360" s="89"/>
      <c r="AV1360" s="100"/>
      <c r="AW1360" s="65"/>
      <c r="AX1360" s="3"/>
    </row>
    <row r="1361" spans="35:50">
      <c r="AI1361" s="99"/>
      <c r="AM1361" s="99"/>
      <c r="AO1361" s="99"/>
      <c r="AR1361" s="6"/>
      <c r="AS1361" s="6"/>
      <c r="AT1361" s="6"/>
      <c r="AU1361" s="89"/>
      <c r="AV1361" s="100"/>
      <c r="AW1361" s="65"/>
      <c r="AX1361" s="3"/>
    </row>
    <row r="1362" spans="35:50">
      <c r="AI1362" s="99"/>
      <c r="AM1362" s="99"/>
      <c r="AO1362" s="99"/>
      <c r="AR1362" s="6"/>
      <c r="AS1362" s="6"/>
      <c r="AT1362" s="6"/>
      <c r="AU1362" s="89"/>
      <c r="AV1362" s="100"/>
      <c r="AW1362" s="65"/>
      <c r="AX1362" s="3"/>
    </row>
    <row r="1363" spans="35:50">
      <c r="AI1363" s="99"/>
      <c r="AM1363" s="99"/>
      <c r="AO1363" s="99"/>
      <c r="AR1363" s="6"/>
      <c r="AS1363" s="6"/>
      <c r="AT1363" s="6"/>
      <c r="AU1363" s="89"/>
      <c r="AV1363" s="100"/>
      <c r="AW1363" s="65"/>
      <c r="AX1363" s="3"/>
    </row>
    <row r="1364" spans="35:50">
      <c r="AI1364" s="99"/>
      <c r="AM1364" s="99"/>
      <c r="AO1364" s="99"/>
      <c r="AR1364" s="6"/>
      <c r="AS1364" s="6"/>
      <c r="AT1364" s="6"/>
      <c r="AU1364" s="89"/>
      <c r="AV1364" s="100"/>
      <c r="AW1364" s="65"/>
      <c r="AX1364" s="3"/>
    </row>
    <row r="1365" spans="35:50">
      <c r="AI1365" s="99"/>
      <c r="AM1365" s="99"/>
      <c r="AO1365" s="99"/>
      <c r="AR1365" s="6"/>
      <c r="AS1365" s="6"/>
      <c r="AT1365" s="6"/>
      <c r="AU1365" s="89"/>
      <c r="AV1365" s="100"/>
      <c r="AW1365" s="65"/>
      <c r="AX1365" s="3"/>
    </row>
    <row r="1366" spans="35:50">
      <c r="AI1366" s="99"/>
      <c r="AM1366" s="99"/>
      <c r="AO1366" s="99"/>
      <c r="AR1366" s="6"/>
      <c r="AS1366" s="6"/>
      <c r="AT1366" s="6"/>
      <c r="AU1366" s="89"/>
      <c r="AV1366" s="100"/>
      <c r="AW1366" s="65"/>
      <c r="AX1366" s="3"/>
    </row>
    <row r="1367" spans="35:50">
      <c r="AI1367" s="99"/>
      <c r="AM1367" s="99"/>
      <c r="AO1367" s="99"/>
      <c r="AR1367" s="6"/>
      <c r="AS1367" s="6"/>
      <c r="AT1367" s="6"/>
      <c r="AU1367" s="89"/>
      <c r="AV1367" s="100"/>
      <c r="AW1367" s="65"/>
      <c r="AX1367" s="3"/>
    </row>
    <row r="1368" spans="35:50">
      <c r="AI1368" s="99"/>
      <c r="AM1368" s="99"/>
      <c r="AO1368" s="99"/>
      <c r="AR1368" s="6"/>
      <c r="AS1368" s="6"/>
      <c r="AT1368" s="6"/>
      <c r="AU1368" s="89"/>
      <c r="AV1368" s="100"/>
      <c r="AW1368" s="65"/>
      <c r="AX1368" s="3"/>
    </row>
    <row r="1369" spans="35:50">
      <c r="AI1369" s="99"/>
      <c r="AM1369" s="99"/>
      <c r="AO1369" s="99"/>
      <c r="AR1369" s="6"/>
      <c r="AS1369" s="6"/>
      <c r="AT1369" s="6"/>
      <c r="AU1369" s="89"/>
      <c r="AV1369" s="100"/>
      <c r="AW1369" s="65"/>
      <c r="AX1369" s="3"/>
    </row>
    <row r="1370" spans="35:50">
      <c r="AI1370" s="99"/>
      <c r="AM1370" s="99"/>
      <c r="AO1370" s="99"/>
      <c r="AR1370" s="6"/>
      <c r="AS1370" s="6"/>
      <c r="AT1370" s="6"/>
      <c r="AU1370" s="89"/>
      <c r="AV1370" s="100"/>
      <c r="AW1370" s="65"/>
      <c r="AX1370" s="3"/>
    </row>
    <row r="1371" spans="35:50">
      <c r="AI1371" s="99"/>
      <c r="AM1371" s="99"/>
      <c r="AO1371" s="99"/>
      <c r="AR1371" s="6"/>
      <c r="AS1371" s="6"/>
      <c r="AT1371" s="6"/>
      <c r="AU1371" s="89"/>
      <c r="AV1371" s="100"/>
      <c r="AW1371" s="65"/>
      <c r="AX1371" s="3"/>
    </row>
    <row r="1372" spans="35:50">
      <c r="AI1372" s="99"/>
      <c r="AM1372" s="99"/>
      <c r="AO1372" s="99"/>
      <c r="AR1372" s="6"/>
      <c r="AS1372" s="6"/>
      <c r="AT1372" s="6"/>
      <c r="AU1372" s="89"/>
      <c r="AV1372" s="100"/>
      <c r="AW1372" s="65"/>
      <c r="AX1372" s="3"/>
    </row>
    <row r="1373" spans="35:50">
      <c r="AI1373" s="99"/>
      <c r="AM1373" s="99"/>
      <c r="AO1373" s="99"/>
      <c r="AR1373" s="6"/>
      <c r="AS1373" s="6"/>
      <c r="AT1373" s="6"/>
      <c r="AU1373" s="89"/>
      <c r="AV1373" s="100"/>
      <c r="AW1373" s="65"/>
      <c r="AX1373" s="3"/>
    </row>
    <row r="1374" spans="35:50">
      <c r="AI1374" s="99"/>
      <c r="AM1374" s="99"/>
      <c r="AO1374" s="99"/>
      <c r="AR1374" s="6"/>
      <c r="AS1374" s="6"/>
      <c r="AT1374" s="6"/>
      <c r="AU1374" s="89"/>
      <c r="AV1374" s="100"/>
      <c r="AW1374" s="65"/>
      <c r="AX1374" s="3"/>
    </row>
    <row r="1375" spans="35:50">
      <c r="AI1375" s="99"/>
      <c r="AM1375" s="99"/>
      <c r="AO1375" s="99"/>
      <c r="AR1375" s="6"/>
      <c r="AS1375" s="6"/>
      <c r="AT1375" s="6"/>
      <c r="AU1375" s="89"/>
      <c r="AV1375" s="100"/>
      <c r="AW1375" s="65"/>
      <c r="AX1375" s="3"/>
    </row>
    <row r="1376" spans="35:50">
      <c r="AI1376" s="99"/>
      <c r="AM1376" s="99"/>
      <c r="AO1376" s="99"/>
      <c r="AR1376" s="6"/>
      <c r="AS1376" s="6"/>
      <c r="AT1376" s="6"/>
      <c r="AU1376" s="89"/>
      <c r="AV1376" s="100"/>
      <c r="AW1376" s="65"/>
      <c r="AX1376" s="3"/>
    </row>
    <row r="1377" spans="35:50">
      <c r="AI1377" s="99"/>
      <c r="AM1377" s="99"/>
      <c r="AO1377" s="99"/>
      <c r="AR1377" s="6"/>
      <c r="AS1377" s="6"/>
      <c r="AT1377" s="6"/>
      <c r="AU1377" s="89"/>
      <c r="AV1377" s="100"/>
      <c r="AW1377" s="65"/>
      <c r="AX1377" s="3"/>
    </row>
    <row r="1378" spans="35:50">
      <c r="AI1378" s="99"/>
      <c r="AM1378" s="99"/>
      <c r="AO1378" s="99"/>
      <c r="AR1378" s="6"/>
      <c r="AS1378" s="6"/>
      <c r="AT1378" s="6"/>
      <c r="AU1378" s="89"/>
      <c r="AV1378" s="100"/>
      <c r="AW1378" s="65"/>
      <c r="AX1378" s="3"/>
    </row>
    <row r="1379" spans="35:50">
      <c r="AI1379" s="99"/>
      <c r="AM1379" s="99"/>
      <c r="AO1379" s="99"/>
      <c r="AR1379" s="6"/>
      <c r="AS1379" s="6"/>
      <c r="AT1379" s="6"/>
      <c r="AU1379" s="89"/>
      <c r="AV1379" s="100"/>
      <c r="AW1379" s="65"/>
      <c r="AX1379" s="3"/>
    </row>
    <row r="1380" spans="35:50">
      <c r="AI1380" s="99"/>
      <c r="AM1380" s="99"/>
      <c r="AO1380" s="99"/>
      <c r="AR1380" s="6"/>
      <c r="AS1380" s="6"/>
      <c r="AT1380" s="6"/>
      <c r="AU1380" s="89"/>
      <c r="AV1380" s="100"/>
      <c r="AW1380" s="65"/>
      <c r="AX1380" s="3"/>
    </row>
    <row r="1381" spans="35:50">
      <c r="AI1381" s="99"/>
      <c r="AM1381" s="99"/>
      <c r="AO1381" s="99"/>
      <c r="AR1381" s="6"/>
      <c r="AS1381" s="6"/>
      <c r="AT1381" s="6"/>
      <c r="AU1381" s="89"/>
      <c r="AV1381" s="100"/>
      <c r="AW1381" s="65"/>
      <c r="AX1381" s="3"/>
    </row>
    <row r="1382" spans="35:50">
      <c r="AI1382" s="99"/>
      <c r="AM1382" s="99"/>
      <c r="AO1382" s="99"/>
      <c r="AR1382" s="6"/>
      <c r="AS1382" s="6"/>
      <c r="AT1382" s="6"/>
      <c r="AU1382" s="89"/>
      <c r="AV1382" s="100"/>
      <c r="AW1382" s="65"/>
      <c r="AX1382" s="3"/>
    </row>
    <row r="1383" spans="35:50">
      <c r="AI1383" s="99"/>
      <c r="AM1383" s="99"/>
      <c r="AO1383" s="99"/>
      <c r="AR1383" s="6"/>
      <c r="AS1383" s="6"/>
      <c r="AT1383" s="6"/>
      <c r="AU1383" s="89"/>
      <c r="AV1383" s="100"/>
      <c r="AW1383" s="65"/>
      <c r="AX1383" s="3"/>
    </row>
    <row r="1384" spans="35:50">
      <c r="AI1384" s="99"/>
      <c r="AM1384" s="99"/>
      <c r="AO1384" s="99"/>
      <c r="AR1384" s="6"/>
      <c r="AS1384" s="6"/>
      <c r="AT1384" s="6"/>
      <c r="AU1384" s="89"/>
      <c r="AV1384" s="100"/>
      <c r="AW1384" s="65"/>
      <c r="AX1384" s="3"/>
    </row>
    <row r="1385" spans="35:50">
      <c r="AI1385" s="99"/>
      <c r="AM1385" s="99"/>
      <c r="AO1385" s="99"/>
      <c r="AR1385" s="6"/>
      <c r="AS1385" s="6"/>
      <c r="AT1385" s="6"/>
      <c r="AU1385" s="89"/>
      <c r="AV1385" s="100"/>
      <c r="AW1385" s="65"/>
      <c r="AX1385" s="3"/>
    </row>
    <row r="1386" spans="35:50">
      <c r="AI1386" s="99"/>
      <c r="AM1386" s="99"/>
      <c r="AO1386" s="99"/>
      <c r="AR1386" s="6"/>
      <c r="AS1386" s="6"/>
      <c r="AT1386" s="6"/>
      <c r="AU1386" s="89"/>
      <c r="AV1386" s="100"/>
      <c r="AW1386" s="65"/>
      <c r="AX1386" s="3"/>
    </row>
    <row r="1387" spans="35:50">
      <c r="AI1387" s="99"/>
      <c r="AM1387" s="99"/>
      <c r="AO1387" s="99"/>
      <c r="AR1387" s="6"/>
      <c r="AS1387" s="6"/>
      <c r="AT1387" s="6"/>
      <c r="AU1387" s="89"/>
      <c r="AV1387" s="100"/>
      <c r="AW1387" s="65"/>
      <c r="AX1387" s="3"/>
    </row>
    <row r="1388" spans="35:50">
      <c r="AI1388" s="99"/>
      <c r="AM1388" s="99"/>
      <c r="AO1388" s="99"/>
      <c r="AR1388" s="6"/>
      <c r="AS1388" s="6"/>
      <c r="AT1388" s="6"/>
      <c r="AU1388" s="89"/>
      <c r="AV1388" s="100"/>
      <c r="AW1388" s="65"/>
      <c r="AX1388" s="3"/>
    </row>
    <row r="1389" spans="35:50">
      <c r="AI1389" s="99"/>
      <c r="AM1389" s="99"/>
      <c r="AO1389" s="99"/>
      <c r="AR1389" s="6"/>
      <c r="AS1389" s="6"/>
      <c r="AT1389" s="6"/>
      <c r="AU1389" s="89"/>
      <c r="AV1389" s="100"/>
      <c r="AW1389" s="65"/>
      <c r="AX1389" s="3"/>
    </row>
    <row r="1390" spans="35:50">
      <c r="AI1390" s="99"/>
      <c r="AM1390" s="99"/>
      <c r="AO1390" s="99"/>
      <c r="AR1390" s="6"/>
      <c r="AS1390" s="6"/>
      <c r="AT1390" s="6"/>
      <c r="AU1390" s="89"/>
      <c r="AV1390" s="100"/>
      <c r="AW1390" s="65"/>
      <c r="AX1390" s="3"/>
    </row>
    <row r="1391" spans="35:50">
      <c r="AI1391" s="99"/>
      <c r="AM1391" s="99"/>
      <c r="AO1391" s="99"/>
      <c r="AR1391" s="6"/>
      <c r="AS1391" s="6"/>
      <c r="AT1391" s="6"/>
      <c r="AU1391" s="89"/>
      <c r="AV1391" s="100"/>
      <c r="AW1391" s="65"/>
      <c r="AX1391" s="3"/>
    </row>
    <row r="1392" spans="35:50">
      <c r="AI1392" s="99"/>
      <c r="AM1392" s="99"/>
      <c r="AO1392" s="99"/>
      <c r="AR1392" s="6"/>
      <c r="AS1392" s="6"/>
      <c r="AT1392" s="6"/>
      <c r="AU1392" s="89"/>
      <c r="AV1392" s="100"/>
      <c r="AW1392" s="65"/>
      <c r="AX1392" s="3"/>
    </row>
    <row r="1393" spans="35:50">
      <c r="AI1393" s="99"/>
      <c r="AM1393" s="99"/>
      <c r="AO1393" s="99"/>
      <c r="AR1393" s="6"/>
      <c r="AS1393" s="6"/>
      <c r="AT1393" s="6"/>
      <c r="AU1393" s="89"/>
      <c r="AV1393" s="100"/>
      <c r="AW1393" s="65"/>
      <c r="AX1393" s="3"/>
    </row>
    <row r="1394" spans="35:50">
      <c r="AI1394" s="99"/>
      <c r="AM1394" s="99"/>
      <c r="AO1394" s="99"/>
      <c r="AR1394" s="6"/>
      <c r="AS1394" s="6"/>
      <c r="AT1394" s="6"/>
      <c r="AU1394" s="89"/>
      <c r="AV1394" s="100"/>
      <c r="AW1394" s="65"/>
      <c r="AX1394" s="3"/>
    </row>
    <row r="1395" spans="35:50">
      <c r="AI1395" s="99"/>
      <c r="AM1395" s="99"/>
      <c r="AO1395" s="99"/>
      <c r="AR1395" s="6"/>
      <c r="AS1395" s="6"/>
      <c r="AT1395" s="6"/>
      <c r="AU1395" s="89"/>
      <c r="AV1395" s="100"/>
      <c r="AW1395" s="65"/>
      <c r="AX1395" s="3"/>
    </row>
    <row r="1396" spans="35:50">
      <c r="AI1396" s="99"/>
      <c r="AM1396" s="99"/>
      <c r="AO1396" s="99"/>
      <c r="AR1396" s="6"/>
      <c r="AS1396" s="6"/>
      <c r="AT1396" s="6"/>
      <c r="AU1396" s="89"/>
      <c r="AV1396" s="100"/>
      <c r="AW1396" s="65"/>
      <c r="AX1396" s="3"/>
    </row>
    <row r="1397" spans="35:50">
      <c r="AI1397" s="99"/>
      <c r="AM1397" s="99"/>
      <c r="AO1397" s="99"/>
      <c r="AR1397" s="6"/>
      <c r="AS1397" s="6"/>
      <c r="AT1397" s="6"/>
      <c r="AU1397" s="89"/>
      <c r="AV1397" s="100"/>
      <c r="AW1397" s="65"/>
      <c r="AX1397" s="3"/>
    </row>
    <row r="1398" spans="35:50">
      <c r="AI1398" s="99"/>
      <c r="AM1398" s="99"/>
      <c r="AO1398" s="99"/>
      <c r="AR1398" s="6"/>
      <c r="AS1398" s="6"/>
      <c r="AT1398" s="6"/>
      <c r="AU1398" s="89"/>
      <c r="AV1398" s="100"/>
      <c r="AW1398" s="65"/>
      <c r="AX1398" s="3"/>
    </row>
    <row r="1399" spans="35:50">
      <c r="AI1399" s="99"/>
      <c r="AM1399" s="99"/>
      <c r="AO1399" s="99"/>
      <c r="AR1399" s="6"/>
      <c r="AS1399" s="6"/>
      <c r="AT1399" s="6"/>
      <c r="AU1399" s="89"/>
      <c r="AV1399" s="100"/>
      <c r="AW1399" s="65"/>
      <c r="AX1399" s="3"/>
    </row>
    <row r="1400" spans="35:50">
      <c r="AI1400" s="99"/>
      <c r="AM1400" s="99"/>
      <c r="AO1400" s="99"/>
      <c r="AR1400" s="6"/>
      <c r="AS1400" s="6"/>
      <c r="AT1400" s="6"/>
      <c r="AU1400" s="89"/>
      <c r="AV1400" s="100"/>
      <c r="AW1400" s="65"/>
      <c r="AX1400" s="3"/>
    </row>
    <row r="1401" spans="35:50">
      <c r="AI1401" s="99"/>
      <c r="AM1401" s="99"/>
      <c r="AO1401" s="99"/>
      <c r="AR1401" s="6"/>
      <c r="AS1401" s="6"/>
      <c r="AT1401" s="6"/>
      <c r="AU1401" s="89"/>
      <c r="AV1401" s="100"/>
      <c r="AW1401" s="65"/>
      <c r="AX1401" s="3"/>
    </row>
    <row r="1402" spans="35:50">
      <c r="AI1402" s="99"/>
      <c r="AM1402" s="99"/>
      <c r="AO1402" s="99"/>
      <c r="AR1402" s="6"/>
      <c r="AS1402" s="6"/>
      <c r="AT1402" s="6"/>
      <c r="AU1402" s="89"/>
      <c r="AV1402" s="100"/>
      <c r="AW1402" s="65"/>
      <c r="AX1402" s="3"/>
    </row>
    <row r="1403" spans="35:50">
      <c r="AI1403" s="99"/>
      <c r="AM1403" s="99"/>
      <c r="AO1403" s="99"/>
      <c r="AR1403" s="6"/>
      <c r="AS1403" s="6"/>
      <c r="AT1403" s="6"/>
      <c r="AU1403" s="89"/>
      <c r="AV1403" s="100"/>
      <c r="AW1403" s="65"/>
      <c r="AX1403" s="3"/>
    </row>
    <row r="1404" spans="35:50">
      <c r="AI1404" s="99"/>
      <c r="AM1404" s="99"/>
      <c r="AO1404" s="99"/>
      <c r="AR1404" s="6"/>
      <c r="AS1404" s="6"/>
      <c r="AT1404" s="6"/>
      <c r="AU1404" s="89"/>
      <c r="AV1404" s="100"/>
      <c r="AW1404" s="65"/>
      <c r="AX1404" s="3"/>
    </row>
    <row r="1405" spans="35:50">
      <c r="AI1405" s="99"/>
      <c r="AM1405" s="99"/>
      <c r="AO1405" s="99"/>
      <c r="AR1405" s="6"/>
      <c r="AS1405" s="6"/>
      <c r="AT1405" s="6"/>
      <c r="AU1405" s="89"/>
      <c r="AV1405" s="100"/>
      <c r="AW1405" s="65"/>
      <c r="AX1405" s="3"/>
    </row>
    <row r="1406" spans="35:50">
      <c r="AI1406" s="99"/>
      <c r="AM1406" s="99"/>
      <c r="AO1406" s="99"/>
      <c r="AR1406" s="6"/>
      <c r="AS1406" s="6"/>
      <c r="AT1406" s="6"/>
      <c r="AU1406" s="89"/>
      <c r="AV1406" s="100"/>
      <c r="AW1406" s="65"/>
      <c r="AX1406" s="3"/>
    </row>
    <row r="1407" spans="35:50">
      <c r="AI1407" s="99"/>
      <c r="AM1407" s="99"/>
      <c r="AO1407" s="99"/>
      <c r="AR1407" s="6"/>
      <c r="AS1407" s="6"/>
      <c r="AT1407" s="6"/>
      <c r="AU1407" s="89"/>
      <c r="AV1407" s="100"/>
      <c r="AW1407" s="65"/>
      <c r="AX1407" s="3"/>
    </row>
    <row r="1408" spans="35:50">
      <c r="AI1408" s="99"/>
      <c r="AM1408" s="99"/>
      <c r="AO1408" s="99"/>
      <c r="AR1408" s="6"/>
      <c r="AS1408" s="6"/>
      <c r="AT1408" s="6"/>
      <c r="AU1408" s="89"/>
      <c r="AV1408" s="100"/>
      <c r="AW1408" s="65"/>
      <c r="AX1408" s="3"/>
    </row>
    <row r="1409" spans="35:50">
      <c r="AI1409" s="99"/>
      <c r="AM1409" s="99"/>
      <c r="AO1409" s="99"/>
      <c r="AR1409" s="6"/>
      <c r="AS1409" s="6"/>
      <c r="AT1409" s="6"/>
      <c r="AU1409" s="89"/>
      <c r="AV1409" s="100"/>
      <c r="AW1409" s="65"/>
      <c r="AX1409" s="3"/>
    </row>
    <row r="1410" spans="35:50">
      <c r="AI1410" s="99"/>
      <c r="AM1410" s="99"/>
      <c r="AO1410" s="99"/>
      <c r="AR1410" s="6"/>
      <c r="AS1410" s="6"/>
      <c r="AT1410" s="6"/>
      <c r="AU1410" s="89"/>
      <c r="AV1410" s="100"/>
      <c r="AW1410" s="65"/>
      <c r="AX1410" s="3"/>
    </row>
    <row r="1411" spans="35:50">
      <c r="AI1411" s="99"/>
      <c r="AM1411" s="99"/>
      <c r="AO1411" s="99"/>
      <c r="AR1411" s="6"/>
      <c r="AS1411" s="6"/>
      <c r="AT1411" s="6"/>
      <c r="AU1411" s="89"/>
      <c r="AV1411" s="100"/>
      <c r="AW1411" s="65"/>
      <c r="AX1411" s="3"/>
    </row>
    <row r="1412" spans="35:50">
      <c r="AI1412" s="99"/>
      <c r="AM1412" s="99"/>
      <c r="AO1412" s="99"/>
      <c r="AR1412" s="6"/>
      <c r="AS1412" s="6"/>
      <c r="AT1412" s="6"/>
      <c r="AU1412" s="89"/>
      <c r="AV1412" s="100"/>
      <c r="AW1412" s="65"/>
      <c r="AX1412" s="3"/>
    </row>
    <row r="1413" spans="35:50">
      <c r="AI1413" s="99"/>
      <c r="AM1413" s="99"/>
      <c r="AO1413" s="99"/>
      <c r="AR1413" s="6"/>
      <c r="AS1413" s="6"/>
      <c r="AT1413" s="6"/>
      <c r="AU1413" s="89"/>
      <c r="AV1413" s="100"/>
      <c r="AW1413" s="65"/>
      <c r="AX1413" s="3"/>
    </row>
    <row r="1414" spans="35:50">
      <c r="AI1414" s="99"/>
      <c r="AM1414" s="99"/>
      <c r="AO1414" s="99"/>
      <c r="AR1414" s="6"/>
      <c r="AS1414" s="6"/>
      <c r="AT1414" s="6"/>
      <c r="AU1414" s="89"/>
      <c r="AV1414" s="100"/>
      <c r="AW1414" s="65"/>
      <c r="AX1414" s="3"/>
    </row>
    <row r="1415" spans="35:50">
      <c r="AI1415" s="99"/>
      <c r="AM1415" s="99"/>
      <c r="AO1415" s="99"/>
      <c r="AR1415" s="6"/>
      <c r="AS1415" s="6"/>
      <c r="AT1415" s="6"/>
      <c r="AU1415" s="89"/>
      <c r="AV1415" s="100"/>
      <c r="AW1415" s="65"/>
      <c r="AX1415" s="3"/>
    </row>
    <row r="1416" spans="35:50">
      <c r="AI1416" s="99"/>
      <c r="AM1416" s="99"/>
      <c r="AO1416" s="99"/>
      <c r="AR1416" s="6"/>
      <c r="AS1416" s="6"/>
      <c r="AT1416" s="6"/>
      <c r="AU1416" s="89"/>
      <c r="AV1416" s="100"/>
      <c r="AW1416" s="65"/>
      <c r="AX1416" s="3"/>
    </row>
    <row r="1417" spans="35:50">
      <c r="AI1417" s="99"/>
      <c r="AM1417" s="99"/>
      <c r="AO1417" s="99"/>
      <c r="AR1417" s="6"/>
      <c r="AS1417" s="6"/>
      <c r="AT1417" s="6"/>
      <c r="AU1417" s="89"/>
      <c r="AV1417" s="100"/>
      <c r="AW1417" s="65"/>
      <c r="AX1417" s="3"/>
    </row>
    <row r="1418" spans="35:50">
      <c r="AI1418" s="99"/>
      <c r="AM1418" s="99"/>
      <c r="AO1418" s="99"/>
      <c r="AR1418" s="6"/>
      <c r="AS1418" s="6"/>
      <c r="AT1418" s="6"/>
      <c r="AU1418" s="89"/>
      <c r="AV1418" s="100"/>
      <c r="AW1418" s="65"/>
      <c r="AX1418" s="3"/>
    </row>
    <row r="1419" spans="35:50">
      <c r="AI1419" s="99"/>
      <c r="AM1419" s="99"/>
      <c r="AO1419" s="99"/>
      <c r="AR1419" s="6"/>
      <c r="AS1419" s="6"/>
      <c r="AT1419" s="6"/>
      <c r="AU1419" s="89"/>
      <c r="AV1419" s="100"/>
      <c r="AW1419" s="65"/>
      <c r="AX1419" s="3"/>
    </row>
    <row r="1420" spans="35:50">
      <c r="AI1420" s="99"/>
      <c r="AM1420" s="99"/>
      <c r="AO1420" s="99"/>
      <c r="AR1420" s="6"/>
      <c r="AS1420" s="6"/>
      <c r="AT1420" s="6"/>
      <c r="AU1420" s="89"/>
      <c r="AV1420" s="100"/>
      <c r="AW1420" s="65"/>
      <c r="AX1420" s="3"/>
    </row>
    <row r="1421" spans="35:50">
      <c r="AI1421" s="99"/>
      <c r="AM1421" s="99"/>
      <c r="AO1421" s="99"/>
      <c r="AR1421" s="6"/>
      <c r="AS1421" s="6"/>
      <c r="AT1421" s="6"/>
      <c r="AU1421" s="89"/>
      <c r="AV1421" s="100"/>
      <c r="AW1421" s="65"/>
      <c r="AX1421" s="3"/>
    </row>
    <row r="1422" spans="35:50">
      <c r="AI1422" s="99"/>
      <c r="AM1422" s="99"/>
      <c r="AO1422" s="99"/>
      <c r="AR1422" s="6"/>
      <c r="AS1422" s="6"/>
      <c r="AT1422" s="6"/>
      <c r="AU1422" s="89"/>
      <c r="AV1422" s="100"/>
      <c r="AW1422" s="65"/>
      <c r="AX1422" s="3"/>
    </row>
    <row r="1423" spans="35:50">
      <c r="AI1423" s="99"/>
      <c r="AM1423" s="99"/>
      <c r="AO1423" s="99"/>
      <c r="AR1423" s="6"/>
      <c r="AS1423" s="6"/>
      <c r="AT1423" s="6"/>
      <c r="AU1423" s="89"/>
      <c r="AV1423" s="100"/>
      <c r="AW1423" s="65"/>
      <c r="AX1423" s="3"/>
    </row>
    <row r="1424" spans="35:50">
      <c r="AI1424" s="99"/>
      <c r="AM1424" s="99"/>
      <c r="AO1424" s="99"/>
      <c r="AR1424" s="6"/>
      <c r="AS1424" s="6"/>
      <c r="AT1424" s="6"/>
      <c r="AU1424" s="89"/>
      <c r="AV1424" s="100"/>
      <c r="AW1424" s="65"/>
      <c r="AX1424" s="3"/>
    </row>
    <row r="1425" spans="35:50">
      <c r="AI1425" s="99"/>
      <c r="AM1425" s="99"/>
      <c r="AO1425" s="99"/>
      <c r="AR1425" s="6"/>
      <c r="AS1425" s="6"/>
      <c r="AT1425" s="6"/>
      <c r="AU1425" s="89"/>
      <c r="AV1425" s="100"/>
      <c r="AW1425" s="65"/>
      <c r="AX1425" s="3"/>
    </row>
    <row r="1426" spans="35:50">
      <c r="AI1426" s="99"/>
      <c r="AM1426" s="99"/>
      <c r="AO1426" s="99"/>
      <c r="AR1426" s="6"/>
      <c r="AS1426" s="6"/>
      <c r="AT1426" s="6"/>
      <c r="AU1426" s="89"/>
      <c r="AV1426" s="100"/>
      <c r="AW1426" s="65"/>
      <c r="AX1426" s="3"/>
    </row>
    <row r="1427" spans="35:50">
      <c r="AI1427" s="99"/>
      <c r="AM1427" s="99"/>
      <c r="AO1427" s="99"/>
      <c r="AR1427" s="6"/>
      <c r="AS1427" s="6"/>
      <c r="AT1427" s="6"/>
      <c r="AU1427" s="89"/>
      <c r="AV1427" s="100"/>
      <c r="AW1427" s="65"/>
      <c r="AX1427" s="3"/>
    </row>
    <row r="1428" spans="35:50">
      <c r="AI1428" s="99"/>
      <c r="AM1428" s="99"/>
      <c r="AO1428" s="99"/>
      <c r="AR1428" s="6"/>
      <c r="AS1428" s="6"/>
      <c r="AT1428" s="6"/>
      <c r="AU1428" s="89"/>
      <c r="AV1428" s="100"/>
      <c r="AW1428" s="65"/>
      <c r="AX1428" s="3"/>
    </row>
    <row r="1429" spans="35:50">
      <c r="AI1429" s="99"/>
      <c r="AM1429" s="99"/>
      <c r="AO1429" s="99"/>
      <c r="AR1429" s="6"/>
      <c r="AS1429" s="6"/>
      <c r="AT1429" s="6"/>
      <c r="AU1429" s="89"/>
      <c r="AV1429" s="100"/>
      <c r="AW1429" s="65"/>
      <c r="AX1429" s="3"/>
    </row>
    <row r="1430" spans="35:50">
      <c r="AI1430" s="99"/>
      <c r="AM1430" s="99"/>
      <c r="AO1430" s="99"/>
      <c r="AR1430" s="6"/>
      <c r="AS1430" s="6"/>
      <c r="AT1430" s="6"/>
      <c r="AU1430" s="89"/>
      <c r="AV1430" s="100"/>
      <c r="AW1430" s="65"/>
      <c r="AX1430" s="3"/>
    </row>
    <row r="1431" spans="35:50">
      <c r="AI1431" s="99"/>
      <c r="AM1431" s="99"/>
      <c r="AO1431" s="99"/>
      <c r="AR1431" s="6"/>
      <c r="AS1431" s="6"/>
      <c r="AT1431" s="6"/>
      <c r="AU1431" s="89"/>
      <c r="AV1431" s="100"/>
      <c r="AW1431" s="65"/>
      <c r="AX1431" s="3"/>
    </row>
    <row r="1432" spans="35:50">
      <c r="AI1432" s="99"/>
      <c r="AM1432" s="99"/>
      <c r="AO1432" s="99"/>
      <c r="AR1432" s="6"/>
      <c r="AS1432" s="6"/>
      <c r="AT1432" s="6"/>
      <c r="AU1432" s="89"/>
      <c r="AV1432" s="100"/>
      <c r="AW1432" s="65"/>
      <c r="AX1432" s="3"/>
    </row>
    <row r="1433" spans="35:50">
      <c r="AI1433" s="99"/>
      <c r="AM1433" s="99"/>
      <c r="AO1433" s="99"/>
      <c r="AR1433" s="6"/>
      <c r="AS1433" s="6"/>
      <c r="AT1433" s="6"/>
      <c r="AU1433" s="89"/>
      <c r="AV1433" s="100"/>
      <c r="AW1433" s="65"/>
      <c r="AX1433" s="3"/>
    </row>
    <row r="1434" spans="35:50">
      <c r="AI1434" s="99"/>
      <c r="AM1434" s="99"/>
      <c r="AO1434" s="99"/>
      <c r="AR1434" s="6"/>
      <c r="AS1434" s="6"/>
      <c r="AT1434" s="6"/>
      <c r="AU1434" s="89"/>
      <c r="AV1434" s="100"/>
      <c r="AW1434" s="65"/>
      <c r="AX1434" s="3"/>
    </row>
    <row r="1435" spans="35:50">
      <c r="AI1435" s="99"/>
      <c r="AM1435" s="99"/>
      <c r="AO1435" s="99"/>
      <c r="AR1435" s="6"/>
      <c r="AS1435" s="6"/>
      <c r="AT1435" s="6"/>
      <c r="AU1435" s="89"/>
      <c r="AV1435" s="100"/>
      <c r="AW1435" s="65"/>
      <c r="AX1435" s="3"/>
    </row>
    <row r="1436" spans="35:50">
      <c r="AI1436" s="99"/>
      <c r="AM1436" s="99"/>
      <c r="AO1436" s="99"/>
      <c r="AR1436" s="6"/>
      <c r="AS1436" s="6"/>
      <c r="AT1436" s="6"/>
      <c r="AU1436" s="89"/>
      <c r="AV1436" s="100"/>
      <c r="AW1436" s="65"/>
      <c r="AX1436" s="3"/>
    </row>
    <row r="1437" spans="35:50">
      <c r="AI1437" s="99"/>
      <c r="AM1437" s="99"/>
      <c r="AO1437" s="99"/>
      <c r="AR1437" s="6"/>
      <c r="AS1437" s="6"/>
      <c r="AT1437" s="6"/>
      <c r="AU1437" s="89"/>
      <c r="AV1437" s="100"/>
      <c r="AW1437" s="65"/>
      <c r="AX1437" s="3"/>
    </row>
    <row r="1438" spans="35:50">
      <c r="AI1438" s="99"/>
      <c r="AM1438" s="99"/>
      <c r="AO1438" s="99"/>
      <c r="AR1438" s="6"/>
      <c r="AS1438" s="6"/>
      <c r="AT1438" s="6"/>
      <c r="AU1438" s="89"/>
      <c r="AV1438" s="100"/>
      <c r="AW1438" s="65"/>
      <c r="AX1438" s="3"/>
    </row>
    <row r="1439" spans="35:50">
      <c r="AI1439" s="99"/>
      <c r="AM1439" s="99"/>
      <c r="AO1439" s="99"/>
      <c r="AR1439" s="6"/>
      <c r="AS1439" s="6"/>
      <c r="AT1439" s="6"/>
      <c r="AU1439" s="89"/>
      <c r="AV1439" s="100"/>
      <c r="AW1439" s="65"/>
      <c r="AX1439" s="3"/>
    </row>
    <row r="1440" spans="35:50">
      <c r="AI1440" s="99"/>
      <c r="AM1440" s="99"/>
      <c r="AO1440" s="99"/>
      <c r="AR1440" s="6"/>
      <c r="AS1440" s="6"/>
      <c r="AT1440" s="6"/>
      <c r="AU1440" s="89"/>
      <c r="AV1440" s="100"/>
      <c r="AW1440" s="65"/>
      <c r="AX1440" s="3"/>
    </row>
    <row r="1441" spans="35:50">
      <c r="AI1441" s="99"/>
      <c r="AM1441" s="99"/>
      <c r="AO1441" s="99"/>
      <c r="AR1441" s="6"/>
      <c r="AS1441" s="6"/>
      <c r="AT1441" s="6"/>
      <c r="AU1441" s="89"/>
      <c r="AV1441" s="100"/>
      <c r="AW1441" s="65"/>
      <c r="AX1441" s="3"/>
    </row>
    <row r="1442" spans="35:50">
      <c r="AI1442" s="99"/>
      <c r="AM1442" s="99"/>
      <c r="AO1442" s="99"/>
      <c r="AR1442" s="6"/>
      <c r="AS1442" s="6"/>
      <c r="AT1442" s="6"/>
      <c r="AU1442" s="89"/>
      <c r="AV1442" s="100"/>
      <c r="AW1442" s="65"/>
      <c r="AX1442" s="3"/>
    </row>
    <row r="1443" spans="35:50">
      <c r="AI1443" s="99"/>
      <c r="AM1443" s="99"/>
      <c r="AO1443" s="99"/>
      <c r="AR1443" s="6"/>
      <c r="AS1443" s="6"/>
      <c r="AT1443" s="6"/>
      <c r="AU1443" s="89"/>
      <c r="AV1443" s="100"/>
      <c r="AW1443" s="65"/>
      <c r="AX1443" s="3"/>
    </row>
    <row r="1444" spans="35:50">
      <c r="AI1444" s="99"/>
      <c r="AM1444" s="99"/>
      <c r="AO1444" s="99"/>
      <c r="AR1444" s="6"/>
      <c r="AS1444" s="6"/>
      <c r="AT1444" s="6"/>
      <c r="AU1444" s="89"/>
      <c r="AV1444" s="100"/>
      <c r="AW1444" s="65"/>
      <c r="AX1444" s="3"/>
    </row>
    <row r="1445" spans="35:50">
      <c r="AI1445" s="99"/>
      <c r="AM1445" s="99"/>
      <c r="AO1445" s="99"/>
      <c r="AR1445" s="6"/>
      <c r="AS1445" s="6"/>
      <c r="AT1445" s="6"/>
      <c r="AU1445" s="89"/>
      <c r="AV1445" s="100"/>
      <c r="AW1445" s="65"/>
      <c r="AX1445" s="3"/>
    </row>
    <row r="1446" spans="35:50">
      <c r="AI1446" s="99"/>
      <c r="AM1446" s="99"/>
      <c r="AO1446" s="99"/>
      <c r="AR1446" s="6"/>
      <c r="AS1446" s="6"/>
      <c r="AT1446" s="6"/>
      <c r="AU1446" s="89"/>
      <c r="AV1446" s="100"/>
      <c r="AW1446" s="65"/>
      <c r="AX1446" s="3"/>
    </row>
    <row r="1447" spans="35:50">
      <c r="AI1447" s="99"/>
      <c r="AM1447" s="99"/>
      <c r="AO1447" s="99"/>
      <c r="AR1447" s="6"/>
      <c r="AS1447" s="6"/>
      <c r="AT1447" s="6"/>
      <c r="AU1447" s="89"/>
      <c r="AV1447" s="100"/>
      <c r="AW1447" s="65"/>
      <c r="AX1447" s="3"/>
    </row>
    <row r="1448" spans="35:50">
      <c r="AI1448" s="99"/>
      <c r="AM1448" s="99"/>
      <c r="AO1448" s="99"/>
      <c r="AR1448" s="6"/>
      <c r="AS1448" s="6"/>
      <c r="AT1448" s="6"/>
      <c r="AU1448" s="89"/>
      <c r="AV1448" s="100"/>
      <c r="AW1448" s="65"/>
      <c r="AX1448" s="3"/>
    </row>
    <row r="1449" spans="35:50">
      <c r="AI1449" s="99"/>
      <c r="AM1449" s="99"/>
      <c r="AO1449" s="99"/>
      <c r="AR1449" s="6"/>
      <c r="AS1449" s="6"/>
      <c r="AT1449" s="6"/>
      <c r="AU1449" s="89"/>
      <c r="AV1449" s="100"/>
      <c r="AW1449" s="65"/>
      <c r="AX1449" s="3"/>
    </row>
    <row r="1450" spans="35:50">
      <c r="AI1450" s="99"/>
      <c r="AM1450" s="99"/>
      <c r="AO1450" s="99"/>
      <c r="AR1450" s="6"/>
      <c r="AS1450" s="6"/>
      <c r="AT1450" s="6"/>
      <c r="AU1450" s="89"/>
      <c r="AV1450" s="100"/>
      <c r="AW1450" s="65"/>
      <c r="AX1450" s="3"/>
    </row>
    <row r="1451" spans="35:50">
      <c r="AI1451" s="99"/>
      <c r="AM1451" s="99"/>
      <c r="AO1451" s="99"/>
      <c r="AR1451" s="6"/>
      <c r="AS1451" s="6"/>
      <c r="AT1451" s="6"/>
      <c r="AU1451" s="89"/>
      <c r="AV1451" s="100"/>
      <c r="AW1451" s="65"/>
      <c r="AX1451" s="3"/>
    </row>
    <row r="1452" spans="35:50">
      <c r="AI1452" s="99"/>
      <c r="AM1452" s="99"/>
      <c r="AO1452" s="99"/>
      <c r="AR1452" s="6"/>
      <c r="AS1452" s="6"/>
      <c r="AT1452" s="6"/>
      <c r="AU1452" s="89"/>
      <c r="AV1452" s="100"/>
      <c r="AW1452" s="65"/>
      <c r="AX1452" s="3"/>
    </row>
    <row r="1453" spans="35:50">
      <c r="AI1453" s="99"/>
      <c r="AM1453" s="99"/>
      <c r="AO1453" s="99"/>
      <c r="AR1453" s="6"/>
      <c r="AS1453" s="6"/>
      <c r="AT1453" s="6"/>
      <c r="AU1453" s="89"/>
      <c r="AV1453" s="100"/>
      <c r="AW1453" s="65"/>
      <c r="AX1453" s="3"/>
    </row>
    <row r="1454" spans="35:50">
      <c r="AI1454" s="99"/>
      <c r="AM1454" s="99"/>
      <c r="AO1454" s="99"/>
      <c r="AR1454" s="6"/>
      <c r="AS1454" s="6"/>
      <c r="AT1454" s="6"/>
      <c r="AU1454" s="89"/>
      <c r="AV1454" s="100"/>
      <c r="AW1454" s="65"/>
      <c r="AX1454" s="3"/>
    </row>
    <row r="1455" spans="35:50">
      <c r="AI1455" s="99"/>
      <c r="AM1455" s="99"/>
      <c r="AO1455" s="99"/>
      <c r="AR1455" s="6"/>
      <c r="AS1455" s="6"/>
      <c r="AT1455" s="6"/>
      <c r="AU1455" s="89"/>
      <c r="AV1455" s="100"/>
      <c r="AW1455" s="65"/>
      <c r="AX1455" s="3"/>
    </row>
    <row r="1456" spans="35:50">
      <c r="AI1456" s="99"/>
      <c r="AM1456" s="99"/>
      <c r="AO1456" s="99"/>
      <c r="AR1456" s="6"/>
      <c r="AS1456" s="6"/>
      <c r="AT1456" s="6"/>
      <c r="AU1456" s="89"/>
      <c r="AV1456" s="100"/>
      <c r="AW1456" s="65"/>
      <c r="AX1456" s="3"/>
    </row>
    <row r="1457" spans="35:50">
      <c r="AI1457" s="99"/>
      <c r="AM1457" s="99"/>
      <c r="AO1457" s="99"/>
      <c r="AR1457" s="6"/>
      <c r="AS1457" s="6"/>
      <c r="AT1457" s="6"/>
      <c r="AU1457" s="89"/>
      <c r="AV1457" s="100"/>
      <c r="AW1457" s="65"/>
      <c r="AX1457" s="3"/>
    </row>
    <row r="1458" spans="35:50">
      <c r="AI1458" s="99"/>
      <c r="AM1458" s="99"/>
      <c r="AO1458" s="99"/>
      <c r="AR1458" s="6"/>
      <c r="AS1458" s="6"/>
      <c r="AT1458" s="6"/>
      <c r="AU1458" s="89"/>
      <c r="AV1458" s="100"/>
      <c r="AW1458" s="65"/>
      <c r="AX1458" s="3"/>
    </row>
    <row r="1459" spans="35:50">
      <c r="AI1459" s="99"/>
      <c r="AM1459" s="99"/>
      <c r="AO1459" s="99"/>
      <c r="AR1459" s="6"/>
      <c r="AS1459" s="6"/>
      <c r="AT1459" s="6"/>
      <c r="AU1459" s="89"/>
      <c r="AV1459" s="100"/>
      <c r="AW1459" s="65"/>
      <c r="AX1459" s="3"/>
    </row>
    <row r="1460" spans="35:50">
      <c r="AI1460" s="99"/>
      <c r="AM1460" s="99"/>
      <c r="AO1460" s="99"/>
      <c r="AR1460" s="6"/>
      <c r="AS1460" s="6"/>
      <c r="AT1460" s="6"/>
      <c r="AU1460" s="89"/>
      <c r="AV1460" s="100"/>
      <c r="AW1460" s="65"/>
      <c r="AX1460" s="3"/>
    </row>
    <row r="1461" spans="35:50">
      <c r="AI1461" s="99"/>
      <c r="AM1461" s="99"/>
      <c r="AO1461" s="99"/>
      <c r="AR1461" s="6"/>
      <c r="AS1461" s="6"/>
      <c r="AT1461" s="6"/>
      <c r="AU1461" s="89"/>
      <c r="AV1461" s="100"/>
      <c r="AW1461" s="65"/>
      <c r="AX1461" s="3"/>
    </row>
    <row r="1462" spans="35:50">
      <c r="AI1462" s="99"/>
      <c r="AM1462" s="99"/>
      <c r="AO1462" s="99"/>
      <c r="AR1462" s="6"/>
      <c r="AS1462" s="6"/>
      <c r="AT1462" s="6"/>
      <c r="AU1462" s="89"/>
      <c r="AV1462" s="100"/>
      <c r="AW1462" s="65"/>
      <c r="AX1462" s="3"/>
    </row>
    <row r="1463" spans="35:50">
      <c r="AI1463" s="99"/>
      <c r="AM1463" s="99"/>
      <c r="AO1463" s="99"/>
      <c r="AR1463" s="6"/>
      <c r="AS1463" s="6"/>
      <c r="AT1463" s="6"/>
      <c r="AU1463" s="89"/>
      <c r="AV1463" s="100"/>
      <c r="AW1463" s="65"/>
      <c r="AX1463" s="3"/>
    </row>
    <row r="1464" spans="35:50">
      <c r="AI1464" s="99"/>
      <c r="AM1464" s="99"/>
      <c r="AO1464" s="99"/>
      <c r="AR1464" s="6"/>
      <c r="AS1464" s="6"/>
      <c r="AT1464" s="6"/>
      <c r="AU1464" s="89"/>
      <c r="AV1464" s="100"/>
      <c r="AW1464" s="65"/>
      <c r="AX1464" s="3"/>
    </row>
    <row r="1465" spans="35:50">
      <c r="AI1465" s="99"/>
      <c r="AM1465" s="99"/>
      <c r="AO1465" s="99"/>
      <c r="AR1465" s="6"/>
      <c r="AS1465" s="6"/>
      <c r="AT1465" s="6"/>
      <c r="AU1465" s="89"/>
      <c r="AV1465" s="100"/>
      <c r="AW1465" s="65"/>
      <c r="AX1465" s="3"/>
    </row>
    <row r="1466" spans="35:50">
      <c r="AI1466" s="99"/>
      <c r="AM1466" s="99"/>
      <c r="AO1466" s="99"/>
      <c r="AR1466" s="6"/>
      <c r="AS1466" s="6"/>
      <c r="AT1466" s="6"/>
      <c r="AU1466" s="89"/>
      <c r="AV1466" s="100"/>
      <c r="AW1466" s="65"/>
      <c r="AX1466" s="3"/>
    </row>
    <row r="1467" spans="35:50">
      <c r="AI1467" s="99"/>
      <c r="AM1467" s="99"/>
      <c r="AO1467" s="99"/>
      <c r="AR1467" s="6"/>
      <c r="AS1467" s="6"/>
      <c r="AT1467" s="6"/>
      <c r="AU1467" s="89"/>
      <c r="AV1467" s="100"/>
      <c r="AW1467" s="65"/>
      <c r="AX1467" s="3"/>
    </row>
    <row r="1468" spans="35:50">
      <c r="AI1468" s="99"/>
      <c r="AM1468" s="99"/>
      <c r="AO1468" s="99"/>
      <c r="AR1468" s="6"/>
      <c r="AS1468" s="6"/>
      <c r="AT1468" s="6"/>
      <c r="AU1468" s="89"/>
      <c r="AV1468" s="100"/>
      <c r="AW1468" s="65"/>
      <c r="AX1468" s="3"/>
    </row>
    <row r="1469" spans="35:50">
      <c r="AI1469" s="99"/>
      <c r="AM1469" s="99"/>
      <c r="AO1469" s="99"/>
      <c r="AR1469" s="6"/>
      <c r="AS1469" s="6"/>
      <c r="AT1469" s="6"/>
      <c r="AU1469" s="89"/>
      <c r="AV1469" s="100"/>
      <c r="AW1469" s="65"/>
      <c r="AX1469" s="3"/>
    </row>
    <row r="1470" spans="35:50">
      <c r="AI1470" s="99"/>
      <c r="AM1470" s="99"/>
      <c r="AO1470" s="99"/>
      <c r="AR1470" s="6"/>
      <c r="AS1470" s="6"/>
      <c r="AT1470" s="6"/>
      <c r="AU1470" s="89"/>
      <c r="AV1470" s="100"/>
      <c r="AW1470" s="65"/>
      <c r="AX1470" s="3"/>
    </row>
    <row r="1471" spans="35:50">
      <c r="AI1471" s="99"/>
      <c r="AM1471" s="99"/>
      <c r="AO1471" s="99"/>
      <c r="AR1471" s="6"/>
      <c r="AS1471" s="6"/>
      <c r="AT1471" s="6"/>
      <c r="AU1471" s="89"/>
      <c r="AV1471" s="100"/>
      <c r="AW1471" s="65"/>
      <c r="AX1471" s="3"/>
    </row>
    <row r="1472" spans="35:50">
      <c r="AI1472" s="99"/>
      <c r="AM1472" s="99"/>
      <c r="AO1472" s="99"/>
      <c r="AR1472" s="6"/>
      <c r="AS1472" s="6"/>
      <c r="AT1472" s="6"/>
      <c r="AU1472" s="89"/>
      <c r="AV1472" s="100"/>
      <c r="AW1472" s="65"/>
      <c r="AX1472" s="3"/>
    </row>
    <row r="1473" spans="35:50">
      <c r="AI1473" s="99"/>
      <c r="AM1473" s="99"/>
      <c r="AO1473" s="99"/>
      <c r="AR1473" s="6"/>
      <c r="AS1473" s="6"/>
      <c r="AT1473" s="6"/>
      <c r="AU1473" s="89"/>
      <c r="AV1473" s="100"/>
      <c r="AW1473" s="65"/>
      <c r="AX1473" s="3"/>
    </row>
    <row r="1474" spans="35:50">
      <c r="AI1474" s="99"/>
      <c r="AM1474" s="99"/>
      <c r="AO1474" s="99"/>
      <c r="AR1474" s="6"/>
      <c r="AS1474" s="6"/>
      <c r="AT1474" s="6"/>
      <c r="AU1474" s="89"/>
      <c r="AV1474" s="100"/>
      <c r="AW1474" s="65"/>
      <c r="AX1474" s="3"/>
    </row>
    <row r="1475" spans="35:50">
      <c r="AI1475" s="99"/>
      <c r="AM1475" s="99"/>
      <c r="AO1475" s="99"/>
      <c r="AR1475" s="6"/>
      <c r="AS1475" s="6"/>
      <c r="AT1475" s="6"/>
      <c r="AU1475" s="89"/>
      <c r="AV1475" s="100"/>
      <c r="AW1475" s="65"/>
      <c r="AX1475" s="3"/>
    </row>
    <row r="1476" spans="35:50">
      <c r="AI1476" s="99"/>
      <c r="AM1476" s="99"/>
      <c r="AO1476" s="99"/>
      <c r="AR1476" s="6"/>
      <c r="AS1476" s="6"/>
      <c r="AT1476" s="6"/>
      <c r="AU1476" s="89"/>
      <c r="AV1476" s="100"/>
      <c r="AW1476" s="65"/>
      <c r="AX1476" s="3"/>
    </row>
    <row r="1477" spans="35:50">
      <c r="AI1477" s="99"/>
      <c r="AM1477" s="99"/>
      <c r="AO1477" s="99"/>
      <c r="AR1477" s="6"/>
      <c r="AS1477" s="6"/>
      <c r="AT1477" s="6"/>
      <c r="AU1477" s="89"/>
      <c r="AV1477" s="100"/>
      <c r="AW1477" s="65"/>
      <c r="AX1477" s="3"/>
    </row>
    <row r="1478" spans="35:50">
      <c r="AI1478" s="99"/>
      <c r="AM1478" s="99"/>
      <c r="AO1478" s="99"/>
      <c r="AR1478" s="6"/>
      <c r="AS1478" s="6"/>
      <c r="AT1478" s="6"/>
      <c r="AU1478" s="89"/>
      <c r="AV1478" s="100"/>
      <c r="AW1478" s="65"/>
      <c r="AX1478" s="3"/>
    </row>
    <row r="1479" spans="35:50">
      <c r="AI1479" s="99"/>
      <c r="AM1479" s="99"/>
      <c r="AO1479" s="99"/>
      <c r="AR1479" s="6"/>
      <c r="AS1479" s="6"/>
      <c r="AT1479" s="6"/>
      <c r="AU1479" s="89"/>
      <c r="AV1479" s="100"/>
      <c r="AW1479" s="65"/>
      <c r="AX1479" s="3"/>
    </row>
    <row r="1480" spans="35:50">
      <c r="AI1480" s="99"/>
      <c r="AM1480" s="99"/>
      <c r="AO1480" s="99"/>
      <c r="AR1480" s="6"/>
      <c r="AS1480" s="6"/>
      <c r="AT1480" s="6"/>
      <c r="AU1480" s="89"/>
      <c r="AV1480" s="100"/>
      <c r="AW1480" s="65"/>
      <c r="AX1480" s="3"/>
    </row>
    <row r="1481" spans="35:50">
      <c r="AI1481" s="99"/>
      <c r="AM1481" s="99"/>
      <c r="AO1481" s="99"/>
      <c r="AR1481" s="6"/>
      <c r="AS1481" s="6"/>
      <c r="AT1481" s="6"/>
      <c r="AU1481" s="89"/>
      <c r="AV1481" s="100"/>
      <c r="AW1481" s="65"/>
      <c r="AX1481" s="3"/>
    </row>
    <row r="1482" spans="35:50">
      <c r="AI1482" s="99"/>
      <c r="AM1482" s="99"/>
      <c r="AO1482" s="99"/>
      <c r="AR1482" s="6"/>
      <c r="AS1482" s="6"/>
      <c r="AT1482" s="6"/>
      <c r="AU1482" s="89"/>
      <c r="AV1482" s="100"/>
      <c r="AW1482" s="65"/>
      <c r="AX1482" s="3"/>
    </row>
    <row r="1483" spans="35:50">
      <c r="AI1483" s="99"/>
      <c r="AM1483" s="99"/>
      <c r="AO1483" s="99"/>
      <c r="AR1483" s="6"/>
      <c r="AS1483" s="6"/>
      <c r="AT1483" s="6"/>
      <c r="AU1483" s="89"/>
      <c r="AV1483" s="100"/>
      <c r="AW1483" s="65"/>
      <c r="AX1483" s="3"/>
    </row>
    <row r="1484" spans="35:50">
      <c r="AI1484" s="99"/>
      <c r="AM1484" s="99"/>
      <c r="AO1484" s="99"/>
      <c r="AR1484" s="6"/>
      <c r="AS1484" s="6"/>
      <c r="AT1484" s="6"/>
      <c r="AU1484" s="89"/>
      <c r="AV1484" s="100"/>
      <c r="AW1484" s="65"/>
      <c r="AX1484" s="3"/>
    </row>
    <row r="1485" spans="35:50">
      <c r="AI1485" s="99"/>
      <c r="AM1485" s="99"/>
      <c r="AO1485" s="99"/>
      <c r="AR1485" s="6"/>
      <c r="AS1485" s="6"/>
      <c r="AT1485" s="6"/>
      <c r="AU1485" s="89"/>
      <c r="AV1485" s="100"/>
      <c r="AW1485" s="65"/>
      <c r="AX1485" s="3"/>
    </row>
    <row r="1486" spans="35:50">
      <c r="AI1486" s="99"/>
      <c r="AM1486" s="99"/>
      <c r="AO1486" s="99"/>
      <c r="AR1486" s="6"/>
      <c r="AS1486" s="6"/>
      <c r="AT1486" s="6"/>
      <c r="AU1486" s="89"/>
      <c r="AV1486" s="100"/>
      <c r="AW1486" s="65"/>
      <c r="AX1486" s="3"/>
    </row>
    <row r="1487" spans="35:50">
      <c r="AI1487" s="99"/>
      <c r="AM1487" s="99"/>
      <c r="AO1487" s="99"/>
      <c r="AR1487" s="6"/>
      <c r="AS1487" s="6"/>
      <c r="AT1487" s="6"/>
      <c r="AU1487" s="89"/>
      <c r="AV1487" s="100"/>
      <c r="AW1487" s="65"/>
      <c r="AX1487" s="3"/>
    </row>
    <row r="1488" spans="35:50">
      <c r="AI1488" s="99"/>
      <c r="AM1488" s="99"/>
      <c r="AO1488" s="99"/>
      <c r="AR1488" s="6"/>
      <c r="AS1488" s="6"/>
      <c r="AT1488" s="6"/>
      <c r="AU1488" s="89"/>
      <c r="AV1488" s="100"/>
      <c r="AW1488" s="65"/>
      <c r="AX1488" s="3"/>
    </row>
    <row r="1489" spans="35:50">
      <c r="AI1489" s="99"/>
      <c r="AM1489" s="99"/>
      <c r="AO1489" s="99"/>
      <c r="AR1489" s="6"/>
      <c r="AS1489" s="6"/>
      <c r="AT1489" s="6"/>
      <c r="AU1489" s="89"/>
      <c r="AV1489" s="100"/>
      <c r="AW1489" s="65"/>
      <c r="AX1489" s="3"/>
    </row>
    <row r="1490" spans="35:50">
      <c r="AI1490" s="99"/>
      <c r="AM1490" s="99"/>
      <c r="AO1490" s="99"/>
      <c r="AR1490" s="6"/>
      <c r="AS1490" s="6"/>
      <c r="AT1490" s="6"/>
      <c r="AU1490" s="89"/>
      <c r="AV1490" s="100"/>
      <c r="AW1490" s="65"/>
      <c r="AX1490" s="3"/>
    </row>
    <row r="1491" spans="35:50">
      <c r="AI1491" s="99"/>
      <c r="AM1491" s="99"/>
      <c r="AO1491" s="99"/>
      <c r="AR1491" s="6"/>
      <c r="AS1491" s="6"/>
      <c r="AT1491" s="6"/>
      <c r="AU1491" s="89"/>
      <c r="AV1491" s="100"/>
      <c r="AW1491" s="65"/>
      <c r="AX1491" s="3"/>
    </row>
    <row r="1492" spans="35:50">
      <c r="AI1492" s="99"/>
      <c r="AM1492" s="99"/>
      <c r="AO1492" s="99"/>
      <c r="AR1492" s="6"/>
      <c r="AS1492" s="6"/>
      <c r="AT1492" s="6"/>
      <c r="AU1492" s="89"/>
      <c r="AV1492" s="100"/>
      <c r="AW1492" s="65"/>
      <c r="AX1492" s="3"/>
    </row>
    <row r="1493" spans="35:50">
      <c r="AI1493" s="99"/>
      <c r="AM1493" s="99"/>
      <c r="AO1493" s="99"/>
      <c r="AR1493" s="6"/>
      <c r="AS1493" s="6"/>
      <c r="AT1493" s="6"/>
      <c r="AU1493" s="89"/>
      <c r="AV1493" s="100"/>
      <c r="AW1493" s="65"/>
      <c r="AX1493" s="3"/>
    </row>
    <row r="1494" spans="35:50">
      <c r="AI1494" s="99"/>
      <c r="AM1494" s="99"/>
      <c r="AO1494" s="99"/>
      <c r="AR1494" s="6"/>
      <c r="AS1494" s="6"/>
      <c r="AT1494" s="6"/>
      <c r="AU1494" s="89"/>
      <c r="AV1494" s="100"/>
      <c r="AW1494" s="65"/>
      <c r="AX1494" s="3"/>
    </row>
    <row r="1495" spans="35:50">
      <c r="AI1495" s="99"/>
      <c r="AM1495" s="99"/>
      <c r="AO1495" s="99"/>
      <c r="AR1495" s="6"/>
      <c r="AS1495" s="6"/>
      <c r="AT1495" s="6"/>
      <c r="AU1495" s="89"/>
      <c r="AV1495" s="100"/>
      <c r="AW1495" s="65"/>
      <c r="AX1495" s="3"/>
    </row>
    <row r="1496" spans="35:50">
      <c r="AI1496" s="99"/>
      <c r="AM1496" s="99"/>
      <c r="AO1496" s="99"/>
      <c r="AR1496" s="6"/>
      <c r="AS1496" s="6"/>
      <c r="AT1496" s="6"/>
      <c r="AU1496" s="89"/>
      <c r="AV1496" s="100"/>
      <c r="AW1496" s="65"/>
      <c r="AX1496" s="3"/>
    </row>
    <row r="1497" spans="35:50">
      <c r="AI1497" s="99"/>
      <c r="AM1497" s="99"/>
      <c r="AO1497" s="99"/>
      <c r="AR1497" s="6"/>
      <c r="AS1497" s="6"/>
      <c r="AT1497" s="6"/>
      <c r="AU1497" s="89"/>
      <c r="AV1497" s="100"/>
      <c r="AW1497" s="65"/>
      <c r="AX1497" s="3"/>
    </row>
    <row r="1498" spans="35:50">
      <c r="AI1498" s="99"/>
      <c r="AM1498" s="99"/>
      <c r="AO1498" s="99"/>
      <c r="AR1498" s="6"/>
      <c r="AS1498" s="6"/>
      <c r="AT1498" s="6"/>
      <c r="AU1498" s="89"/>
      <c r="AV1498" s="100"/>
      <c r="AW1498" s="65"/>
      <c r="AX1498" s="3"/>
    </row>
    <row r="1499" spans="35:50">
      <c r="AI1499" s="99"/>
      <c r="AM1499" s="99"/>
      <c r="AO1499" s="99"/>
      <c r="AR1499" s="6"/>
      <c r="AS1499" s="6"/>
      <c r="AT1499" s="6"/>
      <c r="AU1499" s="89"/>
      <c r="AV1499" s="100"/>
      <c r="AW1499" s="65"/>
      <c r="AX1499" s="3"/>
    </row>
    <row r="1500" spans="35:50">
      <c r="AI1500" s="99"/>
      <c r="AM1500" s="99"/>
      <c r="AO1500" s="99"/>
      <c r="AR1500" s="6"/>
      <c r="AS1500" s="6"/>
      <c r="AT1500" s="6"/>
      <c r="AU1500" s="89"/>
      <c r="AV1500" s="100"/>
      <c r="AW1500" s="65"/>
      <c r="AX1500" s="3"/>
    </row>
    <row r="1501" spans="35:50">
      <c r="AI1501" s="99"/>
      <c r="AM1501" s="99"/>
      <c r="AO1501" s="99"/>
      <c r="AR1501" s="6"/>
      <c r="AS1501" s="6"/>
      <c r="AT1501" s="6"/>
      <c r="AU1501" s="89"/>
      <c r="AV1501" s="100"/>
      <c r="AW1501" s="65"/>
      <c r="AX1501" s="3"/>
    </row>
    <row r="1502" spans="35:50">
      <c r="AI1502" s="99"/>
      <c r="AM1502" s="99"/>
      <c r="AO1502" s="99"/>
      <c r="AR1502" s="6"/>
      <c r="AS1502" s="6"/>
      <c r="AT1502" s="6"/>
      <c r="AU1502" s="89"/>
      <c r="AV1502" s="100"/>
      <c r="AW1502" s="65"/>
      <c r="AX1502" s="3"/>
    </row>
    <row r="1503" spans="35:50">
      <c r="AI1503" s="99"/>
      <c r="AM1503" s="99"/>
      <c r="AO1503" s="99"/>
      <c r="AR1503" s="6"/>
      <c r="AS1503" s="6"/>
      <c r="AT1503" s="6"/>
      <c r="AU1503" s="89"/>
      <c r="AV1503" s="100"/>
      <c r="AW1503" s="65"/>
      <c r="AX1503" s="3"/>
    </row>
    <row r="1504" spans="35:50">
      <c r="AI1504" s="99"/>
      <c r="AM1504" s="99"/>
      <c r="AO1504" s="99"/>
      <c r="AR1504" s="6"/>
      <c r="AS1504" s="6"/>
      <c r="AT1504" s="6"/>
      <c r="AU1504" s="89"/>
      <c r="AV1504" s="100"/>
      <c r="AW1504" s="65"/>
      <c r="AX1504" s="3"/>
    </row>
    <row r="1505" spans="35:50">
      <c r="AI1505" s="99"/>
      <c r="AM1505" s="99"/>
      <c r="AO1505" s="99"/>
      <c r="AR1505" s="6"/>
      <c r="AS1505" s="6"/>
      <c r="AT1505" s="6"/>
      <c r="AU1505" s="89"/>
      <c r="AV1505" s="100"/>
      <c r="AW1505" s="65"/>
      <c r="AX1505" s="3"/>
    </row>
    <row r="1506" spans="35:50">
      <c r="AI1506" s="99"/>
      <c r="AM1506" s="99"/>
      <c r="AO1506" s="99"/>
      <c r="AR1506" s="6"/>
      <c r="AS1506" s="6"/>
      <c r="AT1506" s="6"/>
      <c r="AU1506" s="89"/>
      <c r="AV1506" s="100"/>
      <c r="AW1506" s="65"/>
      <c r="AX1506" s="3"/>
    </row>
    <row r="1507" spans="35:50">
      <c r="AI1507" s="99"/>
      <c r="AM1507" s="99"/>
      <c r="AO1507" s="99"/>
      <c r="AR1507" s="6"/>
      <c r="AS1507" s="6"/>
      <c r="AT1507" s="6"/>
      <c r="AU1507" s="89"/>
      <c r="AV1507" s="100"/>
      <c r="AW1507" s="65"/>
      <c r="AX1507" s="3"/>
    </row>
    <row r="1508" spans="35:50">
      <c r="AI1508" s="99"/>
      <c r="AM1508" s="99"/>
      <c r="AO1508" s="99"/>
      <c r="AR1508" s="6"/>
      <c r="AS1508" s="6"/>
      <c r="AT1508" s="6"/>
      <c r="AU1508" s="89"/>
      <c r="AV1508" s="100"/>
      <c r="AW1508" s="65"/>
      <c r="AX1508" s="3"/>
    </row>
    <row r="1509" spans="35:50">
      <c r="AI1509" s="99"/>
      <c r="AM1509" s="99"/>
      <c r="AO1509" s="99"/>
      <c r="AR1509" s="6"/>
      <c r="AS1509" s="6"/>
      <c r="AT1509" s="6"/>
      <c r="AU1509" s="89"/>
      <c r="AV1509" s="100"/>
      <c r="AW1509" s="65"/>
      <c r="AX1509" s="3"/>
    </row>
    <row r="1510" spans="35:50">
      <c r="AI1510" s="99"/>
      <c r="AM1510" s="99"/>
      <c r="AO1510" s="99"/>
      <c r="AR1510" s="6"/>
      <c r="AS1510" s="6"/>
      <c r="AT1510" s="6"/>
      <c r="AU1510" s="89"/>
      <c r="AV1510" s="100"/>
      <c r="AW1510" s="65"/>
      <c r="AX1510" s="3"/>
    </row>
    <row r="1511" spans="35:50">
      <c r="AI1511" s="99"/>
      <c r="AM1511" s="99"/>
      <c r="AO1511" s="99"/>
      <c r="AR1511" s="6"/>
      <c r="AS1511" s="6"/>
      <c r="AT1511" s="6"/>
      <c r="AU1511" s="89"/>
      <c r="AV1511" s="100"/>
      <c r="AW1511" s="65"/>
      <c r="AX1511" s="3"/>
    </row>
    <row r="1512" spans="35:50">
      <c r="AI1512" s="99"/>
      <c r="AM1512" s="99"/>
      <c r="AO1512" s="99"/>
      <c r="AR1512" s="6"/>
      <c r="AS1512" s="6"/>
      <c r="AT1512" s="6"/>
      <c r="AU1512" s="89"/>
      <c r="AV1512" s="100"/>
      <c r="AW1512" s="65"/>
      <c r="AX1512" s="3"/>
    </row>
    <row r="1513" spans="35:50">
      <c r="AI1513" s="99"/>
      <c r="AM1513" s="99"/>
      <c r="AO1513" s="99"/>
      <c r="AR1513" s="6"/>
      <c r="AS1513" s="6"/>
      <c r="AT1513" s="6"/>
      <c r="AU1513" s="89"/>
      <c r="AV1513" s="100"/>
      <c r="AW1513" s="65"/>
      <c r="AX1513" s="3"/>
    </row>
    <row r="1514" spans="35:50">
      <c r="AI1514" s="99"/>
      <c r="AM1514" s="99"/>
      <c r="AO1514" s="99"/>
      <c r="AR1514" s="6"/>
      <c r="AS1514" s="6"/>
      <c r="AT1514" s="6"/>
      <c r="AU1514" s="89"/>
      <c r="AV1514" s="100"/>
      <c r="AW1514" s="65"/>
      <c r="AX1514" s="3"/>
    </row>
    <row r="1515" spans="35:50">
      <c r="AI1515" s="99"/>
      <c r="AM1515" s="99"/>
      <c r="AO1515" s="99"/>
      <c r="AR1515" s="6"/>
      <c r="AS1515" s="6"/>
      <c r="AT1515" s="6"/>
      <c r="AU1515" s="89"/>
      <c r="AV1515" s="100"/>
      <c r="AW1515" s="65"/>
      <c r="AX1515" s="3"/>
    </row>
    <row r="1516" spans="35:50">
      <c r="AI1516" s="99"/>
      <c r="AM1516" s="99"/>
      <c r="AO1516" s="99"/>
      <c r="AR1516" s="6"/>
      <c r="AS1516" s="6"/>
      <c r="AT1516" s="6"/>
      <c r="AU1516" s="89"/>
      <c r="AV1516" s="100"/>
      <c r="AW1516" s="65"/>
      <c r="AX1516" s="3"/>
    </row>
    <row r="1517" spans="35:50">
      <c r="AI1517" s="99"/>
      <c r="AM1517" s="99"/>
      <c r="AO1517" s="99"/>
      <c r="AR1517" s="6"/>
      <c r="AS1517" s="6"/>
      <c r="AT1517" s="6"/>
      <c r="AU1517" s="89"/>
      <c r="AV1517" s="100"/>
      <c r="AW1517" s="65"/>
      <c r="AX1517" s="3"/>
    </row>
    <row r="1518" spans="35:50">
      <c r="AI1518" s="99"/>
      <c r="AM1518" s="99"/>
      <c r="AO1518" s="99"/>
      <c r="AR1518" s="6"/>
      <c r="AS1518" s="6"/>
      <c r="AT1518" s="6"/>
      <c r="AU1518" s="89"/>
      <c r="AV1518" s="100"/>
      <c r="AW1518" s="65"/>
      <c r="AX1518" s="3"/>
    </row>
    <row r="1519" spans="35:50">
      <c r="AI1519" s="99"/>
      <c r="AM1519" s="99"/>
      <c r="AO1519" s="99"/>
      <c r="AR1519" s="6"/>
      <c r="AS1519" s="6"/>
      <c r="AT1519" s="6"/>
      <c r="AU1519" s="89"/>
      <c r="AV1519" s="100"/>
      <c r="AW1519" s="65"/>
      <c r="AX1519" s="3"/>
    </row>
    <row r="1520" spans="35:50">
      <c r="AI1520" s="99"/>
      <c r="AM1520" s="99"/>
      <c r="AO1520" s="99"/>
      <c r="AR1520" s="6"/>
      <c r="AS1520" s="6"/>
      <c r="AT1520" s="6"/>
      <c r="AU1520" s="89"/>
      <c r="AV1520" s="100"/>
      <c r="AW1520" s="65"/>
      <c r="AX1520" s="3"/>
    </row>
    <row r="1521" spans="35:50">
      <c r="AI1521" s="99"/>
      <c r="AM1521" s="99"/>
      <c r="AO1521" s="99"/>
      <c r="AR1521" s="6"/>
      <c r="AS1521" s="6"/>
      <c r="AT1521" s="6"/>
      <c r="AU1521" s="89"/>
      <c r="AV1521" s="100"/>
      <c r="AW1521" s="65"/>
      <c r="AX1521" s="3"/>
    </row>
    <row r="1522" spans="35:50">
      <c r="AI1522" s="99"/>
      <c r="AM1522" s="99"/>
      <c r="AO1522" s="99"/>
      <c r="AR1522" s="6"/>
      <c r="AS1522" s="6"/>
      <c r="AT1522" s="6"/>
      <c r="AU1522" s="89"/>
      <c r="AV1522" s="100"/>
      <c r="AW1522" s="65"/>
      <c r="AX1522" s="3"/>
    </row>
    <row r="1523" spans="35:50">
      <c r="AI1523" s="99"/>
      <c r="AM1523" s="99"/>
      <c r="AO1523" s="99"/>
      <c r="AR1523" s="6"/>
      <c r="AS1523" s="6"/>
      <c r="AT1523" s="6"/>
      <c r="AU1523" s="89"/>
      <c r="AV1523" s="100"/>
      <c r="AW1523" s="65"/>
      <c r="AX1523" s="3"/>
    </row>
    <row r="1524" spans="35:50">
      <c r="AI1524" s="99"/>
      <c r="AM1524" s="99"/>
      <c r="AO1524" s="99"/>
      <c r="AR1524" s="6"/>
      <c r="AS1524" s="6"/>
      <c r="AT1524" s="6"/>
      <c r="AU1524" s="89"/>
      <c r="AV1524" s="100"/>
      <c r="AW1524" s="65"/>
      <c r="AX1524" s="3"/>
    </row>
    <row r="1525" spans="35:50">
      <c r="AI1525" s="99"/>
      <c r="AM1525" s="99"/>
      <c r="AO1525" s="99"/>
      <c r="AR1525" s="6"/>
      <c r="AS1525" s="6"/>
      <c r="AT1525" s="6"/>
      <c r="AU1525" s="89"/>
      <c r="AV1525" s="100"/>
      <c r="AW1525" s="65"/>
      <c r="AX1525" s="3"/>
    </row>
    <row r="1526" spans="35:50">
      <c r="AI1526" s="99"/>
      <c r="AM1526" s="99"/>
      <c r="AO1526" s="99"/>
      <c r="AR1526" s="6"/>
      <c r="AS1526" s="6"/>
      <c r="AT1526" s="6"/>
      <c r="AU1526" s="89"/>
      <c r="AV1526" s="100"/>
      <c r="AW1526" s="65"/>
      <c r="AX1526" s="3"/>
    </row>
    <row r="1527" spans="35:50">
      <c r="AI1527" s="99"/>
      <c r="AM1527" s="99"/>
      <c r="AO1527" s="99"/>
      <c r="AR1527" s="6"/>
      <c r="AS1527" s="6"/>
      <c r="AT1527" s="6"/>
      <c r="AU1527" s="89"/>
      <c r="AV1527" s="100"/>
      <c r="AW1527" s="65"/>
      <c r="AX1527" s="3"/>
    </row>
    <row r="1528" spans="35:50">
      <c r="AI1528" s="99"/>
      <c r="AM1528" s="99"/>
      <c r="AO1528" s="99"/>
      <c r="AR1528" s="6"/>
      <c r="AS1528" s="6"/>
      <c r="AT1528" s="6"/>
      <c r="AU1528" s="89"/>
      <c r="AV1528" s="100"/>
      <c r="AW1528" s="65"/>
      <c r="AX1528" s="3"/>
    </row>
    <row r="1529" spans="35:50">
      <c r="AI1529" s="99"/>
      <c r="AM1529" s="99"/>
      <c r="AO1529" s="99"/>
      <c r="AR1529" s="6"/>
      <c r="AS1529" s="6"/>
      <c r="AT1529" s="6"/>
      <c r="AU1529" s="89"/>
      <c r="AV1529" s="100"/>
      <c r="AW1529" s="65"/>
      <c r="AX1529" s="3"/>
    </row>
    <row r="1530" spans="35:50">
      <c r="AI1530" s="99"/>
      <c r="AM1530" s="99"/>
      <c r="AO1530" s="99"/>
      <c r="AR1530" s="6"/>
      <c r="AS1530" s="6"/>
      <c r="AT1530" s="6"/>
      <c r="AU1530" s="89"/>
      <c r="AV1530" s="100"/>
      <c r="AW1530" s="65"/>
      <c r="AX1530" s="3"/>
    </row>
    <row r="1531" spans="35:50">
      <c r="AI1531" s="99"/>
      <c r="AM1531" s="99"/>
      <c r="AO1531" s="99"/>
      <c r="AR1531" s="6"/>
      <c r="AS1531" s="6"/>
      <c r="AT1531" s="6"/>
      <c r="AU1531" s="89"/>
      <c r="AV1531" s="100"/>
      <c r="AW1531" s="65"/>
      <c r="AX1531" s="3"/>
    </row>
    <row r="1532" spans="35:50">
      <c r="AI1532" s="99"/>
      <c r="AM1532" s="99"/>
      <c r="AO1532" s="99"/>
      <c r="AR1532" s="6"/>
      <c r="AS1532" s="6"/>
      <c r="AT1532" s="6"/>
      <c r="AU1532" s="89"/>
      <c r="AV1532" s="100"/>
      <c r="AW1532" s="65"/>
      <c r="AX1532" s="3"/>
    </row>
    <row r="1533" spans="35:50">
      <c r="AI1533" s="99"/>
      <c r="AM1533" s="99"/>
      <c r="AO1533" s="99"/>
      <c r="AR1533" s="6"/>
      <c r="AS1533" s="6"/>
      <c r="AT1533" s="6"/>
      <c r="AU1533" s="89"/>
      <c r="AV1533" s="100"/>
      <c r="AW1533" s="65"/>
      <c r="AX1533" s="3"/>
    </row>
    <row r="1534" spans="35:50">
      <c r="AI1534" s="99"/>
      <c r="AM1534" s="99"/>
      <c r="AO1534" s="99"/>
      <c r="AR1534" s="6"/>
      <c r="AS1534" s="6"/>
      <c r="AT1534" s="6"/>
      <c r="AU1534" s="89"/>
      <c r="AV1534" s="100"/>
      <c r="AW1534" s="65"/>
      <c r="AX1534" s="3"/>
    </row>
    <row r="1535" spans="35:50">
      <c r="AI1535" s="99"/>
      <c r="AM1535" s="99"/>
      <c r="AO1535" s="99"/>
      <c r="AR1535" s="6"/>
      <c r="AS1535" s="6"/>
      <c r="AT1535" s="6"/>
      <c r="AU1535" s="89"/>
      <c r="AV1535" s="100"/>
      <c r="AW1535" s="65"/>
      <c r="AX1535" s="3"/>
    </row>
    <row r="1536" spans="35:50">
      <c r="AI1536" s="99"/>
      <c r="AM1536" s="99"/>
      <c r="AO1536" s="99"/>
      <c r="AR1536" s="6"/>
      <c r="AS1536" s="6"/>
      <c r="AT1536" s="6"/>
      <c r="AU1536" s="89"/>
      <c r="AV1536" s="100"/>
      <c r="AW1536" s="65"/>
      <c r="AX1536" s="3"/>
    </row>
    <row r="1537" spans="35:50">
      <c r="AI1537" s="99"/>
      <c r="AM1537" s="99"/>
      <c r="AO1537" s="99"/>
      <c r="AR1537" s="6"/>
      <c r="AS1537" s="6"/>
      <c r="AT1537" s="6"/>
      <c r="AU1537" s="89"/>
      <c r="AV1537" s="100"/>
      <c r="AW1537" s="65"/>
      <c r="AX1537" s="3"/>
    </row>
    <row r="1538" spans="35:50">
      <c r="AI1538" s="99"/>
      <c r="AM1538" s="99"/>
      <c r="AO1538" s="99"/>
      <c r="AR1538" s="6"/>
      <c r="AS1538" s="6"/>
      <c r="AT1538" s="6"/>
      <c r="AU1538" s="89"/>
      <c r="AV1538" s="100"/>
      <c r="AW1538" s="65"/>
      <c r="AX1538" s="3"/>
    </row>
    <row r="1539" spans="35:50">
      <c r="AI1539" s="99"/>
      <c r="AM1539" s="99"/>
      <c r="AO1539" s="99"/>
      <c r="AR1539" s="6"/>
      <c r="AS1539" s="6"/>
      <c r="AT1539" s="6"/>
      <c r="AU1539" s="89"/>
      <c r="AV1539" s="100"/>
      <c r="AW1539" s="65"/>
      <c r="AX1539" s="3"/>
    </row>
    <row r="1540" spans="35:50">
      <c r="AI1540" s="99"/>
      <c r="AM1540" s="99"/>
      <c r="AO1540" s="99"/>
      <c r="AR1540" s="6"/>
      <c r="AS1540" s="6"/>
      <c r="AT1540" s="6"/>
      <c r="AU1540" s="89"/>
      <c r="AV1540" s="100"/>
      <c r="AW1540" s="65"/>
      <c r="AX1540" s="3"/>
    </row>
    <row r="1541" spans="35:50">
      <c r="AI1541" s="99"/>
      <c r="AM1541" s="99"/>
      <c r="AO1541" s="99"/>
      <c r="AR1541" s="6"/>
      <c r="AS1541" s="6"/>
      <c r="AT1541" s="6"/>
      <c r="AU1541" s="89"/>
      <c r="AV1541" s="100"/>
      <c r="AW1541" s="65"/>
      <c r="AX1541" s="3"/>
    </row>
    <row r="1542" spans="35:50">
      <c r="AI1542" s="99"/>
      <c r="AM1542" s="99"/>
      <c r="AO1542" s="99"/>
      <c r="AR1542" s="6"/>
      <c r="AS1542" s="6"/>
      <c r="AT1542" s="6"/>
      <c r="AU1542" s="89"/>
      <c r="AV1542" s="100"/>
      <c r="AW1542" s="65"/>
      <c r="AX1542" s="3"/>
    </row>
    <row r="1543" spans="35:50">
      <c r="AI1543" s="99"/>
      <c r="AM1543" s="99"/>
      <c r="AO1543" s="99"/>
      <c r="AR1543" s="6"/>
      <c r="AS1543" s="6"/>
      <c r="AT1543" s="6"/>
      <c r="AU1543" s="89"/>
      <c r="AV1543" s="100"/>
      <c r="AW1543" s="65"/>
      <c r="AX1543" s="3"/>
    </row>
    <row r="1544" spans="35:50">
      <c r="AI1544" s="99"/>
      <c r="AM1544" s="99"/>
      <c r="AO1544" s="99"/>
      <c r="AR1544" s="6"/>
      <c r="AS1544" s="6"/>
      <c r="AT1544" s="6"/>
      <c r="AU1544" s="89"/>
      <c r="AV1544" s="100"/>
      <c r="AW1544" s="65"/>
      <c r="AX1544" s="3"/>
    </row>
    <row r="1545" spans="35:50">
      <c r="AI1545" s="99"/>
      <c r="AM1545" s="99"/>
      <c r="AO1545" s="99"/>
      <c r="AR1545" s="6"/>
      <c r="AS1545" s="6"/>
      <c r="AT1545" s="6"/>
      <c r="AU1545" s="89"/>
      <c r="AV1545" s="100"/>
      <c r="AW1545" s="65"/>
      <c r="AX1545" s="3"/>
    </row>
    <row r="1546" spans="35:50">
      <c r="AI1546" s="99"/>
      <c r="AM1546" s="99"/>
      <c r="AO1546" s="99"/>
      <c r="AR1546" s="6"/>
      <c r="AS1546" s="6"/>
      <c r="AT1546" s="6"/>
      <c r="AU1546" s="89"/>
      <c r="AV1546" s="100"/>
      <c r="AW1546" s="65"/>
      <c r="AX1546" s="3"/>
    </row>
    <row r="1547" spans="35:50">
      <c r="AI1547" s="99"/>
      <c r="AM1547" s="99"/>
      <c r="AO1547" s="99"/>
      <c r="AR1547" s="6"/>
      <c r="AS1547" s="6"/>
      <c r="AT1547" s="6"/>
      <c r="AU1547" s="89"/>
      <c r="AV1547" s="100"/>
      <c r="AW1547" s="65"/>
      <c r="AX1547" s="3"/>
    </row>
    <row r="1548" spans="35:50">
      <c r="AI1548" s="99"/>
      <c r="AM1548" s="99"/>
      <c r="AO1548" s="99"/>
      <c r="AR1548" s="6"/>
      <c r="AS1548" s="6"/>
      <c r="AT1548" s="6"/>
      <c r="AU1548" s="89"/>
      <c r="AV1548" s="100"/>
      <c r="AW1548" s="65"/>
      <c r="AX1548" s="3"/>
    </row>
    <row r="1549" spans="35:50">
      <c r="AI1549" s="99"/>
      <c r="AM1549" s="99"/>
      <c r="AO1549" s="99"/>
      <c r="AR1549" s="6"/>
      <c r="AS1549" s="6"/>
      <c r="AT1549" s="6"/>
      <c r="AU1549" s="89"/>
      <c r="AV1549" s="100"/>
      <c r="AW1549" s="65"/>
      <c r="AX1549" s="3"/>
    </row>
    <row r="1550" spans="35:50">
      <c r="AI1550" s="99"/>
      <c r="AM1550" s="99"/>
      <c r="AO1550" s="99"/>
      <c r="AR1550" s="6"/>
      <c r="AS1550" s="6"/>
      <c r="AT1550" s="6"/>
      <c r="AU1550" s="89"/>
      <c r="AV1550" s="100"/>
      <c r="AW1550" s="65"/>
      <c r="AX1550" s="3"/>
    </row>
    <row r="1551" spans="35:50">
      <c r="AI1551" s="99"/>
      <c r="AM1551" s="99"/>
      <c r="AO1551" s="99"/>
      <c r="AR1551" s="6"/>
      <c r="AS1551" s="6"/>
      <c r="AT1551" s="6"/>
      <c r="AU1551" s="89"/>
      <c r="AV1551" s="100"/>
      <c r="AW1551" s="65"/>
      <c r="AX1551" s="3"/>
    </row>
    <row r="1552" spans="35:50">
      <c r="AI1552" s="99"/>
      <c r="AM1552" s="99"/>
      <c r="AO1552" s="99"/>
      <c r="AR1552" s="6"/>
      <c r="AS1552" s="6"/>
      <c r="AT1552" s="6"/>
      <c r="AU1552" s="89"/>
      <c r="AV1552" s="100"/>
      <c r="AW1552" s="65"/>
      <c r="AX1552" s="3"/>
    </row>
    <row r="1553" spans="35:50">
      <c r="AI1553" s="99"/>
      <c r="AM1553" s="99"/>
      <c r="AO1553" s="99"/>
      <c r="AR1553" s="6"/>
      <c r="AS1553" s="6"/>
      <c r="AT1553" s="6"/>
      <c r="AU1553" s="89"/>
      <c r="AV1553" s="100"/>
      <c r="AW1553" s="65"/>
      <c r="AX1553" s="3"/>
    </row>
    <row r="1554" spans="35:50">
      <c r="AI1554" s="99"/>
      <c r="AM1554" s="99"/>
      <c r="AO1554" s="99"/>
      <c r="AR1554" s="6"/>
      <c r="AS1554" s="6"/>
      <c r="AT1554" s="6"/>
      <c r="AU1554" s="89"/>
      <c r="AV1554" s="100"/>
      <c r="AW1554" s="65"/>
      <c r="AX1554" s="3"/>
    </row>
    <row r="1555" spans="35:50">
      <c r="AI1555" s="99"/>
      <c r="AM1555" s="99"/>
      <c r="AO1555" s="99"/>
      <c r="AR1555" s="6"/>
      <c r="AS1555" s="6"/>
      <c r="AT1555" s="6"/>
      <c r="AU1555" s="89"/>
      <c r="AV1555" s="100"/>
      <c r="AW1555" s="65"/>
      <c r="AX1555" s="3"/>
    </row>
    <row r="1556" spans="35:50">
      <c r="AI1556" s="99"/>
      <c r="AM1556" s="99"/>
      <c r="AO1556" s="99"/>
      <c r="AR1556" s="6"/>
      <c r="AS1556" s="6"/>
      <c r="AT1556" s="6"/>
      <c r="AU1556" s="89"/>
      <c r="AV1556" s="100"/>
      <c r="AW1556" s="65"/>
      <c r="AX1556" s="3"/>
    </row>
    <row r="1557" spans="35:50">
      <c r="AI1557" s="99"/>
      <c r="AM1557" s="99"/>
      <c r="AO1557" s="99"/>
      <c r="AR1557" s="6"/>
      <c r="AS1557" s="6"/>
      <c r="AT1557" s="6"/>
      <c r="AU1557" s="89"/>
      <c r="AV1557" s="100"/>
      <c r="AW1557" s="65"/>
      <c r="AX1557" s="3"/>
    </row>
    <row r="1558" spans="35:50">
      <c r="AI1558" s="99"/>
      <c r="AM1558" s="99"/>
      <c r="AO1558" s="99"/>
      <c r="AR1558" s="6"/>
      <c r="AS1558" s="6"/>
      <c r="AT1558" s="6"/>
      <c r="AU1558" s="89"/>
      <c r="AV1558" s="100"/>
      <c r="AW1558" s="65"/>
      <c r="AX1558" s="3"/>
    </row>
    <row r="1559" spans="35:50">
      <c r="AI1559" s="99"/>
      <c r="AM1559" s="99"/>
      <c r="AO1559" s="99"/>
      <c r="AR1559" s="6"/>
      <c r="AS1559" s="6"/>
      <c r="AT1559" s="6"/>
      <c r="AU1559" s="89"/>
      <c r="AV1559" s="100"/>
      <c r="AW1559" s="65"/>
      <c r="AX1559" s="3"/>
    </row>
    <row r="1560" spans="35:50">
      <c r="AI1560" s="99"/>
      <c r="AM1560" s="99"/>
      <c r="AO1560" s="99"/>
      <c r="AR1560" s="6"/>
      <c r="AS1560" s="6"/>
      <c r="AT1560" s="6"/>
      <c r="AU1560" s="89"/>
      <c r="AV1560" s="100"/>
      <c r="AW1560" s="65"/>
      <c r="AX1560" s="3"/>
    </row>
    <row r="1561" spans="35:50">
      <c r="AI1561" s="99"/>
      <c r="AM1561" s="99"/>
      <c r="AO1561" s="99"/>
      <c r="AR1561" s="6"/>
      <c r="AS1561" s="6"/>
      <c r="AT1561" s="6"/>
      <c r="AU1561" s="89"/>
      <c r="AV1561" s="100"/>
      <c r="AW1561" s="65"/>
      <c r="AX1561" s="3"/>
    </row>
    <row r="1562" spans="35:50">
      <c r="AI1562" s="99"/>
      <c r="AM1562" s="99"/>
      <c r="AO1562" s="99"/>
      <c r="AR1562" s="6"/>
      <c r="AS1562" s="6"/>
      <c r="AT1562" s="6"/>
      <c r="AU1562" s="89"/>
      <c r="AV1562" s="100"/>
      <c r="AW1562" s="65"/>
      <c r="AX1562" s="3"/>
    </row>
    <row r="1563" spans="35:50">
      <c r="AI1563" s="99"/>
      <c r="AM1563" s="99"/>
      <c r="AO1563" s="99"/>
      <c r="AR1563" s="6"/>
      <c r="AS1563" s="6"/>
      <c r="AT1563" s="6"/>
      <c r="AU1563" s="89"/>
      <c r="AV1563" s="100"/>
      <c r="AW1563" s="65"/>
      <c r="AX1563" s="3"/>
    </row>
    <row r="1564" spans="35:50">
      <c r="AI1564" s="99"/>
      <c r="AM1564" s="99"/>
      <c r="AO1564" s="99"/>
      <c r="AR1564" s="6"/>
      <c r="AS1564" s="6"/>
      <c r="AT1564" s="6"/>
      <c r="AU1564" s="89"/>
      <c r="AV1564" s="100"/>
      <c r="AW1564" s="65"/>
      <c r="AX1564" s="3"/>
    </row>
    <row r="1565" spans="35:50">
      <c r="AI1565" s="99"/>
      <c r="AM1565" s="99"/>
      <c r="AO1565" s="99"/>
      <c r="AR1565" s="6"/>
      <c r="AS1565" s="6"/>
      <c r="AT1565" s="6"/>
      <c r="AU1565" s="89"/>
      <c r="AV1565" s="100"/>
      <c r="AW1565" s="65"/>
      <c r="AX1565" s="3"/>
    </row>
    <row r="1566" spans="35:50">
      <c r="AI1566" s="99"/>
      <c r="AM1566" s="99"/>
      <c r="AO1566" s="99"/>
      <c r="AR1566" s="6"/>
      <c r="AS1566" s="6"/>
      <c r="AT1566" s="6"/>
      <c r="AU1566" s="89"/>
      <c r="AV1566" s="100"/>
      <c r="AW1566" s="65"/>
      <c r="AX1566" s="3"/>
    </row>
    <row r="1567" spans="35:50">
      <c r="AI1567" s="99"/>
      <c r="AM1567" s="99"/>
      <c r="AO1567" s="99"/>
      <c r="AR1567" s="6"/>
      <c r="AS1567" s="6"/>
      <c r="AT1567" s="6"/>
      <c r="AU1567" s="89"/>
      <c r="AV1567" s="100"/>
      <c r="AW1567" s="65"/>
      <c r="AX1567" s="3"/>
    </row>
    <row r="1568" spans="35:50">
      <c r="AI1568" s="99"/>
      <c r="AM1568" s="99"/>
      <c r="AO1568" s="99"/>
      <c r="AR1568" s="6"/>
      <c r="AS1568" s="6"/>
      <c r="AT1568" s="6"/>
      <c r="AU1568" s="89"/>
      <c r="AV1568" s="100"/>
      <c r="AW1568" s="65"/>
      <c r="AX1568" s="3"/>
    </row>
    <row r="1569" spans="35:50">
      <c r="AI1569" s="99"/>
      <c r="AM1569" s="99"/>
      <c r="AO1569" s="99"/>
      <c r="AR1569" s="6"/>
      <c r="AS1569" s="6"/>
      <c r="AT1569" s="6"/>
      <c r="AU1569" s="89"/>
      <c r="AV1569" s="100"/>
      <c r="AW1569" s="65"/>
      <c r="AX1569" s="3"/>
    </row>
    <row r="1570" spans="35:50">
      <c r="AI1570" s="99"/>
      <c r="AM1570" s="99"/>
      <c r="AO1570" s="99"/>
      <c r="AR1570" s="6"/>
      <c r="AS1570" s="6"/>
      <c r="AT1570" s="6"/>
      <c r="AU1570" s="89"/>
      <c r="AV1570" s="100"/>
      <c r="AW1570" s="65"/>
      <c r="AX1570" s="3"/>
    </row>
    <row r="1571" spans="35:50">
      <c r="AI1571" s="99"/>
      <c r="AM1571" s="99"/>
      <c r="AO1571" s="99"/>
      <c r="AR1571" s="6"/>
      <c r="AS1571" s="6"/>
      <c r="AT1571" s="6"/>
      <c r="AU1571" s="89"/>
      <c r="AV1571" s="100"/>
      <c r="AW1571" s="65"/>
      <c r="AX1571" s="3"/>
    </row>
    <row r="1572" spans="35:50">
      <c r="AI1572" s="99"/>
      <c r="AM1572" s="99"/>
      <c r="AO1572" s="99"/>
      <c r="AR1572" s="6"/>
      <c r="AS1572" s="6"/>
      <c r="AT1572" s="6"/>
      <c r="AU1572" s="89"/>
      <c r="AV1572" s="100"/>
      <c r="AW1572" s="65"/>
      <c r="AX1572" s="3"/>
    </row>
    <row r="1573" spans="35:50">
      <c r="AI1573" s="99"/>
      <c r="AM1573" s="99"/>
      <c r="AO1573" s="99"/>
      <c r="AR1573" s="6"/>
      <c r="AS1573" s="6"/>
      <c r="AT1573" s="6"/>
      <c r="AU1573" s="89"/>
      <c r="AV1573" s="100"/>
      <c r="AW1573" s="65"/>
      <c r="AX1573" s="3"/>
    </row>
    <row r="1574" spans="35:50">
      <c r="AI1574" s="99"/>
      <c r="AM1574" s="99"/>
      <c r="AO1574" s="99"/>
      <c r="AR1574" s="6"/>
      <c r="AS1574" s="6"/>
      <c r="AT1574" s="6"/>
      <c r="AU1574" s="89"/>
      <c r="AV1574" s="100"/>
      <c r="AW1574" s="65"/>
      <c r="AX1574" s="3"/>
    </row>
    <row r="1575" spans="35:50">
      <c r="AI1575" s="99"/>
      <c r="AM1575" s="99"/>
      <c r="AO1575" s="99"/>
      <c r="AR1575" s="6"/>
      <c r="AS1575" s="6"/>
      <c r="AT1575" s="6"/>
      <c r="AU1575" s="89"/>
      <c r="AV1575" s="100"/>
      <c r="AW1575" s="65"/>
      <c r="AX1575" s="3"/>
    </row>
    <row r="1576" spans="35:50">
      <c r="AI1576" s="99"/>
      <c r="AM1576" s="99"/>
      <c r="AO1576" s="99"/>
      <c r="AR1576" s="6"/>
      <c r="AS1576" s="6"/>
      <c r="AT1576" s="6"/>
      <c r="AU1576" s="89"/>
      <c r="AV1576" s="100"/>
      <c r="AW1576" s="65"/>
      <c r="AX1576" s="3"/>
    </row>
    <row r="1577" spans="35:50">
      <c r="AI1577" s="99"/>
      <c r="AM1577" s="99"/>
      <c r="AO1577" s="99"/>
      <c r="AR1577" s="6"/>
      <c r="AS1577" s="6"/>
      <c r="AT1577" s="6"/>
      <c r="AU1577" s="89"/>
      <c r="AV1577" s="100"/>
      <c r="AW1577" s="65"/>
      <c r="AX1577" s="3"/>
    </row>
    <row r="1578" spans="35:50">
      <c r="AI1578" s="99"/>
      <c r="AM1578" s="99"/>
      <c r="AO1578" s="99"/>
      <c r="AR1578" s="6"/>
      <c r="AS1578" s="6"/>
      <c r="AT1578" s="6"/>
      <c r="AU1578" s="89"/>
      <c r="AV1578" s="100"/>
      <c r="AW1578" s="65"/>
      <c r="AX1578" s="3"/>
    </row>
    <row r="1579" spans="35:50">
      <c r="AI1579" s="99"/>
      <c r="AM1579" s="99"/>
      <c r="AO1579" s="99"/>
      <c r="AR1579" s="6"/>
      <c r="AS1579" s="6"/>
      <c r="AT1579" s="6"/>
      <c r="AU1579" s="89"/>
      <c r="AV1579" s="100"/>
      <c r="AW1579" s="65"/>
      <c r="AX1579" s="3"/>
    </row>
    <row r="1580" spans="35:50">
      <c r="AI1580" s="99"/>
      <c r="AM1580" s="99"/>
      <c r="AO1580" s="99"/>
      <c r="AR1580" s="6"/>
      <c r="AS1580" s="6"/>
      <c r="AT1580" s="6"/>
      <c r="AU1580" s="89"/>
      <c r="AV1580" s="100"/>
      <c r="AW1580" s="65"/>
      <c r="AX1580" s="3"/>
    </row>
    <row r="1581" spans="35:50">
      <c r="AI1581" s="99"/>
      <c r="AM1581" s="99"/>
      <c r="AO1581" s="99"/>
      <c r="AR1581" s="6"/>
      <c r="AS1581" s="6"/>
      <c r="AT1581" s="6"/>
      <c r="AU1581" s="89"/>
      <c r="AV1581" s="100"/>
      <c r="AW1581" s="65"/>
      <c r="AX1581" s="3"/>
    </row>
    <row r="1582" spans="35:50">
      <c r="AI1582" s="99"/>
      <c r="AM1582" s="99"/>
      <c r="AO1582" s="99"/>
      <c r="AR1582" s="6"/>
      <c r="AS1582" s="6"/>
      <c r="AT1582" s="6"/>
      <c r="AU1582" s="89"/>
      <c r="AV1582" s="100"/>
      <c r="AW1582" s="65"/>
      <c r="AX1582" s="3"/>
    </row>
    <row r="1583" spans="35:50">
      <c r="AI1583" s="99"/>
      <c r="AM1583" s="99"/>
      <c r="AO1583" s="99"/>
      <c r="AR1583" s="6"/>
      <c r="AS1583" s="6"/>
      <c r="AT1583" s="6"/>
      <c r="AU1583" s="89"/>
      <c r="AV1583" s="100"/>
      <c r="AW1583" s="65"/>
      <c r="AX1583" s="3"/>
    </row>
    <row r="1584" spans="35:50">
      <c r="AI1584" s="99"/>
      <c r="AM1584" s="99"/>
      <c r="AO1584" s="99"/>
      <c r="AR1584" s="6"/>
      <c r="AS1584" s="6"/>
      <c r="AT1584" s="6"/>
      <c r="AU1584" s="89"/>
      <c r="AV1584" s="100"/>
      <c r="AW1584" s="65"/>
      <c r="AX1584" s="3"/>
    </row>
    <row r="1585" spans="35:50">
      <c r="AI1585" s="99"/>
      <c r="AM1585" s="99"/>
      <c r="AO1585" s="99"/>
      <c r="AR1585" s="6"/>
      <c r="AS1585" s="6"/>
      <c r="AT1585" s="6"/>
      <c r="AU1585" s="89"/>
      <c r="AV1585" s="100"/>
      <c r="AW1585" s="65"/>
      <c r="AX1585" s="3"/>
    </row>
    <row r="1586" spans="35:50">
      <c r="AI1586" s="99"/>
      <c r="AM1586" s="99"/>
      <c r="AO1586" s="99"/>
      <c r="AR1586" s="6"/>
      <c r="AS1586" s="6"/>
      <c r="AT1586" s="6"/>
      <c r="AU1586" s="89"/>
      <c r="AV1586" s="100"/>
      <c r="AW1586" s="65"/>
      <c r="AX1586" s="3"/>
    </row>
    <row r="1587" spans="35:50">
      <c r="AI1587" s="99"/>
      <c r="AM1587" s="99"/>
      <c r="AO1587" s="99"/>
      <c r="AR1587" s="6"/>
      <c r="AS1587" s="6"/>
      <c r="AT1587" s="6"/>
      <c r="AU1587" s="89"/>
      <c r="AV1587" s="100"/>
      <c r="AW1587" s="65"/>
      <c r="AX1587" s="3"/>
    </row>
    <row r="1588" spans="35:50">
      <c r="AI1588" s="99"/>
      <c r="AM1588" s="99"/>
      <c r="AO1588" s="99"/>
      <c r="AR1588" s="6"/>
      <c r="AS1588" s="6"/>
      <c r="AT1588" s="6"/>
      <c r="AU1588" s="89"/>
      <c r="AV1588" s="100"/>
      <c r="AW1588" s="65"/>
      <c r="AX1588" s="3"/>
    </row>
    <row r="1589" spans="35:50">
      <c r="AI1589" s="99"/>
      <c r="AM1589" s="99"/>
      <c r="AO1589" s="99"/>
      <c r="AR1589" s="6"/>
      <c r="AS1589" s="6"/>
      <c r="AT1589" s="6"/>
      <c r="AU1589" s="89"/>
      <c r="AV1589" s="100"/>
      <c r="AW1589" s="65"/>
      <c r="AX1589" s="3"/>
    </row>
    <row r="1590" spans="35:50">
      <c r="AI1590" s="99"/>
      <c r="AM1590" s="99"/>
      <c r="AO1590" s="99"/>
      <c r="AR1590" s="6"/>
      <c r="AS1590" s="6"/>
      <c r="AT1590" s="6"/>
      <c r="AU1590" s="89"/>
      <c r="AV1590" s="100"/>
      <c r="AW1590" s="65"/>
      <c r="AX1590" s="3"/>
    </row>
    <row r="1591" spans="35:50">
      <c r="AI1591" s="99"/>
      <c r="AM1591" s="99"/>
      <c r="AO1591" s="99"/>
      <c r="AR1591" s="6"/>
      <c r="AS1591" s="6"/>
      <c r="AT1591" s="6"/>
      <c r="AU1591" s="89"/>
      <c r="AV1591" s="100"/>
      <c r="AW1591" s="65"/>
      <c r="AX1591" s="3"/>
    </row>
    <row r="1592" spans="35:50">
      <c r="AI1592" s="99"/>
      <c r="AM1592" s="99"/>
      <c r="AO1592" s="99"/>
      <c r="AR1592" s="6"/>
      <c r="AS1592" s="6"/>
      <c r="AT1592" s="6"/>
      <c r="AU1592" s="89"/>
      <c r="AV1592" s="100"/>
      <c r="AW1592" s="65"/>
      <c r="AX1592" s="3"/>
    </row>
    <row r="1593" spans="35:50">
      <c r="AI1593" s="99"/>
      <c r="AM1593" s="99"/>
      <c r="AO1593" s="99"/>
      <c r="AR1593" s="6"/>
      <c r="AS1593" s="6"/>
      <c r="AT1593" s="6"/>
      <c r="AU1593" s="89"/>
      <c r="AV1593" s="100"/>
      <c r="AW1593" s="65"/>
      <c r="AX1593" s="3"/>
    </row>
    <row r="1594" spans="35:50">
      <c r="AI1594" s="99"/>
      <c r="AM1594" s="99"/>
      <c r="AO1594" s="99"/>
      <c r="AR1594" s="6"/>
      <c r="AS1594" s="6"/>
      <c r="AT1594" s="6"/>
      <c r="AU1594" s="89"/>
      <c r="AV1594" s="100"/>
      <c r="AW1594" s="65"/>
      <c r="AX1594" s="3"/>
    </row>
    <row r="1595" spans="35:50">
      <c r="AI1595" s="99"/>
      <c r="AM1595" s="99"/>
      <c r="AO1595" s="99"/>
      <c r="AR1595" s="6"/>
      <c r="AS1595" s="6"/>
      <c r="AT1595" s="6"/>
      <c r="AU1595" s="89"/>
      <c r="AV1595" s="100"/>
      <c r="AW1595" s="65"/>
      <c r="AX1595" s="3"/>
    </row>
    <row r="1596" spans="35:50">
      <c r="AI1596" s="99"/>
      <c r="AM1596" s="99"/>
      <c r="AO1596" s="99"/>
      <c r="AR1596" s="6"/>
      <c r="AS1596" s="6"/>
      <c r="AT1596" s="6"/>
      <c r="AU1596" s="89"/>
      <c r="AV1596" s="100"/>
      <c r="AW1596" s="65"/>
      <c r="AX1596" s="3"/>
    </row>
    <row r="1597" spans="35:50">
      <c r="AI1597" s="99"/>
      <c r="AM1597" s="99"/>
      <c r="AO1597" s="99"/>
      <c r="AR1597" s="6"/>
      <c r="AS1597" s="6"/>
      <c r="AT1597" s="6"/>
      <c r="AU1597" s="89"/>
      <c r="AV1597" s="100"/>
      <c r="AW1597" s="65"/>
      <c r="AX1597" s="3"/>
    </row>
    <row r="1598" spans="35:50">
      <c r="AI1598" s="99"/>
      <c r="AM1598" s="99"/>
      <c r="AO1598" s="99"/>
      <c r="AR1598" s="6"/>
      <c r="AS1598" s="6"/>
      <c r="AT1598" s="6"/>
      <c r="AU1598" s="89"/>
      <c r="AV1598" s="100"/>
      <c r="AW1598" s="65"/>
      <c r="AX1598" s="3"/>
    </row>
    <row r="1599" spans="35:50">
      <c r="AI1599" s="99"/>
      <c r="AM1599" s="99"/>
      <c r="AO1599" s="99"/>
      <c r="AR1599" s="6"/>
      <c r="AS1599" s="6"/>
      <c r="AT1599" s="6"/>
      <c r="AU1599" s="89"/>
      <c r="AV1599" s="100"/>
      <c r="AW1599" s="65"/>
      <c r="AX1599" s="3"/>
    </row>
    <row r="1600" spans="35:50">
      <c r="AI1600" s="99"/>
      <c r="AM1600" s="99"/>
      <c r="AO1600" s="99"/>
      <c r="AR1600" s="6"/>
      <c r="AS1600" s="6"/>
      <c r="AT1600" s="6"/>
      <c r="AU1600" s="89"/>
      <c r="AV1600" s="100"/>
      <c r="AW1600" s="65"/>
      <c r="AX1600" s="3"/>
    </row>
    <row r="1601" spans="35:50">
      <c r="AI1601" s="99"/>
      <c r="AM1601" s="99"/>
      <c r="AO1601" s="99"/>
      <c r="AR1601" s="6"/>
      <c r="AS1601" s="6"/>
      <c r="AT1601" s="6"/>
      <c r="AU1601" s="89"/>
      <c r="AV1601" s="100"/>
      <c r="AW1601" s="65"/>
      <c r="AX1601" s="3"/>
    </row>
    <row r="1602" spans="35:50">
      <c r="AI1602" s="99"/>
      <c r="AM1602" s="99"/>
      <c r="AO1602" s="99"/>
      <c r="AR1602" s="6"/>
      <c r="AS1602" s="6"/>
      <c r="AT1602" s="6"/>
      <c r="AU1602" s="89"/>
      <c r="AV1602" s="100"/>
      <c r="AW1602" s="65"/>
      <c r="AX1602" s="3"/>
    </row>
    <row r="1603" spans="35:50">
      <c r="AI1603" s="99"/>
      <c r="AM1603" s="99"/>
      <c r="AO1603" s="99"/>
      <c r="AR1603" s="6"/>
      <c r="AS1603" s="6"/>
      <c r="AT1603" s="6"/>
      <c r="AU1603" s="89"/>
      <c r="AV1603" s="100"/>
      <c r="AW1603" s="65"/>
      <c r="AX1603" s="3"/>
    </row>
    <row r="1604" spans="35:50">
      <c r="AI1604" s="99"/>
      <c r="AM1604" s="99"/>
      <c r="AO1604" s="99"/>
      <c r="AR1604" s="6"/>
      <c r="AS1604" s="6"/>
      <c r="AT1604" s="6"/>
      <c r="AU1604" s="89"/>
      <c r="AV1604" s="100"/>
      <c r="AW1604" s="65"/>
      <c r="AX1604" s="3"/>
    </row>
    <row r="1605" spans="35:50">
      <c r="AI1605" s="99"/>
      <c r="AM1605" s="99"/>
      <c r="AO1605" s="99"/>
      <c r="AR1605" s="6"/>
      <c r="AS1605" s="6"/>
      <c r="AT1605" s="6"/>
      <c r="AU1605" s="89"/>
      <c r="AV1605" s="100"/>
      <c r="AW1605" s="65"/>
      <c r="AX1605" s="3"/>
    </row>
    <row r="1606" spans="35:50">
      <c r="AI1606" s="99"/>
      <c r="AM1606" s="99"/>
      <c r="AO1606" s="99"/>
      <c r="AR1606" s="6"/>
      <c r="AS1606" s="6"/>
      <c r="AT1606" s="6"/>
      <c r="AU1606" s="89"/>
      <c r="AV1606" s="100"/>
      <c r="AW1606" s="65"/>
      <c r="AX1606" s="3"/>
    </row>
    <row r="1607" spans="35:50">
      <c r="AI1607" s="99"/>
      <c r="AM1607" s="99"/>
      <c r="AO1607" s="99"/>
      <c r="AR1607" s="6"/>
      <c r="AS1607" s="6"/>
      <c r="AT1607" s="6"/>
      <c r="AU1607" s="89"/>
      <c r="AV1607" s="100"/>
      <c r="AW1607" s="65"/>
      <c r="AX1607" s="3"/>
    </row>
    <row r="1608" spans="35:50">
      <c r="AI1608" s="99"/>
      <c r="AM1608" s="99"/>
      <c r="AO1608" s="99"/>
      <c r="AR1608" s="6"/>
      <c r="AS1608" s="6"/>
      <c r="AT1608" s="6"/>
      <c r="AU1608" s="89"/>
      <c r="AV1608" s="100"/>
      <c r="AW1608" s="65"/>
      <c r="AX1608" s="3"/>
    </row>
    <row r="1609" spans="35:50">
      <c r="AI1609" s="99"/>
      <c r="AM1609" s="99"/>
      <c r="AO1609" s="99"/>
      <c r="AR1609" s="6"/>
      <c r="AS1609" s="6"/>
      <c r="AT1609" s="6"/>
      <c r="AU1609" s="89"/>
      <c r="AV1609" s="100"/>
      <c r="AW1609" s="65"/>
      <c r="AX1609" s="3"/>
    </row>
    <row r="1610" spans="35:50">
      <c r="AI1610" s="99"/>
      <c r="AM1610" s="99"/>
      <c r="AO1610" s="99"/>
      <c r="AR1610" s="6"/>
      <c r="AS1610" s="6"/>
      <c r="AT1610" s="6"/>
      <c r="AU1610" s="89"/>
      <c r="AV1610" s="100"/>
      <c r="AW1610" s="65"/>
      <c r="AX1610" s="3"/>
    </row>
    <row r="1611" spans="35:50">
      <c r="AI1611" s="99"/>
      <c r="AM1611" s="99"/>
      <c r="AO1611" s="99"/>
      <c r="AR1611" s="6"/>
      <c r="AS1611" s="6"/>
      <c r="AT1611" s="6"/>
      <c r="AU1611" s="89"/>
      <c r="AV1611" s="100"/>
      <c r="AW1611" s="65"/>
      <c r="AX1611" s="3"/>
    </row>
    <row r="1612" spans="35:50">
      <c r="AI1612" s="99"/>
      <c r="AM1612" s="99"/>
      <c r="AO1612" s="99"/>
      <c r="AR1612" s="6"/>
      <c r="AS1612" s="6"/>
      <c r="AT1612" s="6"/>
      <c r="AU1612" s="89"/>
      <c r="AV1612" s="100"/>
      <c r="AW1612" s="65"/>
      <c r="AX1612" s="3"/>
    </row>
    <row r="1613" spans="35:50">
      <c r="AI1613" s="99"/>
      <c r="AM1613" s="99"/>
      <c r="AO1613" s="99"/>
      <c r="AR1613" s="6"/>
      <c r="AS1613" s="6"/>
      <c r="AT1613" s="6"/>
      <c r="AU1613" s="89"/>
      <c r="AV1613" s="100"/>
      <c r="AW1613" s="65"/>
      <c r="AX1613" s="3"/>
    </row>
    <row r="1614" spans="35:50">
      <c r="AI1614" s="99"/>
      <c r="AM1614" s="99"/>
      <c r="AO1614" s="99"/>
      <c r="AR1614" s="6"/>
      <c r="AS1614" s="6"/>
      <c r="AT1614" s="6"/>
      <c r="AU1614" s="89"/>
      <c r="AV1614" s="100"/>
      <c r="AW1614" s="65"/>
      <c r="AX1614" s="3"/>
    </row>
    <row r="1615" spans="35:50">
      <c r="AI1615" s="99"/>
      <c r="AM1615" s="99"/>
      <c r="AO1615" s="99"/>
      <c r="AR1615" s="6"/>
      <c r="AS1615" s="6"/>
      <c r="AT1615" s="6"/>
      <c r="AU1615" s="89"/>
      <c r="AV1615" s="100"/>
      <c r="AW1615" s="65"/>
      <c r="AX1615" s="3"/>
    </row>
    <row r="1616" spans="35:50">
      <c r="AI1616" s="99"/>
      <c r="AM1616" s="99"/>
      <c r="AO1616" s="99"/>
      <c r="AR1616" s="6"/>
      <c r="AS1616" s="6"/>
      <c r="AT1616" s="6"/>
      <c r="AU1616" s="89"/>
      <c r="AV1616" s="100"/>
      <c r="AW1616" s="65"/>
      <c r="AX1616" s="3"/>
    </row>
    <row r="1617" spans="35:50">
      <c r="AI1617" s="99"/>
      <c r="AM1617" s="99"/>
      <c r="AO1617" s="99"/>
      <c r="AR1617" s="6"/>
      <c r="AS1617" s="6"/>
      <c r="AT1617" s="6"/>
      <c r="AU1617" s="89"/>
      <c r="AV1617" s="100"/>
      <c r="AW1617" s="65"/>
      <c r="AX1617" s="3"/>
    </row>
    <row r="1618" spans="35:50">
      <c r="AI1618" s="99"/>
      <c r="AM1618" s="99"/>
      <c r="AO1618" s="99"/>
      <c r="AR1618" s="6"/>
      <c r="AS1618" s="6"/>
      <c r="AT1618" s="6"/>
      <c r="AU1618" s="89"/>
      <c r="AV1618" s="100"/>
      <c r="AW1618" s="65"/>
      <c r="AX1618" s="3"/>
    </row>
    <row r="1619" spans="35:50">
      <c r="AI1619" s="99"/>
      <c r="AM1619" s="99"/>
      <c r="AO1619" s="99"/>
      <c r="AR1619" s="6"/>
      <c r="AS1619" s="6"/>
      <c r="AT1619" s="6"/>
      <c r="AU1619" s="89"/>
      <c r="AV1619" s="100"/>
      <c r="AW1619" s="65"/>
      <c r="AX1619" s="3"/>
    </row>
    <row r="1620" spans="35:50">
      <c r="AI1620" s="99"/>
      <c r="AM1620" s="99"/>
      <c r="AO1620" s="99"/>
      <c r="AR1620" s="6"/>
      <c r="AS1620" s="6"/>
      <c r="AT1620" s="6"/>
      <c r="AU1620" s="89"/>
      <c r="AV1620" s="100"/>
      <c r="AW1620" s="65"/>
      <c r="AX1620" s="3"/>
    </row>
    <row r="1621" spans="35:50">
      <c r="AI1621" s="99"/>
      <c r="AM1621" s="99"/>
      <c r="AO1621" s="99"/>
      <c r="AR1621" s="6"/>
      <c r="AS1621" s="6"/>
      <c r="AT1621" s="6"/>
      <c r="AU1621" s="89"/>
      <c r="AV1621" s="100"/>
      <c r="AW1621" s="65"/>
      <c r="AX1621" s="3"/>
    </row>
    <row r="1622" spans="35:50">
      <c r="AI1622" s="99"/>
      <c r="AM1622" s="99"/>
      <c r="AO1622" s="99"/>
      <c r="AR1622" s="6"/>
      <c r="AS1622" s="6"/>
      <c r="AT1622" s="6"/>
      <c r="AU1622" s="89"/>
      <c r="AV1622" s="100"/>
      <c r="AW1622" s="65"/>
      <c r="AX1622" s="3"/>
    </row>
    <row r="1623" spans="35:50">
      <c r="AI1623" s="99"/>
      <c r="AM1623" s="99"/>
      <c r="AO1623" s="99"/>
      <c r="AR1623" s="6"/>
      <c r="AS1623" s="6"/>
      <c r="AT1623" s="6"/>
      <c r="AU1623" s="89"/>
      <c r="AV1623" s="100"/>
      <c r="AW1623" s="65"/>
      <c r="AX1623" s="3"/>
    </row>
    <row r="1624" spans="35:50">
      <c r="AI1624" s="99"/>
      <c r="AM1624" s="99"/>
      <c r="AO1624" s="99"/>
      <c r="AR1624" s="6"/>
      <c r="AS1624" s="6"/>
      <c r="AT1624" s="6"/>
      <c r="AU1624" s="89"/>
      <c r="AV1624" s="100"/>
      <c r="AW1624" s="65"/>
      <c r="AX1624" s="3"/>
    </row>
    <row r="1625" spans="35:50">
      <c r="AI1625" s="99"/>
      <c r="AM1625" s="99"/>
      <c r="AO1625" s="99"/>
      <c r="AR1625" s="6"/>
      <c r="AS1625" s="6"/>
      <c r="AT1625" s="6"/>
      <c r="AU1625" s="89"/>
      <c r="AV1625" s="100"/>
      <c r="AW1625" s="65"/>
      <c r="AX1625" s="3"/>
    </row>
    <row r="1626" spans="35:50">
      <c r="AI1626" s="99"/>
      <c r="AM1626" s="99"/>
      <c r="AO1626" s="99"/>
      <c r="AR1626" s="6"/>
      <c r="AS1626" s="6"/>
      <c r="AT1626" s="6"/>
      <c r="AU1626" s="89"/>
      <c r="AV1626" s="100"/>
      <c r="AW1626" s="65"/>
      <c r="AX1626" s="3"/>
    </row>
    <row r="1627" spans="35:50">
      <c r="AI1627" s="99"/>
      <c r="AM1627" s="99"/>
      <c r="AO1627" s="99"/>
      <c r="AR1627" s="6"/>
      <c r="AS1627" s="6"/>
      <c r="AT1627" s="6"/>
      <c r="AU1627" s="89"/>
      <c r="AV1627" s="100"/>
      <c r="AW1627" s="65"/>
      <c r="AX1627" s="3"/>
    </row>
    <row r="1628" spans="35:50">
      <c r="AI1628" s="99"/>
      <c r="AM1628" s="99"/>
      <c r="AO1628" s="99"/>
      <c r="AR1628" s="6"/>
      <c r="AS1628" s="6"/>
      <c r="AT1628" s="6"/>
      <c r="AU1628" s="89"/>
      <c r="AV1628" s="100"/>
      <c r="AW1628" s="65"/>
      <c r="AX1628" s="3"/>
    </row>
    <row r="1629" spans="35:50">
      <c r="AI1629" s="99"/>
      <c r="AM1629" s="99"/>
      <c r="AO1629" s="99"/>
      <c r="AR1629" s="6"/>
      <c r="AS1629" s="6"/>
      <c r="AT1629" s="6"/>
      <c r="AU1629" s="89"/>
      <c r="AV1629" s="100"/>
      <c r="AW1629" s="65"/>
      <c r="AX1629" s="3"/>
    </row>
    <row r="1630" spans="35:50">
      <c r="AI1630" s="99"/>
      <c r="AM1630" s="99"/>
      <c r="AO1630" s="99"/>
      <c r="AR1630" s="6"/>
      <c r="AS1630" s="6"/>
      <c r="AT1630" s="6"/>
      <c r="AU1630" s="89"/>
      <c r="AV1630" s="100"/>
      <c r="AW1630" s="65"/>
      <c r="AX1630" s="3"/>
    </row>
    <row r="1631" spans="35:50">
      <c r="AI1631" s="99"/>
      <c r="AM1631" s="99"/>
      <c r="AO1631" s="99"/>
      <c r="AR1631" s="6"/>
      <c r="AS1631" s="6"/>
      <c r="AT1631" s="6"/>
      <c r="AU1631" s="89"/>
      <c r="AV1631" s="100"/>
      <c r="AW1631" s="65"/>
      <c r="AX1631" s="3"/>
    </row>
    <row r="1632" spans="35:50">
      <c r="AI1632" s="99"/>
      <c r="AM1632" s="99"/>
      <c r="AO1632" s="99"/>
      <c r="AR1632" s="6"/>
      <c r="AS1632" s="6"/>
      <c r="AT1632" s="6"/>
      <c r="AU1632" s="89"/>
      <c r="AV1632" s="100"/>
      <c r="AW1632" s="65"/>
      <c r="AX1632" s="3"/>
    </row>
    <row r="1633" spans="35:50">
      <c r="AI1633" s="99"/>
      <c r="AM1633" s="99"/>
      <c r="AO1633" s="99"/>
      <c r="AR1633" s="6"/>
      <c r="AS1633" s="6"/>
      <c r="AT1633" s="6"/>
      <c r="AU1633" s="89"/>
      <c r="AV1633" s="100"/>
      <c r="AW1633" s="65"/>
      <c r="AX1633" s="3"/>
    </row>
    <row r="1634" spans="35:50">
      <c r="AI1634" s="99"/>
      <c r="AM1634" s="99"/>
      <c r="AO1634" s="99"/>
      <c r="AR1634" s="6"/>
      <c r="AS1634" s="6"/>
      <c r="AT1634" s="6"/>
      <c r="AU1634" s="89"/>
      <c r="AV1634" s="100"/>
      <c r="AW1634" s="65"/>
      <c r="AX1634" s="3"/>
    </row>
    <row r="1635" spans="35:50">
      <c r="AI1635" s="99"/>
      <c r="AM1635" s="99"/>
      <c r="AO1635" s="99"/>
      <c r="AR1635" s="6"/>
      <c r="AS1635" s="6"/>
      <c r="AT1635" s="6"/>
      <c r="AU1635" s="89"/>
      <c r="AV1635" s="100"/>
      <c r="AW1635" s="65"/>
      <c r="AX1635" s="3"/>
    </row>
    <row r="1636" spans="35:50">
      <c r="AI1636" s="99"/>
      <c r="AM1636" s="99"/>
      <c r="AO1636" s="99"/>
      <c r="AR1636" s="6"/>
      <c r="AS1636" s="6"/>
      <c r="AT1636" s="6"/>
      <c r="AU1636" s="89"/>
      <c r="AV1636" s="100"/>
      <c r="AW1636" s="65"/>
      <c r="AX1636" s="3"/>
    </row>
    <row r="1637" spans="35:50">
      <c r="AI1637" s="99"/>
      <c r="AM1637" s="99"/>
      <c r="AO1637" s="99"/>
      <c r="AR1637" s="6"/>
      <c r="AS1637" s="6"/>
      <c r="AT1637" s="6"/>
      <c r="AU1637" s="89"/>
      <c r="AV1637" s="100"/>
      <c r="AW1637" s="65"/>
      <c r="AX1637" s="3"/>
    </row>
    <row r="1638" spans="35:50">
      <c r="AI1638" s="99"/>
      <c r="AM1638" s="99"/>
      <c r="AO1638" s="99"/>
      <c r="AR1638" s="6"/>
      <c r="AS1638" s="6"/>
      <c r="AT1638" s="6"/>
      <c r="AU1638" s="89"/>
      <c r="AV1638" s="100"/>
      <c r="AW1638" s="65"/>
      <c r="AX1638" s="3"/>
    </row>
    <row r="1639" spans="35:50">
      <c r="AI1639" s="99"/>
      <c r="AM1639" s="99"/>
      <c r="AO1639" s="99"/>
      <c r="AR1639" s="6"/>
      <c r="AS1639" s="6"/>
      <c r="AT1639" s="6"/>
      <c r="AU1639" s="89"/>
      <c r="AV1639" s="100"/>
      <c r="AW1639" s="65"/>
      <c r="AX1639" s="3"/>
    </row>
    <row r="1640" spans="35:50">
      <c r="AI1640" s="99"/>
      <c r="AM1640" s="99"/>
      <c r="AO1640" s="99"/>
      <c r="AR1640" s="6"/>
      <c r="AS1640" s="6"/>
      <c r="AT1640" s="6"/>
      <c r="AU1640" s="89"/>
      <c r="AV1640" s="100"/>
      <c r="AW1640" s="65"/>
      <c r="AX1640" s="3"/>
    </row>
    <row r="1641" spans="35:50">
      <c r="AI1641" s="99"/>
      <c r="AM1641" s="99"/>
      <c r="AO1641" s="99"/>
      <c r="AR1641" s="6"/>
      <c r="AS1641" s="6"/>
      <c r="AT1641" s="6"/>
      <c r="AU1641" s="89"/>
      <c r="AV1641" s="100"/>
      <c r="AW1641" s="65"/>
      <c r="AX1641" s="3"/>
    </row>
    <row r="1642" spans="35:50">
      <c r="AI1642" s="99"/>
      <c r="AM1642" s="99"/>
      <c r="AO1642" s="99"/>
      <c r="AR1642" s="6"/>
      <c r="AS1642" s="6"/>
      <c r="AT1642" s="6"/>
      <c r="AU1642" s="89"/>
      <c r="AV1642" s="100"/>
      <c r="AW1642" s="65"/>
      <c r="AX1642" s="3"/>
    </row>
    <row r="1643" spans="35:50">
      <c r="AI1643" s="99"/>
      <c r="AM1643" s="99"/>
      <c r="AO1643" s="99"/>
      <c r="AR1643" s="6"/>
      <c r="AS1643" s="6"/>
      <c r="AT1643" s="6"/>
      <c r="AU1643" s="89"/>
      <c r="AV1643" s="100"/>
      <c r="AW1643" s="65"/>
      <c r="AX1643" s="3"/>
    </row>
    <row r="1644" spans="35:50">
      <c r="AI1644" s="99"/>
      <c r="AM1644" s="99"/>
      <c r="AO1644" s="99"/>
      <c r="AR1644" s="6"/>
      <c r="AS1644" s="6"/>
      <c r="AT1644" s="6"/>
      <c r="AU1644" s="89"/>
      <c r="AV1644" s="100"/>
      <c r="AW1644" s="65"/>
      <c r="AX1644" s="3"/>
    </row>
    <row r="1645" spans="35:50">
      <c r="AI1645" s="99"/>
      <c r="AM1645" s="99"/>
      <c r="AO1645" s="99"/>
      <c r="AR1645" s="6"/>
      <c r="AS1645" s="6"/>
      <c r="AT1645" s="6"/>
      <c r="AU1645" s="89"/>
      <c r="AV1645" s="100"/>
      <c r="AW1645" s="65"/>
      <c r="AX1645" s="3"/>
    </row>
    <row r="1646" spans="35:50">
      <c r="AI1646" s="99"/>
      <c r="AM1646" s="99"/>
      <c r="AO1646" s="99"/>
      <c r="AR1646" s="6"/>
      <c r="AS1646" s="6"/>
      <c r="AT1646" s="6"/>
      <c r="AU1646" s="89"/>
      <c r="AV1646" s="100"/>
      <c r="AW1646" s="65"/>
      <c r="AX1646" s="3"/>
    </row>
    <row r="1647" spans="35:50">
      <c r="AI1647" s="99"/>
      <c r="AM1647" s="99"/>
      <c r="AO1647" s="99"/>
      <c r="AR1647" s="6"/>
      <c r="AS1647" s="6"/>
      <c r="AT1647" s="6"/>
      <c r="AU1647" s="89"/>
      <c r="AV1647" s="100"/>
      <c r="AW1647" s="65"/>
      <c r="AX1647" s="3"/>
    </row>
    <row r="1648" spans="35:50">
      <c r="AI1648" s="99"/>
      <c r="AM1648" s="99"/>
      <c r="AO1648" s="99"/>
      <c r="AR1648" s="6"/>
      <c r="AS1648" s="6"/>
      <c r="AT1648" s="6"/>
      <c r="AU1648" s="89"/>
      <c r="AV1648" s="100"/>
      <c r="AW1648" s="65"/>
      <c r="AX1648" s="3"/>
    </row>
    <row r="1649" spans="35:50">
      <c r="AI1649" s="99"/>
      <c r="AM1649" s="99"/>
      <c r="AO1649" s="99"/>
      <c r="AR1649" s="6"/>
      <c r="AS1649" s="6"/>
      <c r="AT1649" s="6"/>
      <c r="AU1649" s="89"/>
      <c r="AV1649" s="100"/>
      <c r="AW1649" s="65"/>
      <c r="AX1649" s="3"/>
    </row>
    <row r="1650" spans="35:50">
      <c r="AI1650" s="99"/>
      <c r="AM1650" s="99"/>
      <c r="AO1650" s="99"/>
      <c r="AR1650" s="6"/>
      <c r="AS1650" s="6"/>
      <c r="AT1650" s="6"/>
      <c r="AU1650" s="89"/>
      <c r="AV1650" s="100"/>
      <c r="AW1650" s="65"/>
      <c r="AX1650" s="3"/>
    </row>
    <row r="1651" spans="35:50">
      <c r="AI1651" s="99"/>
      <c r="AM1651" s="99"/>
      <c r="AO1651" s="99"/>
      <c r="AR1651" s="6"/>
      <c r="AS1651" s="6"/>
      <c r="AT1651" s="6"/>
      <c r="AU1651" s="89"/>
      <c r="AV1651" s="100"/>
      <c r="AW1651" s="65"/>
      <c r="AX1651" s="3"/>
    </row>
    <row r="1652" spans="35:50">
      <c r="AI1652" s="99"/>
      <c r="AM1652" s="99"/>
      <c r="AO1652" s="99"/>
      <c r="AR1652" s="6"/>
      <c r="AS1652" s="6"/>
      <c r="AT1652" s="6"/>
      <c r="AU1652" s="89"/>
      <c r="AV1652" s="100"/>
      <c r="AW1652" s="65"/>
      <c r="AX1652" s="3"/>
    </row>
    <row r="1653" spans="35:50">
      <c r="AI1653" s="99"/>
      <c r="AM1653" s="99"/>
      <c r="AO1653" s="99"/>
      <c r="AR1653" s="6"/>
      <c r="AS1653" s="6"/>
      <c r="AT1653" s="6"/>
      <c r="AU1653" s="89"/>
      <c r="AV1653" s="100"/>
      <c r="AW1653" s="65"/>
      <c r="AX1653" s="3"/>
    </row>
    <row r="1654" spans="35:50">
      <c r="AI1654" s="99"/>
      <c r="AM1654" s="99"/>
      <c r="AO1654" s="99"/>
      <c r="AR1654" s="6"/>
      <c r="AS1654" s="6"/>
      <c r="AT1654" s="6"/>
      <c r="AU1654" s="89"/>
      <c r="AV1654" s="100"/>
      <c r="AW1654" s="65"/>
      <c r="AX1654" s="3"/>
    </row>
    <row r="1655" spans="35:50">
      <c r="AI1655" s="99"/>
      <c r="AM1655" s="99"/>
      <c r="AO1655" s="99"/>
      <c r="AR1655" s="6"/>
      <c r="AS1655" s="6"/>
      <c r="AT1655" s="6"/>
      <c r="AU1655" s="89"/>
      <c r="AV1655" s="100"/>
      <c r="AW1655" s="65"/>
      <c r="AX1655" s="3"/>
    </row>
    <row r="1656" spans="35:50">
      <c r="AI1656" s="99"/>
      <c r="AM1656" s="99"/>
      <c r="AO1656" s="99"/>
      <c r="AR1656" s="6"/>
      <c r="AS1656" s="6"/>
      <c r="AT1656" s="6"/>
      <c r="AU1656" s="89"/>
      <c r="AV1656" s="100"/>
      <c r="AW1656" s="65"/>
      <c r="AX1656" s="3"/>
    </row>
    <row r="1657" spans="35:50">
      <c r="AI1657" s="99"/>
      <c r="AM1657" s="99"/>
      <c r="AO1657" s="99"/>
      <c r="AR1657" s="6"/>
      <c r="AS1657" s="6"/>
      <c r="AT1657" s="6"/>
      <c r="AU1657" s="89"/>
      <c r="AV1657" s="100"/>
      <c r="AW1657" s="65"/>
      <c r="AX1657" s="3"/>
    </row>
    <row r="1658" spans="35:50">
      <c r="AI1658" s="99"/>
      <c r="AM1658" s="99"/>
      <c r="AO1658" s="99"/>
      <c r="AR1658" s="6"/>
      <c r="AS1658" s="6"/>
      <c r="AT1658" s="6"/>
      <c r="AU1658" s="89"/>
      <c r="AV1658" s="100"/>
      <c r="AW1658" s="65"/>
      <c r="AX1658" s="3"/>
    </row>
    <row r="1659" spans="35:50">
      <c r="AI1659" s="99"/>
      <c r="AM1659" s="99"/>
      <c r="AO1659" s="99"/>
      <c r="AR1659" s="6"/>
      <c r="AS1659" s="6"/>
      <c r="AT1659" s="6"/>
      <c r="AU1659" s="89"/>
      <c r="AV1659" s="100"/>
      <c r="AW1659" s="65"/>
      <c r="AX1659" s="3"/>
    </row>
    <row r="1660" spans="35:50">
      <c r="AI1660" s="99"/>
      <c r="AM1660" s="99"/>
      <c r="AO1660" s="99"/>
      <c r="AR1660" s="6"/>
      <c r="AS1660" s="6"/>
      <c r="AT1660" s="6"/>
      <c r="AU1660" s="89"/>
      <c r="AV1660" s="100"/>
      <c r="AW1660" s="65"/>
      <c r="AX1660" s="3"/>
    </row>
    <row r="1661" spans="35:50">
      <c r="AI1661" s="99"/>
      <c r="AM1661" s="99"/>
      <c r="AO1661" s="99"/>
      <c r="AR1661" s="6"/>
      <c r="AS1661" s="6"/>
      <c r="AT1661" s="6"/>
      <c r="AU1661" s="89"/>
      <c r="AV1661" s="100"/>
      <c r="AW1661" s="65"/>
      <c r="AX1661" s="3"/>
    </row>
    <row r="1662" spans="35:50">
      <c r="AI1662" s="99"/>
      <c r="AM1662" s="99"/>
      <c r="AO1662" s="99"/>
      <c r="AR1662" s="6"/>
      <c r="AS1662" s="6"/>
      <c r="AT1662" s="6"/>
      <c r="AU1662" s="89"/>
      <c r="AV1662" s="100"/>
      <c r="AW1662" s="65"/>
      <c r="AX1662" s="3"/>
    </row>
    <row r="1663" spans="35:50">
      <c r="AI1663" s="99"/>
      <c r="AM1663" s="99"/>
      <c r="AO1663" s="99"/>
      <c r="AR1663" s="6"/>
      <c r="AS1663" s="6"/>
      <c r="AT1663" s="6"/>
      <c r="AU1663" s="89"/>
      <c r="AV1663" s="100"/>
      <c r="AW1663" s="65"/>
      <c r="AX1663" s="3"/>
    </row>
    <row r="1664" spans="35:50">
      <c r="AI1664" s="99"/>
      <c r="AM1664" s="99"/>
      <c r="AO1664" s="99"/>
      <c r="AR1664" s="6"/>
      <c r="AS1664" s="6"/>
      <c r="AT1664" s="6"/>
      <c r="AU1664" s="89"/>
      <c r="AV1664" s="100"/>
      <c r="AW1664" s="65"/>
      <c r="AX1664" s="3"/>
    </row>
    <row r="1665" spans="35:50">
      <c r="AI1665" s="99"/>
      <c r="AM1665" s="99"/>
      <c r="AO1665" s="99"/>
      <c r="AR1665" s="6"/>
      <c r="AS1665" s="6"/>
      <c r="AT1665" s="6"/>
      <c r="AU1665" s="89"/>
      <c r="AV1665" s="100"/>
      <c r="AW1665" s="65"/>
      <c r="AX1665" s="3"/>
    </row>
    <row r="1666" spans="35:50">
      <c r="AI1666" s="99"/>
      <c r="AM1666" s="99"/>
      <c r="AO1666" s="99"/>
      <c r="AR1666" s="6"/>
      <c r="AS1666" s="6"/>
      <c r="AT1666" s="6"/>
      <c r="AU1666" s="89"/>
      <c r="AV1666" s="100"/>
      <c r="AW1666" s="65"/>
      <c r="AX1666" s="3"/>
    </row>
    <row r="1667" spans="35:50">
      <c r="AI1667" s="99"/>
      <c r="AM1667" s="99"/>
      <c r="AO1667" s="99"/>
      <c r="AR1667" s="6"/>
      <c r="AS1667" s="6"/>
      <c r="AT1667" s="6"/>
      <c r="AU1667" s="89"/>
      <c r="AV1667" s="100"/>
      <c r="AW1667" s="65"/>
      <c r="AX1667" s="3"/>
    </row>
    <row r="1668" spans="35:50">
      <c r="AI1668" s="99"/>
      <c r="AM1668" s="99"/>
      <c r="AO1668" s="99"/>
      <c r="AR1668" s="6"/>
      <c r="AS1668" s="6"/>
      <c r="AT1668" s="6"/>
      <c r="AU1668" s="89"/>
      <c r="AV1668" s="100"/>
      <c r="AW1668" s="65"/>
      <c r="AX1668" s="3"/>
    </row>
    <row r="1669" spans="35:50">
      <c r="AI1669" s="99"/>
      <c r="AM1669" s="99"/>
      <c r="AO1669" s="99"/>
      <c r="AR1669" s="6"/>
      <c r="AS1669" s="6"/>
      <c r="AT1669" s="6"/>
      <c r="AU1669" s="89"/>
      <c r="AV1669" s="100"/>
      <c r="AW1669" s="65"/>
      <c r="AX1669" s="3"/>
    </row>
    <row r="1670" spans="35:50">
      <c r="AI1670" s="99"/>
      <c r="AM1670" s="99"/>
      <c r="AO1670" s="99"/>
      <c r="AR1670" s="6"/>
      <c r="AS1670" s="6"/>
      <c r="AT1670" s="6"/>
      <c r="AU1670" s="89"/>
      <c r="AV1670" s="100"/>
      <c r="AW1670" s="65"/>
      <c r="AX1670" s="3"/>
    </row>
    <row r="1671" spans="35:50">
      <c r="AI1671" s="99"/>
      <c r="AM1671" s="99"/>
      <c r="AO1671" s="99"/>
      <c r="AR1671" s="6"/>
      <c r="AS1671" s="6"/>
      <c r="AT1671" s="6"/>
      <c r="AU1671" s="89"/>
      <c r="AV1671" s="100"/>
      <c r="AW1671" s="65"/>
      <c r="AX1671" s="3"/>
    </row>
    <row r="1672" spans="35:50">
      <c r="AI1672" s="99"/>
      <c r="AM1672" s="99"/>
      <c r="AO1672" s="99"/>
      <c r="AR1672" s="6"/>
      <c r="AS1672" s="6"/>
      <c r="AT1672" s="6"/>
      <c r="AU1672" s="89"/>
      <c r="AV1672" s="100"/>
      <c r="AW1672" s="65"/>
      <c r="AX1672" s="3"/>
    </row>
    <row r="1673" spans="35:50">
      <c r="AI1673" s="99"/>
      <c r="AM1673" s="99"/>
      <c r="AO1673" s="99"/>
      <c r="AR1673" s="6"/>
      <c r="AS1673" s="6"/>
      <c r="AT1673" s="6"/>
      <c r="AU1673" s="89"/>
      <c r="AV1673" s="100"/>
      <c r="AW1673" s="65"/>
      <c r="AX1673" s="3"/>
    </row>
    <row r="1674" spans="35:50">
      <c r="AI1674" s="99"/>
      <c r="AM1674" s="99"/>
      <c r="AO1674" s="99"/>
      <c r="AR1674" s="6"/>
      <c r="AS1674" s="6"/>
      <c r="AT1674" s="6"/>
      <c r="AU1674" s="89"/>
      <c r="AV1674" s="100"/>
      <c r="AW1674" s="65"/>
      <c r="AX1674" s="3"/>
    </row>
    <row r="1675" spans="35:50">
      <c r="AI1675" s="99"/>
      <c r="AM1675" s="99"/>
      <c r="AO1675" s="99"/>
      <c r="AR1675" s="6"/>
      <c r="AS1675" s="6"/>
      <c r="AT1675" s="6"/>
      <c r="AU1675" s="89"/>
      <c r="AV1675" s="100"/>
      <c r="AW1675" s="65"/>
      <c r="AX1675" s="3"/>
    </row>
    <row r="1676" spans="35:50">
      <c r="AI1676" s="99"/>
      <c r="AM1676" s="99"/>
      <c r="AO1676" s="99"/>
      <c r="AR1676" s="6"/>
      <c r="AS1676" s="6"/>
      <c r="AT1676" s="6"/>
      <c r="AU1676" s="89"/>
      <c r="AV1676" s="100"/>
      <c r="AW1676" s="65"/>
      <c r="AX1676" s="3"/>
    </row>
    <row r="1677" spans="35:50">
      <c r="AI1677" s="99"/>
      <c r="AM1677" s="99"/>
      <c r="AO1677" s="99"/>
      <c r="AR1677" s="6"/>
      <c r="AS1677" s="6"/>
      <c r="AT1677" s="6"/>
      <c r="AU1677" s="89"/>
      <c r="AV1677" s="100"/>
      <c r="AW1677" s="65"/>
      <c r="AX1677" s="3"/>
    </row>
    <row r="1678" spans="35:50">
      <c r="AI1678" s="99"/>
      <c r="AM1678" s="99"/>
      <c r="AO1678" s="99"/>
      <c r="AR1678" s="6"/>
      <c r="AS1678" s="6"/>
      <c r="AT1678" s="6"/>
      <c r="AU1678" s="89"/>
      <c r="AV1678" s="100"/>
      <c r="AW1678" s="65"/>
      <c r="AX1678" s="3"/>
    </row>
    <row r="1679" spans="35:50">
      <c r="AI1679" s="99"/>
      <c r="AM1679" s="99"/>
      <c r="AO1679" s="99"/>
      <c r="AR1679" s="6"/>
      <c r="AS1679" s="6"/>
      <c r="AT1679" s="6"/>
      <c r="AU1679" s="89"/>
      <c r="AV1679" s="100"/>
      <c r="AW1679" s="65"/>
      <c r="AX1679" s="3"/>
    </row>
    <row r="1680" spans="35:50">
      <c r="AI1680" s="99"/>
      <c r="AM1680" s="99"/>
      <c r="AO1680" s="99"/>
      <c r="AR1680" s="6"/>
      <c r="AS1680" s="6"/>
      <c r="AT1680" s="6"/>
      <c r="AU1680" s="89"/>
      <c r="AV1680" s="100"/>
      <c r="AW1680" s="65"/>
      <c r="AX1680" s="3"/>
    </row>
    <row r="1681" spans="35:50">
      <c r="AI1681" s="99"/>
      <c r="AM1681" s="99"/>
      <c r="AO1681" s="99"/>
      <c r="AR1681" s="6"/>
      <c r="AS1681" s="6"/>
      <c r="AT1681" s="6"/>
      <c r="AU1681" s="89"/>
      <c r="AV1681" s="100"/>
      <c r="AW1681" s="65"/>
      <c r="AX1681" s="3"/>
    </row>
    <row r="1682" spans="35:50">
      <c r="AI1682" s="99"/>
      <c r="AM1682" s="99"/>
      <c r="AO1682" s="99"/>
      <c r="AR1682" s="6"/>
      <c r="AS1682" s="6"/>
      <c r="AT1682" s="6"/>
      <c r="AU1682" s="89"/>
      <c r="AV1682" s="100"/>
      <c r="AW1682" s="65"/>
      <c r="AX1682" s="3"/>
    </row>
    <row r="1683" spans="35:50">
      <c r="AI1683" s="99"/>
      <c r="AM1683" s="99"/>
      <c r="AO1683" s="99"/>
      <c r="AR1683" s="6"/>
      <c r="AS1683" s="6"/>
      <c r="AT1683" s="6"/>
      <c r="AU1683" s="89"/>
      <c r="AV1683" s="100"/>
      <c r="AW1683" s="65"/>
      <c r="AX1683" s="3"/>
    </row>
    <row r="1684" spans="35:50">
      <c r="AI1684" s="99"/>
      <c r="AM1684" s="99"/>
      <c r="AO1684" s="99"/>
      <c r="AR1684" s="6"/>
      <c r="AS1684" s="6"/>
      <c r="AT1684" s="6"/>
      <c r="AU1684" s="89"/>
      <c r="AV1684" s="100"/>
      <c r="AW1684" s="65"/>
      <c r="AX1684" s="3"/>
    </row>
    <row r="1685" spans="35:50">
      <c r="AI1685" s="99"/>
      <c r="AM1685" s="99"/>
      <c r="AO1685" s="99"/>
      <c r="AR1685" s="6"/>
      <c r="AS1685" s="6"/>
      <c r="AT1685" s="6"/>
      <c r="AU1685" s="89"/>
      <c r="AV1685" s="100"/>
      <c r="AW1685" s="65"/>
      <c r="AX1685" s="3"/>
    </row>
    <row r="1686" spans="35:50">
      <c r="AI1686" s="99"/>
      <c r="AM1686" s="99"/>
      <c r="AO1686" s="99"/>
      <c r="AR1686" s="6"/>
      <c r="AS1686" s="6"/>
      <c r="AT1686" s="6"/>
      <c r="AU1686" s="89"/>
      <c r="AV1686" s="100"/>
      <c r="AW1686" s="65"/>
      <c r="AX1686" s="3"/>
    </row>
    <row r="1687" spans="35:50">
      <c r="AI1687" s="99"/>
      <c r="AM1687" s="99"/>
      <c r="AO1687" s="99"/>
      <c r="AR1687" s="6"/>
      <c r="AS1687" s="6"/>
      <c r="AT1687" s="6"/>
      <c r="AU1687" s="89"/>
      <c r="AV1687" s="100"/>
      <c r="AW1687" s="65"/>
      <c r="AX1687" s="3"/>
    </row>
    <row r="1688" spans="35:50">
      <c r="AI1688" s="99"/>
      <c r="AM1688" s="99"/>
      <c r="AO1688" s="99"/>
      <c r="AR1688" s="6"/>
      <c r="AS1688" s="6"/>
      <c r="AT1688" s="6"/>
      <c r="AU1688" s="89"/>
      <c r="AV1688" s="100"/>
      <c r="AW1688" s="65"/>
      <c r="AX1688" s="3"/>
    </row>
    <row r="1689" spans="35:50">
      <c r="AI1689" s="99"/>
      <c r="AM1689" s="99"/>
      <c r="AO1689" s="99"/>
      <c r="AR1689" s="6"/>
      <c r="AS1689" s="6"/>
      <c r="AT1689" s="6"/>
      <c r="AU1689" s="89"/>
      <c r="AV1689" s="100"/>
      <c r="AW1689" s="65"/>
      <c r="AX1689" s="3"/>
    </row>
    <row r="1690" spans="35:50">
      <c r="AI1690" s="99"/>
      <c r="AM1690" s="99"/>
      <c r="AO1690" s="99"/>
      <c r="AR1690" s="6"/>
      <c r="AS1690" s="6"/>
      <c r="AT1690" s="6"/>
      <c r="AU1690" s="89"/>
      <c r="AV1690" s="100"/>
      <c r="AW1690" s="65"/>
      <c r="AX1690" s="3"/>
    </row>
    <row r="1691" spans="35:50">
      <c r="AI1691" s="99"/>
      <c r="AM1691" s="99"/>
      <c r="AO1691" s="99"/>
      <c r="AR1691" s="6"/>
      <c r="AS1691" s="6"/>
      <c r="AT1691" s="6"/>
      <c r="AU1691" s="89"/>
      <c r="AV1691" s="100"/>
      <c r="AW1691" s="65"/>
      <c r="AX1691" s="3"/>
    </row>
    <row r="1692" spans="35:50">
      <c r="AI1692" s="99"/>
      <c r="AM1692" s="99"/>
      <c r="AO1692" s="99"/>
      <c r="AR1692" s="6"/>
      <c r="AS1692" s="6"/>
      <c r="AT1692" s="6"/>
      <c r="AU1692" s="89"/>
      <c r="AV1692" s="100"/>
      <c r="AW1692" s="65"/>
      <c r="AX1692" s="3"/>
    </row>
    <row r="1693" spans="35:50">
      <c r="AI1693" s="99"/>
      <c r="AM1693" s="99"/>
      <c r="AO1693" s="99"/>
      <c r="AR1693" s="6"/>
      <c r="AS1693" s="6"/>
      <c r="AT1693" s="6"/>
      <c r="AU1693" s="89"/>
      <c r="AV1693" s="100"/>
      <c r="AW1693" s="65"/>
      <c r="AX1693" s="3"/>
    </row>
    <row r="1694" spans="35:50">
      <c r="AI1694" s="99"/>
      <c r="AM1694" s="99"/>
      <c r="AO1694" s="99"/>
      <c r="AR1694" s="6"/>
      <c r="AS1694" s="6"/>
      <c r="AT1694" s="6"/>
      <c r="AU1694" s="89"/>
      <c r="AV1694" s="100"/>
      <c r="AW1694" s="65"/>
      <c r="AX1694" s="3"/>
    </row>
    <row r="1695" spans="35:50">
      <c r="AI1695" s="99"/>
      <c r="AM1695" s="99"/>
      <c r="AO1695" s="99"/>
      <c r="AR1695" s="6"/>
      <c r="AS1695" s="6"/>
      <c r="AT1695" s="6"/>
      <c r="AU1695" s="89"/>
      <c r="AV1695" s="100"/>
      <c r="AW1695" s="65"/>
      <c r="AX1695" s="3"/>
    </row>
    <row r="1696" spans="35:50">
      <c r="AI1696" s="99"/>
      <c r="AM1696" s="99"/>
      <c r="AO1696" s="99"/>
      <c r="AR1696" s="6"/>
      <c r="AS1696" s="6"/>
      <c r="AT1696" s="6"/>
      <c r="AU1696" s="89"/>
      <c r="AV1696" s="100"/>
      <c r="AW1696" s="65"/>
      <c r="AX1696" s="3"/>
    </row>
    <row r="1697" spans="35:50">
      <c r="AI1697" s="99"/>
      <c r="AM1697" s="99"/>
      <c r="AO1697" s="99"/>
      <c r="AR1697" s="6"/>
      <c r="AS1697" s="6"/>
      <c r="AT1697" s="6"/>
      <c r="AU1697" s="89"/>
      <c r="AV1697" s="100"/>
      <c r="AW1697" s="65"/>
      <c r="AX1697" s="3"/>
    </row>
    <row r="1698" spans="35:50">
      <c r="AI1698" s="99"/>
      <c r="AM1698" s="99"/>
      <c r="AO1698" s="99"/>
      <c r="AR1698" s="6"/>
      <c r="AS1698" s="6"/>
      <c r="AT1698" s="6"/>
      <c r="AU1698" s="89"/>
      <c r="AV1698" s="100"/>
      <c r="AW1698" s="65"/>
      <c r="AX1698" s="3"/>
    </row>
    <row r="1699" spans="35:50">
      <c r="AI1699" s="99"/>
      <c r="AM1699" s="99"/>
      <c r="AO1699" s="99"/>
      <c r="AR1699" s="6"/>
      <c r="AS1699" s="6"/>
      <c r="AT1699" s="6"/>
      <c r="AU1699" s="89"/>
      <c r="AV1699" s="100"/>
      <c r="AW1699" s="65"/>
      <c r="AX1699" s="3"/>
    </row>
    <row r="1700" spans="35:50">
      <c r="AI1700" s="99"/>
      <c r="AM1700" s="99"/>
      <c r="AO1700" s="99"/>
      <c r="AR1700" s="6"/>
      <c r="AS1700" s="6"/>
      <c r="AT1700" s="6"/>
      <c r="AU1700" s="89"/>
      <c r="AV1700" s="100"/>
      <c r="AW1700" s="65"/>
      <c r="AX1700" s="3"/>
    </row>
    <row r="1701" spans="35:50">
      <c r="AI1701" s="99"/>
      <c r="AM1701" s="99"/>
      <c r="AO1701" s="99"/>
      <c r="AR1701" s="6"/>
      <c r="AS1701" s="6"/>
      <c r="AT1701" s="6"/>
      <c r="AU1701" s="89"/>
      <c r="AV1701" s="100"/>
      <c r="AW1701" s="65"/>
      <c r="AX1701" s="3"/>
    </row>
    <row r="1702" spans="35:50">
      <c r="AI1702" s="99"/>
      <c r="AM1702" s="99"/>
      <c r="AO1702" s="99"/>
      <c r="AR1702" s="6"/>
      <c r="AS1702" s="6"/>
      <c r="AT1702" s="6"/>
      <c r="AU1702" s="89"/>
      <c r="AV1702" s="100"/>
      <c r="AW1702" s="65"/>
      <c r="AX1702" s="3"/>
    </row>
    <row r="1703" spans="35:50">
      <c r="AI1703" s="99"/>
      <c r="AM1703" s="99"/>
      <c r="AO1703" s="99"/>
      <c r="AR1703" s="6"/>
      <c r="AS1703" s="6"/>
      <c r="AT1703" s="6"/>
      <c r="AU1703" s="89"/>
      <c r="AV1703" s="100"/>
      <c r="AW1703" s="65"/>
      <c r="AX1703" s="3"/>
    </row>
    <row r="1704" spans="35:50">
      <c r="AI1704" s="99"/>
      <c r="AM1704" s="99"/>
      <c r="AO1704" s="99"/>
      <c r="AR1704" s="6"/>
      <c r="AS1704" s="6"/>
      <c r="AT1704" s="6"/>
      <c r="AU1704" s="89"/>
      <c r="AV1704" s="100"/>
      <c r="AW1704" s="65"/>
      <c r="AX1704" s="3"/>
    </row>
    <row r="1705" spans="35:50">
      <c r="AI1705" s="99"/>
      <c r="AM1705" s="99"/>
      <c r="AO1705" s="99"/>
      <c r="AR1705" s="6"/>
      <c r="AS1705" s="6"/>
      <c r="AT1705" s="6"/>
      <c r="AU1705" s="89"/>
      <c r="AV1705" s="100"/>
      <c r="AW1705" s="65"/>
      <c r="AX1705" s="3"/>
    </row>
    <row r="1706" spans="35:50">
      <c r="AI1706" s="99"/>
      <c r="AM1706" s="99"/>
      <c r="AO1706" s="99"/>
      <c r="AR1706" s="6"/>
      <c r="AS1706" s="6"/>
      <c r="AT1706" s="6"/>
      <c r="AU1706" s="89"/>
      <c r="AV1706" s="100"/>
      <c r="AW1706" s="65"/>
      <c r="AX1706" s="3"/>
    </row>
    <row r="1707" spans="35:50">
      <c r="AI1707" s="99"/>
      <c r="AM1707" s="99"/>
      <c r="AO1707" s="99"/>
      <c r="AR1707" s="6"/>
      <c r="AS1707" s="6"/>
      <c r="AT1707" s="6"/>
      <c r="AU1707" s="89"/>
      <c r="AV1707" s="100"/>
      <c r="AW1707" s="65"/>
      <c r="AX1707" s="3"/>
    </row>
    <row r="1708" spans="35:50">
      <c r="AI1708" s="99"/>
      <c r="AM1708" s="99"/>
      <c r="AO1708" s="99"/>
      <c r="AR1708" s="6"/>
      <c r="AS1708" s="6"/>
      <c r="AT1708" s="6"/>
      <c r="AU1708" s="89"/>
      <c r="AV1708" s="100"/>
      <c r="AW1708" s="65"/>
      <c r="AX1708" s="3"/>
    </row>
    <row r="1709" spans="35:50">
      <c r="AI1709" s="99"/>
      <c r="AM1709" s="99"/>
      <c r="AO1709" s="99"/>
      <c r="AR1709" s="6"/>
      <c r="AS1709" s="6"/>
      <c r="AT1709" s="6"/>
      <c r="AU1709" s="89"/>
      <c r="AV1709" s="100"/>
      <c r="AW1709" s="65"/>
      <c r="AX1709" s="3"/>
    </row>
    <row r="1710" spans="35:50">
      <c r="AI1710" s="99"/>
      <c r="AM1710" s="99"/>
      <c r="AO1710" s="99"/>
      <c r="AR1710" s="6"/>
      <c r="AS1710" s="6"/>
      <c r="AT1710" s="6"/>
      <c r="AU1710" s="89"/>
      <c r="AV1710" s="100"/>
      <c r="AW1710" s="65"/>
      <c r="AX1710" s="3"/>
    </row>
    <row r="1711" spans="35:50">
      <c r="AI1711" s="99"/>
      <c r="AM1711" s="99"/>
      <c r="AO1711" s="99"/>
      <c r="AR1711" s="6"/>
      <c r="AS1711" s="6"/>
      <c r="AT1711" s="6"/>
      <c r="AU1711" s="89"/>
      <c r="AV1711" s="100"/>
      <c r="AW1711" s="65"/>
      <c r="AX1711" s="3"/>
    </row>
    <row r="1712" spans="35:50">
      <c r="AI1712" s="99"/>
      <c r="AM1712" s="99"/>
      <c r="AO1712" s="99"/>
      <c r="AR1712" s="6"/>
      <c r="AS1712" s="6"/>
      <c r="AT1712" s="6"/>
      <c r="AU1712" s="89"/>
      <c r="AV1712" s="100"/>
      <c r="AW1712" s="65"/>
      <c r="AX1712" s="3"/>
    </row>
    <row r="1713" spans="35:50">
      <c r="AI1713" s="99"/>
      <c r="AM1713" s="99"/>
      <c r="AO1713" s="99"/>
      <c r="AR1713" s="6"/>
      <c r="AS1713" s="6"/>
      <c r="AT1713" s="6"/>
      <c r="AU1713" s="89"/>
      <c r="AV1713" s="100"/>
      <c r="AW1713" s="65"/>
      <c r="AX1713" s="3"/>
    </row>
    <row r="1714" spans="35:50">
      <c r="AI1714" s="99"/>
      <c r="AM1714" s="99"/>
      <c r="AO1714" s="99"/>
      <c r="AR1714" s="6"/>
      <c r="AS1714" s="6"/>
      <c r="AT1714" s="6"/>
      <c r="AU1714" s="89"/>
      <c r="AV1714" s="100"/>
      <c r="AW1714" s="65"/>
      <c r="AX1714" s="3"/>
    </row>
    <row r="1715" spans="35:50">
      <c r="AI1715" s="99"/>
      <c r="AM1715" s="99"/>
      <c r="AO1715" s="99"/>
      <c r="AR1715" s="6"/>
      <c r="AS1715" s="6"/>
      <c r="AT1715" s="6"/>
      <c r="AU1715" s="89"/>
      <c r="AV1715" s="100"/>
      <c r="AW1715" s="65"/>
      <c r="AX1715" s="3"/>
    </row>
    <row r="1716" spans="35:50">
      <c r="AI1716" s="99"/>
      <c r="AM1716" s="99"/>
      <c r="AO1716" s="99"/>
      <c r="AR1716" s="6"/>
      <c r="AS1716" s="6"/>
      <c r="AT1716" s="6"/>
      <c r="AU1716" s="89"/>
      <c r="AV1716" s="100"/>
      <c r="AW1716" s="65"/>
      <c r="AX1716" s="3"/>
    </row>
    <row r="1717" spans="35:50">
      <c r="AI1717" s="99"/>
      <c r="AM1717" s="99"/>
      <c r="AO1717" s="99"/>
      <c r="AR1717" s="6"/>
      <c r="AS1717" s="6"/>
      <c r="AT1717" s="6"/>
      <c r="AU1717" s="89"/>
      <c r="AV1717" s="100"/>
      <c r="AW1717" s="65"/>
      <c r="AX1717" s="3"/>
    </row>
    <row r="1718" spans="35:50">
      <c r="AI1718" s="99"/>
      <c r="AM1718" s="99"/>
      <c r="AO1718" s="99"/>
      <c r="AR1718" s="6"/>
      <c r="AS1718" s="6"/>
      <c r="AT1718" s="6"/>
      <c r="AU1718" s="89"/>
      <c r="AV1718" s="100"/>
      <c r="AW1718" s="65"/>
      <c r="AX1718" s="3"/>
    </row>
    <row r="1719" spans="35:50">
      <c r="AI1719" s="99"/>
      <c r="AM1719" s="99"/>
      <c r="AO1719" s="99"/>
      <c r="AR1719" s="6"/>
      <c r="AS1719" s="6"/>
      <c r="AT1719" s="6"/>
      <c r="AU1719" s="89"/>
      <c r="AV1719" s="100"/>
      <c r="AW1719" s="65"/>
      <c r="AX1719" s="3"/>
    </row>
    <row r="1720" spans="35:50">
      <c r="AI1720" s="99"/>
      <c r="AM1720" s="99"/>
      <c r="AO1720" s="99"/>
      <c r="AR1720" s="6"/>
      <c r="AS1720" s="6"/>
      <c r="AT1720" s="6"/>
      <c r="AU1720" s="89"/>
      <c r="AV1720" s="100"/>
      <c r="AW1720" s="65"/>
      <c r="AX1720" s="3"/>
    </row>
    <row r="1721" spans="35:50">
      <c r="AI1721" s="99"/>
      <c r="AM1721" s="99"/>
      <c r="AO1721" s="99"/>
      <c r="AR1721" s="6"/>
      <c r="AS1721" s="6"/>
      <c r="AT1721" s="6"/>
      <c r="AU1721" s="89"/>
      <c r="AV1721" s="100"/>
      <c r="AW1721" s="65"/>
      <c r="AX1721" s="3"/>
    </row>
    <row r="1722" spans="35:50">
      <c r="AI1722" s="99"/>
      <c r="AM1722" s="99"/>
      <c r="AO1722" s="99"/>
      <c r="AR1722" s="6"/>
      <c r="AS1722" s="6"/>
      <c r="AT1722" s="6"/>
      <c r="AU1722" s="89"/>
      <c r="AV1722" s="100"/>
      <c r="AW1722" s="65"/>
      <c r="AX1722" s="3"/>
    </row>
    <row r="1723" spans="35:50">
      <c r="AI1723" s="99"/>
      <c r="AM1723" s="99"/>
      <c r="AO1723" s="99"/>
      <c r="AR1723" s="6"/>
      <c r="AS1723" s="6"/>
      <c r="AT1723" s="6"/>
      <c r="AU1723" s="89"/>
      <c r="AV1723" s="100"/>
      <c r="AW1723" s="65"/>
      <c r="AX1723" s="3"/>
    </row>
    <row r="1724" spans="35:50">
      <c r="AI1724" s="99"/>
      <c r="AM1724" s="99"/>
      <c r="AO1724" s="99"/>
      <c r="AR1724" s="6"/>
      <c r="AS1724" s="6"/>
      <c r="AT1724" s="6"/>
      <c r="AU1724" s="89"/>
      <c r="AV1724" s="100"/>
      <c r="AW1724" s="65"/>
      <c r="AX1724" s="3"/>
    </row>
    <row r="1725" spans="35:50">
      <c r="AI1725" s="99"/>
      <c r="AM1725" s="99"/>
      <c r="AO1725" s="99"/>
      <c r="AR1725" s="6"/>
      <c r="AS1725" s="6"/>
      <c r="AT1725" s="6"/>
      <c r="AU1725" s="89"/>
      <c r="AV1725" s="100"/>
      <c r="AW1725" s="65"/>
      <c r="AX1725" s="3"/>
    </row>
    <row r="1726" spans="35:50">
      <c r="AI1726" s="99"/>
      <c r="AM1726" s="99"/>
      <c r="AO1726" s="99"/>
      <c r="AR1726" s="6"/>
      <c r="AS1726" s="6"/>
      <c r="AT1726" s="6"/>
      <c r="AU1726" s="89"/>
      <c r="AV1726" s="100"/>
      <c r="AW1726" s="65"/>
      <c r="AX1726" s="3"/>
    </row>
    <row r="1727" spans="35:50">
      <c r="AI1727" s="99"/>
      <c r="AM1727" s="99"/>
      <c r="AO1727" s="99"/>
      <c r="AR1727" s="6"/>
      <c r="AS1727" s="6"/>
      <c r="AT1727" s="6"/>
      <c r="AU1727" s="89"/>
      <c r="AV1727" s="100"/>
      <c r="AW1727" s="65"/>
      <c r="AX1727" s="3"/>
    </row>
    <row r="1728" spans="35:50">
      <c r="AI1728" s="99"/>
      <c r="AM1728" s="99"/>
      <c r="AO1728" s="99"/>
      <c r="AR1728" s="6"/>
      <c r="AS1728" s="6"/>
      <c r="AT1728" s="6"/>
      <c r="AU1728" s="89"/>
      <c r="AV1728" s="100"/>
      <c r="AW1728" s="65"/>
      <c r="AX1728" s="3"/>
    </row>
    <row r="1729" spans="35:50">
      <c r="AI1729" s="99"/>
      <c r="AM1729" s="99"/>
      <c r="AO1729" s="99"/>
      <c r="AR1729" s="6"/>
      <c r="AS1729" s="6"/>
      <c r="AT1729" s="6"/>
      <c r="AU1729" s="89"/>
      <c r="AV1729" s="100"/>
      <c r="AW1729" s="65"/>
      <c r="AX1729" s="3"/>
    </row>
    <row r="1730" spans="35:50">
      <c r="AI1730" s="99"/>
      <c r="AM1730" s="99"/>
      <c r="AO1730" s="99"/>
      <c r="AR1730" s="6"/>
      <c r="AS1730" s="6"/>
      <c r="AT1730" s="6"/>
      <c r="AU1730" s="89"/>
      <c r="AV1730" s="100"/>
      <c r="AW1730" s="65"/>
      <c r="AX1730" s="3"/>
    </row>
    <row r="1731" spans="35:50">
      <c r="AI1731" s="99"/>
      <c r="AM1731" s="99"/>
      <c r="AO1731" s="99"/>
      <c r="AR1731" s="6"/>
      <c r="AS1731" s="6"/>
      <c r="AT1731" s="6"/>
      <c r="AU1731" s="89"/>
      <c r="AV1731" s="100"/>
      <c r="AW1731" s="65"/>
      <c r="AX1731" s="3"/>
    </row>
    <row r="1732" spans="35:50">
      <c r="AI1732" s="99"/>
      <c r="AM1732" s="99"/>
      <c r="AO1732" s="99"/>
      <c r="AR1732" s="6"/>
      <c r="AS1732" s="6"/>
      <c r="AT1732" s="6"/>
      <c r="AU1732" s="89"/>
      <c r="AV1732" s="100"/>
      <c r="AW1732" s="65"/>
      <c r="AX1732" s="3"/>
    </row>
    <row r="1733" spans="35:50">
      <c r="AI1733" s="99"/>
      <c r="AM1733" s="99"/>
      <c r="AO1733" s="99"/>
      <c r="AR1733" s="6"/>
      <c r="AS1733" s="6"/>
      <c r="AT1733" s="6"/>
      <c r="AU1733" s="89"/>
      <c r="AV1733" s="100"/>
      <c r="AW1733" s="65"/>
      <c r="AX1733" s="3"/>
    </row>
    <row r="1734" spans="35:50">
      <c r="AI1734" s="99"/>
      <c r="AM1734" s="99"/>
      <c r="AO1734" s="99"/>
      <c r="AR1734" s="6"/>
      <c r="AS1734" s="6"/>
      <c r="AT1734" s="6"/>
      <c r="AU1734" s="89"/>
      <c r="AV1734" s="100"/>
      <c r="AW1734" s="65"/>
      <c r="AX1734" s="3"/>
    </row>
    <row r="1735" spans="35:50">
      <c r="AI1735" s="99"/>
      <c r="AM1735" s="99"/>
      <c r="AO1735" s="99"/>
      <c r="AR1735" s="6"/>
      <c r="AS1735" s="6"/>
      <c r="AT1735" s="6"/>
      <c r="AU1735" s="89"/>
      <c r="AV1735" s="100"/>
      <c r="AW1735" s="65"/>
      <c r="AX1735" s="3"/>
    </row>
    <row r="1736" spans="35:50">
      <c r="AI1736" s="99"/>
      <c r="AM1736" s="99"/>
      <c r="AO1736" s="99"/>
      <c r="AR1736" s="6"/>
      <c r="AS1736" s="6"/>
      <c r="AT1736" s="6"/>
      <c r="AU1736" s="89"/>
      <c r="AV1736" s="100"/>
      <c r="AW1736" s="65"/>
      <c r="AX1736" s="3"/>
    </row>
    <row r="1737" spans="35:50">
      <c r="AI1737" s="99"/>
      <c r="AM1737" s="99"/>
      <c r="AO1737" s="99"/>
      <c r="AR1737" s="6"/>
      <c r="AS1737" s="6"/>
      <c r="AT1737" s="6"/>
      <c r="AU1737" s="89"/>
      <c r="AV1737" s="100"/>
      <c r="AW1737" s="65"/>
      <c r="AX1737" s="3"/>
    </row>
    <row r="1738" spans="35:50">
      <c r="AI1738" s="99"/>
      <c r="AM1738" s="99"/>
      <c r="AO1738" s="99"/>
      <c r="AR1738" s="6"/>
      <c r="AS1738" s="6"/>
      <c r="AT1738" s="6"/>
      <c r="AU1738" s="89"/>
      <c r="AV1738" s="100"/>
      <c r="AW1738" s="65"/>
      <c r="AX1738" s="3"/>
    </row>
    <row r="1739" spans="35:50">
      <c r="AI1739" s="99"/>
      <c r="AM1739" s="99"/>
      <c r="AO1739" s="99"/>
      <c r="AR1739" s="6"/>
      <c r="AS1739" s="6"/>
      <c r="AT1739" s="6"/>
      <c r="AU1739" s="89"/>
      <c r="AV1739" s="100"/>
      <c r="AW1739" s="65"/>
      <c r="AX1739" s="3"/>
    </row>
    <row r="1740" spans="35:50">
      <c r="AI1740" s="99"/>
      <c r="AM1740" s="99"/>
      <c r="AO1740" s="99"/>
      <c r="AR1740" s="6"/>
      <c r="AS1740" s="6"/>
      <c r="AT1740" s="6"/>
      <c r="AU1740" s="89"/>
      <c r="AV1740" s="100"/>
      <c r="AW1740" s="65"/>
      <c r="AX1740" s="3"/>
    </row>
    <row r="1741" spans="35:50">
      <c r="AI1741" s="99"/>
      <c r="AM1741" s="99"/>
      <c r="AO1741" s="99"/>
      <c r="AR1741" s="6"/>
      <c r="AS1741" s="6"/>
      <c r="AT1741" s="6"/>
      <c r="AU1741" s="89"/>
      <c r="AV1741" s="100"/>
      <c r="AW1741" s="65"/>
      <c r="AX1741" s="3"/>
    </row>
    <row r="1742" spans="35:50">
      <c r="AI1742" s="99"/>
      <c r="AM1742" s="99"/>
      <c r="AO1742" s="99"/>
      <c r="AR1742" s="6"/>
      <c r="AS1742" s="6"/>
      <c r="AT1742" s="6"/>
      <c r="AU1742" s="89"/>
      <c r="AV1742" s="100"/>
      <c r="AW1742" s="65"/>
      <c r="AX1742" s="3"/>
    </row>
    <row r="1743" spans="35:50">
      <c r="AI1743" s="99"/>
      <c r="AM1743" s="99"/>
      <c r="AO1743" s="99"/>
      <c r="AR1743" s="6"/>
      <c r="AS1743" s="6"/>
      <c r="AT1743" s="6"/>
      <c r="AU1743" s="89"/>
      <c r="AV1743" s="100"/>
      <c r="AW1743" s="65"/>
      <c r="AX1743" s="3"/>
    </row>
    <row r="1744" spans="35:50">
      <c r="AI1744" s="99"/>
      <c r="AM1744" s="99"/>
      <c r="AO1744" s="99"/>
      <c r="AR1744" s="6"/>
      <c r="AS1744" s="6"/>
      <c r="AT1744" s="6"/>
      <c r="AU1744" s="89"/>
      <c r="AV1744" s="100"/>
      <c r="AW1744" s="65"/>
      <c r="AX1744" s="3"/>
    </row>
    <row r="1745" spans="35:50">
      <c r="AI1745" s="99"/>
      <c r="AM1745" s="99"/>
      <c r="AO1745" s="99"/>
      <c r="AR1745" s="6"/>
      <c r="AS1745" s="6"/>
      <c r="AT1745" s="6"/>
      <c r="AU1745" s="89"/>
      <c r="AV1745" s="100"/>
      <c r="AW1745" s="65"/>
      <c r="AX1745" s="3"/>
    </row>
    <row r="1746" spans="35:50">
      <c r="AI1746" s="99"/>
      <c r="AM1746" s="99"/>
      <c r="AO1746" s="99"/>
      <c r="AR1746" s="6"/>
      <c r="AS1746" s="6"/>
      <c r="AT1746" s="6"/>
      <c r="AU1746" s="89"/>
      <c r="AV1746" s="100"/>
      <c r="AW1746" s="65"/>
      <c r="AX1746" s="3"/>
    </row>
    <row r="1747" spans="35:50">
      <c r="AI1747" s="99"/>
      <c r="AM1747" s="99"/>
      <c r="AO1747" s="99"/>
      <c r="AR1747" s="6"/>
      <c r="AS1747" s="6"/>
      <c r="AT1747" s="6"/>
      <c r="AU1747" s="89"/>
      <c r="AV1747" s="100"/>
      <c r="AW1747" s="65"/>
      <c r="AX1747" s="3"/>
    </row>
    <row r="1748" spans="35:50">
      <c r="AI1748" s="99"/>
      <c r="AM1748" s="99"/>
      <c r="AO1748" s="99"/>
      <c r="AR1748" s="6"/>
      <c r="AS1748" s="6"/>
      <c r="AT1748" s="6"/>
      <c r="AU1748" s="89"/>
      <c r="AV1748" s="100"/>
      <c r="AW1748" s="65"/>
      <c r="AX1748" s="3"/>
    </row>
    <row r="1749" spans="35:50">
      <c r="AI1749" s="99"/>
      <c r="AM1749" s="99"/>
      <c r="AO1749" s="99"/>
      <c r="AR1749" s="6"/>
      <c r="AS1749" s="6"/>
      <c r="AT1749" s="6"/>
      <c r="AU1749" s="89"/>
      <c r="AV1749" s="100"/>
      <c r="AW1749" s="65"/>
      <c r="AX1749" s="3"/>
    </row>
    <row r="1750" spans="35:50">
      <c r="AI1750" s="99"/>
      <c r="AM1750" s="99"/>
      <c r="AO1750" s="99"/>
      <c r="AR1750" s="6"/>
      <c r="AS1750" s="6"/>
      <c r="AT1750" s="6"/>
      <c r="AU1750" s="89"/>
      <c r="AV1750" s="100"/>
      <c r="AW1750" s="65"/>
      <c r="AX1750" s="3"/>
    </row>
    <row r="1751" spans="35:50">
      <c r="AI1751" s="99"/>
      <c r="AM1751" s="99"/>
      <c r="AO1751" s="99"/>
      <c r="AR1751" s="6"/>
      <c r="AS1751" s="6"/>
      <c r="AT1751" s="6"/>
      <c r="AU1751" s="89"/>
      <c r="AV1751" s="100"/>
      <c r="AW1751" s="65"/>
      <c r="AX1751" s="3"/>
    </row>
    <row r="1752" spans="35:50">
      <c r="AI1752" s="99"/>
      <c r="AM1752" s="99"/>
      <c r="AO1752" s="99"/>
      <c r="AR1752" s="6"/>
      <c r="AS1752" s="6"/>
      <c r="AT1752" s="6"/>
      <c r="AU1752" s="89"/>
      <c r="AV1752" s="100"/>
      <c r="AW1752" s="65"/>
      <c r="AX1752" s="3"/>
    </row>
    <row r="1753" spans="35:50">
      <c r="AI1753" s="99"/>
      <c r="AM1753" s="99"/>
      <c r="AO1753" s="99"/>
      <c r="AR1753" s="6"/>
      <c r="AS1753" s="6"/>
      <c r="AT1753" s="6"/>
      <c r="AU1753" s="89"/>
      <c r="AV1753" s="100"/>
      <c r="AW1753" s="65"/>
      <c r="AX1753" s="3"/>
    </row>
    <row r="1754" spans="35:50">
      <c r="AI1754" s="99"/>
      <c r="AM1754" s="99"/>
      <c r="AO1754" s="99"/>
      <c r="AR1754" s="6"/>
      <c r="AS1754" s="6"/>
      <c r="AT1754" s="6"/>
      <c r="AU1754" s="89"/>
      <c r="AV1754" s="100"/>
      <c r="AW1754" s="65"/>
      <c r="AX1754" s="3"/>
    </row>
    <row r="1755" spans="35:50">
      <c r="AI1755" s="99"/>
      <c r="AM1755" s="99"/>
      <c r="AO1755" s="99"/>
      <c r="AR1755" s="6"/>
      <c r="AS1755" s="6"/>
      <c r="AT1755" s="6"/>
      <c r="AU1755" s="89"/>
      <c r="AV1755" s="100"/>
      <c r="AW1755" s="65"/>
      <c r="AX1755" s="3"/>
    </row>
    <row r="1756" spans="35:50">
      <c r="AI1756" s="99"/>
      <c r="AM1756" s="99"/>
      <c r="AO1756" s="99"/>
      <c r="AR1756" s="6"/>
      <c r="AS1756" s="6"/>
      <c r="AT1756" s="6"/>
      <c r="AU1756" s="89"/>
      <c r="AV1756" s="100"/>
      <c r="AW1756" s="65"/>
      <c r="AX1756" s="3"/>
    </row>
    <row r="1757" spans="35:50">
      <c r="AI1757" s="99"/>
      <c r="AM1757" s="99"/>
      <c r="AO1757" s="99"/>
      <c r="AR1757" s="6"/>
      <c r="AS1757" s="6"/>
      <c r="AT1757" s="6"/>
      <c r="AU1757" s="89"/>
      <c r="AV1757" s="100"/>
      <c r="AW1757" s="65"/>
      <c r="AX1757" s="3"/>
    </row>
    <row r="1758" spans="35:50">
      <c r="AI1758" s="99"/>
      <c r="AM1758" s="99"/>
      <c r="AO1758" s="99"/>
      <c r="AR1758" s="6"/>
      <c r="AS1758" s="6"/>
      <c r="AT1758" s="6"/>
      <c r="AU1758" s="89"/>
      <c r="AV1758" s="100"/>
      <c r="AW1758" s="65"/>
      <c r="AX1758" s="3"/>
    </row>
    <row r="1759" spans="35:50">
      <c r="AI1759" s="99"/>
      <c r="AM1759" s="99"/>
      <c r="AO1759" s="99"/>
      <c r="AR1759" s="6"/>
      <c r="AS1759" s="6"/>
      <c r="AT1759" s="6"/>
      <c r="AU1759" s="89"/>
      <c r="AV1759" s="100"/>
      <c r="AW1759" s="65"/>
      <c r="AX1759" s="3"/>
    </row>
    <row r="1760" spans="35:50">
      <c r="AI1760" s="99"/>
      <c r="AM1760" s="99"/>
      <c r="AO1760" s="99"/>
      <c r="AR1760" s="6"/>
      <c r="AS1760" s="6"/>
      <c r="AT1760" s="6"/>
      <c r="AU1760" s="89"/>
      <c r="AV1760" s="100"/>
      <c r="AW1760" s="65"/>
      <c r="AX1760" s="3"/>
    </row>
    <row r="1761" spans="35:50">
      <c r="AI1761" s="99"/>
      <c r="AM1761" s="99"/>
      <c r="AO1761" s="99"/>
      <c r="AR1761" s="6"/>
      <c r="AS1761" s="6"/>
      <c r="AT1761" s="6"/>
      <c r="AU1761" s="89"/>
      <c r="AV1761" s="100"/>
      <c r="AW1761" s="65"/>
      <c r="AX1761" s="3"/>
    </row>
    <row r="1762" spans="35:50">
      <c r="AI1762" s="99"/>
      <c r="AM1762" s="99"/>
      <c r="AO1762" s="99"/>
      <c r="AR1762" s="6"/>
      <c r="AS1762" s="6"/>
      <c r="AT1762" s="6"/>
      <c r="AU1762" s="89"/>
      <c r="AV1762" s="100"/>
      <c r="AW1762" s="65"/>
      <c r="AX1762" s="3"/>
    </row>
    <row r="1763" spans="35:50">
      <c r="AI1763" s="99"/>
      <c r="AM1763" s="99"/>
      <c r="AO1763" s="99"/>
      <c r="AR1763" s="6"/>
      <c r="AS1763" s="6"/>
      <c r="AT1763" s="6"/>
      <c r="AU1763" s="89"/>
      <c r="AV1763" s="100"/>
      <c r="AW1763" s="65"/>
      <c r="AX1763" s="3"/>
    </row>
    <row r="1764" spans="35:50">
      <c r="AI1764" s="99"/>
      <c r="AM1764" s="99"/>
      <c r="AO1764" s="99"/>
      <c r="AR1764" s="6"/>
      <c r="AS1764" s="6"/>
      <c r="AT1764" s="6"/>
      <c r="AU1764" s="89"/>
      <c r="AV1764" s="100"/>
      <c r="AW1764" s="65"/>
      <c r="AX1764" s="3"/>
    </row>
    <row r="1765" spans="35:50">
      <c r="AI1765" s="99"/>
      <c r="AM1765" s="99"/>
      <c r="AO1765" s="99"/>
      <c r="AR1765" s="6"/>
      <c r="AS1765" s="6"/>
      <c r="AT1765" s="6"/>
      <c r="AU1765" s="89"/>
      <c r="AV1765" s="100"/>
      <c r="AW1765" s="65"/>
      <c r="AX1765" s="3"/>
    </row>
    <row r="1766" spans="35:50">
      <c r="AI1766" s="99"/>
      <c r="AM1766" s="99"/>
      <c r="AO1766" s="99"/>
      <c r="AR1766" s="6"/>
      <c r="AS1766" s="6"/>
      <c r="AT1766" s="6"/>
      <c r="AU1766" s="89"/>
      <c r="AV1766" s="100"/>
      <c r="AW1766" s="65"/>
      <c r="AX1766" s="3"/>
    </row>
    <row r="1767" spans="35:50">
      <c r="AI1767" s="99"/>
      <c r="AM1767" s="99"/>
      <c r="AO1767" s="99"/>
      <c r="AR1767" s="6"/>
      <c r="AS1767" s="6"/>
      <c r="AT1767" s="6"/>
      <c r="AU1767" s="89"/>
      <c r="AV1767" s="100"/>
      <c r="AW1767" s="65"/>
      <c r="AX1767" s="3"/>
    </row>
    <row r="1768" spans="35:50">
      <c r="AI1768" s="99"/>
      <c r="AM1768" s="99"/>
      <c r="AO1768" s="99"/>
      <c r="AR1768" s="6"/>
      <c r="AS1768" s="6"/>
      <c r="AT1768" s="6"/>
      <c r="AU1768" s="89"/>
      <c r="AV1768" s="100"/>
      <c r="AW1768" s="65"/>
      <c r="AX1768" s="3"/>
    </row>
    <row r="1769" spans="35:50">
      <c r="AI1769" s="99"/>
      <c r="AM1769" s="99"/>
      <c r="AO1769" s="99"/>
      <c r="AR1769" s="6"/>
      <c r="AS1769" s="6"/>
      <c r="AT1769" s="6"/>
      <c r="AU1769" s="89"/>
      <c r="AV1769" s="100"/>
      <c r="AW1769" s="65"/>
      <c r="AX1769" s="3"/>
    </row>
    <row r="1770" spans="35:50">
      <c r="AI1770" s="99"/>
      <c r="AM1770" s="99"/>
      <c r="AO1770" s="99"/>
      <c r="AR1770" s="6"/>
      <c r="AS1770" s="6"/>
      <c r="AT1770" s="6"/>
      <c r="AU1770" s="89"/>
      <c r="AV1770" s="100"/>
      <c r="AW1770" s="65"/>
      <c r="AX1770" s="3"/>
    </row>
    <row r="1771" spans="35:50">
      <c r="AI1771" s="99"/>
      <c r="AM1771" s="99"/>
      <c r="AO1771" s="99"/>
      <c r="AR1771" s="6"/>
      <c r="AS1771" s="6"/>
      <c r="AT1771" s="6"/>
      <c r="AU1771" s="89"/>
      <c r="AV1771" s="100"/>
      <c r="AW1771" s="65"/>
      <c r="AX1771" s="3"/>
    </row>
    <row r="1772" spans="35:50">
      <c r="AI1772" s="99"/>
      <c r="AM1772" s="99"/>
      <c r="AO1772" s="99"/>
      <c r="AR1772" s="6"/>
      <c r="AS1772" s="6"/>
      <c r="AT1772" s="6"/>
      <c r="AU1772" s="89"/>
      <c r="AV1772" s="100"/>
      <c r="AW1772" s="65"/>
      <c r="AX1772" s="3"/>
    </row>
    <row r="1773" spans="35:50">
      <c r="AI1773" s="99"/>
      <c r="AM1773" s="99"/>
      <c r="AO1773" s="99"/>
      <c r="AR1773" s="6"/>
      <c r="AS1773" s="6"/>
      <c r="AT1773" s="6"/>
      <c r="AU1773" s="89"/>
      <c r="AV1773" s="100"/>
      <c r="AW1773" s="65"/>
      <c r="AX1773" s="3"/>
    </row>
    <row r="1774" spans="35:50">
      <c r="AI1774" s="99"/>
      <c r="AM1774" s="99"/>
      <c r="AO1774" s="99"/>
      <c r="AR1774" s="6"/>
      <c r="AS1774" s="6"/>
      <c r="AT1774" s="6"/>
      <c r="AU1774" s="89"/>
      <c r="AV1774" s="100"/>
      <c r="AW1774" s="65"/>
      <c r="AX1774" s="3"/>
    </row>
    <row r="1775" spans="35:50">
      <c r="AI1775" s="99"/>
      <c r="AM1775" s="99"/>
      <c r="AO1775" s="99"/>
      <c r="AR1775" s="6"/>
      <c r="AS1775" s="6"/>
      <c r="AT1775" s="6"/>
      <c r="AU1775" s="89"/>
      <c r="AV1775" s="100"/>
      <c r="AW1775" s="65"/>
      <c r="AX1775" s="3"/>
    </row>
    <row r="1776" spans="35:50">
      <c r="AI1776" s="99"/>
      <c r="AM1776" s="99"/>
      <c r="AO1776" s="99"/>
      <c r="AR1776" s="6"/>
      <c r="AS1776" s="6"/>
      <c r="AT1776" s="6"/>
      <c r="AU1776" s="89"/>
      <c r="AV1776" s="100"/>
      <c r="AW1776" s="65"/>
      <c r="AX1776" s="3"/>
    </row>
    <row r="1777" spans="35:50">
      <c r="AI1777" s="99"/>
      <c r="AM1777" s="99"/>
      <c r="AO1777" s="99"/>
      <c r="AR1777" s="6"/>
      <c r="AS1777" s="6"/>
      <c r="AT1777" s="6"/>
      <c r="AU1777" s="89"/>
      <c r="AV1777" s="100"/>
      <c r="AW1777" s="65"/>
      <c r="AX1777" s="3"/>
    </row>
    <row r="1778" spans="35:50">
      <c r="AI1778" s="99"/>
      <c r="AM1778" s="99"/>
      <c r="AO1778" s="99"/>
      <c r="AR1778" s="6"/>
      <c r="AS1778" s="6"/>
      <c r="AT1778" s="6"/>
      <c r="AU1778" s="89"/>
      <c r="AV1778" s="100"/>
      <c r="AW1778" s="65"/>
      <c r="AX1778" s="3"/>
    </row>
    <row r="1779" spans="35:50">
      <c r="AI1779" s="99"/>
      <c r="AM1779" s="99"/>
      <c r="AO1779" s="99"/>
      <c r="AR1779" s="6"/>
      <c r="AS1779" s="6"/>
      <c r="AT1779" s="6"/>
      <c r="AU1779" s="89"/>
      <c r="AV1779" s="100"/>
      <c r="AW1779" s="65"/>
      <c r="AX1779" s="3"/>
    </row>
    <row r="1780" spans="35:50">
      <c r="AI1780" s="99"/>
      <c r="AM1780" s="99"/>
      <c r="AO1780" s="99"/>
      <c r="AR1780" s="6"/>
      <c r="AS1780" s="6"/>
      <c r="AT1780" s="6"/>
      <c r="AU1780" s="89"/>
      <c r="AV1780" s="100"/>
      <c r="AW1780" s="65"/>
      <c r="AX1780" s="3"/>
    </row>
    <row r="1781" spans="35:50">
      <c r="AI1781" s="99"/>
      <c r="AM1781" s="99"/>
      <c r="AO1781" s="99"/>
      <c r="AR1781" s="6"/>
      <c r="AS1781" s="6"/>
      <c r="AT1781" s="6"/>
      <c r="AU1781" s="89"/>
      <c r="AV1781" s="100"/>
      <c r="AW1781" s="65"/>
      <c r="AX1781" s="3"/>
    </row>
    <row r="1782" spans="35:50">
      <c r="AI1782" s="99"/>
      <c r="AM1782" s="99"/>
      <c r="AO1782" s="99"/>
      <c r="AR1782" s="6"/>
      <c r="AS1782" s="6"/>
      <c r="AT1782" s="6"/>
      <c r="AU1782" s="89"/>
      <c r="AV1782" s="100"/>
      <c r="AW1782" s="65"/>
      <c r="AX1782" s="3"/>
    </row>
    <row r="1783" spans="35:50">
      <c r="AI1783" s="99"/>
      <c r="AM1783" s="99"/>
      <c r="AO1783" s="99"/>
      <c r="AR1783" s="6"/>
      <c r="AS1783" s="6"/>
      <c r="AT1783" s="6"/>
      <c r="AU1783" s="89"/>
      <c r="AV1783" s="100"/>
      <c r="AW1783" s="65"/>
      <c r="AX1783" s="3"/>
    </row>
    <row r="1784" spans="35:50">
      <c r="AI1784" s="99"/>
      <c r="AM1784" s="99"/>
      <c r="AO1784" s="99"/>
      <c r="AR1784" s="6"/>
      <c r="AS1784" s="6"/>
      <c r="AT1784" s="6"/>
      <c r="AU1784" s="89"/>
      <c r="AV1784" s="100"/>
      <c r="AW1784" s="65"/>
      <c r="AX1784" s="3"/>
    </row>
    <row r="1785" spans="35:50">
      <c r="AI1785" s="99"/>
      <c r="AM1785" s="99"/>
      <c r="AO1785" s="99"/>
      <c r="AR1785" s="6"/>
      <c r="AS1785" s="6"/>
      <c r="AT1785" s="6"/>
      <c r="AU1785" s="89"/>
      <c r="AV1785" s="100"/>
      <c r="AW1785" s="65"/>
      <c r="AX1785" s="3"/>
    </row>
    <row r="1786" spans="35:50">
      <c r="AI1786" s="99"/>
      <c r="AM1786" s="99"/>
      <c r="AO1786" s="99"/>
      <c r="AR1786" s="6"/>
      <c r="AS1786" s="6"/>
      <c r="AT1786" s="6"/>
      <c r="AU1786" s="89"/>
      <c r="AV1786" s="100"/>
      <c r="AW1786" s="65"/>
      <c r="AX1786" s="3"/>
    </row>
    <row r="1787" spans="35:50">
      <c r="AI1787" s="99"/>
      <c r="AM1787" s="99"/>
      <c r="AO1787" s="99"/>
      <c r="AR1787" s="6"/>
      <c r="AS1787" s="6"/>
      <c r="AT1787" s="6"/>
      <c r="AU1787" s="89"/>
      <c r="AV1787" s="100"/>
      <c r="AW1787" s="65"/>
      <c r="AX1787" s="3"/>
    </row>
    <row r="1788" spans="35:50">
      <c r="AI1788" s="99"/>
      <c r="AM1788" s="99"/>
      <c r="AO1788" s="99"/>
      <c r="AR1788" s="6"/>
      <c r="AS1788" s="6"/>
      <c r="AT1788" s="6"/>
      <c r="AU1788" s="89"/>
      <c r="AV1788" s="100"/>
      <c r="AW1788" s="65"/>
      <c r="AX1788" s="3"/>
    </row>
    <row r="1789" spans="35:50">
      <c r="AI1789" s="99"/>
      <c r="AM1789" s="99"/>
      <c r="AO1789" s="99"/>
      <c r="AR1789" s="6"/>
      <c r="AS1789" s="6"/>
      <c r="AT1789" s="6"/>
      <c r="AU1789" s="89"/>
      <c r="AV1789" s="100"/>
      <c r="AW1789" s="65"/>
      <c r="AX1789" s="3"/>
    </row>
    <row r="1790" spans="35:50">
      <c r="AI1790" s="99"/>
      <c r="AM1790" s="99"/>
      <c r="AO1790" s="99"/>
      <c r="AR1790" s="6"/>
      <c r="AS1790" s="6"/>
      <c r="AT1790" s="6"/>
      <c r="AU1790" s="89"/>
      <c r="AV1790" s="100"/>
      <c r="AW1790" s="65"/>
      <c r="AX1790" s="3"/>
    </row>
    <row r="1791" spans="35:50">
      <c r="AI1791" s="99"/>
      <c r="AM1791" s="99"/>
      <c r="AO1791" s="99"/>
      <c r="AR1791" s="6"/>
      <c r="AS1791" s="6"/>
      <c r="AT1791" s="6"/>
      <c r="AU1791" s="89"/>
      <c r="AV1791" s="100"/>
      <c r="AW1791" s="65"/>
      <c r="AX1791" s="3"/>
    </row>
    <row r="1792" spans="35:50">
      <c r="AI1792" s="99"/>
      <c r="AM1792" s="99"/>
      <c r="AO1792" s="99"/>
      <c r="AR1792" s="6"/>
      <c r="AS1792" s="6"/>
      <c r="AT1792" s="6"/>
      <c r="AU1792" s="89"/>
      <c r="AV1792" s="100"/>
      <c r="AW1792" s="65"/>
      <c r="AX1792" s="3"/>
    </row>
    <row r="1793" spans="35:50">
      <c r="AI1793" s="99"/>
      <c r="AM1793" s="99"/>
      <c r="AO1793" s="99"/>
      <c r="AR1793" s="6"/>
      <c r="AS1793" s="6"/>
      <c r="AT1793" s="6"/>
      <c r="AU1793" s="89"/>
      <c r="AV1793" s="100"/>
      <c r="AW1793" s="65"/>
      <c r="AX1793" s="3"/>
    </row>
    <row r="1794" spans="35:50">
      <c r="AI1794" s="99"/>
      <c r="AM1794" s="99"/>
      <c r="AO1794" s="99"/>
      <c r="AR1794" s="6"/>
      <c r="AS1794" s="6"/>
      <c r="AT1794" s="6"/>
      <c r="AU1794" s="89"/>
      <c r="AV1794" s="100"/>
      <c r="AW1794" s="65"/>
      <c r="AX1794" s="3"/>
    </row>
    <row r="1795" spans="35:50">
      <c r="AI1795" s="99"/>
      <c r="AM1795" s="99"/>
      <c r="AO1795" s="99"/>
      <c r="AR1795" s="6"/>
      <c r="AS1795" s="6"/>
      <c r="AT1795" s="6"/>
      <c r="AU1795" s="89"/>
      <c r="AV1795" s="100"/>
      <c r="AW1795" s="65"/>
      <c r="AX1795" s="3"/>
    </row>
    <row r="1796" spans="35:50">
      <c r="AI1796" s="99"/>
      <c r="AM1796" s="99"/>
      <c r="AO1796" s="99"/>
      <c r="AR1796" s="6"/>
      <c r="AS1796" s="6"/>
      <c r="AT1796" s="6"/>
      <c r="AU1796" s="89"/>
      <c r="AV1796" s="100"/>
      <c r="AW1796" s="65"/>
      <c r="AX1796" s="3"/>
    </row>
    <row r="1797" spans="35:50">
      <c r="AI1797" s="99"/>
      <c r="AM1797" s="99"/>
      <c r="AO1797" s="99"/>
      <c r="AR1797" s="6"/>
      <c r="AS1797" s="6"/>
      <c r="AT1797" s="6"/>
      <c r="AU1797" s="89"/>
      <c r="AV1797" s="100"/>
      <c r="AW1797" s="65"/>
      <c r="AX1797" s="3"/>
    </row>
    <row r="1798" spans="35:50">
      <c r="AI1798" s="99"/>
      <c r="AM1798" s="99"/>
      <c r="AO1798" s="99"/>
      <c r="AR1798" s="6"/>
      <c r="AS1798" s="6"/>
      <c r="AT1798" s="6"/>
      <c r="AU1798" s="89"/>
      <c r="AV1798" s="100"/>
      <c r="AW1798" s="65"/>
      <c r="AX1798" s="3"/>
    </row>
    <row r="1799" spans="35:50">
      <c r="AI1799" s="99"/>
      <c r="AM1799" s="99"/>
      <c r="AO1799" s="99"/>
      <c r="AR1799" s="6"/>
      <c r="AS1799" s="6"/>
      <c r="AT1799" s="6"/>
      <c r="AU1799" s="89"/>
      <c r="AV1799" s="100"/>
      <c r="AW1799" s="65"/>
      <c r="AX1799" s="3"/>
    </row>
    <row r="1800" spans="35:50">
      <c r="AI1800" s="99"/>
      <c r="AM1800" s="99"/>
      <c r="AO1800" s="99"/>
      <c r="AR1800" s="6"/>
      <c r="AS1800" s="6"/>
      <c r="AT1800" s="6"/>
      <c r="AU1800" s="89"/>
      <c r="AV1800" s="100"/>
      <c r="AW1800" s="65"/>
      <c r="AX1800" s="3"/>
    </row>
    <row r="1801" spans="35:50">
      <c r="AI1801" s="99"/>
      <c r="AM1801" s="99"/>
      <c r="AO1801" s="99"/>
      <c r="AR1801" s="6"/>
      <c r="AS1801" s="6"/>
      <c r="AT1801" s="6"/>
      <c r="AU1801" s="89"/>
      <c r="AV1801" s="100"/>
      <c r="AW1801" s="65"/>
      <c r="AX1801" s="3"/>
    </row>
    <row r="1802" spans="35:50">
      <c r="AI1802" s="99"/>
      <c r="AM1802" s="99"/>
      <c r="AO1802" s="99"/>
      <c r="AR1802" s="6"/>
      <c r="AS1802" s="6"/>
      <c r="AT1802" s="6"/>
      <c r="AU1802" s="89"/>
      <c r="AV1802" s="100"/>
      <c r="AW1802" s="65"/>
      <c r="AX1802" s="3"/>
    </row>
    <row r="1803" spans="35:50">
      <c r="AI1803" s="99"/>
      <c r="AM1803" s="99"/>
      <c r="AO1803" s="99"/>
      <c r="AR1803" s="6"/>
      <c r="AS1803" s="6"/>
      <c r="AT1803" s="6"/>
      <c r="AU1803" s="89"/>
      <c r="AV1803" s="100"/>
      <c r="AW1803" s="65"/>
      <c r="AX1803" s="3"/>
    </row>
    <row r="1804" spans="35:50">
      <c r="AI1804" s="99"/>
      <c r="AM1804" s="99"/>
      <c r="AO1804" s="99"/>
      <c r="AR1804" s="6"/>
      <c r="AS1804" s="6"/>
      <c r="AT1804" s="6"/>
      <c r="AU1804" s="89"/>
      <c r="AV1804" s="100"/>
      <c r="AW1804" s="65"/>
      <c r="AX1804" s="3"/>
    </row>
    <row r="1805" spans="35:50">
      <c r="AI1805" s="99"/>
      <c r="AM1805" s="99"/>
      <c r="AO1805" s="99"/>
      <c r="AR1805" s="6"/>
      <c r="AS1805" s="6"/>
      <c r="AT1805" s="6"/>
      <c r="AU1805" s="89"/>
      <c r="AV1805" s="100"/>
      <c r="AW1805" s="65"/>
      <c r="AX1805" s="3"/>
    </row>
    <row r="1806" spans="35:50">
      <c r="AI1806" s="99"/>
      <c r="AM1806" s="99"/>
      <c r="AO1806" s="99"/>
      <c r="AR1806" s="6"/>
      <c r="AS1806" s="6"/>
      <c r="AT1806" s="6"/>
      <c r="AU1806" s="89"/>
      <c r="AV1806" s="100"/>
      <c r="AW1806" s="65"/>
      <c r="AX1806" s="3"/>
    </row>
    <row r="1807" spans="35:50">
      <c r="AI1807" s="99"/>
      <c r="AM1807" s="99"/>
      <c r="AO1807" s="99"/>
      <c r="AR1807" s="6"/>
      <c r="AS1807" s="6"/>
      <c r="AT1807" s="6"/>
      <c r="AU1807" s="89"/>
      <c r="AV1807" s="100"/>
      <c r="AW1807" s="65"/>
      <c r="AX1807" s="3"/>
    </row>
    <row r="1808" spans="35:50">
      <c r="AI1808" s="99"/>
      <c r="AM1808" s="99"/>
      <c r="AO1808" s="99"/>
      <c r="AR1808" s="6"/>
      <c r="AS1808" s="6"/>
      <c r="AT1808" s="6"/>
      <c r="AU1808" s="89"/>
      <c r="AV1808" s="100"/>
      <c r="AW1808" s="65"/>
      <c r="AX1808" s="3"/>
    </row>
    <row r="1809" spans="35:50">
      <c r="AI1809" s="99"/>
      <c r="AM1809" s="99"/>
      <c r="AO1809" s="99"/>
      <c r="AR1809" s="6"/>
      <c r="AS1809" s="6"/>
      <c r="AT1809" s="6"/>
      <c r="AU1809" s="89"/>
      <c r="AV1809" s="100"/>
      <c r="AW1809" s="65"/>
      <c r="AX1809" s="3"/>
    </row>
    <row r="1810" spans="35:50">
      <c r="AI1810" s="99"/>
      <c r="AM1810" s="99"/>
      <c r="AO1810" s="99"/>
      <c r="AR1810" s="6"/>
      <c r="AS1810" s="6"/>
      <c r="AT1810" s="6"/>
      <c r="AU1810" s="89"/>
      <c r="AV1810" s="100"/>
      <c r="AW1810" s="65"/>
      <c r="AX1810" s="3"/>
    </row>
    <row r="1811" spans="35:50">
      <c r="AI1811" s="99"/>
      <c r="AM1811" s="99"/>
      <c r="AO1811" s="99"/>
      <c r="AR1811" s="6"/>
      <c r="AS1811" s="6"/>
      <c r="AT1811" s="6"/>
      <c r="AU1811" s="89"/>
      <c r="AV1811" s="100"/>
      <c r="AW1811" s="65"/>
      <c r="AX1811" s="3"/>
    </row>
    <row r="1812" spans="35:50">
      <c r="AI1812" s="99"/>
      <c r="AM1812" s="99"/>
      <c r="AO1812" s="99"/>
      <c r="AR1812" s="6"/>
      <c r="AS1812" s="6"/>
      <c r="AT1812" s="6"/>
      <c r="AU1812" s="89"/>
      <c r="AV1812" s="100"/>
      <c r="AW1812" s="65"/>
      <c r="AX1812" s="3"/>
    </row>
    <row r="1813" spans="35:50">
      <c r="AI1813" s="99"/>
      <c r="AM1813" s="99"/>
      <c r="AO1813" s="99"/>
      <c r="AR1813" s="6"/>
      <c r="AS1813" s="6"/>
      <c r="AT1813" s="6"/>
      <c r="AU1813" s="89"/>
      <c r="AV1813" s="100"/>
      <c r="AW1813" s="65"/>
      <c r="AX1813" s="3"/>
    </row>
    <row r="1814" spans="35:50">
      <c r="AI1814" s="99"/>
      <c r="AM1814" s="99"/>
      <c r="AO1814" s="99"/>
      <c r="AR1814" s="6"/>
      <c r="AS1814" s="6"/>
      <c r="AT1814" s="6"/>
      <c r="AU1814" s="89"/>
      <c r="AV1814" s="100"/>
      <c r="AW1814" s="65"/>
      <c r="AX1814" s="3"/>
    </row>
    <row r="1815" spans="35:50">
      <c r="AI1815" s="99"/>
      <c r="AM1815" s="99"/>
      <c r="AO1815" s="99"/>
      <c r="AR1815" s="6"/>
      <c r="AS1815" s="6"/>
      <c r="AT1815" s="6"/>
      <c r="AU1815" s="89"/>
      <c r="AV1815" s="100"/>
      <c r="AW1815" s="65"/>
      <c r="AX1815" s="3"/>
    </row>
    <row r="1816" spans="35:50">
      <c r="AI1816" s="99"/>
      <c r="AM1816" s="99"/>
      <c r="AO1816" s="99"/>
      <c r="AR1816" s="6"/>
      <c r="AS1816" s="6"/>
      <c r="AT1816" s="6"/>
      <c r="AU1816" s="89"/>
      <c r="AV1816" s="100"/>
      <c r="AW1816" s="65"/>
      <c r="AX1816" s="3"/>
    </row>
    <row r="1817" spans="35:50">
      <c r="AI1817" s="99"/>
      <c r="AM1817" s="99"/>
      <c r="AO1817" s="99"/>
      <c r="AR1817" s="6"/>
      <c r="AS1817" s="6"/>
      <c r="AT1817" s="6"/>
      <c r="AU1817" s="89"/>
      <c r="AV1817" s="100"/>
      <c r="AW1817" s="65"/>
      <c r="AX1817" s="3"/>
    </row>
    <row r="1818" spans="35:50">
      <c r="AI1818" s="99"/>
      <c r="AM1818" s="99"/>
      <c r="AO1818" s="99"/>
      <c r="AR1818" s="6"/>
      <c r="AS1818" s="6"/>
      <c r="AT1818" s="6"/>
      <c r="AU1818" s="89"/>
      <c r="AV1818" s="100"/>
      <c r="AW1818" s="65"/>
      <c r="AX1818" s="3"/>
    </row>
    <row r="1819" spans="35:50">
      <c r="AI1819" s="99"/>
      <c r="AM1819" s="99"/>
      <c r="AO1819" s="99"/>
      <c r="AR1819" s="6"/>
      <c r="AS1819" s="6"/>
      <c r="AT1819" s="6"/>
      <c r="AU1819" s="89"/>
      <c r="AV1819" s="100"/>
      <c r="AW1819" s="65"/>
      <c r="AX1819" s="3"/>
    </row>
    <row r="1820" spans="35:50">
      <c r="AI1820" s="99"/>
      <c r="AM1820" s="99"/>
      <c r="AO1820" s="99"/>
      <c r="AR1820" s="6"/>
      <c r="AS1820" s="6"/>
      <c r="AT1820" s="6"/>
      <c r="AU1820" s="89"/>
      <c r="AV1820" s="100"/>
      <c r="AW1820" s="65"/>
      <c r="AX1820" s="3"/>
    </row>
    <row r="1821" spans="35:50">
      <c r="AI1821" s="99"/>
      <c r="AM1821" s="99"/>
      <c r="AO1821" s="99"/>
      <c r="AR1821" s="6"/>
      <c r="AS1821" s="6"/>
      <c r="AT1821" s="6"/>
      <c r="AU1821" s="89"/>
      <c r="AV1821" s="100"/>
      <c r="AW1821" s="65"/>
      <c r="AX1821" s="3"/>
    </row>
    <row r="1822" spans="35:50">
      <c r="AI1822" s="99"/>
      <c r="AM1822" s="99"/>
      <c r="AO1822" s="99"/>
      <c r="AR1822" s="6"/>
      <c r="AS1822" s="6"/>
      <c r="AT1822" s="6"/>
      <c r="AU1822" s="89"/>
      <c r="AV1822" s="100"/>
      <c r="AW1822" s="65"/>
      <c r="AX1822" s="3"/>
    </row>
    <row r="1823" spans="35:50">
      <c r="AI1823" s="99"/>
      <c r="AM1823" s="99"/>
      <c r="AO1823" s="99"/>
      <c r="AR1823" s="6"/>
      <c r="AS1823" s="6"/>
      <c r="AT1823" s="6"/>
      <c r="AU1823" s="89"/>
      <c r="AV1823" s="100"/>
      <c r="AW1823" s="65"/>
      <c r="AX1823" s="3"/>
    </row>
    <row r="1824" spans="35:50">
      <c r="AI1824" s="99"/>
      <c r="AM1824" s="99"/>
      <c r="AO1824" s="99"/>
      <c r="AR1824" s="6"/>
      <c r="AS1824" s="6"/>
      <c r="AT1824" s="6"/>
      <c r="AU1824" s="89"/>
      <c r="AV1824" s="100"/>
      <c r="AW1824" s="65"/>
      <c r="AX1824" s="3"/>
    </row>
    <row r="1825" spans="35:50">
      <c r="AI1825" s="99"/>
      <c r="AM1825" s="99"/>
      <c r="AO1825" s="99"/>
      <c r="AR1825" s="6"/>
      <c r="AS1825" s="6"/>
      <c r="AT1825" s="6"/>
      <c r="AU1825" s="89"/>
      <c r="AV1825" s="100"/>
      <c r="AW1825" s="65"/>
      <c r="AX1825" s="3"/>
    </row>
    <row r="1826" spans="35:50">
      <c r="AI1826" s="99"/>
      <c r="AM1826" s="99"/>
      <c r="AO1826" s="99"/>
      <c r="AR1826" s="6"/>
      <c r="AS1826" s="6"/>
      <c r="AT1826" s="6"/>
      <c r="AU1826" s="89"/>
      <c r="AV1826" s="100"/>
      <c r="AW1826" s="65"/>
      <c r="AX1826" s="3"/>
    </row>
    <row r="1827" spans="35:50">
      <c r="AI1827" s="99"/>
      <c r="AM1827" s="99"/>
      <c r="AO1827" s="99"/>
      <c r="AR1827" s="6"/>
      <c r="AS1827" s="6"/>
      <c r="AT1827" s="6"/>
      <c r="AU1827" s="89"/>
      <c r="AV1827" s="100"/>
      <c r="AW1827" s="65"/>
      <c r="AX1827" s="3"/>
    </row>
    <row r="1828" spans="35:50">
      <c r="AI1828" s="99"/>
      <c r="AM1828" s="99"/>
      <c r="AO1828" s="99"/>
      <c r="AR1828" s="6"/>
      <c r="AS1828" s="6"/>
      <c r="AT1828" s="6"/>
      <c r="AU1828" s="89"/>
      <c r="AV1828" s="100"/>
      <c r="AW1828" s="65"/>
      <c r="AX1828" s="3"/>
    </row>
    <row r="1829" spans="35:50">
      <c r="AI1829" s="99"/>
      <c r="AM1829" s="99"/>
      <c r="AO1829" s="99"/>
      <c r="AR1829" s="6"/>
      <c r="AS1829" s="6"/>
      <c r="AT1829" s="6"/>
      <c r="AU1829" s="89"/>
      <c r="AV1829" s="100"/>
      <c r="AW1829" s="65"/>
      <c r="AX1829" s="3"/>
    </row>
    <row r="1830" spans="35:50">
      <c r="AI1830" s="99"/>
      <c r="AM1830" s="99"/>
      <c r="AO1830" s="99"/>
      <c r="AR1830" s="6"/>
      <c r="AS1830" s="6"/>
      <c r="AT1830" s="6"/>
      <c r="AU1830" s="89"/>
      <c r="AV1830" s="100"/>
      <c r="AW1830" s="65"/>
      <c r="AX1830" s="3"/>
    </row>
    <row r="1831" spans="35:50">
      <c r="AI1831" s="99"/>
      <c r="AM1831" s="99"/>
      <c r="AO1831" s="99"/>
      <c r="AR1831" s="6"/>
      <c r="AS1831" s="6"/>
      <c r="AT1831" s="6"/>
      <c r="AU1831" s="89"/>
      <c r="AV1831" s="100"/>
      <c r="AW1831" s="65"/>
      <c r="AX1831" s="3"/>
    </row>
    <row r="1832" spans="35:50">
      <c r="AI1832" s="99"/>
      <c r="AM1832" s="99"/>
      <c r="AO1832" s="99"/>
      <c r="AR1832" s="6"/>
      <c r="AS1832" s="6"/>
      <c r="AT1832" s="6"/>
      <c r="AU1832" s="89"/>
      <c r="AV1832" s="100"/>
      <c r="AW1832" s="65"/>
      <c r="AX1832" s="3"/>
    </row>
    <row r="1833" spans="35:50">
      <c r="AI1833" s="99"/>
      <c r="AM1833" s="99"/>
      <c r="AO1833" s="99"/>
      <c r="AR1833" s="6"/>
      <c r="AS1833" s="6"/>
      <c r="AT1833" s="6"/>
      <c r="AU1833" s="89"/>
      <c r="AV1833" s="100"/>
      <c r="AW1833" s="65"/>
      <c r="AX1833" s="3"/>
    </row>
    <row r="1834" spans="35:50">
      <c r="AI1834" s="99"/>
      <c r="AM1834" s="99"/>
      <c r="AO1834" s="99"/>
      <c r="AR1834" s="6"/>
      <c r="AS1834" s="6"/>
      <c r="AT1834" s="6"/>
      <c r="AU1834" s="89"/>
      <c r="AV1834" s="100"/>
      <c r="AW1834" s="65"/>
      <c r="AX1834" s="3"/>
    </row>
    <row r="1835" spans="35:50">
      <c r="AI1835" s="99"/>
      <c r="AM1835" s="99"/>
      <c r="AO1835" s="99"/>
      <c r="AR1835" s="6"/>
      <c r="AS1835" s="6"/>
      <c r="AT1835" s="6"/>
      <c r="AU1835" s="89"/>
      <c r="AV1835" s="100"/>
      <c r="AW1835" s="65"/>
      <c r="AX1835" s="3"/>
    </row>
    <row r="1836" spans="35:50">
      <c r="AI1836" s="99"/>
      <c r="AM1836" s="99"/>
      <c r="AO1836" s="99"/>
      <c r="AR1836" s="6"/>
      <c r="AS1836" s="6"/>
      <c r="AT1836" s="6"/>
      <c r="AU1836" s="89"/>
      <c r="AV1836" s="100"/>
      <c r="AW1836" s="65"/>
      <c r="AX1836" s="3"/>
    </row>
    <row r="1837" spans="35:50">
      <c r="AI1837" s="99"/>
      <c r="AM1837" s="99"/>
      <c r="AO1837" s="99"/>
      <c r="AR1837" s="6"/>
      <c r="AS1837" s="6"/>
      <c r="AT1837" s="6"/>
      <c r="AU1837" s="89"/>
      <c r="AV1837" s="100"/>
      <c r="AW1837" s="65"/>
      <c r="AX1837" s="3"/>
    </row>
    <row r="1838" spans="35:50">
      <c r="AI1838" s="99"/>
      <c r="AM1838" s="99"/>
      <c r="AO1838" s="99"/>
      <c r="AR1838" s="6"/>
      <c r="AS1838" s="6"/>
      <c r="AT1838" s="6"/>
      <c r="AU1838" s="89"/>
      <c r="AV1838" s="100"/>
      <c r="AW1838" s="65"/>
      <c r="AX1838" s="3"/>
    </row>
    <row r="1839" spans="35:50">
      <c r="AI1839" s="99"/>
      <c r="AM1839" s="99"/>
      <c r="AO1839" s="99"/>
      <c r="AR1839" s="6"/>
      <c r="AS1839" s="6"/>
      <c r="AT1839" s="6"/>
      <c r="AU1839" s="89"/>
      <c r="AV1839" s="100"/>
      <c r="AW1839" s="65"/>
      <c r="AX1839" s="3"/>
    </row>
    <row r="1840" spans="35:50">
      <c r="AI1840" s="99"/>
      <c r="AM1840" s="99"/>
      <c r="AO1840" s="99"/>
      <c r="AR1840" s="6"/>
      <c r="AS1840" s="6"/>
      <c r="AT1840" s="6"/>
      <c r="AU1840" s="89"/>
      <c r="AV1840" s="100"/>
      <c r="AW1840" s="65"/>
      <c r="AX1840" s="3"/>
    </row>
    <row r="1841" spans="35:50">
      <c r="AI1841" s="99"/>
      <c r="AM1841" s="99"/>
      <c r="AO1841" s="99"/>
      <c r="AR1841" s="6"/>
      <c r="AS1841" s="6"/>
      <c r="AT1841" s="6"/>
      <c r="AU1841" s="89"/>
      <c r="AV1841" s="100"/>
      <c r="AW1841" s="65"/>
      <c r="AX1841" s="3"/>
    </row>
    <row r="1842" spans="35:50">
      <c r="AI1842" s="99"/>
      <c r="AM1842" s="99"/>
      <c r="AO1842" s="99"/>
      <c r="AR1842" s="6"/>
      <c r="AS1842" s="6"/>
      <c r="AT1842" s="6"/>
      <c r="AU1842" s="89"/>
      <c r="AV1842" s="100"/>
      <c r="AW1842" s="65"/>
      <c r="AX1842" s="3"/>
    </row>
    <row r="1843" spans="35:50">
      <c r="AI1843" s="99"/>
      <c r="AM1843" s="99"/>
      <c r="AO1843" s="99"/>
      <c r="AR1843" s="6"/>
      <c r="AS1843" s="6"/>
      <c r="AT1843" s="6"/>
      <c r="AU1843" s="89"/>
      <c r="AV1843" s="100"/>
      <c r="AW1843" s="65"/>
      <c r="AX1843" s="3"/>
    </row>
    <row r="1844" spans="35:50">
      <c r="AI1844" s="99"/>
      <c r="AM1844" s="99"/>
      <c r="AO1844" s="99"/>
      <c r="AR1844" s="6"/>
      <c r="AS1844" s="6"/>
      <c r="AT1844" s="6"/>
      <c r="AU1844" s="89"/>
      <c r="AV1844" s="100"/>
      <c r="AW1844" s="65"/>
      <c r="AX1844" s="3"/>
    </row>
    <row r="1845" spans="35:50">
      <c r="AI1845" s="99"/>
      <c r="AM1845" s="99"/>
      <c r="AO1845" s="99"/>
      <c r="AR1845" s="6"/>
      <c r="AS1845" s="6"/>
      <c r="AT1845" s="6"/>
      <c r="AU1845" s="89"/>
      <c r="AV1845" s="100"/>
      <c r="AW1845" s="65"/>
      <c r="AX1845" s="3"/>
    </row>
    <row r="1846" spans="35:50">
      <c r="AI1846" s="99"/>
      <c r="AM1846" s="99"/>
      <c r="AO1846" s="99"/>
      <c r="AR1846" s="6"/>
      <c r="AS1846" s="6"/>
      <c r="AT1846" s="6"/>
      <c r="AU1846" s="89"/>
      <c r="AV1846" s="100"/>
      <c r="AW1846" s="65"/>
      <c r="AX1846" s="3"/>
    </row>
    <row r="1847" spans="35:50">
      <c r="AI1847" s="99"/>
      <c r="AM1847" s="99"/>
      <c r="AO1847" s="99"/>
      <c r="AR1847" s="6"/>
      <c r="AS1847" s="6"/>
      <c r="AT1847" s="6"/>
      <c r="AU1847" s="89"/>
      <c r="AV1847" s="100"/>
      <c r="AW1847" s="65"/>
      <c r="AX1847" s="3"/>
    </row>
    <row r="1848" spans="35:50">
      <c r="AI1848" s="99"/>
      <c r="AM1848" s="99"/>
      <c r="AO1848" s="99"/>
      <c r="AR1848" s="6"/>
      <c r="AS1848" s="6"/>
      <c r="AT1848" s="6"/>
      <c r="AU1848" s="89"/>
      <c r="AV1848" s="100"/>
      <c r="AW1848" s="65"/>
      <c r="AX1848" s="3"/>
    </row>
    <row r="1849" spans="35:50">
      <c r="AI1849" s="99"/>
      <c r="AM1849" s="99"/>
      <c r="AO1849" s="99"/>
      <c r="AR1849" s="6"/>
      <c r="AS1849" s="6"/>
      <c r="AT1849" s="6"/>
      <c r="AU1849" s="89"/>
      <c r="AV1849" s="100"/>
      <c r="AW1849" s="65"/>
      <c r="AX1849" s="3"/>
    </row>
    <row r="1850" spans="35:50">
      <c r="AI1850" s="99"/>
      <c r="AM1850" s="99"/>
      <c r="AO1850" s="99"/>
      <c r="AR1850" s="6"/>
      <c r="AS1850" s="6"/>
      <c r="AT1850" s="6"/>
      <c r="AU1850" s="89"/>
      <c r="AV1850" s="100"/>
      <c r="AW1850" s="65"/>
      <c r="AX1850" s="3"/>
    </row>
    <row r="1851" spans="35:50">
      <c r="AI1851" s="99"/>
      <c r="AM1851" s="99"/>
      <c r="AO1851" s="99"/>
      <c r="AR1851" s="6"/>
      <c r="AS1851" s="6"/>
      <c r="AT1851" s="6"/>
      <c r="AU1851" s="89"/>
      <c r="AV1851" s="100"/>
      <c r="AW1851" s="65"/>
      <c r="AX1851" s="3"/>
    </row>
    <row r="1852" spans="35:50">
      <c r="AI1852" s="99"/>
      <c r="AM1852" s="99"/>
      <c r="AO1852" s="99"/>
      <c r="AR1852" s="6"/>
      <c r="AS1852" s="6"/>
      <c r="AT1852" s="6"/>
      <c r="AU1852" s="89"/>
      <c r="AV1852" s="100"/>
      <c r="AW1852" s="65"/>
      <c r="AX1852" s="3"/>
    </row>
    <row r="1853" spans="35:50">
      <c r="AI1853" s="99"/>
      <c r="AM1853" s="99"/>
      <c r="AO1853" s="99"/>
      <c r="AR1853" s="6"/>
      <c r="AS1853" s="6"/>
      <c r="AT1853" s="6"/>
      <c r="AU1853" s="89"/>
      <c r="AV1853" s="100"/>
      <c r="AW1853" s="65"/>
      <c r="AX1853" s="3"/>
    </row>
    <row r="1854" spans="35:50">
      <c r="AI1854" s="99"/>
      <c r="AM1854" s="99"/>
      <c r="AO1854" s="99"/>
      <c r="AR1854" s="6"/>
      <c r="AS1854" s="6"/>
      <c r="AT1854" s="6"/>
      <c r="AU1854" s="89"/>
      <c r="AV1854" s="100"/>
      <c r="AW1854" s="65"/>
      <c r="AX1854" s="3"/>
    </row>
    <row r="1855" spans="35:50">
      <c r="AI1855" s="99"/>
      <c r="AM1855" s="99"/>
      <c r="AO1855" s="99"/>
      <c r="AR1855" s="6"/>
      <c r="AS1855" s="6"/>
      <c r="AT1855" s="6"/>
      <c r="AU1855" s="89"/>
      <c r="AV1855" s="100"/>
      <c r="AW1855" s="65"/>
      <c r="AX1855" s="3"/>
    </row>
    <row r="1856" spans="35:50">
      <c r="AI1856" s="99"/>
      <c r="AM1856" s="99"/>
      <c r="AO1856" s="99"/>
      <c r="AR1856" s="6"/>
      <c r="AS1856" s="6"/>
      <c r="AT1856" s="6"/>
      <c r="AU1856" s="89"/>
      <c r="AV1856" s="100"/>
      <c r="AW1856" s="65"/>
      <c r="AX1856" s="3"/>
    </row>
    <row r="1857" spans="35:50">
      <c r="AI1857" s="99"/>
      <c r="AM1857" s="99"/>
      <c r="AO1857" s="99"/>
      <c r="AR1857" s="6"/>
      <c r="AS1857" s="6"/>
      <c r="AT1857" s="6"/>
      <c r="AU1857" s="89"/>
      <c r="AV1857" s="100"/>
      <c r="AW1857" s="65"/>
      <c r="AX1857" s="3"/>
    </row>
    <row r="1858" spans="35:50">
      <c r="AI1858" s="99"/>
      <c r="AM1858" s="99"/>
      <c r="AO1858" s="99"/>
      <c r="AR1858" s="6"/>
      <c r="AS1858" s="6"/>
      <c r="AT1858" s="6"/>
      <c r="AU1858" s="89"/>
      <c r="AV1858" s="100"/>
      <c r="AW1858" s="65"/>
      <c r="AX1858" s="3"/>
    </row>
    <row r="1859" spans="35:50">
      <c r="AI1859" s="99"/>
      <c r="AM1859" s="99"/>
      <c r="AO1859" s="99"/>
      <c r="AR1859" s="6"/>
      <c r="AS1859" s="6"/>
      <c r="AT1859" s="6"/>
      <c r="AU1859" s="89"/>
      <c r="AV1859" s="100"/>
      <c r="AW1859" s="65"/>
      <c r="AX1859" s="3"/>
    </row>
    <row r="1860" spans="35:50">
      <c r="AI1860" s="99"/>
      <c r="AM1860" s="99"/>
      <c r="AO1860" s="99"/>
      <c r="AR1860" s="6"/>
      <c r="AS1860" s="6"/>
      <c r="AT1860" s="6"/>
      <c r="AU1860" s="89"/>
      <c r="AV1860" s="100"/>
      <c r="AW1860" s="65"/>
      <c r="AX1860" s="3"/>
    </row>
    <row r="1861" spans="35:50">
      <c r="AI1861" s="99"/>
      <c r="AM1861" s="99"/>
      <c r="AO1861" s="99"/>
      <c r="AR1861" s="6"/>
      <c r="AS1861" s="6"/>
      <c r="AT1861" s="6"/>
      <c r="AU1861" s="89"/>
      <c r="AV1861" s="100"/>
      <c r="AW1861" s="65"/>
      <c r="AX1861" s="3"/>
    </row>
    <row r="1862" spans="35:50">
      <c r="AI1862" s="99"/>
      <c r="AM1862" s="99"/>
      <c r="AO1862" s="99"/>
      <c r="AR1862" s="6"/>
      <c r="AS1862" s="6"/>
      <c r="AT1862" s="6"/>
      <c r="AU1862" s="89"/>
      <c r="AV1862" s="100"/>
      <c r="AW1862" s="65"/>
      <c r="AX1862" s="3"/>
    </row>
    <row r="1863" spans="35:50">
      <c r="AI1863" s="99"/>
      <c r="AM1863" s="99"/>
      <c r="AO1863" s="99"/>
      <c r="AR1863" s="6"/>
      <c r="AS1863" s="6"/>
      <c r="AT1863" s="6"/>
      <c r="AU1863" s="89"/>
      <c r="AV1863" s="100"/>
      <c r="AW1863" s="65"/>
      <c r="AX1863" s="3"/>
    </row>
    <row r="1864" spans="35:50">
      <c r="AI1864" s="99"/>
      <c r="AM1864" s="99"/>
      <c r="AO1864" s="99"/>
      <c r="AR1864" s="6"/>
      <c r="AS1864" s="6"/>
      <c r="AT1864" s="6"/>
      <c r="AU1864" s="89"/>
      <c r="AV1864" s="100"/>
      <c r="AW1864" s="65"/>
      <c r="AX1864" s="3"/>
    </row>
    <row r="1865" spans="35:50">
      <c r="AI1865" s="99"/>
      <c r="AM1865" s="99"/>
      <c r="AO1865" s="99"/>
      <c r="AR1865" s="6"/>
      <c r="AS1865" s="6"/>
      <c r="AT1865" s="6"/>
      <c r="AU1865" s="89"/>
      <c r="AV1865" s="100"/>
      <c r="AW1865" s="65"/>
      <c r="AX1865" s="3"/>
    </row>
    <row r="1866" spans="35:50">
      <c r="AI1866" s="99"/>
      <c r="AM1866" s="99"/>
      <c r="AO1866" s="99"/>
      <c r="AR1866" s="6"/>
      <c r="AS1866" s="6"/>
      <c r="AT1866" s="6"/>
      <c r="AU1866" s="89"/>
      <c r="AV1866" s="100"/>
      <c r="AW1866" s="65"/>
      <c r="AX1866" s="3"/>
    </row>
    <row r="1867" spans="35:50">
      <c r="AI1867" s="99"/>
      <c r="AM1867" s="99"/>
      <c r="AO1867" s="99"/>
      <c r="AR1867" s="6"/>
      <c r="AS1867" s="6"/>
      <c r="AT1867" s="6"/>
      <c r="AU1867" s="89"/>
      <c r="AV1867" s="100"/>
      <c r="AW1867" s="65"/>
      <c r="AX1867" s="3"/>
    </row>
    <row r="1868" spans="35:50">
      <c r="AI1868" s="99"/>
      <c r="AM1868" s="99"/>
      <c r="AO1868" s="99"/>
      <c r="AR1868" s="6"/>
      <c r="AS1868" s="6"/>
      <c r="AT1868" s="6"/>
      <c r="AU1868" s="89"/>
      <c r="AV1868" s="100"/>
      <c r="AW1868" s="65"/>
      <c r="AX1868" s="3"/>
    </row>
    <row r="1869" spans="35:50">
      <c r="AI1869" s="99"/>
      <c r="AM1869" s="99"/>
      <c r="AO1869" s="99"/>
      <c r="AR1869" s="6"/>
      <c r="AS1869" s="6"/>
      <c r="AT1869" s="6"/>
      <c r="AU1869" s="89"/>
      <c r="AV1869" s="100"/>
      <c r="AW1869" s="65"/>
      <c r="AX1869" s="3"/>
    </row>
    <row r="1870" spans="35:50">
      <c r="AI1870" s="99"/>
      <c r="AM1870" s="99"/>
      <c r="AO1870" s="99"/>
      <c r="AR1870" s="6"/>
      <c r="AS1870" s="6"/>
      <c r="AT1870" s="6"/>
      <c r="AU1870" s="89"/>
      <c r="AV1870" s="100"/>
      <c r="AW1870" s="65"/>
      <c r="AX1870" s="3"/>
    </row>
    <row r="1871" spans="35:50">
      <c r="AI1871" s="99"/>
      <c r="AM1871" s="99"/>
      <c r="AO1871" s="99"/>
      <c r="AR1871" s="6"/>
      <c r="AS1871" s="6"/>
      <c r="AT1871" s="6"/>
      <c r="AU1871" s="89"/>
      <c r="AV1871" s="100"/>
      <c r="AW1871" s="65"/>
      <c r="AX1871" s="3"/>
    </row>
    <row r="1872" spans="35:50">
      <c r="AI1872" s="99"/>
      <c r="AM1872" s="99"/>
      <c r="AO1872" s="99"/>
      <c r="AR1872" s="6"/>
      <c r="AS1872" s="6"/>
      <c r="AT1872" s="6"/>
      <c r="AU1872" s="89"/>
      <c r="AV1872" s="100"/>
      <c r="AW1872" s="65"/>
      <c r="AX1872" s="3"/>
    </row>
    <row r="1873" spans="35:50">
      <c r="AI1873" s="99"/>
      <c r="AM1873" s="99"/>
      <c r="AO1873" s="99"/>
      <c r="AR1873" s="6"/>
      <c r="AS1873" s="6"/>
      <c r="AT1873" s="6"/>
      <c r="AU1873" s="89"/>
      <c r="AV1873" s="100"/>
      <c r="AW1873" s="65"/>
      <c r="AX1873" s="3"/>
    </row>
    <row r="1874" spans="35:50">
      <c r="AI1874" s="99"/>
      <c r="AM1874" s="99"/>
      <c r="AO1874" s="99"/>
      <c r="AR1874" s="6"/>
      <c r="AS1874" s="6"/>
      <c r="AT1874" s="6"/>
      <c r="AU1874" s="89"/>
      <c r="AV1874" s="100"/>
      <c r="AW1874" s="65"/>
      <c r="AX1874" s="3"/>
    </row>
    <row r="1875" spans="35:50">
      <c r="AI1875" s="99"/>
      <c r="AM1875" s="99"/>
      <c r="AO1875" s="99"/>
      <c r="AR1875" s="6"/>
      <c r="AS1875" s="6"/>
      <c r="AT1875" s="6"/>
      <c r="AU1875" s="89"/>
      <c r="AV1875" s="100"/>
      <c r="AW1875" s="65"/>
      <c r="AX1875" s="3"/>
    </row>
    <row r="1876" spans="35:50">
      <c r="AI1876" s="99"/>
      <c r="AM1876" s="99"/>
      <c r="AO1876" s="99"/>
      <c r="AR1876" s="6"/>
      <c r="AS1876" s="6"/>
      <c r="AT1876" s="6"/>
      <c r="AU1876" s="89"/>
      <c r="AV1876" s="100"/>
      <c r="AW1876" s="65"/>
      <c r="AX1876" s="3"/>
    </row>
    <row r="1877" spans="35:50">
      <c r="AI1877" s="99"/>
      <c r="AM1877" s="99"/>
      <c r="AO1877" s="99"/>
      <c r="AR1877" s="6"/>
      <c r="AS1877" s="6"/>
      <c r="AT1877" s="6"/>
      <c r="AU1877" s="89"/>
      <c r="AV1877" s="100"/>
      <c r="AW1877" s="65"/>
      <c r="AX1877" s="3"/>
    </row>
    <row r="1878" spans="35:50">
      <c r="AI1878" s="99"/>
      <c r="AM1878" s="99"/>
      <c r="AO1878" s="99"/>
      <c r="AR1878" s="6"/>
      <c r="AS1878" s="6"/>
      <c r="AT1878" s="6"/>
      <c r="AU1878" s="89"/>
      <c r="AV1878" s="100"/>
      <c r="AW1878" s="65"/>
      <c r="AX1878" s="3"/>
    </row>
    <row r="1879" spans="35:50">
      <c r="AI1879" s="99"/>
      <c r="AM1879" s="99"/>
      <c r="AO1879" s="99"/>
      <c r="AR1879" s="6"/>
      <c r="AS1879" s="6"/>
      <c r="AT1879" s="6"/>
      <c r="AU1879" s="89"/>
      <c r="AV1879" s="100"/>
      <c r="AW1879" s="65"/>
      <c r="AX1879" s="3"/>
    </row>
    <row r="1880" spans="35:50">
      <c r="AI1880" s="99"/>
      <c r="AM1880" s="99"/>
      <c r="AO1880" s="99"/>
      <c r="AR1880" s="6"/>
      <c r="AS1880" s="6"/>
      <c r="AT1880" s="6"/>
      <c r="AU1880" s="89"/>
      <c r="AV1880" s="100"/>
      <c r="AW1880" s="65"/>
      <c r="AX1880" s="3"/>
    </row>
    <row r="1881" spans="35:50">
      <c r="AI1881" s="99"/>
      <c r="AM1881" s="99"/>
      <c r="AO1881" s="99"/>
      <c r="AR1881" s="6"/>
      <c r="AS1881" s="6"/>
      <c r="AT1881" s="6"/>
      <c r="AU1881" s="89"/>
      <c r="AV1881" s="100"/>
      <c r="AW1881" s="65"/>
      <c r="AX1881" s="3"/>
    </row>
    <row r="1882" spans="35:50">
      <c r="AI1882" s="99"/>
      <c r="AM1882" s="99"/>
      <c r="AO1882" s="99"/>
      <c r="AR1882" s="6"/>
      <c r="AS1882" s="6"/>
      <c r="AT1882" s="6"/>
      <c r="AU1882" s="89"/>
      <c r="AV1882" s="100"/>
      <c r="AW1882" s="65"/>
      <c r="AX1882" s="3"/>
    </row>
    <row r="1883" spans="35:50">
      <c r="AI1883" s="99"/>
      <c r="AM1883" s="99"/>
      <c r="AO1883" s="99"/>
      <c r="AR1883" s="6"/>
      <c r="AS1883" s="6"/>
      <c r="AT1883" s="6"/>
      <c r="AU1883" s="89"/>
      <c r="AV1883" s="100"/>
      <c r="AW1883" s="65"/>
      <c r="AX1883" s="3"/>
    </row>
    <row r="1884" spans="35:50">
      <c r="AI1884" s="99"/>
      <c r="AM1884" s="99"/>
      <c r="AO1884" s="99"/>
      <c r="AR1884" s="6"/>
      <c r="AS1884" s="6"/>
      <c r="AT1884" s="6"/>
      <c r="AU1884" s="89"/>
      <c r="AV1884" s="100"/>
      <c r="AW1884" s="65"/>
      <c r="AX1884" s="3"/>
    </row>
    <row r="1885" spans="35:50">
      <c r="AI1885" s="99"/>
      <c r="AM1885" s="99"/>
      <c r="AO1885" s="99"/>
      <c r="AR1885" s="6"/>
      <c r="AS1885" s="6"/>
      <c r="AT1885" s="6"/>
      <c r="AU1885" s="89"/>
      <c r="AV1885" s="100"/>
      <c r="AW1885" s="65"/>
      <c r="AX1885" s="3"/>
    </row>
    <row r="1886" spans="35:50">
      <c r="AI1886" s="99"/>
      <c r="AM1886" s="99"/>
      <c r="AO1886" s="99"/>
      <c r="AR1886" s="6"/>
      <c r="AS1886" s="6"/>
      <c r="AT1886" s="6"/>
      <c r="AU1886" s="89"/>
      <c r="AV1886" s="100"/>
      <c r="AW1886" s="65"/>
      <c r="AX1886" s="3"/>
    </row>
    <row r="1887" spans="35:50">
      <c r="AI1887" s="99"/>
      <c r="AM1887" s="99"/>
      <c r="AO1887" s="99"/>
      <c r="AR1887" s="6"/>
      <c r="AS1887" s="6"/>
      <c r="AT1887" s="6"/>
      <c r="AU1887" s="89"/>
      <c r="AV1887" s="100"/>
      <c r="AW1887" s="65"/>
      <c r="AX1887" s="3"/>
    </row>
    <row r="1888" spans="35:50">
      <c r="AI1888" s="99"/>
      <c r="AM1888" s="99"/>
      <c r="AO1888" s="99"/>
      <c r="AR1888" s="6"/>
      <c r="AS1888" s="6"/>
      <c r="AT1888" s="6"/>
      <c r="AU1888" s="89"/>
      <c r="AV1888" s="100"/>
      <c r="AW1888" s="65"/>
      <c r="AX1888" s="3"/>
    </row>
    <row r="1889" spans="35:50">
      <c r="AI1889" s="99"/>
      <c r="AM1889" s="99"/>
      <c r="AO1889" s="99"/>
      <c r="AR1889" s="6"/>
      <c r="AS1889" s="6"/>
      <c r="AT1889" s="6"/>
      <c r="AU1889" s="89"/>
      <c r="AV1889" s="100"/>
      <c r="AW1889" s="65"/>
      <c r="AX1889" s="3"/>
    </row>
    <row r="1890" spans="35:50">
      <c r="AI1890" s="99"/>
      <c r="AM1890" s="99"/>
      <c r="AO1890" s="99"/>
      <c r="AR1890" s="6"/>
      <c r="AS1890" s="6"/>
      <c r="AT1890" s="6"/>
      <c r="AU1890" s="89"/>
      <c r="AV1890" s="100"/>
      <c r="AW1890" s="65"/>
      <c r="AX1890" s="3"/>
    </row>
    <row r="1891" spans="35:50">
      <c r="AI1891" s="99"/>
      <c r="AM1891" s="99"/>
      <c r="AO1891" s="99"/>
      <c r="AR1891" s="6"/>
      <c r="AS1891" s="6"/>
      <c r="AT1891" s="6"/>
      <c r="AU1891" s="89"/>
      <c r="AV1891" s="100"/>
      <c r="AW1891" s="65"/>
      <c r="AX1891" s="3"/>
    </row>
    <row r="1892" spans="35:50">
      <c r="AI1892" s="99"/>
      <c r="AM1892" s="99"/>
      <c r="AO1892" s="99"/>
      <c r="AR1892" s="6"/>
      <c r="AS1892" s="6"/>
      <c r="AT1892" s="6"/>
      <c r="AU1892" s="89"/>
      <c r="AV1892" s="100"/>
      <c r="AW1892" s="65"/>
      <c r="AX1892" s="3"/>
    </row>
    <row r="1893" spans="35:50">
      <c r="AI1893" s="99"/>
      <c r="AM1893" s="99"/>
      <c r="AO1893" s="99"/>
      <c r="AR1893" s="6"/>
      <c r="AS1893" s="6"/>
      <c r="AT1893" s="6"/>
      <c r="AU1893" s="89"/>
      <c r="AV1893" s="100"/>
      <c r="AW1893" s="65"/>
      <c r="AX1893" s="3"/>
    </row>
    <row r="1894" spans="35:50">
      <c r="AI1894" s="99"/>
      <c r="AM1894" s="99"/>
      <c r="AO1894" s="99"/>
      <c r="AR1894" s="6"/>
      <c r="AS1894" s="6"/>
      <c r="AT1894" s="6"/>
      <c r="AU1894" s="89"/>
      <c r="AV1894" s="100"/>
      <c r="AW1894" s="65"/>
      <c r="AX1894" s="3"/>
    </row>
    <row r="1895" spans="35:50">
      <c r="AI1895" s="99"/>
      <c r="AM1895" s="99"/>
      <c r="AO1895" s="99"/>
      <c r="AR1895" s="6"/>
      <c r="AS1895" s="6"/>
      <c r="AT1895" s="6"/>
      <c r="AU1895" s="89"/>
      <c r="AV1895" s="100"/>
      <c r="AW1895" s="65"/>
      <c r="AX1895" s="3"/>
    </row>
    <row r="1896" spans="35:50">
      <c r="AI1896" s="99"/>
      <c r="AM1896" s="99"/>
      <c r="AO1896" s="99"/>
      <c r="AR1896" s="6"/>
      <c r="AS1896" s="6"/>
      <c r="AT1896" s="6"/>
      <c r="AU1896" s="89"/>
      <c r="AV1896" s="100"/>
      <c r="AW1896" s="65"/>
      <c r="AX1896" s="3"/>
    </row>
    <row r="1897" spans="35:50">
      <c r="AI1897" s="99"/>
      <c r="AM1897" s="99"/>
      <c r="AO1897" s="99"/>
      <c r="AR1897" s="6"/>
      <c r="AS1897" s="6"/>
      <c r="AT1897" s="6"/>
      <c r="AU1897" s="89"/>
      <c r="AV1897" s="100"/>
      <c r="AW1897" s="65"/>
      <c r="AX1897" s="3"/>
    </row>
    <row r="1898" spans="35:50">
      <c r="AI1898" s="99"/>
      <c r="AM1898" s="99"/>
      <c r="AO1898" s="99"/>
      <c r="AR1898" s="6"/>
      <c r="AS1898" s="6"/>
      <c r="AT1898" s="6"/>
      <c r="AU1898" s="89"/>
      <c r="AV1898" s="100"/>
      <c r="AW1898" s="65"/>
      <c r="AX1898" s="3"/>
    </row>
    <row r="1899" spans="35:50">
      <c r="AI1899" s="99"/>
      <c r="AM1899" s="99"/>
      <c r="AO1899" s="99"/>
      <c r="AR1899" s="6"/>
      <c r="AS1899" s="6"/>
      <c r="AT1899" s="6"/>
      <c r="AU1899" s="89"/>
      <c r="AV1899" s="100"/>
      <c r="AW1899" s="65"/>
      <c r="AX1899" s="3"/>
    </row>
    <row r="1900" spans="35:50">
      <c r="AI1900" s="99"/>
      <c r="AM1900" s="99"/>
      <c r="AO1900" s="99"/>
      <c r="AR1900" s="6"/>
      <c r="AS1900" s="6"/>
      <c r="AT1900" s="6"/>
      <c r="AU1900" s="89"/>
      <c r="AV1900" s="100"/>
      <c r="AW1900" s="65"/>
      <c r="AX1900" s="3"/>
    </row>
    <row r="1901" spans="35:50">
      <c r="AI1901" s="99"/>
      <c r="AM1901" s="99"/>
      <c r="AO1901" s="99"/>
      <c r="AR1901" s="6"/>
      <c r="AS1901" s="6"/>
      <c r="AT1901" s="6"/>
      <c r="AU1901" s="89"/>
      <c r="AV1901" s="100"/>
      <c r="AW1901" s="65"/>
      <c r="AX1901" s="3"/>
    </row>
    <row r="1902" spans="35:50">
      <c r="AI1902" s="99"/>
      <c r="AM1902" s="99"/>
      <c r="AO1902" s="99"/>
      <c r="AR1902" s="6"/>
      <c r="AS1902" s="6"/>
      <c r="AT1902" s="6"/>
      <c r="AU1902" s="89"/>
      <c r="AV1902" s="100"/>
      <c r="AW1902" s="65"/>
      <c r="AX1902" s="3"/>
    </row>
    <row r="1903" spans="35:50">
      <c r="AI1903" s="99"/>
      <c r="AM1903" s="99"/>
      <c r="AO1903" s="99"/>
      <c r="AR1903" s="6"/>
      <c r="AS1903" s="6"/>
      <c r="AT1903" s="6"/>
      <c r="AU1903" s="89"/>
      <c r="AV1903" s="100"/>
      <c r="AW1903" s="65"/>
      <c r="AX1903" s="3"/>
    </row>
    <row r="1904" spans="35:50">
      <c r="AI1904" s="99"/>
      <c r="AM1904" s="99"/>
      <c r="AO1904" s="99"/>
      <c r="AR1904" s="6"/>
      <c r="AS1904" s="6"/>
      <c r="AT1904" s="6"/>
      <c r="AU1904" s="89"/>
      <c r="AV1904" s="100"/>
      <c r="AW1904" s="65"/>
      <c r="AX1904" s="3"/>
    </row>
    <row r="1905" spans="35:50">
      <c r="AI1905" s="99"/>
      <c r="AM1905" s="99"/>
      <c r="AO1905" s="99"/>
      <c r="AR1905" s="6"/>
      <c r="AS1905" s="6"/>
      <c r="AT1905" s="6"/>
      <c r="AU1905" s="89"/>
      <c r="AV1905" s="100"/>
      <c r="AW1905" s="65"/>
      <c r="AX1905" s="3"/>
    </row>
    <row r="1906" spans="35:50">
      <c r="AI1906" s="99"/>
      <c r="AM1906" s="99"/>
      <c r="AO1906" s="99"/>
      <c r="AR1906" s="6"/>
      <c r="AS1906" s="6"/>
      <c r="AT1906" s="6"/>
      <c r="AU1906" s="89"/>
      <c r="AV1906" s="100"/>
      <c r="AW1906" s="65"/>
      <c r="AX1906" s="3"/>
    </row>
    <row r="1907" spans="35:50">
      <c r="AI1907" s="99"/>
      <c r="AM1907" s="99"/>
      <c r="AO1907" s="99"/>
      <c r="AR1907" s="6"/>
      <c r="AS1907" s="6"/>
      <c r="AT1907" s="6"/>
      <c r="AU1907" s="89"/>
      <c r="AV1907" s="100"/>
      <c r="AW1907" s="65"/>
      <c r="AX1907" s="3"/>
    </row>
    <row r="1908" spans="35:50">
      <c r="AI1908" s="99"/>
      <c r="AM1908" s="99"/>
      <c r="AO1908" s="99"/>
      <c r="AR1908" s="6"/>
      <c r="AS1908" s="6"/>
      <c r="AT1908" s="6"/>
      <c r="AU1908" s="89"/>
      <c r="AV1908" s="100"/>
      <c r="AW1908" s="65"/>
      <c r="AX1908" s="3"/>
    </row>
    <row r="1909" spans="35:50">
      <c r="AI1909" s="99"/>
      <c r="AM1909" s="99"/>
      <c r="AO1909" s="99"/>
      <c r="AR1909" s="6"/>
      <c r="AS1909" s="6"/>
      <c r="AT1909" s="6"/>
      <c r="AU1909" s="89"/>
      <c r="AV1909" s="100"/>
      <c r="AW1909" s="65"/>
      <c r="AX1909" s="3"/>
    </row>
    <row r="1910" spans="35:50">
      <c r="AI1910" s="99"/>
      <c r="AM1910" s="99"/>
      <c r="AO1910" s="99"/>
      <c r="AR1910" s="6"/>
      <c r="AS1910" s="6"/>
      <c r="AT1910" s="6"/>
      <c r="AU1910" s="89"/>
      <c r="AV1910" s="100"/>
      <c r="AW1910" s="65"/>
      <c r="AX1910" s="3"/>
    </row>
    <row r="1911" spans="35:50">
      <c r="AI1911" s="99"/>
      <c r="AM1911" s="99"/>
      <c r="AO1911" s="99"/>
      <c r="AR1911" s="6"/>
      <c r="AS1911" s="6"/>
      <c r="AT1911" s="6"/>
      <c r="AU1911" s="89"/>
      <c r="AV1911" s="100"/>
      <c r="AW1911" s="65"/>
      <c r="AX1911" s="3"/>
    </row>
    <row r="1912" spans="35:50">
      <c r="AI1912" s="99"/>
      <c r="AM1912" s="99"/>
      <c r="AO1912" s="99"/>
      <c r="AR1912" s="6"/>
      <c r="AS1912" s="6"/>
      <c r="AT1912" s="6"/>
      <c r="AU1912" s="89"/>
      <c r="AV1912" s="100"/>
      <c r="AW1912" s="65"/>
      <c r="AX1912" s="3"/>
    </row>
    <row r="1913" spans="35:50">
      <c r="AI1913" s="99"/>
      <c r="AM1913" s="99"/>
      <c r="AO1913" s="99"/>
      <c r="AR1913" s="6"/>
      <c r="AS1913" s="6"/>
      <c r="AT1913" s="6"/>
      <c r="AU1913" s="89"/>
      <c r="AV1913" s="100"/>
      <c r="AW1913" s="65"/>
      <c r="AX1913" s="3"/>
    </row>
    <row r="1914" spans="35:50">
      <c r="AI1914" s="99"/>
      <c r="AM1914" s="99"/>
      <c r="AO1914" s="99"/>
      <c r="AR1914" s="6"/>
      <c r="AS1914" s="6"/>
      <c r="AT1914" s="6"/>
      <c r="AU1914" s="89"/>
      <c r="AV1914" s="100"/>
      <c r="AW1914" s="65"/>
      <c r="AX1914" s="3"/>
    </row>
    <row r="1915" spans="35:50">
      <c r="AI1915" s="99"/>
      <c r="AM1915" s="99"/>
      <c r="AO1915" s="99"/>
      <c r="AR1915" s="6"/>
      <c r="AS1915" s="6"/>
      <c r="AT1915" s="6"/>
      <c r="AU1915" s="89"/>
      <c r="AV1915" s="100"/>
      <c r="AW1915" s="65"/>
      <c r="AX1915" s="3"/>
    </row>
    <row r="1916" spans="35:50">
      <c r="AI1916" s="99"/>
      <c r="AM1916" s="99"/>
      <c r="AO1916" s="99"/>
      <c r="AR1916" s="6"/>
      <c r="AS1916" s="6"/>
      <c r="AT1916" s="6"/>
      <c r="AU1916" s="89"/>
      <c r="AV1916" s="100"/>
      <c r="AW1916" s="65"/>
      <c r="AX1916" s="3"/>
    </row>
    <row r="1917" spans="35:50">
      <c r="AI1917" s="99"/>
      <c r="AM1917" s="99"/>
      <c r="AO1917" s="99"/>
      <c r="AR1917" s="6"/>
      <c r="AS1917" s="6"/>
      <c r="AT1917" s="6"/>
      <c r="AU1917" s="89"/>
      <c r="AV1917" s="100"/>
      <c r="AW1917" s="65"/>
      <c r="AX1917" s="3"/>
    </row>
    <row r="1918" spans="35:50">
      <c r="AI1918" s="99"/>
      <c r="AM1918" s="99"/>
      <c r="AO1918" s="99"/>
      <c r="AR1918" s="6"/>
      <c r="AS1918" s="6"/>
      <c r="AT1918" s="6"/>
      <c r="AU1918" s="89"/>
      <c r="AV1918" s="100"/>
      <c r="AW1918" s="65"/>
      <c r="AX1918" s="3"/>
    </row>
    <row r="1919" spans="35:50">
      <c r="AI1919" s="99"/>
      <c r="AM1919" s="99"/>
      <c r="AO1919" s="99"/>
      <c r="AR1919" s="6"/>
      <c r="AS1919" s="6"/>
      <c r="AT1919" s="6"/>
      <c r="AU1919" s="89"/>
      <c r="AV1919" s="100"/>
      <c r="AW1919" s="65"/>
      <c r="AX1919" s="3"/>
    </row>
    <row r="1920" spans="35:50">
      <c r="AI1920" s="99"/>
      <c r="AM1920" s="99"/>
      <c r="AO1920" s="99"/>
      <c r="AR1920" s="6"/>
      <c r="AS1920" s="6"/>
      <c r="AT1920" s="6"/>
      <c r="AU1920" s="89"/>
      <c r="AV1920" s="100"/>
      <c r="AW1920" s="65"/>
      <c r="AX1920" s="3"/>
    </row>
    <row r="1921" spans="35:50">
      <c r="AI1921" s="99"/>
      <c r="AM1921" s="99"/>
      <c r="AO1921" s="99"/>
      <c r="AR1921" s="6"/>
      <c r="AS1921" s="6"/>
      <c r="AT1921" s="6"/>
      <c r="AU1921" s="89"/>
      <c r="AV1921" s="100"/>
      <c r="AW1921" s="65"/>
      <c r="AX1921" s="3"/>
    </row>
    <row r="1922" spans="35:50">
      <c r="AI1922" s="99"/>
      <c r="AM1922" s="99"/>
      <c r="AO1922" s="99"/>
      <c r="AR1922" s="6"/>
      <c r="AS1922" s="6"/>
      <c r="AT1922" s="6"/>
      <c r="AU1922" s="89"/>
      <c r="AV1922" s="100"/>
      <c r="AW1922" s="65"/>
      <c r="AX1922" s="3"/>
    </row>
    <row r="1923" spans="35:50">
      <c r="AI1923" s="99"/>
      <c r="AM1923" s="99"/>
      <c r="AO1923" s="99"/>
      <c r="AR1923" s="6"/>
      <c r="AS1923" s="6"/>
      <c r="AT1923" s="6"/>
      <c r="AU1923" s="89"/>
      <c r="AV1923" s="100"/>
      <c r="AW1923" s="65"/>
      <c r="AX1923" s="3"/>
    </row>
    <row r="1924" spans="35:50">
      <c r="AI1924" s="99"/>
      <c r="AM1924" s="99"/>
      <c r="AO1924" s="99"/>
      <c r="AR1924" s="6"/>
      <c r="AS1924" s="6"/>
      <c r="AT1924" s="6"/>
      <c r="AU1924" s="89"/>
      <c r="AV1924" s="100"/>
      <c r="AW1924" s="65"/>
      <c r="AX1924" s="3"/>
    </row>
    <row r="1925" spans="35:50">
      <c r="AI1925" s="99"/>
      <c r="AM1925" s="99"/>
      <c r="AO1925" s="99"/>
      <c r="AR1925" s="6"/>
      <c r="AS1925" s="6"/>
      <c r="AT1925" s="6"/>
      <c r="AU1925" s="89"/>
      <c r="AV1925" s="100"/>
      <c r="AW1925" s="65"/>
      <c r="AX1925" s="3"/>
    </row>
    <row r="1926" spans="35:50">
      <c r="AI1926" s="99"/>
      <c r="AM1926" s="99"/>
      <c r="AO1926" s="99"/>
      <c r="AR1926" s="6"/>
      <c r="AS1926" s="6"/>
      <c r="AT1926" s="6"/>
      <c r="AU1926" s="89"/>
      <c r="AV1926" s="100"/>
      <c r="AW1926" s="65"/>
      <c r="AX1926" s="3"/>
    </row>
    <row r="1927" spans="35:50">
      <c r="AI1927" s="99"/>
      <c r="AM1927" s="99"/>
      <c r="AO1927" s="99"/>
      <c r="AR1927" s="6"/>
      <c r="AS1927" s="6"/>
      <c r="AT1927" s="6"/>
      <c r="AU1927" s="89"/>
      <c r="AV1927" s="100"/>
      <c r="AW1927" s="65"/>
      <c r="AX1927" s="3"/>
    </row>
    <row r="1928" spans="35:50">
      <c r="AI1928" s="99"/>
      <c r="AM1928" s="99"/>
      <c r="AO1928" s="99"/>
      <c r="AR1928" s="6"/>
      <c r="AS1928" s="6"/>
      <c r="AT1928" s="6"/>
      <c r="AU1928" s="89"/>
      <c r="AV1928" s="100"/>
      <c r="AW1928" s="65"/>
      <c r="AX1928" s="3"/>
    </row>
    <row r="1929" spans="35:50">
      <c r="AI1929" s="99"/>
      <c r="AM1929" s="99"/>
      <c r="AO1929" s="99"/>
      <c r="AR1929" s="6"/>
      <c r="AS1929" s="6"/>
      <c r="AT1929" s="6"/>
      <c r="AU1929" s="89"/>
      <c r="AV1929" s="100"/>
      <c r="AW1929" s="65"/>
      <c r="AX1929" s="3"/>
    </row>
    <row r="1930" spans="35:50">
      <c r="AI1930" s="99"/>
      <c r="AM1930" s="99"/>
      <c r="AO1930" s="99"/>
      <c r="AR1930" s="6"/>
      <c r="AS1930" s="6"/>
      <c r="AT1930" s="6"/>
      <c r="AU1930" s="89"/>
      <c r="AV1930" s="100"/>
      <c r="AW1930" s="65"/>
      <c r="AX1930" s="3"/>
    </row>
    <row r="1931" spans="35:50">
      <c r="AI1931" s="99"/>
      <c r="AM1931" s="99"/>
      <c r="AO1931" s="99"/>
      <c r="AR1931" s="6"/>
      <c r="AS1931" s="6"/>
      <c r="AT1931" s="6"/>
      <c r="AU1931" s="89"/>
      <c r="AV1931" s="100"/>
      <c r="AW1931" s="65"/>
      <c r="AX1931" s="3"/>
    </row>
    <row r="1932" spans="35:50">
      <c r="AI1932" s="99"/>
      <c r="AM1932" s="99"/>
      <c r="AO1932" s="99"/>
      <c r="AR1932" s="6"/>
      <c r="AS1932" s="6"/>
      <c r="AT1932" s="6"/>
      <c r="AU1932" s="89"/>
      <c r="AV1932" s="100"/>
      <c r="AW1932" s="65"/>
      <c r="AX1932" s="3"/>
    </row>
    <row r="1933" spans="35:50">
      <c r="AI1933" s="99"/>
      <c r="AM1933" s="99"/>
      <c r="AO1933" s="99"/>
      <c r="AR1933" s="6"/>
      <c r="AS1933" s="6"/>
      <c r="AT1933" s="6"/>
      <c r="AU1933" s="89"/>
      <c r="AV1933" s="100"/>
      <c r="AW1933" s="65"/>
      <c r="AX1933" s="3"/>
    </row>
    <row r="1934" spans="35:50">
      <c r="AI1934" s="99"/>
      <c r="AM1934" s="99"/>
      <c r="AO1934" s="99"/>
      <c r="AR1934" s="6"/>
      <c r="AS1934" s="6"/>
      <c r="AT1934" s="6"/>
      <c r="AU1934" s="89"/>
      <c r="AV1934" s="100"/>
      <c r="AW1934" s="65"/>
      <c r="AX1934" s="3"/>
    </row>
    <row r="1935" spans="35:50">
      <c r="AI1935" s="99"/>
      <c r="AM1935" s="99"/>
      <c r="AO1935" s="99"/>
      <c r="AR1935" s="6"/>
      <c r="AS1935" s="6"/>
      <c r="AT1935" s="6"/>
      <c r="AU1935" s="89"/>
      <c r="AV1935" s="100"/>
      <c r="AW1935" s="65"/>
      <c r="AX1935" s="3"/>
    </row>
    <row r="1936" spans="35:50">
      <c r="AI1936" s="99"/>
      <c r="AM1936" s="99"/>
      <c r="AO1936" s="99"/>
      <c r="AR1936" s="6"/>
      <c r="AS1936" s="6"/>
      <c r="AT1936" s="6"/>
      <c r="AU1936" s="89"/>
      <c r="AV1936" s="100"/>
      <c r="AW1936" s="65"/>
      <c r="AX1936" s="3"/>
    </row>
    <row r="1937" spans="35:50">
      <c r="AI1937" s="99"/>
      <c r="AM1937" s="99"/>
      <c r="AO1937" s="99"/>
      <c r="AR1937" s="6"/>
      <c r="AS1937" s="6"/>
      <c r="AT1937" s="6"/>
      <c r="AU1937" s="89"/>
      <c r="AV1937" s="100"/>
      <c r="AW1937" s="65"/>
      <c r="AX1937" s="3"/>
    </row>
    <row r="1938" spans="35:50">
      <c r="AI1938" s="99"/>
      <c r="AM1938" s="99"/>
      <c r="AO1938" s="99"/>
      <c r="AR1938" s="6"/>
      <c r="AS1938" s="6"/>
      <c r="AT1938" s="6"/>
      <c r="AU1938" s="89"/>
      <c r="AV1938" s="100"/>
      <c r="AW1938" s="65"/>
      <c r="AX1938" s="3"/>
    </row>
    <row r="1939" spans="35:50">
      <c r="AI1939" s="99"/>
      <c r="AM1939" s="99"/>
      <c r="AO1939" s="99"/>
      <c r="AR1939" s="6"/>
      <c r="AS1939" s="6"/>
      <c r="AT1939" s="6"/>
      <c r="AU1939" s="89"/>
      <c r="AV1939" s="100"/>
      <c r="AW1939" s="65"/>
      <c r="AX1939" s="3"/>
    </row>
    <row r="1940" spans="35:50">
      <c r="AI1940" s="99"/>
      <c r="AM1940" s="99"/>
      <c r="AO1940" s="99"/>
      <c r="AR1940" s="6"/>
      <c r="AS1940" s="6"/>
      <c r="AT1940" s="6"/>
      <c r="AU1940" s="89"/>
      <c r="AV1940" s="100"/>
      <c r="AW1940" s="65"/>
      <c r="AX1940" s="3"/>
    </row>
    <row r="1941" spans="35:50">
      <c r="AI1941" s="99"/>
      <c r="AM1941" s="99"/>
      <c r="AO1941" s="99"/>
      <c r="AR1941" s="6"/>
      <c r="AS1941" s="6"/>
      <c r="AT1941" s="6"/>
      <c r="AU1941" s="89"/>
      <c r="AV1941" s="100"/>
      <c r="AW1941" s="65"/>
      <c r="AX1941" s="3"/>
    </row>
    <row r="1942" spans="35:50">
      <c r="AI1942" s="99"/>
      <c r="AM1942" s="99"/>
      <c r="AO1942" s="99"/>
      <c r="AR1942" s="6"/>
      <c r="AS1942" s="6"/>
      <c r="AT1942" s="6"/>
      <c r="AU1942" s="89"/>
      <c r="AV1942" s="100"/>
      <c r="AW1942" s="65"/>
      <c r="AX1942" s="3"/>
    </row>
    <row r="1943" spans="35:50">
      <c r="AI1943" s="99"/>
      <c r="AM1943" s="99"/>
      <c r="AO1943" s="99"/>
      <c r="AR1943" s="6"/>
      <c r="AS1943" s="6"/>
      <c r="AT1943" s="6"/>
      <c r="AU1943" s="89"/>
      <c r="AV1943" s="100"/>
      <c r="AW1943" s="65"/>
      <c r="AX1943" s="3"/>
    </row>
    <row r="1944" spans="35:50">
      <c r="AI1944" s="99"/>
      <c r="AM1944" s="99"/>
      <c r="AO1944" s="99"/>
      <c r="AR1944" s="6"/>
      <c r="AS1944" s="6"/>
      <c r="AT1944" s="6"/>
      <c r="AU1944" s="89"/>
      <c r="AV1944" s="100"/>
      <c r="AW1944" s="65"/>
      <c r="AX1944" s="3"/>
    </row>
    <row r="1945" spans="35:50">
      <c r="AI1945" s="99"/>
      <c r="AM1945" s="99"/>
      <c r="AO1945" s="99"/>
      <c r="AR1945" s="6"/>
      <c r="AS1945" s="6"/>
      <c r="AT1945" s="6"/>
      <c r="AU1945" s="89"/>
      <c r="AV1945" s="100"/>
      <c r="AW1945" s="65"/>
      <c r="AX1945" s="3"/>
    </row>
    <row r="1946" spans="35:50">
      <c r="AI1946" s="99"/>
      <c r="AM1946" s="99"/>
      <c r="AO1946" s="99"/>
      <c r="AR1946" s="6"/>
      <c r="AS1946" s="6"/>
      <c r="AT1946" s="6"/>
      <c r="AU1946" s="89"/>
      <c r="AV1946" s="100"/>
      <c r="AW1946" s="65"/>
      <c r="AX1946" s="3"/>
    </row>
    <row r="1947" spans="35:50">
      <c r="AI1947" s="99"/>
      <c r="AM1947" s="99"/>
      <c r="AO1947" s="99"/>
      <c r="AR1947" s="6"/>
      <c r="AS1947" s="6"/>
      <c r="AT1947" s="6"/>
      <c r="AU1947" s="89"/>
      <c r="AV1947" s="100"/>
      <c r="AW1947" s="65"/>
      <c r="AX1947" s="3"/>
    </row>
    <row r="1948" spans="35:50">
      <c r="AI1948" s="99"/>
      <c r="AM1948" s="99"/>
      <c r="AO1948" s="99"/>
      <c r="AR1948" s="6"/>
      <c r="AS1948" s="6"/>
      <c r="AT1948" s="6"/>
      <c r="AU1948" s="89"/>
      <c r="AV1948" s="100"/>
      <c r="AW1948" s="65"/>
      <c r="AX1948" s="3"/>
    </row>
    <row r="1949" spans="35:50">
      <c r="AI1949" s="99"/>
      <c r="AM1949" s="99"/>
      <c r="AO1949" s="99"/>
      <c r="AR1949" s="6"/>
      <c r="AS1949" s="6"/>
      <c r="AT1949" s="6"/>
      <c r="AU1949" s="89"/>
      <c r="AV1949" s="100"/>
      <c r="AW1949" s="65"/>
      <c r="AX1949" s="3"/>
    </row>
    <row r="1950" spans="35:50">
      <c r="AI1950" s="99"/>
      <c r="AM1950" s="99"/>
      <c r="AO1950" s="99"/>
      <c r="AR1950" s="6"/>
      <c r="AS1950" s="6"/>
      <c r="AT1950" s="6"/>
      <c r="AU1950" s="89"/>
      <c r="AV1950" s="100"/>
      <c r="AW1950" s="65"/>
      <c r="AX1950" s="3"/>
    </row>
    <row r="1951" spans="35:50">
      <c r="AI1951" s="99"/>
      <c r="AM1951" s="99"/>
      <c r="AO1951" s="99"/>
      <c r="AR1951" s="6"/>
      <c r="AS1951" s="6"/>
      <c r="AT1951" s="6"/>
      <c r="AU1951" s="89"/>
      <c r="AV1951" s="100"/>
      <c r="AW1951" s="65"/>
      <c r="AX1951" s="3"/>
    </row>
    <row r="1952" spans="35:50">
      <c r="AI1952" s="99"/>
      <c r="AM1952" s="99"/>
      <c r="AO1952" s="99"/>
      <c r="AR1952" s="6"/>
      <c r="AS1952" s="6"/>
      <c r="AT1952" s="6"/>
      <c r="AU1952" s="89"/>
      <c r="AV1952" s="100"/>
      <c r="AW1952" s="65"/>
      <c r="AX1952" s="3"/>
    </row>
    <row r="1953" spans="35:50">
      <c r="AI1953" s="99"/>
      <c r="AM1953" s="99"/>
      <c r="AO1953" s="99"/>
      <c r="AR1953" s="6"/>
      <c r="AS1953" s="6"/>
      <c r="AT1953" s="6"/>
      <c r="AU1953" s="89"/>
      <c r="AV1953" s="100"/>
      <c r="AW1953" s="65"/>
      <c r="AX1953" s="3"/>
    </row>
    <row r="1954" spans="35:50">
      <c r="AI1954" s="99"/>
      <c r="AM1954" s="99"/>
      <c r="AO1954" s="99"/>
      <c r="AR1954" s="6"/>
      <c r="AS1954" s="6"/>
      <c r="AT1954" s="6"/>
      <c r="AU1954" s="89"/>
      <c r="AV1954" s="100"/>
      <c r="AW1954" s="65"/>
      <c r="AX1954" s="3"/>
    </row>
    <row r="1955" spans="35:50">
      <c r="AI1955" s="99"/>
      <c r="AM1955" s="99"/>
      <c r="AO1955" s="99"/>
      <c r="AR1955" s="6"/>
      <c r="AS1955" s="6"/>
      <c r="AT1955" s="6"/>
      <c r="AU1955" s="89"/>
      <c r="AV1955" s="100"/>
      <c r="AW1955" s="65"/>
      <c r="AX1955" s="3"/>
    </row>
    <row r="1956" spans="35:50">
      <c r="AI1956" s="99"/>
      <c r="AM1956" s="99"/>
      <c r="AO1956" s="99"/>
      <c r="AR1956" s="6"/>
      <c r="AS1956" s="6"/>
      <c r="AT1956" s="6"/>
      <c r="AU1956" s="89"/>
      <c r="AV1956" s="100"/>
      <c r="AW1956" s="65"/>
      <c r="AX1956" s="3"/>
    </row>
    <row r="1957" spans="35:50">
      <c r="AI1957" s="99"/>
      <c r="AM1957" s="99"/>
      <c r="AO1957" s="99"/>
      <c r="AR1957" s="6"/>
      <c r="AS1957" s="6"/>
      <c r="AT1957" s="6"/>
      <c r="AU1957" s="89"/>
      <c r="AV1957" s="100"/>
      <c r="AW1957" s="65"/>
      <c r="AX1957" s="3"/>
    </row>
    <row r="1958" spans="35:50">
      <c r="AI1958" s="99"/>
      <c r="AM1958" s="99"/>
      <c r="AO1958" s="99"/>
      <c r="AR1958" s="6"/>
      <c r="AS1958" s="6"/>
      <c r="AT1958" s="6"/>
      <c r="AU1958" s="89"/>
      <c r="AV1958" s="100"/>
      <c r="AW1958" s="65"/>
      <c r="AX1958" s="3"/>
    </row>
    <row r="1959" spans="35:50">
      <c r="AI1959" s="99"/>
      <c r="AM1959" s="99"/>
      <c r="AO1959" s="99"/>
      <c r="AR1959" s="6"/>
      <c r="AS1959" s="6"/>
      <c r="AT1959" s="6"/>
      <c r="AU1959" s="89"/>
      <c r="AV1959" s="100"/>
      <c r="AW1959" s="65"/>
      <c r="AX1959" s="3"/>
    </row>
    <row r="1960" spans="35:50">
      <c r="AI1960" s="99"/>
      <c r="AM1960" s="99"/>
      <c r="AO1960" s="99"/>
      <c r="AR1960" s="6"/>
      <c r="AS1960" s="6"/>
      <c r="AT1960" s="6"/>
      <c r="AU1960" s="89"/>
      <c r="AV1960" s="100"/>
      <c r="AW1960" s="65"/>
      <c r="AX1960" s="3"/>
    </row>
    <row r="1961" spans="35:50">
      <c r="AI1961" s="99"/>
      <c r="AM1961" s="99"/>
      <c r="AO1961" s="99"/>
      <c r="AR1961" s="6"/>
      <c r="AS1961" s="6"/>
      <c r="AT1961" s="6"/>
      <c r="AU1961" s="89"/>
      <c r="AV1961" s="100"/>
      <c r="AW1961" s="65"/>
      <c r="AX1961" s="3"/>
    </row>
    <row r="1962" spans="35:50">
      <c r="AI1962" s="99"/>
      <c r="AM1962" s="99"/>
      <c r="AO1962" s="99"/>
      <c r="AR1962" s="6"/>
      <c r="AS1962" s="6"/>
      <c r="AT1962" s="6"/>
      <c r="AU1962" s="89"/>
      <c r="AV1962" s="100"/>
      <c r="AW1962" s="65"/>
      <c r="AX1962" s="3"/>
    </row>
    <row r="1963" spans="35:50">
      <c r="AI1963" s="99"/>
      <c r="AM1963" s="99"/>
      <c r="AO1963" s="99"/>
      <c r="AR1963" s="6"/>
      <c r="AS1963" s="6"/>
      <c r="AT1963" s="6"/>
      <c r="AU1963" s="89"/>
      <c r="AV1963" s="100"/>
      <c r="AW1963" s="65"/>
      <c r="AX1963" s="3"/>
    </row>
    <row r="1964" spans="35:50">
      <c r="AI1964" s="99"/>
      <c r="AM1964" s="99"/>
      <c r="AO1964" s="99"/>
      <c r="AR1964" s="6"/>
      <c r="AS1964" s="6"/>
      <c r="AT1964" s="6"/>
      <c r="AU1964" s="89"/>
      <c r="AV1964" s="100"/>
      <c r="AW1964" s="65"/>
      <c r="AX1964" s="3"/>
    </row>
    <row r="1965" spans="35:50">
      <c r="AI1965" s="99"/>
      <c r="AM1965" s="99"/>
      <c r="AO1965" s="99"/>
      <c r="AR1965" s="6"/>
      <c r="AS1965" s="6"/>
      <c r="AT1965" s="6"/>
      <c r="AU1965" s="89"/>
      <c r="AV1965" s="100"/>
      <c r="AW1965" s="65"/>
      <c r="AX1965" s="3"/>
    </row>
    <row r="1966" spans="35:50">
      <c r="AI1966" s="99"/>
      <c r="AM1966" s="99"/>
      <c r="AO1966" s="99"/>
      <c r="AR1966" s="6"/>
      <c r="AS1966" s="6"/>
      <c r="AT1966" s="6"/>
      <c r="AU1966" s="89"/>
      <c r="AV1966" s="100"/>
      <c r="AW1966" s="65"/>
      <c r="AX1966" s="3"/>
    </row>
    <row r="1967" spans="35:50">
      <c r="AI1967" s="99"/>
      <c r="AM1967" s="99"/>
      <c r="AO1967" s="99"/>
      <c r="AR1967" s="6"/>
      <c r="AS1967" s="6"/>
      <c r="AT1967" s="6"/>
      <c r="AU1967" s="89"/>
      <c r="AV1967" s="100"/>
      <c r="AW1967" s="65"/>
      <c r="AX1967" s="3"/>
    </row>
    <row r="1968" spans="35:50">
      <c r="AI1968" s="99"/>
      <c r="AM1968" s="99"/>
      <c r="AO1968" s="99"/>
      <c r="AR1968" s="6"/>
      <c r="AS1968" s="6"/>
      <c r="AT1968" s="6"/>
      <c r="AU1968" s="89"/>
      <c r="AV1968" s="100"/>
      <c r="AW1968" s="65"/>
      <c r="AX1968" s="3"/>
    </row>
    <row r="1969" spans="35:50">
      <c r="AI1969" s="99"/>
      <c r="AM1969" s="99"/>
      <c r="AO1969" s="99"/>
      <c r="AR1969" s="6"/>
      <c r="AS1969" s="6"/>
      <c r="AT1969" s="6"/>
      <c r="AU1969" s="89"/>
      <c r="AV1969" s="100"/>
      <c r="AW1969" s="65"/>
      <c r="AX1969" s="3"/>
    </row>
    <row r="1970" spans="35:50">
      <c r="AI1970" s="99"/>
      <c r="AM1970" s="99"/>
      <c r="AO1970" s="99"/>
      <c r="AR1970" s="6"/>
      <c r="AS1970" s="6"/>
      <c r="AT1970" s="6"/>
      <c r="AU1970" s="89"/>
      <c r="AV1970" s="100"/>
      <c r="AW1970" s="65"/>
      <c r="AX1970" s="3"/>
    </row>
    <row r="1971" spans="35:50">
      <c r="AI1971" s="99"/>
      <c r="AM1971" s="99"/>
      <c r="AO1971" s="99"/>
      <c r="AR1971" s="6"/>
      <c r="AS1971" s="6"/>
      <c r="AT1971" s="6"/>
      <c r="AU1971" s="89"/>
      <c r="AV1971" s="100"/>
      <c r="AW1971" s="65"/>
      <c r="AX1971" s="3"/>
    </row>
    <row r="1972" spans="35:50">
      <c r="AI1972" s="99"/>
      <c r="AM1972" s="99"/>
      <c r="AO1972" s="99"/>
      <c r="AR1972" s="6"/>
      <c r="AS1972" s="6"/>
      <c r="AT1972" s="6"/>
      <c r="AU1972" s="89"/>
      <c r="AV1972" s="100"/>
      <c r="AW1972" s="65"/>
      <c r="AX1972" s="3"/>
    </row>
    <row r="1973" spans="35:50">
      <c r="AI1973" s="99"/>
      <c r="AM1973" s="99"/>
      <c r="AO1973" s="99"/>
      <c r="AR1973" s="6"/>
      <c r="AS1973" s="6"/>
      <c r="AT1973" s="6"/>
      <c r="AU1973" s="89"/>
      <c r="AV1973" s="100"/>
      <c r="AW1973" s="65"/>
      <c r="AX1973" s="3"/>
    </row>
    <row r="1974" spans="35:50">
      <c r="AI1974" s="99"/>
      <c r="AM1974" s="99"/>
      <c r="AO1974" s="99"/>
      <c r="AR1974" s="6"/>
      <c r="AS1974" s="6"/>
      <c r="AT1974" s="6"/>
      <c r="AU1974" s="89"/>
      <c r="AV1974" s="100"/>
      <c r="AW1974" s="65"/>
      <c r="AX1974" s="3"/>
    </row>
    <row r="1975" spans="35:50">
      <c r="AI1975" s="99"/>
      <c r="AM1975" s="99"/>
      <c r="AO1975" s="99"/>
      <c r="AR1975" s="6"/>
      <c r="AS1975" s="6"/>
      <c r="AT1975" s="6"/>
      <c r="AU1975" s="89"/>
      <c r="AV1975" s="100"/>
      <c r="AW1975" s="65"/>
      <c r="AX1975" s="3"/>
    </row>
    <row r="1976" spans="35:50">
      <c r="AI1976" s="99"/>
      <c r="AM1976" s="99"/>
      <c r="AO1976" s="99"/>
      <c r="AR1976" s="6"/>
      <c r="AS1976" s="6"/>
      <c r="AT1976" s="6"/>
      <c r="AU1976" s="89"/>
      <c r="AV1976" s="100"/>
      <c r="AW1976" s="65"/>
      <c r="AX1976" s="3"/>
    </row>
    <row r="1977" spans="35:50">
      <c r="AI1977" s="99"/>
      <c r="AM1977" s="99"/>
      <c r="AO1977" s="99"/>
      <c r="AR1977" s="6"/>
      <c r="AS1977" s="6"/>
      <c r="AT1977" s="6"/>
      <c r="AU1977" s="89"/>
      <c r="AV1977" s="100"/>
      <c r="AW1977" s="65"/>
      <c r="AX1977" s="3"/>
    </row>
    <row r="1978" spans="35:50">
      <c r="AI1978" s="99"/>
      <c r="AM1978" s="99"/>
      <c r="AO1978" s="99"/>
      <c r="AR1978" s="6"/>
      <c r="AS1978" s="6"/>
      <c r="AT1978" s="6"/>
      <c r="AU1978" s="89"/>
      <c r="AV1978" s="100"/>
      <c r="AW1978" s="65"/>
      <c r="AX1978" s="3"/>
    </row>
    <row r="1979" spans="35:50">
      <c r="AI1979" s="99"/>
      <c r="AM1979" s="99"/>
      <c r="AO1979" s="99"/>
      <c r="AR1979" s="6"/>
      <c r="AS1979" s="6"/>
      <c r="AT1979" s="6"/>
      <c r="AU1979" s="89"/>
      <c r="AV1979" s="100"/>
      <c r="AW1979" s="65"/>
      <c r="AX1979" s="3"/>
    </row>
    <row r="1980" spans="35:50">
      <c r="AI1980" s="99"/>
      <c r="AM1980" s="99"/>
      <c r="AO1980" s="99"/>
      <c r="AR1980" s="6"/>
      <c r="AS1980" s="6"/>
      <c r="AT1980" s="6"/>
      <c r="AU1980" s="89"/>
      <c r="AV1980" s="100"/>
      <c r="AW1980" s="65"/>
      <c r="AX1980" s="3"/>
    </row>
    <row r="1981" spans="35:50">
      <c r="AI1981" s="99"/>
      <c r="AM1981" s="99"/>
      <c r="AO1981" s="99"/>
      <c r="AR1981" s="6"/>
      <c r="AS1981" s="6"/>
      <c r="AT1981" s="6"/>
      <c r="AU1981" s="89"/>
      <c r="AV1981" s="100"/>
      <c r="AW1981" s="65"/>
      <c r="AX1981" s="3"/>
    </row>
    <row r="1982" spans="35:50">
      <c r="AI1982" s="99"/>
      <c r="AM1982" s="99"/>
      <c r="AO1982" s="99"/>
      <c r="AR1982" s="6"/>
      <c r="AS1982" s="6"/>
      <c r="AT1982" s="6"/>
      <c r="AU1982" s="89"/>
      <c r="AV1982" s="100"/>
      <c r="AW1982" s="65"/>
      <c r="AX1982" s="3"/>
    </row>
    <row r="1983" spans="35:50">
      <c r="AI1983" s="99"/>
      <c r="AM1983" s="99"/>
      <c r="AO1983" s="99"/>
      <c r="AR1983" s="6"/>
      <c r="AS1983" s="6"/>
      <c r="AT1983" s="6"/>
      <c r="AU1983" s="89"/>
      <c r="AV1983" s="100"/>
      <c r="AW1983" s="65"/>
      <c r="AX1983" s="3"/>
    </row>
    <row r="1984" spans="35:50">
      <c r="AI1984" s="99"/>
      <c r="AM1984" s="99"/>
      <c r="AO1984" s="99"/>
      <c r="AR1984" s="6"/>
      <c r="AS1984" s="6"/>
      <c r="AT1984" s="6"/>
      <c r="AU1984" s="89"/>
      <c r="AV1984" s="100"/>
      <c r="AW1984" s="65"/>
      <c r="AX1984" s="3"/>
    </row>
    <row r="1985" spans="35:50">
      <c r="AI1985" s="99"/>
      <c r="AM1985" s="99"/>
      <c r="AO1985" s="99"/>
      <c r="AR1985" s="6"/>
      <c r="AS1985" s="6"/>
      <c r="AT1985" s="6"/>
      <c r="AU1985" s="89"/>
      <c r="AV1985" s="100"/>
      <c r="AW1985" s="65"/>
      <c r="AX1985" s="3"/>
    </row>
    <row r="1986" spans="35:50">
      <c r="AI1986" s="99"/>
      <c r="AM1986" s="99"/>
      <c r="AO1986" s="99"/>
      <c r="AR1986" s="6"/>
      <c r="AS1986" s="6"/>
      <c r="AT1986" s="6"/>
      <c r="AU1986" s="89"/>
      <c r="AV1986" s="100"/>
      <c r="AW1986" s="65"/>
      <c r="AX1986" s="3"/>
    </row>
    <row r="1987" spans="35:50">
      <c r="AI1987" s="99"/>
      <c r="AM1987" s="99"/>
      <c r="AO1987" s="99"/>
      <c r="AR1987" s="6"/>
      <c r="AS1987" s="6"/>
      <c r="AT1987" s="6"/>
      <c r="AU1987" s="89"/>
      <c r="AV1987" s="100"/>
      <c r="AW1987" s="65"/>
      <c r="AX1987" s="3"/>
    </row>
    <row r="1988" spans="35:50">
      <c r="AI1988" s="99"/>
      <c r="AM1988" s="99"/>
      <c r="AO1988" s="99"/>
      <c r="AR1988" s="6"/>
      <c r="AS1988" s="6"/>
      <c r="AT1988" s="6"/>
      <c r="AU1988" s="89"/>
      <c r="AV1988" s="100"/>
      <c r="AW1988" s="65"/>
      <c r="AX1988" s="3"/>
    </row>
    <row r="1989" spans="35:50">
      <c r="AI1989" s="99"/>
      <c r="AM1989" s="99"/>
      <c r="AO1989" s="99"/>
      <c r="AR1989" s="6"/>
      <c r="AS1989" s="6"/>
      <c r="AT1989" s="6"/>
      <c r="AU1989" s="89"/>
      <c r="AV1989" s="100"/>
      <c r="AW1989" s="65"/>
      <c r="AX1989" s="3"/>
    </row>
    <row r="1990" spans="35:50">
      <c r="AI1990" s="99"/>
      <c r="AM1990" s="99"/>
      <c r="AO1990" s="99"/>
      <c r="AR1990" s="6"/>
      <c r="AS1990" s="6"/>
      <c r="AT1990" s="6"/>
      <c r="AU1990" s="89"/>
      <c r="AV1990" s="100"/>
      <c r="AW1990" s="65"/>
      <c r="AX1990" s="3"/>
    </row>
    <row r="1991" spans="35:50">
      <c r="AI1991" s="99"/>
      <c r="AM1991" s="99"/>
      <c r="AO1991" s="99"/>
      <c r="AR1991" s="6"/>
      <c r="AS1991" s="6"/>
      <c r="AT1991" s="6"/>
      <c r="AU1991" s="89"/>
      <c r="AV1991" s="100"/>
      <c r="AW1991" s="65"/>
      <c r="AX1991" s="3"/>
    </row>
    <row r="1992" spans="35:50">
      <c r="AI1992" s="99"/>
      <c r="AM1992" s="99"/>
      <c r="AO1992" s="99"/>
      <c r="AR1992" s="6"/>
      <c r="AS1992" s="6"/>
      <c r="AT1992" s="6"/>
      <c r="AU1992" s="89"/>
      <c r="AV1992" s="100"/>
      <c r="AW1992" s="65"/>
      <c r="AX1992" s="3"/>
    </row>
    <row r="1993" spans="35:50">
      <c r="AI1993" s="99"/>
      <c r="AM1993" s="99"/>
      <c r="AO1993" s="99"/>
      <c r="AR1993" s="6"/>
      <c r="AS1993" s="6"/>
      <c r="AT1993" s="6"/>
      <c r="AU1993" s="89"/>
      <c r="AV1993" s="100"/>
      <c r="AW1993" s="65"/>
      <c r="AX1993" s="3"/>
    </row>
    <row r="1994" spans="35:50">
      <c r="AI1994" s="99"/>
      <c r="AM1994" s="99"/>
      <c r="AO1994" s="99"/>
      <c r="AR1994" s="6"/>
      <c r="AS1994" s="6"/>
      <c r="AT1994" s="6"/>
      <c r="AU1994" s="89"/>
      <c r="AV1994" s="100"/>
      <c r="AW1994" s="65"/>
      <c r="AX1994" s="3"/>
    </row>
    <row r="1995" spans="35:50">
      <c r="AI1995" s="99"/>
      <c r="AM1995" s="99"/>
      <c r="AO1995" s="99"/>
      <c r="AR1995" s="6"/>
      <c r="AS1995" s="6"/>
      <c r="AT1995" s="6"/>
      <c r="AU1995" s="89"/>
      <c r="AV1995" s="100"/>
      <c r="AW1995" s="65"/>
      <c r="AX1995" s="3"/>
    </row>
    <row r="1996" spans="35:50">
      <c r="AI1996" s="99"/>
      <c r="AM1996" s="99"/>
      <c r="AO1996" s="99"/>
      <c r="AR1996" s="6"/>
      <c r="AS1996" s="6"/>
      <c r="AT1996" s="6"/>
      <c r="AU1996" s="89"/>
      <c r="AV1996" s="100"/>
      <c r="AW1996" s="65"/>
      <c r="AX1996" s="3"/>
    </row>
    <row r="1997" spans="35:50">
      <c r="AI1997" s="99"/>
      <c r="AM1997" s="99"/>
      <c r="AO1997" s="99"/>
      <c r="AR1997" s="6"/>
      <c r="AS1997" s="6"/>
      <c r="AT1997" s="6"/>
      <c r="AU1997" s="89"/>
      <c r="AV1997" s="100"/>
      <c r="AW1997" s="65"/>
      <c r="AX1997" s="3"/>
    </row>
    <row r="1998" spans="35:50">
      <c r="AI1998" s="99"/>
      <c r="AM1998" s="99"/>
      <c r="AO1998" s="99"/>
      <c r="AR1998" s="6"/>
      <c r="AS1998" s="6"/>
      <c r="AT1998" s="6"/>
      <c r="AU1998" s="89"/>
      <c r="AV1998" s="100"/>
      <c r="AW1998" s="65"/>
      <c r="AX1998" s="3"/>
    </row>
    <row r="1999" spans="35:50">
      <c r="AI1999" s="99"/>
      <c r="AM1999" s="99"/>
      <c r="AO1999" s="99"/>
      <c r="AR1999" s="6"/>
      <c r="AS1999" s="6"/>
      <c r="AT1999" s="6"/>
      <c r="AU1999" s="89"/>
      <c r="AV1999" s="100"/>
      <c r="AW1999" s="65"/>
      <c r="AX1999" s="3"/>
    </row>
    <row r="2000" spans="35:50">
      <c r="AI2000" s="99"/>
      <c r="AM2000" s="99"/>
      <c r="AO2000" s="99"/>
      <c r="AR2000" s="6"/>
      <c r="AS2000" s="6"/>
      <c r="AT2000" s="6"/>
      <c r="AU2000" s="89"/>
      <c r="AV2000" s="100"/>
      <c r="AW2000" s="65"/>
      <c r="AX2000" s="3"/>
    </row>
    <row r="2001" spans="35:50">
      <c r="AI2001" s="99"/>
      <c r="AM2001" s="99"/>
      <c r="AO2001" s="99"/>
      <c r="AR2001" s="6"/>
      <c r="AS2001" s="6"/>
      <c r="AT2001" s="6"/>
      <c r="AU2001" s="89"/>
      <c r="AV2001" s="100"/>
      <c r="AW2001" s="65"/>
      <c r="AX2001" s="3"/>
    </row>
    <row r="2002" spans="35:50">
      <c r="AI2002" s="99"/>
      <c r="AM2002" s="99"/>
      <c r="AO2002" s="99"/>
      <c r="AR2002" s="6"/>
      <c r="AS2002" s="6"/>
      <c r="AT2002" s="6"/>
      <c r="AU2002" s="89"/>
      <c r="AV2002" s="100"/>
      <c r="AW2002" s="65"/>
      <c r="AX2002" s="3"/>
    </row>
    <row r="2003" spans="35:50">
      <c r="AI2003" s="99"/>
      <c r="AM2003" s="99"/>
      <c r="AO2003" s="99"/>
      <c r="AR2003" s="6"/>
      <c r="AS2003" s="6"/>
      <c r="AT2003" s="6"/>
      <c r="AU2003" s="89"/>
      <c r="AV2003" s="100"/>
      <c r="AW2003" s="65"/>
      <c r="AX2003" s="3"/>
    </row>
    <row r="2004" spans="35:50">
      <c r="AI2004" s="99"/>
      <c r="AM2004" s="99"/>
      <c r="AO2004" s="99"/>
      <c r="AR2004" s="6"/>
      <c r="AS2004" s="6"/>
      <c r="AT2004" s="6"/>
      <c r="AU2004" s="89"/>
      <c r="AV2004" s="100"/>
      <c r="AW2004" s="65"/>
      <c r="AX2004" s="3"/>
    </row>
    <row r="2005" spans="35:50">
      <c r="AI2005" s="99"/>
      <c r="AM2005" s="99"/>
      <c r="AO2005" s="99"/>
      <c r="AR2005" s="6"/>
      <c r="AS2005" s="6"/>
      <c r="AT2005" s="6"/>
      <c r="AU2005" s="89"/>
      <c r="AV2005" s="100"/>
      <c r="AW2005" s="65"/>
      <c r="AX2005" s="3"/>
    </row>
    <row r="2006" spans="35:50">
      <c r="AI2006" s="99"/>
      <c r="AM2006" s="99"/>
      <c r="AO2006" s="99"/>
      <c r="AR2006" s="6"/>
      <c r="AS2006" s="6"/>
      <c r="AT2006" s="6"/>
      <c r="AU2006" s="89"/>
      <c r="AV2006" s="100"/>
      <c r="AW2006" s="65"/>
      <c r="AX2006" s="3"/>
    </row>
    <row r="2007" spans="35:50">
      <c r="AI2007" s="99"/>
      <c r="AM2007" s="99"/>
      <c r="AO2007" s="99"/>
      <c r="AR2007" s="6"/>
      <c r="AS2007" s="6"/>
      <c r="AT2007" s="6"/>
      <c r="AU2007" s="89"/>
      <c r="AV2007" s="100"/>
      <c r="AW2007" s="65"/>
      <c r="AX2007" s="3"/>
    </row>
    <row r="2008" spans="35:50">
      <c r="AI2008" s="99"/>
      <c r="AM2008" s="99"/>
      <c r="AO2008" s="99"/>
      <c r="AR2008" s="6"/>
      <c r="AS2008" s="6"/>
      <c r="AT2008" s="6"/>
      <c r="AU2008" s="89"/>
      <c r="AV2008" s="100"/>
      <c r="AW2008" s="65"/>
      <c r="AX2008" s="3"/>
    </row>
    <row r="2009" spans="35:50">
      <c r="AI2009" s="99"/>
      <c r="AM2009" s="99"/>
      <c r="AO2009" s="99"/>
      <c r="AR2009" s="6"/>
      <c r="AS2009" s="6"/>
      <c r="AT2009" s="6"/>
      <c r="AU2009" s="89"/>
      <c r="AV2009" s="100"/>
      <c r="AW2009" s="65"/>
      <c r="AX2009" s="3"/>
    </row>
    <row r="2010" spans="35:50">
      <c r="AI2010" s="99"/>
      <c r="AM2010" s="99"/>
      <c r="AO2010" s="99"/>
      <c r="AR2010" s="6"/>
      <c r="AS2010" s="6"/>
      <c r="AT2010" s="6"/>
      <c r="AU2010" s="89"/>
      <c r="AV2010" s="100"/>
      <c r="AW2010" s="65"/>
      <c r="AX2010" s="3"/>
    </row>
    <row r="2011" spans="35:50">
      <c r="AI2011" s="99"/>
      <c r="AM2011" s="99"/>
      <c r="AO2011" s="99"/>
      <c r="AR2011" s="6"/>
      <c r="AS2011" s="6"/>
      <c r="AT2011" s="6"/>
      <c r="AU2011" s="89"/>
      <c r="AV2011" s="100"/>
      <c r="AW2011" s="65"/>
      <c r="AX2011" s="3"/>
    </row>
    <row r="2012" spans="35:50">
      <c r="AI2012" s="99"/>
      <c r="AM2012" s="99"/>
      <c r="AO2012" s="99"/>
      <c r="AR2012" s="6"/>
      <c r="AS2012" s="6"/>
      <c r="AT2012" s="6"/>
      <c r="AU2012" s="89"/>
      <c r="AV2012" s="100"/>
      <c r="AW2012" s="65"/>
      <c r="AX2012" s="3"/>
    </row>
    <row r="2013" spans="35:50">
      <c r="AI2013" s="99"/>
      <c r="AM2013" s="99"/>
      <c r="AO2013" s="99"/>
      <c r="AR2013" s="6"/>
      <c r="AS2013" s="6"/>
      <c r="AT2013" s="6"/>
      <c r="AU2013" s="89"/>
      <c r="AV2013" s="100"/>
      <c r="AW2013" s="65"/>
      <c r="AX2013" s="3"/>
    </row>
    <row r="2014" spans="35:50">
      <c r="AI2014" s="99"/>
      <c r="AM2014" s="99"/>
      <c r="AO2014" s="99"/>
      <c r="AR2014" s="6"/>
      <c r="AS2014" s="6"/>
      <c r="AT2014" s="6"/>
      <c r="AU2014" s="89"/>
      <c r="AV2014" s="100"/>
      <c r="AW2014" s="65"/>
      <c r="AX2014" s="3"/>
    </row>
    <row r="2015" spans="35:50">
      <c r="AI2015" s="99"/>
      <c r="AM2015" s="99"/>
      <c r="AO2015" s="99"/>
      <c r="AR2015" s="6"/>
      <c r="AS2015" s="6"/>
      <c r="AT2015" s="6"/>
      <c r="AU2015" s="89"/>
      <c r="AV2015" s="100"/>
      <c r="AW2015" s="65"/>
      <c r="AX2015" s="3"/>
    </row>
    <row r="2016" spans="35:50">
      <c r="AI2016" s="99"/>
      <c r="AM2016" s="99"/>
      <c r="AO2016" s="99"/>
      <c r="AR2016" s="6"/>
      <c r="AS2016" s="6"/>
      <c r="AT2016" s="6"/>
      <c r="AU2016" s="89"/>
      <c r="AV2016" s="100"/>
      <c r="AW2016" s="65"/>
      <c r="AX2016" s="3"/>
    </row>
    <row r="2017" spans="35:50">
      <c r="AI2017" s="99"/>
      <c r="AM2017" s="99"/>
      <c r="AO2017" s="99"/>
      <c r="AR2017" s="6"/>
      <c r="AS2017" s="6"/>
      <c r="AT2017" s="6"/>
      <c r="AU2017" s="89"/>
      <c r="AV2017" s="100"/>
      <c r="AW2017" s="65"/>
      <c r="AX2017" s="3"/>
    </row>
    <row r="2018" spans="35:50">
      <c r="AI2018" s="99"/>
      <c r="AM2018" s="99"/>
      <c r="AO2018" s="99"/>
      <c r="AR2018" s="6"/>
      <c r="AS2018" s="6"/>
      <c r="AT2018" s="6"/>
      <c r="AU2018" s="89"/>
      <c r="AV2018" s="100"/>
      <c r="AW2018" s="65"/>
      <c r="AX2018" s="3"/>
    </row>
    <row r="2019" spans="35:50">
      <c r="AI2019" s="99"/>
      <c r="AM2019" s="99"/>
      <c r="AO2019" s="99"/>
      <c r="AR2019" s="6"/>
      <c r="AS2019" s="6"/>
      <c r="AT2019" s="6"/>
      <c r="AU2019" s="89"/>
      <c r="AV2019" s="100"/>
      <c r="AW2019" s="65"/>
      <c r="AX2019" s="3"/>
    </row>
    <row r="2020" spans="35:50">
      <c r="AI2020" s="99"/>
      <c r="AM2020" s="99"/>
      <c r="AO2020" s="99"/>
      <c r="AR2020" s="6"/>
      <c r="AS2020" s="6"/>
      <c r="AT2020" s="6"/>
      <c r="AU2020" s="89"/>
      <c r="AV2020" s="100"/>
      <c r="AW2020" s="65"/>
      <c r="AX2020" s="3"/>
    </row>
    <row r="2021" spans="35:50">
      <c r="AI2021" s="99"/>
      <c r="AM2021" s="99"/>
      <c r="AO2021" s="99"/>
      <c r="AR2021" s="6"/>
      <c r="AS2021" s="6"/>
      <c r="AT2021" s="6"/>
      <c r="AU2021" s="89"/>
      <c r="AV2021" s="100"/>
      <c r="AW2021" s="65"/>
      <c r="AX2021" s="3"/>
    </row>
    <row r="2022" spans="35:50">
      <c r="AI2022" s="99"/>
      <c r="AM2022" s="99"/>
      <c r="AO2022" s="99"/>
      <c r="AR2022" s="6"/>
      <c r="AS2022" s="6"/>
      <c r="AT2022" s="6"/>
      <c r="AU2022" s="89"/>
      <c r="AV2022" s="100"/>
      <c r="AW2022" s="65"/>
      <c r="AX2022" s="3"/>
    </row>
    <row r="2023" spans="35:50">
      <c r="AI2023" s="99"/>
      <c r="AM2023" s="99"/>
      <c r="AO2023" s="99"/>
      <c r="AR2023" s="6"/>
      <c r="AS2023" s="6"/>
      <c r="AT2023" s="6"/>
      <c r="AU2023" s="89"/>
      <c r="AV2023" s="100"/>
      <c r="AW2023" s="65"/>
      <c r="AX2023" s="3"/>
    </row>
    <row r="2024" spans="35:50">
      <c r="AI2024" s="99"/>
      <c r="AM2024" s="99"/>
      <c r="AO2024" s="99"/>
      <c r="AR2024" s="6"/>
      <c r="AS2024" s="6"/>
      <c r="AT2024" s="6"/>
      <c r="AU2024" s="89"/>
      <c r="AV2024" s="100"/>
      <c r="AW2024" s="65"/>
      <c r="AX2024" s="3"/>
    </row>
    <row r="2025" spans="35:50">
      <c r="AI2025" s="99"/>
      <c r="AM2025" s="99"/>
      <c r="AO2025" s="99"/>
      <c r="AR2025" s="6"/>
      <c r="AS2025" s="6"/>
      <c r="AT2025" s="6"/>
      <c r="AU2025" s="89"/>
      <c r="AV2025" s="100"/>
      <c r="AW2025" s="65"/>
      <c r="AX2025" s="3"/>
    </row>
    <row r="2026" spans="35:50">
      <c r="AI2026" s="99"/>
      <c r="AM2026" s="99"/>
      <c r="AO2026" s="99"/>
      <c r="AR2026" s="6"/>
      <c r="AS2026" s="6"/>
      <c r="AT2026" s="6"/>
      <c r="AU2026" s="89"/>
      <c r="AV2026" s="100"/>
      <c r="AW2026" s="65"/>
      <c r="AX2026" s="3"/>
    </row>
    <row r="2027" spans="35:50">
      <c r="AI2027" s="99"/>
      <c r="AM2027" s="99"/>
      <c r="AO2027" s="99"/>
      <c r="AR2027" s="6"/>
      <c r="AS2027" s="6"/>
      <c r="AT2027" s="6"/>
      <c r="AU2027" s="89"/>
      <c r="AV2027" s="100"/>
      <c r="AW2027" s="65"/>
      <c r="AX2027" s="3"/>
    </row>
    <row r="2028" spans="35:50">
      <c r="AI2028" s="99"/>
      <c r="AM2028" s="99"/>
      <c r="AO2028" s="99"/>
      <c r="AR2028" s="6"/>
      <c r="AS2028" s="6"/>
      <c r="AT2028" s="6"/>
      <c r="AU2028" s="89"/>
      <c r="AV2028" s="100"/>
      <c r="AW2028" s="65"/>
      <c r="AX2028" s="3"/>
    </row>
    <row r="2029" spans="35:50">
      <c r="AI2029" s="99"/>
      <c r="AM2029" s="99"/>
      <c r="AO2029" s="99"/>
      <c r="AR2029" s="6"/>
      <c r="AS2029" s="6"/>
      <c r="AT2029" s="6"/>
      <c r="AU2029" s="89"/>
      <c r="AV2029" s="100"/>
      <c r="AW2029" s="65"/>
      <c r="AX2029" s="3"/>
    </row>
    <row r="2030" spans="35:50">
      <c r="AI2030" s="99"/>
      <c r="AM2030" s="99"/>
      <c r="AO2030" s="99"/>
      <c r="AR2030" s="6"/>
      <c r="AS2030" s="6"/>
      <c r="AT2030" s="6"/>
      <c r="AU2030" s="89"/>
      <c r="AV2030" s="100"/>
      <c r="AW2030" s="65"/>
      <c r="AX2030" s="3"/>
    </row>
    <row r="2031" spans="35:50">
      <c r="AI2031" s="99"/>
      <c r="AM2031" s="99"/>
      <c r="AO2031" s="99"/>
      <c r="AR2031" s="6"/>
      <c r="AS2031" s="6"/>
      <c r="AT2031" s="6"/>
      <c r="AU2031" s="89"/>
      <c r="AV2031" s="100"/>
      <c r="AW2031" s="65"/>
      <c r="AX2031" s="3"/>
    </row>
    <row r="2032" spans="35:50">
      <c r="AI2032" s="99"/>
      <c r="AM2032" s="99"/>
      <c r="AO2032" s="99"/>
      <c r="AR2032" s="6"/>
      <c r="AS2032" s="6"/>
      <c r="AT2032" s="6"/>
      <c r="AU2032" s="89"/>
      <c r="AV2032" s="100"/>
      <c r="AW2032" s="65"/>
      <c r="AX2032" s="3"/>
    </row>
    <row r="2033" spans="35:50">
      <c r="AI2033" s="99"/>
      <c r="AM2033" s="99"/>
      <c r="AO2033" s="99"/>
      <c r="AR2033" s="6"/>
      <c r="AS2033" s="6"/>
      <c r="AT2033" s="6"/>
      <c r="AU2033" s="89"/>
      <c r="AV2033" s="100"/>
      <c r="AW2033" s="65"/>
      <c r="AX2033" s="3"/>
    </row>
    <row r="2034" spans="35:50">
      <c r="AI2034" s="99"/>
      <c r="AM2034" s="99"/>
      <c r="AO2034" s="99"/>
      <c r="AR2034" s="6"/>
      <c r="AS2034" s="6"/>
      <c r="AT2034" s="6"/>
      <c r="AU2034" s="89"/>
      <c r="AV2034" s="100"/>
      <c r="AW2034" s="65"/>
      <c r="AX2034" s="3"/>
    </row>
    <row r="2035" spans="35:50">
      <c r="AI2035" s="99"/>
      <c r="AM2035" s="99"/>
      <c r="AO2035" s="99"/>
      <c r="AR2035" s="6"/>
      <c r="AS2035" s="6"/>
      <c r="AT2035" s="6"/>
      <c r="AU2035" s="89"/>
      <c r="AV2035" s="100"/>
      <c r="AW2035" s="65"/>
      <c r="AX2035" s="3"/>
    </row>
    <row r="2036" spans="35:50">
      <c r="AI2036" s="99"/>
      <c r="AM2036" s="99"/>
      <c r="AO2036" s="99"/>
      <c r="AR2036" s="6"/>
      <c r="AS2036" s="6"/>
      <c r="AT2036" s="6"/>
      <c r="AU2036" s="89"/>
      <c r="AV2036" s="100"/>
      <c r="AW2036" s="65"/>
      <c r="AX2036" s="3"/>
    </row>
    <row r="2037" spans="35:50">
      <c r="AI2037" s="99"/>
      <c r="AM2037" s="99"/>
      <c r="AO2037" s="99"/>
      <c r="AR2037" s="6"/>
      <c r="AS2037" s="6"/>
      <c r="AT2037" s="6"/>
      <c r="AU2037" s="89"/>
      <c r="AV2037" s="100"/>
      <c r="AW2037" s="65"/>
      <c r="AX2037" s="3"/>
    </row>
    <row r="2038" spans="35:50">
      <c r="AI2038" s="99"/>
      <c r="AM2038" s="99"/>
      <c r="AO2038" s="99"/>
      <c r="AR2038" s="6"/>
      <c r="AS2038" s="6"/>
      <c r="AT2038" s="6"/>
      <c r="AU2038" s="89"/>
      <c r="AV2038" s="100"/>
      <c r="AW2038" s="65"/>
      <c r="AX2038" s="3"/>
    </row>
    <row r="2039" spans="35:50">
      <c r="AI2039" s="99"/>
      <c r="AM2039" s="99"/>
      <c r="AO2039" s="99"/>
      <c r="AR2039" s="6"/>
      <c r="AS2039" s="6"/>
      <c r="AT2039" s="6"/>
      <c r="AU2039" s="89"/>
      <c r="AV2039" s="100"/>
      <c r="AW2039" s="65"/>
      <c r="AX2039" s="3"/>
    </row>
    <row r="2040" spans="35:50">
      <c r="AI2040" s="99"/>
      <c r="AM2040" s="99"/>
      <c r="AO2040" s="99"/>
      <c r="AR2040" s="6"/>
      <c r="AS2040" s="6"/>
      <c r="AT2040" s="6"/>
      <c r="AU2040" s="89"/>
      <c r="AV2040" s="100"/>
      <c r="AW2040" s="65"/>
      <c r="AX2040" s="3"/>
    </row>
    <row r="2041" spans="35:50">
      <c r="AI2041" s="99"/>
      <c r="AM2041" s="99"/>
      <c r="AO2041" s="99"/>
      <c r="AR2041" s="6"/>
      <c r="AS2041" s="6"/>
      <c r="AT2041" s="6"/>
      <c r="AU2041" s="89"/>
      <c r="AV2041" s="100"/>
      <c r="AW2041" s="65"/>
      <c r="AX2041" s="3"/>
    </row>
    <row r="2042" spans="35:50">
      <c r="AI2042" s="99"/>
      <c r="AM2042" s="99"/>
      <c r="AO2042" s="99"/>
      <c r="AR2042" s="6"/>
      <c r="AS2042" s="6"/>
      <c r="AT2042" s="6"/>
      <c r="AU2042" s="89"/>
      <c r="AV2042" s="100"/>
      <c r="AW2042" s="65"/>
      <c r="AX2042" s="3"/>
    </row>
    <row r="2043" spans="35:50">
      <c r="AI2043" s="99"/>
      <c r="AM2043" s="99"/>
      <c r="AO2043" s="99"/>
      <c r="AR2043" s="6"/>
      <c r="AS2043" s="6"/>
      <c r="AT2043" s="6"/>
      <c r="AU2043" s="89"/>
      <c r="AV2043" s="100"/>
      <c r="AW2043" s="65"/>
      <c r="AX2043" s="3"/>
    </row>
    <row r="2044" spans="35:50">
      <c r="AI2044" s="99"/>
      <c r="AM2044" s="99"/>
      <c r="AO2044" s="99"/>
      <c r="AR2044" s="6"/>
      <c r="AS2044" s="6"/>
      <c r="AT2044" s="6"/>
      <c r="AU2044" s="89"/>
      <c r="AV2044" s="100"/>
      <c r="AW2044" s="65"/>
      <c r="AX2044" s="3"/>
    </row>
    <row r="2045" spans="35:50">
      <c r="AI2045" s="99"/>
      <c r="AM2045" s="99"/>
      <c r="AO2045" s="99"/>
      <c r="AR2045" s="6"/>
      <c r="AS2045" s="6"/>
      <c r="AT2045" s="6"/>
      <c r="AU2045" s="89"/>
      <c r="AV2045" s="100"/>
      <c r="AW2045" s="65"/>
      <c r="AX2045" s="3"/>
    </row>
    <row r="2046" spans="35:50">
      <c r="AI2046" s="99"/>
      <c r="AM2046" s="99"/>
      <c r="AO2046" s="99"/>
      <c r="AR2046" s="6"/>
      <c r="AS2046" s="6"/>
      <c r="AT2046" s="6"/>
      <c r="AU2046" s="89"/>
      <c r="AV2046" s="100"/>
      <c r="AW2046" s="65"/>
      <c r="AX2046" s="3"/>
    </row>
    <row r="2047" spans="35:50">
      <c r="AI2047" s="99"/>
      <c r="AM2047" s="99"/>
      <c r="AO2047" s="99"/>
      <c r="AR2047" s="6"/>
      <c r="AS2047" s="6"/>
      <c r="AT2047" s="6"/>
      <c r="AU2047" s="89"/>
      <c r="AV2047" s="100"/>
      <c r="AW2047" s="65"/>
      <c r="AX2047" s="3"/>
    </row>
    <row r="2048" spans="35:50">
      <c r="AI2048" s="99"/>
      <c r="AM2048" s="99"/>
      <c r="AO2048" s="99"/>
      <c r="AR2048" s="6"/>
      <c r="AS2048" s="6"/>
      <c r="AT2048" s="6"/>
      <c r="AU2048" s="89"/>
      <c r="AV2048" s="100"/>
      <c r="AW2048" s="65"/>
      <c r="AX2048" s="3"/>
    </row>
    <row r="2049" spans="35:50">
      <c r="AI2049" s="99"/>
      <c r="AM2049" s="99"/>
      <c r="AO2049" s="99"/>
      <c r="AR2049" s="6"/>
      <c r="AS2049" s="6"/>
      <c r="AT2049" s="6"/>
      <c r="AU2049" s="89"/>
      <c r="AV2049" s="100"/>
      <c r="AW2049" s="65"/>
      <c r="AX2049" s="3"/>
    </row>
    <row r="2050" spans="35:50">
      <c r="AI2050" s="99"/>
      <c r="AM2050" s="99"/>
      <c r="AO2050" s="99"/>
      <c r="AR2050" s="6"/>
      <c r="AS2050" s="6"/>
      <c r="AT2050" s="6"/>
      <c r="AU2050" s="89"/>
      <c r="AV2050" s="100"/>
      <c r="AW2050" s="65"/>
      <c r="AX2050" s="3"/>
    </row>
    <row r="2051" spans="35:50">
      <c r="AI2051" s="99"/>
      <c r="AM2051" s="99"/>
      <c r="AO2051" s="99"/>
      <c r="AR2051" s="6"/>
      <c r="AS2051" s="6"/>
      <c r="AT2051" s="6"/>
      <c r="AU2051" s="89"/>
      <c r="AV2051" s="100"/>
      <c r="AW2051" s="65"/>
      <c r="AX2051" s="3"/>
    </row>
    <row r="2052" spans="35:50">
      <c r="AI2052" s="99"/>
      <c r="AM2052" s="99"/>
      <c r="AO2052" s="99"/>
      <c r="AR2052" s="6"/>
      <c r="AS2052" s="6"/>
      <c r="AT2052" s="6"/>
      <c r="AU2052" s="89"/>
      <c r="AV2052" s="100"/>
      <c r="AW2052" s="65"/>
      <c r="AX2052" s="3"/>
    </row>
    <row r="2053" spans="35:50">
      <c r="AI2053" s="99"/>
      <c r="AM2053" s="99"/>
      <c r="AO2053" s="99"/>
      <c r="AR2053" s="6"/>
      <c r="AS2053" s="6"/>
      <c r="AT2053" s="6"/>
      <c r="AU2053" s="89"/>
      <c r="AV2053" s="100"/>
      <c r="AW2053" s="65"/>
      <c r="AX2053" s="3"/>
    </row>
    <row r="2054" spans="35:50">
      <c r="AI2054" s="99"/>
      <c r="AM2054" s="99"/>
      <c r="AO2054" s="99"/>
      <c r="AR2054" s="6"/>
      <c r="AS2054" s="6"/>
      <c r="AT2054" s="6"/>
      <c r="AU2054" s="89"/>
      <c r="AV2054" s="100"/>
      <c r="AW2054" s="65"/>
      <c r="AX2054" s="3"/>
    </row>
    <row r="2055" spans="35:50">
      <c r="AI2055" s="99"/>
      <c r="AM2055" s="99"/>
      <c r="AO2055" s="99"/>
      <c r="AR2055" s="6"/>
      <c r="AS2055" s="6"/>
      <c r="AT2055" s="6"/>
      <c r="AU2055" s="89"/>
      <c r="AV2055" s="100"/>
      <c r="AW2055" s="65"/>
      <c r="AX2055" s="3"/>
    </row>
    <row r="2056" spans="35:50">
      <c r="AI2056" s="99"/>
      <c r="AM2056" s="99"/>
      <c r="AO2056" s="99"/>
      <c r="AR2056" s="6"/>
      <c r="AS2056" s="6"/>
      <c r="AT2056" s="6"/>
      <c r="AU2056" s="89"/>
      <c r="AV2056" s="100"/>
      <c r="AW2056" s="65"/>
      <c r="AX2056" s="3"/>
    </row>
    <row r="2057" spans="35:50">
      <c r="AI2057" s="99"/>
      <c r="AM2057" s="99"/>
      <c r="AO2057" s="99"/>
      <c r="AR2057" s="6"/>
      <c r="AS2057" s="6"/>
      <c r="AT2057" s="6"/>
      <c r="AU2057" s="89"/>
      <c r="AV2057" s="100"/>
      <c r="AW2057" s="65"/>
      <c r="AX2057" s="3"/>
    </row>
    <row r="2058" spans="35:50">
      <c r="AI2058" s="99"/>
      <c r="AM2058" s="99"/>
      <c r="AO2058" s="99"/>
      <c r="AR2058" s="6"/>
      <c r="AS2058" s="6"/>
      <c r="AT2058" s="6"/>
      <c r="AU2058" s="89"/>
      <c r="AV2058" s="100"/>
      <c r="AW2058" s="65"/>
      <c r="AX2058" s="3"/>
    </row>
    <row r="2059" spans="35:50">
      <c r="AI2059" s="99"/>
      <c r="AM2059" s="99"/>
      <c r="AO2059" s="99"/>
      <c r="AR2059" s="6"/>
      <c r="AS2059" s="6"/>
      <c r="AT2059" s="6"/>
      <c r="AU2059" s="89"/>
      <c r="AV2059" s="100"/>
      <c r="AW2059" s="65"/>
      <c r="AX2059" s="3"/>
    </row>
    <row r="2060" spans="35:50">
      <c r="AI2060" s="99"/>
      <c r="AM2060" s="99"/>
      <c r="AO2060" s="99"/>
      <c r="AR2060" s="6"/>
      <c r="AS2060" s="6"/>
      <c r="AT2060" s="6"/>
      <c r="AU2060" s="89"/>
      <c r="AV2060" s="100"/>
      <c r="AW2060" s="65"/>
      <c r="AX2060" s="3"/>
    </row>
    <row r="2061" spans="35:50">
      <c r="AI2061" s="99"/>
      <c r="AM2061" s="99"/>
      <c r="AO2061" s="99"/>
      <c r="AR2061" s="6"/>
      <c r="AS2061" s="6"/>
      <c r="AT2061" s="6"/>
      <c r="AU2061" s="89"/>
      <c r="AV2061" s="100"/>
      <c r="AW2061" s="65"/>
      <c r="AX2061" s="3"/>
    </row>
    <row r="2062" spans="35:50">
      <c r="AI2062" s="99"/>
      <c r="AM2062" s="99"/>
      <c r="AO2062" s="99"/>
      <c r="AR2062" s="6"/>
      <c r="AS2062" s="6"/>
      <c r="AT2062" s="6"/>
      <c r="AU2062" s="89"/>
      <c r="AV2062" s="100"/>
      <c r="AW2062" s="65"/>
      <c r="AX2062" s="3"/>
    </row>
    <row r="2063" spans="35:50">
      <c r="AI2063" s="99"/>
      <c r="AM2063" s="99"/>
      <c r="AO2063" s="99"/>
      <c r="AR2063" s="6"/>
      <c r="AS2063" s="6"/>
      <c r="AT2063" s="6"/>
      <c r="AU2063" s="89"/>
      <c r="AV2063" s="100"/>
      <c r="AW2063" s="65"/>
      <c r="AX2063" s="3"/>
    </row>
    <row r="2064" spans="35:50">
      <c r="AI2064" s="99"/>
      <c r="AM2064" s="99"/>
      <c r="AO2064" s="99"/>
      <c r="AR2064" s="6"/>
      <c r="AS2064" s="6"/>
      <c r="AT2064" s="6"/>
      <c r="AU2064" s="89"/>
      <c r="AV2064" s="100"/>
      <c r="AW2064" s="65"/>
      <c r="AX2064" s="3"/>
    </row>
    <row r="2065" spans="35:50">
      <c r="AI2065" s="99"/>
      <c r="AM2065" s="99"/>
      <c r="AO2065" s="99"/>
      <c r="AR2065" s="6"/>
      <c r="AS2065" s="6"/>
      <c r="AT2065" s="6"/>
      <c r="AU2065" s="89"/>
      <c r="AV2065" s="100"/>
      <c r="AW2065" s="65"/>
      <c r="AX2065" s="3"/>
    </row>
    <row r="2066" spans="35:50">
      <c r="AI2066" s="99"/>
      <c r="AM2066" s="99"/>
      <c r="AO2066" s="99"/>
      <c r="AR2066" s="6"/>
      <c r="AS2066" s="6"/>
      <c r="AT2066" s="6"/>
      <c r="AU2066" s="89"/>
      <c r="AV2066" s="100"/>
      <c r="AW2066" s="65"/>
      <c r="AX2066" s="3"/>
    </row>
    <row r="2067" spans="35:50">
      <c r="AI2067" s="99"/>
      <c r="AM2067" s="99"/>
      <c r="AO2067" s="99"/>
      <c r="AR2067" s="6"/>
      <c r="AS2067" s="6"/>
      <c r="AT2067" s="6"/>
      <c r="AU2067" s="89"/>
      <c r="AV2067" s="100"/>
      <c r="AW2067" s="65"/>
      <c r="AX2067" s="3"/>
    </row>
    <row r="2068" spans="35:50">
      <c r="AI2068" s="99"/>
      <c r="AM2068" s="99"/>
      <c r="AO2068" s="99"/>
      <c r="AR2068" s="6"/>
      <c r="AS2068" s="6"/>
      <c r="AT2068" s="6"/>
      <c r="AU2068" s="89"/>
      <c r="AV2068" s="100"/>
      <c r="AW2068" s="65"/>
      <c r="AX2068" s="3"/>
    </row>
    <row r="2069" spans="35:50">
      <c r="AI2069" s="99"/>
      <c r="AM2069" s="99"/>
      <c r="AO2069" s="99"/>
      <c r="AR2069" s="6"/>
      <c r="AS2069" s="6"/>
      <c r="AT2069" s="6"/>
      <c r="AU2069" s="89"/>
      <c r="AV2069" s="100"/>
      <c r="AW2069" s="65"/>
      <c r="AX2069" s="3"/>
    </row>
    <row r="2070" spans="35:50">
      <c r="AI2070" s="99"/>
      <c r="AM2070" s="99"/>
      <c r="AO2070" s="99"/>
      <c r="AR2070" s="6"/>
      <c r="AS2070" s="6"/>
      <c r="AT2070" s="6"/>
      <c r="AU2070" s="89"/>
      <c r="AV2070" s="100"/>
      <c r="AW2070" s="65"/>
      <c r="AX2070" s="3"/>
    </row>
    <row r="2071" spans="35:50">
      <c r="AI2071" s="99"/>
      <c r="AM2071" s="99"/>
      <c r="AO2071" s="99"/>
      <c r="AR2071" s="6"/>
      <c r="AS2071" s="6"/>
      <c r="AT2071" s="6"/>
      <c r="AU2071" s="89"/>
      <c r="AV2071" s="100"/>
      <c r="AW2071" s="65"/>
      <c r="AX2071" s="3"/>
    </row>
    <row r="2072" spans="35:50">
      <c r="AI2072" s="99"/>
      <c r="AM2072" s="99"/>
      <c r="AO2072" s="99"/>
      <c r="AR2072" s="6"/>
      <c r="AS2072" s="6"/>
      <c r="AT2072" s="6"/>
      <c r="AU2072" s="89"/>
      <c r="AV2072" s="100"/>
      <c r="AW2072" s="65"/>
      <c r="AX2072" s="3"/>
    </row>
    <row r="2073" spans="35:50">
      <c r="AI2073" s="99"/>
      <c r="AM2073" s="99"/>
      <c r="AO2073" s="99"/>
      <c r="AR2073" s="6"/>
      <c r="AS2073" s="6"/>
      <c r="AT2073" s="6"/>
      <c r="AU2073" s="89"/>
      <c r="AV2073" s="100"/>
      <c r="AW2073" s="65"/>
      <c r="AX2073" s="3"/>
    </row>
    <row r="2074" spans="35:50">
      <c r="AI2074" s="99"/>
      <c r="AM2074" s="99"/>
      <c r="AO2074" s="99"/>
      <c r="AR2074" s="6"/>
      <c r="AS2074" s="6"/>
      <c r="AT2074" s="6"/>
      <c r="AU2074" s="89"/>
      <c r="AV2074" s="100"/>
      <c r="AW2074" s="65"/>
      <c r="AX2074" s="3"/>
    </row>
    <row r="2075" spans="35:50">
      <c r="AI2075" s="99"/>
      <c r="AM2075" s="99"/>
      <c r="AO2075" s="99"/>
      <c r="AR2075" s="6"/>
      <c r="AS2075" s="6"/>
      <c r="AT2075" s="6"/>
      <c r="AU2075" s="89"/>
      <c r="AV2075" s="100"/>
      <c r="AW2075" s="65"/>
      <c r="AX2075" s="3"/>
    </row>
    <row r="2076" spans="35:50">
      <c r="AI2076" s="99"/>
      <c r="AM2076" s="99"/>
      <c r="AO2076" s="99"/>
      <c r="AR2076" s="6"/>
      <c r="AS2076" s="6"/>
      <c r="AT2076" s="6"/>
      <c r="AU2076" s="89"/>
      <c r="AV2076" s="100"/>
      <c r="AW2076" s="65"/>
      <c r="AX2076" s="3"/>
    </row>
    <row r="2077" spans="35:50">
      <c r="AI2077" s="99"/>
      <c r="AM2077" s="99"/>
      <c r="AO2077" s="99"/>
      <c r="AR2077" s="6"/>
      <c r="AS2077" s="6"/>
      <c r="AT2077" s="6"/>
      <c r="AU2077" s="89"/>
      <c r="AV2077" s="100"/>
      <c r="AW2077" s="65"/>
      <c r="AX2077" s="3"/>
    </row>
    <row r="2078" spans="35:50">
      <c r="AI2078" s="99"/>
      <c r="AM2078" s="99"/>
      <c r="AO2078" s="99"/>
      <c r="AR2078" s="6"/>
      <c r="AS2078" s="6"/>
      <c r="AT2078" s="6"/>
      <c r="AU2078" s="89"/>
      <c r="AV2078" s="100"/>
      <c r="AW2078" s="65"/>
      <c r="AX2078" s="3"/>
    </row>
    <row r="2079" spans="35:50">
      <c r="AI2079" s="99"/>
      <c r="AM2079" s="99"/>
      <c r="AO2079" s="99"/>
      <c r="AR2079" s="6"/>
      <c r="AS2079" s="6"/>
      <c r="AT2079" s="6"/>
      <c r="AU2079" s="89"/>
      <c r="AV2079" s="100"/>
      <c r="AW2079" s="65"/>
      <c r="AX2079" s="3"/>
    </row>
    <row r="2080" spans="35:50">
      <c r="AI2080" s="99"/>
      <c r="AM2080" s="99"/>
      <c r="AO2080" s="99"/>
      <c r="AR2080" s="6"/>
      <c r="AS2080" s="6"/>
      <c r="AT2080" s="6"/>
      <c r="AU2080" s="89"/>
      <c r="AV2080" s="100"/>
      <c r="AW2080" s="65"/>
      <c r="AX2080" s="3"/>
    </row>
    <row r="2081" spans="35:50">
      <c r="AI2081" s="99"/>
      <c r="AM2081" s="99"/>
      <c r="AO2081" s="99"/>
      <c r="AR2081" s="6"/>
      <c r="AS2081" s="6"/>
      <c r="AT2081" s="6"/>
      <c r="AU2081" s="89"/>
      <c r="AV2081" s="100"/>
      <c r="AW2081" s="65"/>
      <c r="AX2081" s="3"/>
    </row>
    <row r="2082" spans="35:50">
      <c r="AI2082" s="99"/>
      <c r="AM2082" s="99"/>
      <c r="AO2082" s="99"/>
      <c r="AR2082" s="6"/>
      <c r="AS2082" s="6"/>
      <c r="AT2082" s="6"/>
      <c r="AU2082" s="89"/>
      <c r="AV2082" s="100"/>
      <c r="AW2082" s="65"/>
      <c r="AX2082" s="3"/>
    </row>
    <row r="2083" spans="35:50">
      <c r="AI2083" s="99"/>
      <c r="AM2083" s="99"/>
      <c r="AO2083" s="99"/>
      <c r="AR2083" s="6"/>
      <c r="AS2083" s="6"/>
      <c r="AT2083" s="6"/>
      <c r="AU2083" s="89"/>
      <c r="AV2083" s="100"/>
      <c r="AW2083" s="65"/>
      <c r="AX2083" s="3"/>
    </row>
    <row r="2084" spans="35:50">
      <c r="AI2084" s="99"/>
      <c r="AM2084" s="99"/>
      <c r="AO2084" s="99"/>
      <c r="AR2084" s="6"/>
      <c r="AS2084" s="6"/>
      <c r="AT2084" s="6"/>
      <c r="AU2084" s="89"/>
      <c r="AV2084" s="100"/>
      <c r="AW2084" s="65"/>
      <c r="AX2084" s="3"/>
    </row>
    <row r="2085" spans="35:50">
      <c r="AI2085" s="99"/>
      <c r="AM2085" s="99"/>
      <c r="AO2085" s="99"/>
      <c r="AR2085" s="6"/>
      <c r="AS2085" s="6"/>
      <c r="AT2085" s="6"/>
      <c r="AU2085" s="89"/>
      <c r="AV2085" s="100"/>
      <c r="AW2085" s="65"/>
      <c r="AX2085" s="3"/>
    </row>
    <row r="2086" spans="35:50">
      <c r="AI2086" s="99"/>
      <c r="AM2086" s="99"/>
      <c r="AO2086" s="99"/>
      <c r="AR2086" s="6"/>
      <c r="AS2086" s="6"/>
      <c r="AT2086" s="6"/>
      <c r="AU2086" s="89"/>
      <c r="AV2086" s="100"/>
      <c r="AW2086" s="65"/>
      <c r="AX2086" s="3"/>
    </row>
    <row r="2087" spans="35:50">
      <c r="AI2087" s="99"/>
      <c r="AM2087" s="99"/>
      <c r="AO2087" s="99"/>
      <c r="AR2087" s="6"/>
      <c r="AS2087" s="6"/>
      <c r="AT2087" s="6"/>
      <c r="AU2087" s="89"/>
      <c r="AV2087" s="100"/>
      <c r="AW2087" s="65"/>
      <c r="AX2087" s="3"/>
    </row>
    <row r="2088" spans="35:50">
      <c r="AI2088" s="99"/>
      <c r="AM2088" s="99"/>
      <c r="AO2088" s="99"/>
      <c r="AR2088" s="6"/>
      <c r="AS2088" s="6"/>
      <c r="AT2088" s="6"/>
      <c r="AU2088" s="89"/>
      <c r="AV2088" s="100"/>
      <c r="AW2088" s="65"/>
      <c r="AX2088" s="3"/>
    </row>
    <row r="2089" spans="35:50">
      <c r="AI2089" s="99"/>
      <c r="AM2089" s="99"/>
      <c r="AO2089" s="99"/>
      <c r="AR2089" s="6"/>
      <c r="AS2089" s="6"/>
      <c r="AT2089" s="6"/>
      <c r="AU2089" s="89"/>
      <c r="AV2089" s="100"/>
      <c r="AW2089" s="65"/>
      <c r="AX2089" s="3"/>
    </row>
    <row r="2090" spans="35:50">
      <c r="AI2090" s="99"/>
      <c r="AM2090" s="99"/>
      <c r="AO2090" s="99"/>
      <c r="AR2090" s="6"/>
      <c r="AS2090" s="6"/>
      <c r="AT2090" s="6"/>
      <c r="AU2090" s="89"/>
      <c r="AV2090" s="100"/>
      <c r="AW2090" s="65"/>
      <c r="AX2090" s="3"/>
    </row>
    <row r="2091" spans="35:50">
      <c r="AI2091" s="99"/>
      <c r="AM2091" s="99"/>
      <c r="AO2091" s="99"/>
      <c r="AR2091" s="6"/>
      <c r="AS2091" s="6"/>
      <c r="AT2091" s="6"/>
      <c r="AU2091" s="89"/>
      <c r="AV2091" s="100"/>
      <c r="AW2091" s="65"/>
      <c r="AX2091" s="3"/>
    </row>
    <row r="2092" spans="35:50">
      <c r="AI2092" s="99"/>
      <c r="AM2092" s="99"/>
      <c r="AO2092" s="99"/>
      <c r="AR2092" s="6"/>
      <c r="AS2092" s="6"/>
      <c r="AT2092" s="6"/>
      <c r="AU2092" s="89"/>
      <c r="AV2092" s="100"/>
      <c r="AW2092" s="65"/>
      <c r="AX2092" s="3"/>
    </row>
    <row r="2093" spans="35:50">
      <c r="AI2093" s="99"/>
      <c r="AM2093" s="99"/>
      <c r="AO2093" s="99"/>
      <c r="AR2093" s="6"/>
      <c r="AS2093" s="6"/>
      <c r="AT2093" s="6"/>
      <c r="AU2093" s="89"/>
      <c r="AV2093" s="100"/>
      <c r="AW2093" s="65"/>
      <c r="AX2093" s="3"/>
    </row>
    <row r="2094" spans="35:50">
      <c r="AI2094" s="99"/>
      <c r="AM2094" s="99"/>
      <c r="AO2094" s="99"/>
      <c r="AR2094" s="6"/>
      <c r="AS2094" s="6"/>
      <c r="AT2094" s="6"/>
      <c r="AU2094" s="89"/>
      <c r="AV2094" s="100"/>
      <c r="AW2094" s="65"/>
      <c r="AX2094" s="3"/>
    </row>
    <row r="2095" spans="35:50">
      <c r="AI2095" s="99"/>
      <c r="AM2095" s="99"/>
      <c r="AO2095" s="99"/>
      <c r="AR2095" s="6"/>
      <c r="AS2095" s="6"/>
      <c r="AT2095" s="6"/>
      <c r="AU2095" s="89"/>
      <c r="AV2095" s="100"/>
      <c r="AW2095" s="65"/>
      <c r="AX2095" s="3"/>
    </row>
    <row r="2096" spans="35:50">
      <c r="AI2096" s="99"/>
      <c r="AM2096" s="99"/>
      <c r="AO2096" s="99"/>
      <c r="AR2096" s="6"/>
      <c r="AS2096" s="6"/>
      <c r="AT2096" s="6"/>
      <c r="AU2096" s="89"/>
      <c r="AV2096" s="100"/>
      <c r="AW2096" s="65"/>
      <c r="AX2096" s="3"/>
    </row>
    <row r="2097" spans="35:50">
      <c r="AI2097" s="99"/>
      <c r="AM2097" s="99"/>
      <c r="AO2097" s="99"/>
      <c r="AR2097" s="6"/>
      <c r="AS2097" s="6"/>
      <c r="AT2097" s="6"/>
      <c r="AU2097" s="89"/>
      <c r="AV2097" s="100"/>
      <c r="AW2097" s="65"/>
      <c r="AX2097" s="3"/>
    </row>
    <row r="2098" spans="35:50">
      <c r="AI2098" s="99"/>
      <c r="AM2098" s="99"/>
      <c r="AO2098" s="99"/>
      <c r="AR2098" s="6"/>
      <c r="AS2098" s="6"/>
      <c r="AT2098" s="6"/>
      <c r="AU2098" s="89"/>
      <c r="AV2098" s="100"/>
      <c r="AW2098" s="65"/>
      <c r="AX2098" s="3"/>
    </row>
    <row r="2099" spans="35:50">
      <c r="AI2099" s="99"/>
      <c r="AM2099" s="99"/>
      <c r="AO2099" s="99"/>
      <c r="AR2099" s="6"/>
      <c r="AS2099" s="6"/>
      <c r="AT2099" s="6"/>
      <c r="AU2099" s="89"/>
      <c r="AV2099" s="100"/>
      <c r="AW2099" s="65"/>
      <c r="AX2099" s="3"/>
    </row>
    <row r="2100" spans="35:50">
      <c r="AI2100" s="99"/>
      <c r="AM2100" s="99"/>
      <c r="AO2100" s="99"/>
      <c r="AR2100" s="6"/>
      <c r="AS2100" s="6"/>
      <c r="AT2100" s="6"/>
      <c r="AU2100" s="89"/>
      <c r="AV2100" s="100"/>
      <c r="AW2100" s="65"/>
      <c r="AX2100" s="3"/>
    </row>
    <row r="2101" spans="35:50">
      <c r="AI2101" s="99"/>
      <c r="AM2101" s="99"/>
      <c r="AO2101" s="99"/>
      <c r="AR2101" s="6"/>
      <c r="AS2101" s="6"/>
      <c r="AT2101" s="6"/>
      <c r="AU2101" s="89"/>
      <c r="AV2101" s="100"/>
      <c r="AW2101" s="65"/>
      <c r="AX2101" s="3"/>
    </row>
    <row r="2102" spans="35:50">
      <c r="AI2102" s="99"/>
      <c r="AM2102" s="99"/>
      <c r="AO2102" s="99"/>
      <c r="AR2102" s="6"/>
      <c r="AS2102" s="6"/>
      <c r="AT2102" s="6"/>
      <c r="AU2102" s="89"/>
      <c r="AV2102" s="100"/>
      <c r="AW2102" s="65"/>
      <c r="AX2102" s="3"/>
    </row>
    <row r="2103" spans="35:50">
      <c r="AI2103" s="99"/>
      <c r="AM2103" s="99"/>
      <c r="AO2103" s="99"/>
      <c r="AR2103" s="6"/>
      <c r="AS2103" s="6"/>
      <c r="AT2103" s="6"/>
      <c r="AU2103" s="89"/>
      <c r="AV2103" s="100"/>
      <c r="AW2103" s="65"/>
      <c r="AX2103" s="3"/>
    </row>
    <row r="2104" spans="35:50">
      <c r="AI2104" s="99"/>
      <c r="AM2104" s="99"/>
      <c r="AO2104" s="99"/>
      <c r="AR2104" s="6"/>
      <c r="AS2104" s="6"/>
      <c r="AT2104" s="6"/>
      <c r="AU2104" s="89"/>
      <c r="AV2104" s="100"/>
      <c r="AW2104" s="65"/>
      <c r="AX2104" s="3"/>
    </row>
    <row r="2105" spans="35:50">
      <c r="AI2105" s="99"/>
      <c r="AM2105" s="99"/>
      <c r="AO2105" s="99"/>
      <c r="AR2105" s="6"/>
      <c r="AS2105" s="6"/>
      <c r="AT2105" s="6"/>
      <c r="AU2105" s="89"/>
      <c r="AV2105" s="100"/>
      <c r="AW2105" s="65"/>
      <c r="AX2105" s="3"/>
    </row>
    <row r="2106" spans="35:50">
      <c r="AI2106" s="99"/>
      <c r="AM2106" s="99"/>
      <c r="AO2106" s="99"/>
      <c r="AR2106" s="6"/>
      <c r="AS2106" s="6"/>
      <c r="AT2106" s="6"/>
      <c r="AU2106" s="89"/>
      <c r="AV2106" s="100"/>
      <c r="AW2106" s="65"/>
      <c r="AX2106" s="3"/>
    </row>
    <row r="2107" spans="35:50">
      <c r="AI2107" s="99"/>
      <c r="AM2107" s="99"/>
      <c r="AO2107" s="99"/>
      <c r="AR2107" s="6"/>
      <c r="AS2107" s="6"/>
      <c r="AT2107" s="6"/>
      <c r="AU2107" s="89"/>
      <c r="AV2107" s="100"/>
      <c r="AW2107" s="65"/>
      <c r="AX2107" s="3"/>
    </row>
    <row r="2108" spans="35:50">
      <c r="AI2108" s="99"/>
      <c r="AM2108" s="99"/>
      <c r="AO2108" s="99"/>
      <c r="AR2108" s="6"/>
      <c r="AS2108" s="6"/>
      <c r="AT2108" s="6"/>
      <c r="AU2108" s="89"/>
      <c r="AV2108" s="100"/>
      <c r="AW2108" s="65"/>
      <c r="AX2108" s="3"/>
    </row>
    <row r="2109" spans="35:50">
      <c r="AI2109" s="99"/>
      <c r="AM2109" s="99"/>
      <c r="AO2109" s="99"/>
      <c r="AR2109" s="6"/>
      <c r="AS2109" s="6"/>
      <c r="AT2109" s="6"/>
      <c r="AU2109" s="89"/>
      <c r="AV2109" s="100"/>
      <c r="AW2109" s="65"/>
      <c r="AX2109" s="3"/>
    </row>
    <row r="2110" spans="35:50">
      <c r="AI2110" s="99"/>
      <c r="AM2110" s="99"/>
      <c r="AO2110" s="99"/>
      <c r="AR2110" s="6"/>
      <c r="AS2110" s="6"/>
      <c r="AT2110" s="6"/>
      <c r="AU2110" s="89"/>
      <c r="AV2110" s="100"/>
      <c r="AW2110" s="65"/>
      <c r="AX2110" s="3"/>
    </row>
    <row r="2111" spans="35:50">
      <c r="AI2111" s="99"/>
      <c r="AM2111" s="99"/>
      <c r="AO2111" s="99"/>
      <c r="AR2111" s="6"/>
      <c r="AS2111" s="6"/>
      <c r="AT2111" s="6"/>
      <c r="AU2111" s="89"/>
      <c r="AV2111" s="100"/>
      <c r="AW2111" s="65"/>
      <c r="AX2111" s="3"/>
    </row>
  </sheetData>
  <mergeCells count="26">
    <mergeCell ref="R24:R25"/>
    <mergeCell ref="S24:S25"/>
    <mergeCell ref="T24:T25"/>
    <mergeCell ref="U24:U25"/>
    <mergeCell ref="AR10:AR11"/>
    <mergeCell ref="A10:R11"/>
    <mergeCell ref="S10:X11"/>
    <mergeCell ref="AA10:AA11"/>
    <mergeCell ref="AB10:AB11"/>
    <mergeCell ref="AE10:AH10"/>
    <mergeCell ref="AJ10:AJ11"/>
    <mergeCell ref="J14:L14"/>
    <mergeCell ref="A24:A25"/>
    <mergeCell ref="B24:B25"/>
    <mergeCell ref="E24:H24"/>
    <mergeCell ref="J24:J25"/>
    <mergeCell ref="V24:V25"/>
    <mergeCell ref="W24:W25"/>
    <mergeCell ref="X24:X25"/>
    <mergeCell ref="Y10:Z11"/>
    <mergeCell ref="AX10:AX11"/>
    <mergeCell ref="AS10:AS11"/>
    <mergeCell ref="AT10:AT11"/>
    <mergeCell ref="AU10:AU11"/>
    <mergeCell ref="AV10:AV11"/>
    <mergeCell ref="AW10:AW11"/>
  </mergeCells>
  <conditionalFormatting sqref="U1:U9 U12:U23 U66:U1048576">
    <cfRule type="containsText" dxfId="62" priority="63" operator="containsText" text="Check">
      <formula>NOT(ISERROR(SEARCH("Check",U1)))</formula>
    </cfRule>
  </conditionalFormatting>
  <conditionalFormatting sqref="X24:X25">
    <cfRule type="top10" dxfId="61" priority="62" rank="1"/>
  </conditionalFormatting>
  <conditionalFormatting sqref="AW10:AW11">
    <cfRule type="top10" dxfId="60" priority="61" rank="1"/>
  </conditionalFormatting>
  <conditionalFormatting sqref="AX10:AX11">
    <cfRule type="top10" dxfId="59" priority="60" rank="1"/>
  </conditionalFormatting>
  <conditionalFormatting sqref="AW1:AW1048576">
    <cfRule type="top10" dxfId="58" priority="59" rank="1"/>
  </conditionalFormatting>
  <conditionalFormatting sqref="AX12:AX2111">
    <cfRule type="containsText" dxfId="57" priority="58" operator="containsText" text="Check">
      <formula>NOT(ISERROR(SEARCH("Check",AX12)))</formula>
    </cfRule>
  </conditionalFormatting>
  <conditionalFormatting sqref="AX1:AX1048576">
    <cfRule type="containsText" dxfId="56" priority="57" operator="containsText" text="OK">
      <formula>NOT(ISERROR(SEARCH("OK",AX1)))</formula>
    </cfRule>
  </conditionalFormatting>
  <conditionalFormatting sqref="X26">
    <cfRule type="containsText" dxfId="55" priority="56" operator="containsText" text="Check">
      <formula>NOT(ISERROR(SEARCH("Check",X26)))</formula>
    </cfRule>
  </conditionalFormatting>
  <conditionalFormatting sqref="X26">
    <cfRule type="containsText" dxfId="54" priority="55" operator="containsText" text="OK">
      <formula>NOT(ISERROR(SEARCH("OK",X26)))</formula>
    </cfRule>
  </conditionalFormatting>
  <conditionalFormatting sqref="X27">
    <cfRule type="containsText" dxfId="53" priority="54" operator="containsText" text="Check">
      <formula>NOT(ISERROR(SEARCH("Check",X27)))</formula>
    </cfRule>
  </conditionalFormatting>
  <conditionalFormatting sqref="X27">
    <cfRule type="containsText" dxfId="52" priority="53" operator="containsText" text="OK">
      <formula>NOT(ISERROR(SEARCH("OK",X27)))</formula>
    </cfRule>
  </conditionalFormatting>
  <conditionalFormatting sqref="X28">
    <cfRule type="containsText" dxfId="51" priority="52" operator="containsText" text="Check">
      <formula>NOT(ISERROR(SEARCH("Check",X28)))</formula>
    </cfRule>
  </conditionalFormatting>
  <conditionalFormatting sqref="X28">
    <cfRule type="containsText" dxfId="50" priority="51" operator="containsText" text="OK">
      <formula>NOT(ISERROR(SEARCH("OK",X28)))</formula>
    </cfRule>
  </conditionalFormatting>
  <conditionalFormatting sqref="X29">
    <cfRule type="containsText" dxfId="49" priority="50" operator="containsText" text="Check">
      <formula>NOT(ISERROR(SEARCH("Check",X29)))</formula>
    </cfRule>
  </conditionalFormatting>
  <conditionalFormatting sqref="X29">
    <cfRule type="containsText" dxfId="48" priority="49" operator="containsText" text="OK">
      <formula>NOT(ISERROR(SEARCH("OK",X29)))</formula>
    </cfRule>
  </conditionalFormatting>
  <conditionalFormatting sqref="X30">
    <cfRule type="containsText" dxfId="47" priority="48" operator="containsText" text="Check">
      <formula>NOT(ISERROR(SEARCH("Check",X30)))</formula>
    </cfRule>
  </conditionalFormatting>
  <conditionalFormatting sqref="X30">
    <cfRule type="containsText" dxfId="46" priority="47" operator="containsText" text="OK">
      <formula>NOT(ISERROR(SEARCH("OK",X30)))</formula>
    </cfRule>
  </conditionalFormatting>
  <conditionalFormatting sqref="X31">
    <cfRule type="containsText" dxfId="45" priority="46" operator="containsText" text="Check">
      <formula>NOT(ISERROR(SEARCH("Check",X31)))</formula>
    </cfRule>
  </conditionalFormatting>
  <conditionalFormatting sqref="X31">
    <cfRule type="containsText" dxfId="44" priority="45" operator="containsText" text="OK">
      <formula>NOT(ISERROR(SEARCH("OK",X31)))</formula>
    </cfRule>
  </conditionalFormatting>
  <conditionalFormatting sqref="X32">
    <cfRule type="containsText" dxfId="43" priority="44" operator="containsText" text="Check">
      <formula>NOT(ISERROR(SEARCH("Check",X32)))</formula>
    </cfRule>
  </conditionalFormatting>
  <conditionalFormatting sqref="X32">
    <cfRule type="containsText" dxfId="42" priority="43" operator="containsText" text="OK">
      <formula>NOT(ISERROR(SEARCH("OK",X32)))</formula>
    </cfRule>
  </conditionalFormatting>
  <conditionalFormatting sqref="X33">
    <cfRule type="containsText" dxfId="41" priority="42" operator="containsText" text="Check">
      <formula>NOT(ISERROR(SEARCH("Check",X33)))</formula>
    </cfRule>
  </conditionalFormatting>
  <conditionalFormatting sqref="X33">
    <cfRule type="containsText" dxfId="40" priority="41" operator="containsText" text="OK">
      <formula>NOT(ISERROR(SEARCH("OK",X33)))</formula>
    </cfRule>
  </conditionalFormatting>
  <conditionalFormatting sqref="X34">
    <cfRule type="containsText" dxfId="39" priority="40" operator="containsText" text="Check">
      <formula>NOT(ISERROR(SEARCH("Check",X34)))</formula>
    </cfRule>
  </conditionalFormatting>
  <conditionalFormatting sqref="X34">
    <cfRule type="containsText" dxfId="38" priority="39" operator="containsText" text="OK">
      <formula>NOT(ISERROR(SEARCH("OK",X34)))</formula>
    </cfRule>
  </conditionalFormatting>
  <conditionalFormatting sqref="X35">
    <cfRule type="containsText" dxfId="37" priority="38" operator="containsText" text="Check">
      <formula>NOT(ISERROR(SEARCH("Check",X35)))</formula>
    </cfRule>
  </conditionalFormatting>
  <conditionalFormatting sqref="X35">
    <cfRule type="containsText" dxfId="36" priority="37" operator="containsText" text="OK">
      <formula>NOT(ISERROR(SEARCH("OK",X35)))</formula>
    </cfRule>
  </conditionalFormatting>
  <conditionalFormatting sqref="X36">
    <cfRule type="containsText" dxfId="35" priority="36" operator="containsText" text="Check">
      <formula>NOT(ISERROR(SEARCH("Check",X36)))</formula>
    </cfRule>
  </conditionalFormatting>
  <conditionalFormatting sqref="X36">
    <cfRule type="containsText" dxfId="34" priority="35" operator="containsText" text="OK">
      <formula>NOT(ISERROR(SEARCH("OK",X36)))</formula>
    </cfRule>
  </conditionalFormatting>
  <conditionalFormatting sqref="X37">
    <cfRule type="containsText" dxfId="33" priority="34" operator="containsText" text="Check">
      <formula>NOT(ISERROR(SEARCH("Check",X37)))</formula>
    </cfRule>
  </conditionalFormatting>
  <conditionalFormatting sqref="X37">
    <cfRule type="containsText" dxfId="32" priority="33" operator="containsText" text="OK">
      <formula>NOT(ISERROR(SEARCH("OK",X37)))</formula>
    </cfRule>
  </conditionalFormatting>
  <conditionalFormatting sqref="X38">
    <cfRule type="containsText" dxfId="31" priority="32" operator="containsText" text="Check">
      <formula>NOT(ISERROR(SEARCH("Check",X38)))</formula>
    </cfRule>
  </conditionalFormatting>
  <conditionalFormatting sqref="X38">
    <cfRule type="containsText" dxfId="30" priority="31" operator="containsText" text="OK">
      <formula>NOT(ISERROR(SEARCH("OK",X38)))</formula>
    </cfRule>
  </conditionalFormatting>
  <conditionalFormatting sqref="X39">
    <cfRule type="containsText" dxfId="29" priority="30" operator="containsText" text="Check">
      <formula>NOT(ISERROR(SEARCH("Check",X39)))</formula>
    </cfRule>
  </conditionalFormatting>
  <conditionalFormatting sqref="X39">
    <cfRule type="containsText" dxfId="28" priority="29" operator="containsText" text="OK">
      <formula>NOT(ISERROR(SEARCH("OK",X39)))</formula>
    </cfRule>
  </conditionalFormatting>
  <conditionalFormatting sqref="X40">
    <cfRule type="containsText" dxfId="27" priority="28" operator="containsText" text="Check">
      <formula>NOT(ISERROR(SEARCH("Check",X40)))</formula>
    </cfRule>
  </conditionalFormatting>
  <conditionalFormatting sqref="X40">
    <cfRule type="containsText" dxfId="26" priority="27" operator="containsText" text="OK">
      <formula>NOT(ISERROR(SEARCH("OK",X40)))</formula>
    </cfRule>
  </conditionalFormatting>
  <conditionalFormatting sqref="X41">
    <cfRule type="containsText" dxfId="25" priority="26" operator="containsText" text="Check">
      <formula>NOT(ISERROR(SEARCH("Check",X41)))</formula>
    </cfRule>
  </conditionalFormatting>
  <conditionalFormatting sqref="X41">
    <cfRule type="containsText" dxfId="24" priority="25" operator="containsText" text="OK">
      <formula>NOT(ISERROR(SEARCH("OK",X41)))</formula>
    </cfRule>
  </conditionalFormatting>
  <conditionalFormatting sqref="X42">
    <cfRule type="containsText" dxfId="23" priority="24" operator="containsText" text="Check">
      <formula>NOT(ISERROR(SEARCH("Check",X42)))</formula>
    </cfRule>
  </conditionalFormatting>
  <conditionalFormatting sqref="X42">
    <cfRule type="containsText" dxfId="22" priority="23" operator="containsText" text="OK">
      <formula>NOT(ISERROR(SEARCH("OK",X42)))</formula>
    </cfRule>
  </conditionalFormatting>
  <conditionalFormatting sqref="X43">
    <cfRule type="containsText" dxfId="21" priority="22" operator="containsText" text="Check">
      <formula>NOT(ISERROR(SEARCH("Check",X43)))</formula>
    </cfRule>
  </conditionalFormatting>
  <conditionalFormatting sqref="X43">
    <cfRule type="containsText" dxfId="20" priority="21" operator="containsText" text="OK">
      <formula>NOT(ISERROR(SEARCH("OK",X43)))</formula>
    </cfRule>
  </conditionalFormatting>
  <conditionalFormatting sqref="X44">
    <cfRule type="containsText" dxfId="19" priority="20" operator="containsText" text="Check">
      <formula>NOT(ISERROR(SEARCH("Check",X44)))</formula>
    </cfRule>
  </conditionalFormatting>
  <conditionalFormatting sqref="X44">
    <cfRule type="containsText" dxfId="18" priority="19" operator="containsText" text="OK">
      <formula>NOT(ISERROR(SEARCH("OK",X44)))</formula>
    </cfRule>
  </conditionalFormatting>
  <conditionalFormatting sqref="X45">
    <cfRule type="containsText" dxfId="17" priority="18" operator="containsText" text="Check">
      <formula>NOT(ISERROR(SEARCH("Check",X45)))</formula>
    </cfRule>
  </conditionalFormatting>
  <conditionalFormatting sqref="X45">
    <cfRule type="containsText" dxfId="16" priority="17" operator="containsText" text="OK">
      <formula>NOT(ISERROR(SEARCH("OK",X45)))</formula>
    </cfRule>
  </conditionalFormatting>
  <conditionalFormatting sqref="X46">
    <cfRule type="containsText" dxfId="15" priority="16" operator="containsText" text="Check">
      <formula>NOT(ISERROR(SEARCH("Check",X46)))</formula>
    </cfRule>
  </conditionalFormatting>
  <conditionalFormatting sqref="X46">
    <cfRule type="containsText" dxfId="14" priority="15" operator="containsText" text="OK">
      <formula>NOT(ISERROR(SEARCH("OK",X46)))</formula>
    </cfRule>
  </conditionalFormatting>
  <conditionalFormatting sqref="X47">
    <cfRule type="containsText" dxfId="13" priority="14" operator="containsText" text="Check">
      <formula>NOT(ISERROR(SEARCH("Check",X47)))</formula>
    </cfRule>
  </conditionalFormatting>
  <conditionalFormatting sqref="X47">
    <cfRule type="containsText" dxfId="12" priority="13" operator="containsText" text="OK">
      <formula>NOT(ISERROR(SEARCH("OK",X47)))</formula>
    </cfRule>
  </conditionalFormatting>
  <conditionalFormatting sqref="X48">
    <cfRule type="containsText" dxfId="11" priority="12" operator="containsText" text="Check">
      <formula>NOT(ISERROR(SEARCH("Check",X48)))</formula>
    </cfRule>
  </conditionalFormatting>
  <conditionalFormatting sqref="X48">
    <cfRule type="containsText" dxfId="10" priority="11" operator="containsText" text="OK">
      <formula>NOT(ISERROR(SEARCH("OK",X48)))</formula>
    </cfRule>
  </conditionalFormatting>
  <conditionalFormatting sqref="X49">
    <cfRule type="containsText" dxfId="9" priority="10" operator="containsText" text="Check">
      <formula>NOT(ISERROR(SEARCH("Check",X49)))</formula>
    </cfRule>
  </conditionalFormatting>
  <conditionalFormatting sqref="X49">
    <cfRule type="containsText" dxfId="8" priority="9" operator="containsText" text="OK">
      <formula>NOT(ISERROR(SEARCH("OK",X49)))</formula>
    </cfRule>
  </conditionalFormatting>
  <conditionalFormatting sqref="X50">
    <cfRule type="containsText" dxfId="7" priority="8" operator="containsText" text="Check">
      <formula>NOT(ISERROR(SEARCH("Check",X50)))</formula>
    </cfRule>
  </conditionalFormatting>
  <conditionalFormatting sqref="X50">
    <cfRule type="containsText" dxfId="6" priority="7" operator="containsText" text="OK">
      <formula>NOT(ISERROR(SEARCH("OK",X50)))</formula>
    </cfRule>
  </conditionalFormatting>
  <conditionalFormatting sqref="X51">
    <cfRule type="containsText" dxfId="5" priority="6" operator="containsText" text="Check">
      <formula>NOT(ISERROR(SEARCH("Check",X51)))</formula>
    </cfRule>
  </conditionalFormatting>
  <conditionalFormatting sqref="X51">
    <cfRule type="containsText" dxfId="4" priority="5" operator="containsText" text="OK">
      <formula>NOT(ISERROR(SEARCH("OK",X51)))</formula>
    </cfRule>
  </conditionalFormatting>
  <conditionalFormatting sqref="X52">
    <cfRule type="containsText" dxfId="3" priority="4" operator="containsText" text="Check">
      <formula>NOT(ISERROR(SEARCH("Check",X52)))</formula>
    </cfRule>
  </conditionalFormatting>
  <conditionalFormatting sqref="X52">
    <cfRule type="containsText" dxfId="2" priority="3" operator="containsText" text="OK">
      <formula>NOT(ISERROR(SEARCH("OK",X52)))</formula>
    </cfRule>
  </conditionalFormatting>
  <conditionalFormatting sqref="X53">
    <cfRule type="containsText" dxfId="1" priority="2" operator="containsText" text="Check">
      <formula>NOT(ISERROR(SEARCH("Check",X53)))</formula>
    </cfRule>
  </conditionalFormatting>
  <conditionalFormatting sqref="X53">
    <cfRule type="containsText" dxfId="0" priority="1" operator="containsText" text="OK">
      <formula>NOT(ISERROR(SEARCH("OK",X53)))</formula>
    </cfRule>
  </conditionalFormatting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FDC385C-0135-4CD4-A46D-D732E914A2E9}">
          <x14:formula1>
            <xm:f>Data!$A$3:$A$99</xm:f>
          </x14:formula1>
          <xm:sqref>J14:L14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D91F6-BF8E-4A14-896B-F04D0437F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Data</vt:lpstr>
      <vt:lpstr>LT</vt:lpstr>
      <vt:lpstr>Cal</vt:lpstr>
      <vt:lpstr>Cal2V</vt:lpstr>
      <vt:lpstr>Cal!Print_Area</vt:lpstr>
      <vt:lpstr>Cal2V!Print_Area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2024-02-17T11:01:09Z</cp:lastPrinted>
  <dcterms:created xsi:type="dcterms:W3CDTF">2023-12-24T09:13:35Z</dcterms:created>
  <dcterms:modified xsi:type="dcterms:W3CDTF">2026-05-04T03:51:50Z</dcterms:modified>
</cp:coreProperties>
</file>