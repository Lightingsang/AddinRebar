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6B0300C2-7D42-4FD9-B640-AD774A3381EF}" xr6:coauthVersionLast="47" xr6:coauthVersionMax="47" xr10:uidLastSave="{00000000-0000-0000-0000-000000000000}"/>
  <bookViews>
    <workbookView xWindow="-108" yWindow="-108" windowWidth="23256" windowHeight="12456" xr2:uid="{0713E3CE-4A1C-4D33-855C-CD664633FFE1}"/>
  </bookViews>
  <sheets>
    <sheet name="KL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" i="2" l="1"/>
  <c r="AC7" i="2"/>
  <c r="AC8" i="2"/>
  <c r="AC9" i="2"/>
  <c r="AC5" i="2"/>
</calcChain>
</file>

<file path=xl/sharedStrings.xml><?xml version="1.0" encoding="utf-8"?>
<sst xmlns="http://schemas.openxmlformats.org/spreadsheetml/2006/main" count="115" uniqueCount="46">
  <si>
    <t>STT</t>
  </si>
  <si>
    <t>TÊN CẤU KIỆN</t>
  </si>
  <si>
    <t>KÝ HIỆU</t>
  </si>
  <si>
    <t>HÌNH DẠNG, KÍCH THƯỚC</t>
  </si>
  <si>
    <t>SỐ LƯỢNG</t>
  </si>
  <si>
    <t>1 CẤU KIỆN</t>
  </si>
  <si>
    <t>TOÀN BỘ</t>
  </si>
  <si>
    <t>DIỆN TÍCH
(m2)</t>
  </si>
  <si>
    <t>DIỆN TÍCH SƠN
(m2)</t>
  </si>
  <si>
    <t>BẢNG THỐNG KÊ</t>
  </si>
  <si>
    <t>(m)</t>
  </si>
  <si>
    <t>L</t>
  </si>
  <si>
    <t>B</t>
  </si>
  <si>
    <t>t</t>
  </si>
  <si>
    <t>CHIỀU DÀY
(m2)</t>
  </si>
  <si>
    <t>C2_B</t>
  </si>
  <si>
    <t>THÉP BẢN</t>
  </si>
  <si>
    <t xml:space="preserve">288/788 </t>
  </si>
  <si>
    <t>C2_R</t>
  </si>
  <si>
    <t>C2_L</t>
  </si>
  <si>
    <t>C3_B</t>
  </si>
  <si>
    <t>C3_R</t>
  </si>
  <si>
    <t>C3_L</t>
  </si>
  <si>
    <t>C1_B</t>
  </si>
  <si>
    <t>C1_R</t>
  </si>
  <si>
    <t>C1_L</t>
  </si>
  <si>
    <t>K4_B</t>
  </si>
  <si>
    <t xml:space="preserve">476/726 </t>
  </si>
  <si>
    <t>K4_CD</t>
  </si>
  <si>
    <t>K4_CT</t>
  </si>
  <si>
    <t>K3_B</t>
  </si>
  <si>
    <t>K3_CD</t>
  </si>
  <si>
    <t>K3_CT</t>
  </si>
  <si>
    <t>K2_B</t>
  </si>
  <si>
    <t xml:space="preserve">476/776 </t>
  </si>
  <si>
    <t>K2_CD</t>
  </si>
  <si>
    <t>K2_CT</t>
  </si>
  <si>
    <t>K1_B</t>
  </si>
  <si>
    <t xml:space="preserve">776/814 </t>
  </si>
  <si>
    <t>K1_CT</t>
  </si>
  <si>
    <t>K1_CD</t>
  </si>
  <si>
    <t>KG_B</t>
  </si>
  <si>
    <t>KG_CD</t>
  </si>
  <si>
    <t>KG_CT</t>
  </si>
  <si>
    <t>CẤU
KIỆN</t>
  </si>
  <si>
    <t>KHỐI LƯỢNG
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</si>
</sst>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i/>
      <sz val="11"/>
      <color indexed="8"/>
      <name val="Arial"/>
      <family val="2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9" fontId="1" fillId="0" borderId="0">
      <alignment horizontal="left" vertical="center"/>
    </xf>
    <xf numFmtId="0" fontId="2" fillId="2" borderId="0" applyNumberFormat="0" applyBorder="0" applyAlignment="0" applyProtection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2" fillId="2" borderId="1" xfId="2" applyBorder="1" applyAlignment="1">
      <alignment horizontal="center" vertical="center"/>
    </xf>
    <xf numFmtId="0" fontId="2" fillId="2" borderId="1" xfId="2" applyBorder="1" applyAlignment="1">
      <alignment horizontal="center" vertical="center" wrapText="1"/>
    </xf>
    <xf numFmtId="0" fontId="2" fillId="2" borderId="1" xfId="2" applyBorder="1" applyAlignment="1">
      <alignment horizontal="center"/>
    </xf>
    <xf numFmtId="0" fontId="2" fillId="2" borderId="1" xfId="2" applyBorder="1" applyAlignment="1">
      <alignment horizontal="center" vertical="center"/>
    </xf>
  </cellXfs>
  <cellStyles count="3">
    <cellStyle name="20% - Accent1" xfId="2" builtinId="30"/>
    <cellStyle name="Normal" xfId="0" builtinId="0"/>
    <cellStyle name="Tieu de phu" xfId="1" xr:uid="{DAD77BA9-135B-4B66-B28C-5E66DF612368}"/>
  </cellStyles>
  <dxfs count="0"/>
  <tableStyles count="0" defaultTableStyle="TableStyleMedium2" defaultPivotStyle="PivotStyleLight16"/>
  <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FAAC2-F59E-4A51-AB7F-861BC3575AEE}">
  <dimension ref="A1:BD43"/>
  <sheetViews>
    <sheetView showGridLines="0" tabSelected="1" zoomScale="115" zoomScaleNormal="115" workbookViewId="0">
      <pane ySplit="5" topLeftCell="A6" activePane="bottomLeft" state="frozen"/>
      <selection pane="bottomLeft" activeCell="BB9" sqref="BB9"/>
    </sheetView>
  </sheetViews>
  <sheetFormatPr defaultRowHeight="14.4" x14ac:dyDescent="0.3"/>
  <cols>
    <col min="1" max="1" width="9.109375" style="2"/>
    <col min="2" max="2" width="9.109375" style="1"/>
    <col min="3" max="3" width="9.109375" style="2"/>
    <col min="4" max="4" width="9.5546875" style="2" bestFit="1" customWidth="1"/>
    <col min="5" max="11" width="9.109375" style="1"/>
    <col min="12" max="12" width="10.33203125" style="1" customWidth="1"/>
    <col min="13" max="25" width="0" hidden="1" customWidth="1"/>
    <col min="26" max="26" width="3.44140625" style="3" customWidth="1"/>
    <col min="27" max="31" width="9.109375" style="2"/>
    <col min="32" max="51" width="0" hidden="1" customWidth="1"/>
    <col min="52" max="52" width="3.44140625" style="3" customWidth="1"/>
    <col min="53" max="55" width="9.109375" style="2"/>
    <col min="56" max="56" width="9.6640625" style="2" customWidth="1"/>
  </cols>
  <sheetData>
    <row r="1" spans="1:56" x14ac:dyDescent="0.3">
      <c r="A1" s="6" t="s">
        <v>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AA1" s="6" t="s">
        <v>9</v>
      </c>
      <c r="AB1" s="6"/>
      <c r="AC1" s="6"/>
      <c r="AD1" s="6"/>
      <c r="AE1" s="6"/>
      <c r="BA1" s="6" t="s">
        <v>9</v>
      </c>
      <c r="BB1" s="6"/>
      <c r="BC1" s="6"/>
      <c r="BD1" s="6"/>
    </row>
    <row r="2" spans="1:56" ht="15" customHeight="1" x14ac:dyDescent="0.3">
      <c r="A2" s="5" t="s">
        <v>1</v>
      </c>
      <c r="B2" s="5" t="s">
        <v>0</v>
      </c>
      <c r="C2" s="5" t="s">
        <v>2</v>
      </c>
      <c r="D2" s="7" t="s">
        <v>3</v>
      </c>
      <c r="E2" s="7"/>
      <c r="F2" s="7"/>
      <c r="G2" s="7"/>
      <c r="H2" s="7" t="s">
        <v>4</v>
      </c>
      <c r="I2" s="7"/>
      <c r="J2" s="5" t="s">
        <v>7</v>
      </c>
      <c r="K2" s="5" t="s">
        <v>45</v>
      </c>
      <c r="L2" s="5" t="s">
        <v>8</v>
      </c>
      <c r="AA2" s="5" t="s">
        <v>0</v>
      </c>
      <c r="AB2" s="5" t="s">
        <v>14</v>
      </c>
      <c r="AC2" s="5" t="s">
        <v>7</v>
      </c>
      <c r="AD2" s="5" t="s">
        <v>45</v>
      </c>
      <c r="AE2" s="5" t="s">
        <v>8</v>
      </c>
      <c r="BA2" s="5" t="s">
        <v>0</v>
      </c>
      <c r="BB2" s="5" t="s">
        <v>44</v>
      </c>
      <c r="BC2" s="5" t="s">
        <v>45</v>
      </c>
      <c r="BD2" s="5" t="s">
        <v>8</v>
      </c>
    </row>
    <row r="3" spans="1:56" x14ac:dyDescent="0.3">
      <c r="A3" s="5"/>
      <c r="B3" s="5"/>
      <c r="C3" s="5"/>
      <c r="D3" s="7"/>
      <c r="E3" s="4" t="s">
        <v>11</v>
      </c>
      <c r="F3" s="4" t="s">
        <v>12</v>
      </c>
      <c r="G3" s="4" t="s">
        <v>13</v>
      </c>
      <c r="H3" s="5" t="s">
        <v>5</v>
      </c>
      <c r="I3" s="5" t="s">
        <v>6</v>
      </c>
      <c r="J3" s="5"/>
      <c r="K3" s="5"/>
      <c r="L3" s="5"/>
      <c r="AA3" s="5"/>
      <c r="AB3" s="5"/>
      <c r="AC3" s="5"/>
      <c r="AD3" s="5"/>
      <c r="AE3" s="5"/>
      <c r="BA3" s="5"/>
      <c r="BB3" s="5"/>
      <c r="BC3" s="5"/>
      <c r="BD3" s="5"/>
    </row>
    <row r="4" spans="1:56" x14ac:dyDescent="0.3">
      <c r="A4" s="5"/>
      <c r="B4" s="5"/>
      <c r="C4" s="5"/>
      <c r="D4" s="7"/>
      <c r="E4" s="4" t="s">
        <v>10</v>
      </c>
      <c r="F4" s="4" t="s">
        <v>10</v>
      </c>
      <c r="G4" s="4" t="s">
        <v>10</v>
      </c>
      <c r="H4" s="5"/>
      <c r="I4" s="5"/>
      <c r="J4" s="5"/>
      <c r="K4" s="5"/>
      <c r="L4" s="5"/>
      <c r="AA4" s="5"/>
      <c r="AB4" s="5"/>
      <c r="AC4" s="5"/>
      <c r="AD4" s="5"/>
      <c r="AE4" s="5"/>
      <c r="BA4" s="5"/>
      <c r="BB4" s="5"/>
      <c r="BC4" s="5"/>
      <c r="BD4" s="5"/>
    </row>
    <row r="5" spans="1:56" x14ac:dyDescent="0.3">
      <c r="B5" s="1">
        <v>1</v>
      </c>
      <c r="C5" s="2" t="s">
        <v>39</v>
      </c>
      <c r="D5" s="2" t="s">
        <v>16</v>
      </c>
      <c r="E5" s="1">
        <v>9000</v>
      </c>
      <c r="F5" s="1">
        <v>200</v>
      </c>
      <c r="G5" s="1">
        <v>12</v>
      </c>
      <c r="H5" s="1">
        <v>1</v>
      </c>
      <c r="I5" s="1">
        <v>1</v>
      </c>
      <c r="J5" s="1">
        <v>1.8</v>
      </c>
      <c r="K5" s="1">
        <v>169.6</v>
      </c>
      <c r="L5" s="1">
        <v>3.8</v>
      </c>
      <c r="AB5" s="2">
        <v>5</v>
      </c>
      <c r="AC5" s="2">
        <f>SUMIFS($J$5:$J$9999,$G$5:$G$9999,AB5)</f>
        <v>12.9</v>
      </c>
    </row>
    <row r="6" spans="1:56" x14ac:dyDescent="0.3">
      <c r="B6" s="1">
        <v>2</v>
      </c>
      <c r="C6" s="2" t="s">
        <v>40</v>
      </c>
      <c r="D6" s="2" t="s">
        <v>16</v>
      </c>
      <c r="E6" s="1">
        <v>8306</v>
      </c>
      <c r="F6" s="1">
        <v>200</v>
      </c>
      <c r="G6" s="1">
        <v>12</v>
      </c>
      <c r="H6" s="1">
        <v>1</v>
      </c>
      <c r="I6" s="1">
        <v>1</v>
      </c>
      <c r="J6" s="1">
        <v>1.7</v>
      </c>
      <c r="K6" s="1">
        <v>156.4</v>
      </c>
      <c r="L6" s="1">
        <v>3.5</v>
      </c>
      <c r="AB6" s="2">
        <v>6</v>
      </c>
      <c r="AC6" s="2">
        <f t="shared" ref="AC6:AC9" si="0">SUMIFS($J$5:$J$9999,$G$5:$G$9999,AB6)</f>
        <v>8.4</v>
      </c>
    </row>
    <row r="7" spans="1:56" x14ac:dyDescent="0.3">
      <c r="B7" s="1">
        <v>3</v>
      </c>
      <c r="C7" s="2" t="s">
        <v>39</v>
      </c>
      <c r="D7" s="2" t="s">
        <v>16</v>
      </c>
      <c r="E7" s="1">
        <v>990</v>
      </c>
      <c r="F7" s="1">
        <v>200</v>
      </c>
      <c r="G7" s="1">
        <v>6</v>
      </c>
      <c r="H7" s="1">
        <v>1</v>
      </c>
      <c r="I7" s="1">
        <v>1</v>
      </c>
      <c r="J7" s="1">
        <v>0.2</v>
      </c>
      <c r="K7" s="1">
        <v>9.3000000000000007</v>
      </c>
      <c r="L7" s="1">
        <v>0.4</v>
      </c>
      <c r="AB7" s="2">
        <v>8</v>
      </c>
      <c r="AC7" s="2">
        <f t="shared" si="0"/>
        <v>39.5</v>
      </c>
    </row>
    <row r="8" spans="1:56" x14ac:dyDescent="0.3">
      <c r="B8" s="1">
        <v>4</v>
      </c>
      <c r="C8" s="2" t="s">
        <v>37</v>
      </c>
      <c r="D8" s="2" t="s">
        <v>16</v>
      </c>
      <c r="E8" s="1">
        <v>8304</v>
      </c>
      <c r="F8" s="1" t="s">
        <v>38</v>
      </c>
      <c r="G8" s="1">
        <v>8</v>
      </c>
      <c r="H8" s="1">
        <v>1</v>
      </c>
      <c r="I8" s="1">
        <v>1</v>
      </c>
      <c r="J8" s="1">
        <v>8.5</v>
      </c>
      <c r="K8" s="1">
        <v>531.4</v>
      </c>
      <c r="L8" s="1">
        <v>16.899999999999999</v>
      </c>
      <c r="AB8" s="2">
        <v>10</v>
      </c>
      <c r="AC8" s="2">
        <f t="shared" si="0"/>
        <v>7.6</v>
      </c>
    </row>
    <row r="9" spans="1:56" x14ac:dyDescent="0.3">
      <c r="B9" s="1">
        <v>5</v>
      </c>
      <c r="C9" s="2" t="s">
        <v>36</v>
      </c>
      <c r="D9" s="2" t="s">
        <v>16</v>
      </c>
      <c r="E9" s="1">
        <v>9000</v>
      </c>
      <c r="F9" s="1">
        <v>200</v>
      </c>
      <c r="G9" s="1">
        <v>12</v>
      </c>
      <c r="H9" s="1">
        <v>1</v>
      </c>
      <c r="I9" s="1">
        <v>1</v>
      </c>
      <c r="J9" s="1">
        <v>1.8</v>
      </c>
      <c r="K9" s="1">
        <v>169.6</v>
      </c>
      <c r="L9" s="1">
        <v>3.8</v>
      </c>
      <c r="AB9" s="2">
        <v>12</v>
      </c>
      <c r="AC9" s="2">
        <f t="shared" si="0"/>
        <v>27.500000000000004</v>
      </c>
    </row>
    <row r="10" spans="1:56" x14ac:dyDescent="0.3">
      <c r="B10" s="1">
        <v>6</v>
      </c>
      <c r="C10" s="2" t="s">
        <v>35</v>
      </c>
      <c r="D10" s="2" t="s">
        <v>16</v>
      </c>
      <c r="E10" s="1">
        <v>9005</v>
      </c>
      <c r="F10" s="1">
        <v>200</v>
      </c>
      <c r="G10" s="1">
        <v>12</v>
      </c>
      <c r="H10" s="1">
        <v>1</v>
      </c>
      <c r="I10" s="1">
        <v>1</v>
      </c>
      <c r="J10" s="1">
        <v>1.8</v>
      </c>
      <c r="K10" s="1">
        <v>169.6</v>
      </c>
      <c r="L10" s="1">
        <v>3.8</v>
      </c>
    </row>
    <row r="11" spans="1:56" x14ac:dyDescent="0.3">
      <c r="B11" s="1">
        <v>7</v>
      </c>
      <c r="C11" s="2" t="s">
        <v>33</v>
      </c>
      <c r="D11" s="2" t="s">
        <v>16</v>
      </c>
      <c r="E11" s="1">
        <v>9000</v>
      </c>
      <c r="F11" s="1" t="s">
        <v>34</v>
      </c>
      <c r="G11" s="1">
        <v>8</v>
      </c>
      <c r="H11" s="1">
        <v>1</v>
      </c>
      <c r="I11" s="1">
        <v>1</v>
      </c>
      <c r="J11" s="1">
        <v>5.6</v>
      </c>
      <c r="K11" s="1">
        <v>353.8</v>
      </c>
      <c r="L11" s="1">
        <v>11.3</v>
      </c>
    </row>
    <row r="12" spans="1:56" x14ac:dyDescent="0.3">
      <c r="B12" s="1">
        <v>8</v>
      </c>
      <c r="C12" s="2" t="s">
        <v>32</v>
      </c>
      <c r="D12" s="2" t="s">
        <v>16</v>
      </c>
      <c r="E12" s="1">
        <v>7976</v>
      </c>
      <c r="F12" s="1">
        <v>200</v>
      </c>
      <c r="G12" s="1">
        <v>12</v>
      </c>
      <c r="H12" s="1">
        <v>1</v>
      </c>
      <c r="I12" s="1">
        <v>1</v>
      </c>
      <c r="J12" s="1">
        <v>1.6</v>
      </c>
      <c r="K12" s="1">
        <v>150.30000000000001</v>
      </c>
      <c r="L12" s="1">
        <v>3.4</v>
      </c>
    </row>
    <row r="13" spans="1:56" x14ac:dyDescent="0.3">
      <c r="B13" s="1">
        <v>9</v>
      </c>
      <c r="C13" s="2" t="s">
        <v>31</v>
      </c>
      <c r="D13" s="2" t="s">
        <v>16</v>
      </c>
      <c r="E13" s="1">
        <v>7976</v>
      </c>
      <c r="F13" s="1">
        <v>200</v>
      </c>
      <c r="G13" s="1">
        <v>12</v>
      </c>
      <c r="H13" s="1">
        <v>1</v>
      </c>
      <c r="I13" s="1">
        <v>1</v>
      </c>
      <c r="J13" s="1">
        <v>1.6</v>
      </c>
      <c r="K13" s="1">
        <v>150.30000000000001</v>
      </c>
      <c r="L13" s="1">
        <v>3.4</v>
      </c>
    </row>
    <row r="14" spans="1:56" x14ac:dyDescent="0.3">
      <c r="B14" s="1">
        <v>10</v>
      </c>
      <c r="C14" s="2" t="s">
        <v>30</v>
      </c>
      <c r="D14" s="2" t="s">
        <v>16</v>
      </c>
      <c r="E14" s="1">
        <v>7976</v>
      </c>
      <c r="F14" s="1">
        <v>476</v>
      </c>
      <c r="G14" s="1">
        <v>10</v>
      </c>
      <c r="H14" s="1">
        <v>1</v>
      </c>
      <c r="I14" s="1">
        <v>1</v>
      </c>
      <c r="J14" s="1">
        <v>3.8</v>
      </c>
      <c r="K14" s="1">
        <v>298</v>
      </c>
      <c r="L14" s="1">
        <v>7.6</v>
      </c>
    </row>
    <row r="15" spans="1:56" x14ac:dyDescent="0.3">
      <c r="B15" s="1">
        <v>11</v>
      </c>
      <c r="C15" s="2" t="s">
        <v>29</v>
      </c>
      <c r="D15" s="2" t="s">
        <v>16</v>
      </c>
      <c r="E15" s="1">
        <v>7500</v>
      </c>
      <c r="F15" s="1">
        <v>200</v>
      </c>
      <c r="G15" s="1">
        <v>12</v>
      </c>
      <c r="H15" s="1">
        <v>1</v>
      </c>
      <c r="I15" s="1">
        <v>1</v>
      </c>
      <c r="J15" s="1">
        <v>1.5</v>
      </c>
      <c r="K15" s="1">
        <v>141.30000000000001</v>
      </c>
      <c r="L15" s="1">
        <v>3.2</v>
      </c>
    </row>
    <row r="16" spans="1:56" x14ac:dyDescent="0.3">
      <c r="B16" s="1">
        <v>12</v>
      </c>
      <c r="C16" s="2" t="s">
        <v>28</v>
      </c>
      <c r="D16" s="2" t="s">
        <v>16</v>
      </c>
      <c r="E16" s="1">
        <v>7504</v>
      </c>
      <c r="F16" s="1">
        <v>200</v>
      </c>
      <c r="G16" s="1">
        <v>12</v>
      </c>
      <c r="H16" s="1">
        <v>1</v>
      </c>
      <c r="I16" s="1">
        <v>1</v>
      </c>
      <c r="J16" s="1">
        <v>1.5</v>
      </c>
      <c r="K16" s="1">
        <v>141.30000000000001</v>
      </c>
      <c r="L16" s="1">
        <v>3.2</v>
      </c>
    </row>
    <row r="17" spans="2:12" x14ac:dyDescent="0.3">
      <c r="B17" s="1">
        <v>13</v>
      </c>
      <c r="C17" s="2" t="s">
        <v>26</v>
      </c>
      <c r="D17" s="2" t="s">
        <v>16</v>
      </c>
      <c r="E17" s="1">
        <v>7500</v>
      </c>
      <c r="F17" s="1" t="s">
        <v>27</v>
      </c>
      <c r="G17" s="1">
        <v>8</v>
      </c>
      <c r="H17" s="1">
        <v>1</v>
      </c>
      <c r="I17" s="1">
        <v>1</v>
      </c>
      <c r="J17" s="1">
        <v>4.5</v>
      </c>
      <c r="K17" s="1">
        <v>283.10000000000002</v>
      </c>
      <c r="L17" s="1">
        <v>9</v>
      </c>
    </row>
    <row r="18" spans="2:12" x14ac:dyDescent="0.3">
      <c r="B18" s="1">
        <v>14</v>
      </c>
      <c r="C18" s="2" t="s">
        <v>43</v>
      </c>
      <c r="D18" s="2" t="s">
        <v>16</v>
      </c>
      <c r="E18" s="1">
        <v>1500</v>
      </c>
      <c r="F18" s="1">
        <v>200</v>
      </c>
      <c r="G18" s="1">
        <v>12</v>
      </c>
      <c r="H18" s="1">
        <v>1</v>
      </c>
      <c r="I18" s="1">
        <v>1</v>
      </c>
      <c r="J18" s="1">
        <v>0.3</v>
      </c>
      <c r="K18" s="1">
        <v>56.5</v>
      </c>
      <c r="L18" s="1">
        <v>0.7</v>
      </c>
    </row>
    <row r="19" spans="2:12" x14ac:dyDescent="0.3">
      <c r="B19" s="1">
        <v>15</v>
      </c>
      <c r="C19" s="2" t="s">
        <v>42</v>
      </c>
      <c r="D19" s="2" t="s">
        <v>16</v>
      </c>
      <c r="E19" s="1">
        <v>1257</v>
      </c>
      <c r="F19" s="1">
        <v>200</v>
      </c>
      <c r="G19" s="1">
        <v>12</v>
      </c>
      <c r="H19" s="1">
        <v>1</v>
      </c>
      <c r="I19" s="1">
        <v>1</v>
      </c>
      <c r="J19" s="1">
        <v>0.3</v>
      </c>
      <c r="K19" s="1">
        <v>23.6</v>
      </c>
      <c r="L19" s="1">
        <v>0.5</v>
      </c>
    </row>
    <row r="20" spans="2:12" x14ac:dyDescent="0.3">
      <c r="B20" s="1">
        <v>16</v>
      </c>
      <c r="C20" s="2" t="s">
        <v>42</v>
      </c>
      <c r="D20" s="2" t="s">
        <v>16</v>
      </c>
      <c r="E20" s="1">
        <v>1257</v>
      </c>
      <c r="F20" s="1">
        <v>200</v>
      </c>
      <c r="G20" s="1">
        <v>12</v>
      </c>
      <c r="H20" s="1">
        <v>1</v>
      </c>
      <c r="I20" s="1">
        <v>1</v>
      </c>
      <c r="J20" s="1">
        <v>0.3</v>
      </c>
      <c r="K20" s="1">
        <v>23.6</v>
      </c>
      <c r="L20" s="1">
        <v>0.5</v>
      </c>
    </row>
    <row r="21" spans="2:12" x14ac:dyDescent="0.3">
      <c r="B21" s="1">
        <v>17</v>
      </c>
      <c r="C21" s="2" t="s">
        <v>41</v>
      </c>
      <c r="D21" s="2" t="s">
        <v>16</v>
      </c>
      <c r="E21" s="1">
        <v>1499</v>
      </c>
      <c r="F21" s="1">
        <v>726</v>
      </c>
      <c r="G21" s="1">
        <v>8</v>
      </c>
      <c r="H21" s="1">
        <v>1</v>
      </c>
      <c r="I21" s="1">
        <v>1</v>
      </c>
      <c r="J21" s="1">
        <v>2.2999999999999998</v>
      </c>
      <c r="K21" s="1">
        <v>147.1</v>
      </c>
      <c r="L21" s="1">
        <v>4.7</v>
      </c>
    </row>
    <row r="22" spans="2:12" x14ac:dyDescent="0.3">
      <c r="B22" s="1">
        <v>18</v>
      </c>
      <c r="C22" s="2" t="s">
        <v>39</v>
      </c>
      <c r="D22" s="2" t="s">
        <v>16</v>
      </c>
      <c r="E22" s="1">
        <v>9000</v>
      </c>
      <c r="F22" s="1">
        <v>200</v>
      </c>
      <c r="G22" s="1">
        <v>12</v>
      </c>
      <c r="H22" s="1">
        <v>1</v>
      </c>
      <c r="I22" s="1">
        <v>1</v>
      </c>
      <c r="J22" s="1">
        <v>1.8</v>
      </c>
      <c r="K22" s="1">
        <v>169.6</v>
      </c>
      <c r="L22" s="1">
        <v>3.8</v>
      </c>
    </row>
    <row r="23" spans="2:12" x14ac:dyDescent="0.3">
      <c r="B23" s="1">
        <v>19</v>
      </c>
      <c r="C23" s="2" t="s">
        <v>40</v>
      </c>
      <c r="D23" s="2" t="s">
        <v>16</v>
      </c>
      <c r="E23" s="1">
        <v>8306</v>
      </c>
      <c r="F23" s="1">
        <v>200</v>
      </c>
      <c r="G23" s="1">
        <v>12</v>
      </c>
      <c r="H23" s="1">
        <v>1</v>
      </c>
      <c r="I23" s="1">
        <v>1</v>
      </c>
      <c r="J23" s="1">
        <v>1.7</v>
      </c>
      <c r="K23" s="1">
        <v>156.4</v>
      </c>
      <c r="L23" s="1">
        <v>3.5</v>
      </c>
    </row>
    <row r="24" spans="2:12" x14ac:dyDescent="0.3">
      <c r="B24" s="1">
        <v>20</v>
      </c>
      <c r="C24" s="2" t="s">
        <v>39</v>
      </c>
      <c r="D24" s="2" t="s">
        <v>16</v>
      </c>
      <c r="E24" s="1">
        <v>990</v>
      </c>
      <c r="F24" s="1">
        <v>200</v>
      </c>
      <c r="G24" s="1">
        <v>6</v>
      </c>
      <c r="H24" s="1">
        <v>1</v>
      </c>
      <c r="I24" s="1">
        <v>1</v>
      </c>
      <c r="J24" s="1">
        <v>0.2</v>
      </c>
      <c r="K24" s="1">
        <v>9.3000000000000007</v>
      </c>
      <c r="L24" s="1">
        <v>0.4</v>
      </c>
    </row>
    <row r="25" spans="2:12" x14ac:dyDescent="0.3">
      <c r="B25" s="1">
        <v>21</v>
      </c>
      <c r="C25" s="2" t="s">
        <v>37</v>
      </c>
      <c r="D25" s="2" t="s">
        <v>16</v>
      </c>
      <c r="E25" s="1">
        <v>8304</v>
      </c>
      <c r="F25" s="1" t="s">
        <v>38</v>
      </c>
      <c r="G25" s="1">
        <v>8</v>
      </c>
      <c r="H25" s="1">
        <v>1</v>
      </c>
      <c r="I25" s="1">
        <v>1</v>
      </c>
      <c r="J25" s="1">
        <v>8.5</v>
      </c>
      <c r="K25" s="1">
        <v>531.4</v>
      </c>
      <c r="L25" s="1">
        <v>16.899999999999999</v>
      </c>
    </row>
    <row r="26" spans="2:12" x14ac:dyDescent="0.3">
      <c r="B26" s="1">
        <v>22</v>
      </c>
      <c r="C26" s="2" t="s">
        <v>36</v>
      </c>
      <c r="D26" s="2" t="s">
        <v>16</v>
      </c>
      <c r="E26" s="1">
        <v>9000</v>
      </c>
      <c r="F26" s="1">
        <v>200</v>
      </c>
      <c r="G26" s="1">
        <v>12</v>
      </c>
      <c r="H26" s="1">
        <v>1</v>
      </c>
      <c r="I26" s="1">
        <v>1</v>
      </c>
      <c r="J26" s="1">
        <v>1.8</v>
      </c>
      <c r="K26" s="1">
        <v>169.6</v>
      </c>
      <c r="L26" s="1">
        <v>3.8</v>
      </c>
    </row>
    <row r="27" spans="2:12" x14ac:dyDescent="0.3">
      <c r="B27" s="1">
        <v>23</v>
      </c>
      <c r="C27" s="2" t="s">
        <v>35</v>
      </c>
      <c r="D27" s="2" t="s">
        <v>16</v>
      </c>
      <c r="E27" s="1">
        <v>9005</v>
      </c>
      <c r="F27" s="1">
        <v>200</v>
      </c>
      <c r="G27" s="1">
        <v>12</v>
      </c>
      <c r="H27" s="1">
        <v>1</v>
      </c>
      <c r="I27" s="1">
        <v>1</v>
      </c>
      <c r="J27" s="1">
        <v>1.8</v>
      </c>
      <c r="K27" s="1">
        <v>169.6</v>
      </c>
      <c r="L27" s="1">
        <v>3.8</v>
      </c>
    </row>
    <row r="28" spans="2:12" x14ac:dyDescent="0.3">
      <c r="B28" s="1">
        <v>24</v>
      </c>
      <c r="C28" s="2" t="s">
        <v>33</v>
      </c>
      <c r="D28" s="2" t="s">
        <v>16</v>
      </c>
      <c r="E28" s="1">
        <v>9000</v>
      </c>
      <c r="F28" s="1" t="s">
        <v>34</v>
      </c>
      <c r="G28" s="1">
        <v>8</v>
      </c>
      <c r="H28" s="1">
        <v>1</v>
      </c>
      <c r="I28" s="1">
        <v>1</v>
      </c>
      <c r="J28" s="1">
        <v>5.6</v>
      </c>
      <c r="K28" s="1">
        <v>353.8</v>
      </c>
      <c r="L28" s="1">
        <v>11.3</v>
      </c>
    </row>
    <row r="29" spans="2:12" x14ac:dyDescent="0.3">
      <c r="B29" s="1">
        <v>25</v>
      </c>
      <c r="C29" s="2" t="s">
        <v>32</v>
      </c>
      <c r="D29" s="2" t="s">
        <v>16</v>
      </c>
      <c r="E29" s="1">
        <v>7976</v>
      </c>
      <c r="F29" s="1">
        <v>200</v>
      </c>
      <c r="G29" s="1">
        <v>12</v>
      </c>
      <c r="H29" s="1">
        <v>1</v>
      </c>
      <c r="I29" s="1">
        <v>1</v>
      </c>
      <c r="J29" s="1">
        <v>1.6</v>
      </c>
      <c r="K29" s="1">
        <v>150.30000000000001</v>
      </c>
      <c r="L29" s="1">
        <v>3.4</v>
      </c>
    </row>
    <row r="30" spans="2:12" x14ac:dyDescent="0.3">
      <c r="B30" s="1">
        <v>26</v>
      </c>
      <c r="C30" s="2" t="s">
        <v>31</v>
      </c>
      <c r="D30" s="2" t="s">
        <v>16</v>
      </c>
      <c r="E30" s="1">
        <v>7976</v>
      </c>
      <c r="F30" s="1">
        <v>200</v>
      </c>
      <c r="G30" s="1">
        <v>12</v>
      </c>
      <c r="H30" s="1">
        <v>1</v>
      </c>
      <c r="I30" s="1">
        <v>1</v>
      </c>
      <c r="J30" s="1">
        <v>1.6</v>
      </c>
      <c r="K30" s="1">
        <v>150.30000000000001</v>
      </c>
      <c r="L30" s="1">
        <v>3.4</v>
      </c>
    </row>
    <row r="31" spans="2:12" x14ac:dyDescent="0.3">
      <c r="B31" s="1">
        <v>27</v>
      </c>
      <c r="C31" s="2" t="s">
        <v>30</v>
      </c>
      <c r="D31" s="2" t="s">
        <v>16</v>
      </c>
      <c r="E31" s="1">
        <v>7976</v>
      </c>
      <c r="F31" s="1">
        <v>476</v>
      </c>
      <c r="G31" s="1">
        <v>10</v>
      </c>
      <c r="H31" s="1">
        <v>1</v>
      </c>
      <c r="I31" s="1">
        <v>1</v>
      </c>
      <c r="J31" s="1">
        <v>3.8</v>
      </c>
      <c r="K31" s="1">
        <v>298</v>
      </c>
      <c r="L31" s="1">
        <v>7.6</v>
      </c>
    </row>
    <row r="32" spans="2:12" x14ac:dyDescent="0.3">
      <c r="B32" s="1">
        <v>28</v>
      </c>
      <c r="C32" s="2" t="s">
        <v>29</v>
      </c>
      <c r="D32" s="2" t="s">
        <v>16</v>
      </c>
      <c r="E32" s="1">
        <v>7500</v>
      </c>
      <c r="F32" s="1">
        <v>200</v>
      </c>
      <c r="G32" s="1">
        <v>12</v>
      </c>
      <c r="H32" s="1">
        <v>1</v>
      </c>
      <c r="I32" s="1">
        <v>1</v>
      </c>
      <c r="J32" s="1">
        <v>1.5</v>
      </c>
      <c r="K32" s="1">
        <v>141.30000000000001</v>
      </c>
      <c r="L32" s="1">
        <v>3.2</v>
      </c>
    </row>
    <row r="33" spans="2:12" x14ac:dyDescent="0.3">
      <c r="B33" s="1">
        <v>29</v>
      </c>
      <c r="C33" s="2" t="s">
        <v>28</v>
      </c>
      <c r="D33" s="2" t="s">
        <v>16</v>
      </c>
      <c r="E33" s="1">
        <v>7504</v>
      </c>
      <c r="F33" s="1">
        <v>200</v>
      </c>
      <c r="G33" s="1">
        <v>12</v>
      </c>
      <c r="H33" s="1">
        <v>1</v>
      </c>
      <c r="I33" s="1">
        <v>1</v>
      </c>
      <c r="J33" s="1">
        <v>1.5</v>
      </c>
      <c r="K33" s="1">
        <v>141.30000000000001</v>
      </c>
      <c r="L33" s="1">
        <v>3.2</v>
      </c>
    </row>
    <row r="34" spans="2:12" x14ac:dyDescent="0.3">
      <c r="B34" s="1">
        <v>30</v>
      </c>
      <c r="C34" s="2" t="s">
        <v>26</v>
      </c>
      <c r="D34" s="2" t="s">
        <v>16</v>
      </c>
      <c r="E34" s="1">
        <v>7500</v>
      </c>
      <c r="F34" s="1" t="s">
        <v>27</v>
      </c>
      <c r="G34" s="1">
        <v>8</v>
      </c>
      <c r="H34" s="1">
        <v>1</v>
      </c>
      <c r="I34" s="1">
        <v>1</v>
      </c>
      <c r="J34" s="1">
        <v>4.5</v>
      </c>
      <c r="K34" s="1">
        <v>283.10000000000002</v>
      </c>
      <c r="L34" s="1">
        <v>9</v>
      </c>
    </row>
    <row r="35" spans="2:12" x14ac:dyDescent="0.3">
      <c r="B35" s="1">
        <v>31</v>
      </c>
      <c r="C35" s="2" t="s">
        <v>25</v>
      </c>
      <c r="D35" s="2" t="s">
        <v>16</v>
      </c>
      <c r="E35" s="1">
        <v>6617</v>
      </c>
      <c r="F35" s="1">
        <v>164</v>
      </c>
      <c r="G35" s="1">
        <v>6</v>
      </c>
      <c r="H35" s="1">
        <v>1</v>
      </c>
      <c r="I35" s="1">
        <v>1</v>
      </c>
      <c r="J35" s="1">
        <v>1.1000000000000001</v>
      </c>
      <c r="K35" s="1">
        <v>51.1</v>
      </c>
      <c r="L35" s="1">
        <v>2.2000000000000002</v>
      </c>
    </row>
    <row r="36" spans="2:12" x14ac:dyDescent="0.3">
      <c r="B36" s="1">
        <v>32</v>
      </c>
      <c r="C36" s="2" t="s">
        <v>24</v>
      </c>
      <c r="D36" s="2" t="s">
        <v>16</v>
      </c>
      <c r="E36" s="1">
        <v>6636</v>
      </c>
      <c r="F36" s="1">
        <v>164</v>
      </c>
      <c r="G36" s="1">
        <v>6</v>
      </c>
      <c r="H36" s="1">
        <v>1</v>
      </c>
      <c r="I36" s="1">
        <v>1</v>
      </c>
      <c r="J36" s="1">
        <v>1.1000000000000001</v>
      </c>
      <c r="K36" s="1">
        <v>51.3</v>
      </c>
      <c r="L36" s="1">
        <v>2.2999999999999998</v>
      </c>
    </row>
    <row r="37" spans="2:12" x14ac:dyDescent="0.3">
      <c r="B37" s="1">
        <v>33</v>
      </c>
      <c r="C37" s="2" t="s">
        <v>23</v>
      </c>
      <c r="D37" s="2" t="s">
        <v>16</v>
      </c>
      <c r="E37" s="1">
        <v>6617</v>
      </c>
      <c r="F37" s="1" t="s">
        <v>17</v>
      </c>
      <c r="G37" s="1">
        <v>5</v>
      </c>
      <c r="H37" s="1">
        <v>1</v>
      </c>
      <c r="I37" s="1">
        <v>1</v>
      </c>
      <c r="J37" s="1">
        <v>3.6</v>
      </c>
      <c r="K37" s="1">
        <v>139.69999999999999</v>
      </c>
      <c r="L37" s="1">
        <v>7.1</v>
      </c>
    </row>
    <row r="38" spans="2:12" x14ac:dyDescent="0.3">
      <c r="B38" s="1">
        <v>34</v>
      </c>
      <c r="C38" s="2" t="s">
        <v>22</v>
      </c>
      <c r="D38" s="2" t="s">
        <v>16</v>
      </c>
      <c r="E38" s="1">
        <v>6617</v>
      </c>
      <c r="F38" s="1">
        <v>164</v>
      </c>
      <c r="G38" s="1">
        <v>6</v>
      </c>
      <c r="H38" s="1">
        <v>1</v>
      </c>
      <c r="I38" s="1">
        <v>1</v>
      </c>
      <c r="J38" s="1">
        <v>1.1000000000000001</v>
      </c>
      <c r="K38" s="1">
        <v>51.1</v>
      </c>
      <c r="L38" s="1">
        <v>2.2000000000000002</v>
      </c>
    </row>
    <row r="39" spans="2:12" x14ac:dyDescent="0.3">
      <c r="B39" s="1">
        <v>35</v>
      </c>
      <c r="C39" s="2" t="s">
        <v>21</v>
      </c>
      <c r="D39" s="2" t="s">
        <v>16</v>
      </c>
      <c r="E39" s="1">
        <v>6636</v>
      </c>
      <c r="F39" s="1">
        <v>164</v>
      </c>
      <c r="G39" s="1">
        <v>6</v>
      </c>
      <c r="H39" s="1">
        <v>1</v>
      </c>
      <c r="I39" s="1">
        <v>1</v>
      </c>
      <c r="J39" s="1">
        <v>1.1000000000000001</v>
      </c>
      <c r="K39" s="1">
        <v>51.3</v>
      </c>
      <c r="L39" s="1">
        <v>2.2999999999999998</v>
      </c>
    </row>
    <row r="40" spans="2:12" x14ac:dyDescent="0.3">
      <c r="B40" s="1">
        <v>36</v>
      </c>
      <c r="C40" s="2" t="s">
        <v>20</v>
      </c>
      <c r="D40" s="2" t="s">
        <v>16</v>
      </c>
      <c r="E40" s="1">
        <v>6617</v>
      </c>
      <c r="F40" s="1" t="s">
        <v>17</v>
      </c>
      <c r="G40" s="1">
        <v>5</v>
      </c>
      <c r="H40" s="1">
        <v>1</v>
      </c>
      <c r="I40" s="1">
        <v>1</v>
      </c>
      <c r="J40" s="1">
        <v>3.6</v>
      </c>
      <c r="K40" s="1">
        <v>139.69999999999999</v>
      </c>
      <c r="L40" s="1">
        <v>7.1</v>
      </c>
    </row>
    <row r="41" spans="2:12" x14ac:dyDescent="0.3">
      <c r="B41" s="1">
        <v>37</v>
      </c>
      <c r="C41" s="2" t="s">
        <v>19</v>
      </c>
      <c r="D41" s="2" t="s">
        <v>16</v>
      </c>
      <c r="E41" s="1">
        <v>10689</v>
      </c>
      <c r="F41" s="1">
        <v>164</v>
      </c>
      <c r="G41" s="1">
        <v>6</v>
      </c>
      <c r="H41" s="1">
        <v>1</v>
      </c>
      <c r="I41" s="1">
        <v>1</v>
      </c>
      <c r="J41" s="1">
        <v>1.8</v>
      </c>
      <c r="K41" s="1">
        <v>82.6</v>
      </c>
      <c r="L41" s="1">
        <v>3.6</v>
      </c>
    </row>
    <row r="42" spans="2:12" x14ac:dyDescent="0.3">
      <c r="B42" s="1">
        <v>38</v>
      </c>
      <c r="C42" s="2" t="s">
        <v>18</v>
      </c>
      <c r="D42" s="2" t="s">
        <v>16</v>
      </c>
      <c r="E42" s="1">
        <v>10689</v>
      </c>
      <c r="F42" s="1">
        <v>164</v>
      </c>
      <c r="G42" s="1">
        <v>6</v>
      </c>
      <c r="H42" s="1">
        <v>1</v>
      </c>
      <c r="I42" s="1">
        <v>1</v>
      </c>
      <c r="J42" s="1">
        <v>1.8</v>
      </c>
      <c r="K42" s="1">
        <v>82.6</v>
      </c>
      <c r="L42" s="1">
        <v>3.6</v>
      </c>
    </row>
    <row r="43" spans="2:12" x14ac:dyDescent="0.3">
      <c r="B43" s="1">
        <v>39</v>
      </c>
      <c r="C43" s="2" t="s">
        <v>15</v>
      </c>
      <c r="D43" s="2" t="s">
        <v>16</v>
      </c>
      <c r="E43" s="1">
        <v>10689</v>
      </c>
      <c r="F43" s="1" t="s">
        <v>17</v>
      </c>
      <c r="G43" s="1">
        <v>5</v>
      </c>
      <c r="H43" s="1">
        <v>1</v>
      </c>
      <c r="I43" s="1">
        <v>1</v>
      </c>
      <c r="J43" s="1">
        <v>5.7</v>
      </c>
      <c r="K43" s="1">
        <v>225.7</v>
      </c>
      <c r="L43" s="1">
        <v>11.5</v>
      </c>
    </row>
  </sheetData>
  <mergeCells count="23">
    <mergeCell ref="AA1:AE1"/>
    <mergeCell ref="BA1:BD1"/>
    <mergeCell ref="BA2:BA4"/>
    <mergeCell ref="BB2:BB4"/>
    <mergeCell ref="BC2:BC4"/>
    <mergeCell ref="AA2:AA4"/>
    <mergeCell ref="BD2:BD4"/>
    <mergeCell ref="AB2:AB4"/>
    <mergeCell ref="AC2:AC4"/>
    <mergeCell ref="AD2:AD4"/>
    <mergeCell ref="AE2:AE4"/>
    <mergeCell ref="J2:J4"/>
    <mergeCell ref="K2:K4"/>
    <mergeCell ref="L2:L4"/>
    <mergeCell ref="A1:L1"/>
    <mergeCell ref="D3:D4"/>
    <mergeCell ref="A2:A4"/>
    <mergeCell ref="B2:B4"/>
    <mergeCell ref="C2:C4"/>
    <mergeCell ref="D2:G2"/>
    <mergeCell ref="H2:I2"/>
    <mergeCell ref="H3:H4"/>
    <mergeCell ref="I3:I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2024-03-20T13:50:53Z</dcterms:created>
  <dcterms:modified xsi:type="dcterms:W3CDTF">2025-12-05T03:56:29Z</dcterms:modified>
</cp:coreProperties>
</file>