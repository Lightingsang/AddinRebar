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7AA5543A-B64A-4991-BD26-3FD711E018CA}" xr6:coauthVersionLast="47" xr6:coauthVersionMax="47" xr10:uidLastSave="{00000000-0000-0000-0000-000000000000}"/>
  <bookViews>
    <workbookView xWindow="-23148" yWindow="-108" windowWidth="23256" windowHeight="12456" xr2:uid="{00000000-000D-0000-FFFF-FFFF00000000}"/>
  </bookViews>
  <sheets>
    <sheet name="CVN" sheetId="6" r:id="rId1"/>
  </sheets>
  <functionGroups builtInGroupCount="19"/>
  <definedNames>
    <definedName name="_xlnm._FilterDatabase" localSheetId="0" hidden="1">CVN!#REF!</definedName>
    <definedName name="_xleta.COT" hidden="1" xlm="1">#NAME?</definedName>
    <definedName name="_xleta.DAY" hidden="1" xlm="1">#NAME?</definedName>
    <definedName name="_xleta.IFERROR" hidden="1" xlm="1">#NAME?</definedName>
    <definedName name="_xleta.MATCH" hidden="1" xlm="1">#NAME?</definedName>
    <definedName name="_xlnm.Print_Area" localSheetId="0">CVN!$A$1:$I$33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6" l="1"/>
  <c r="D32" i="6"/>
  <c r="B32" i="6"/>
  <c r="C32" i="6" s="1"/>
  <c r="B31" i="6"/>
  <c r="B30" i="6"/>
  <c r="B29" i="6"/>
  <c r="B28" i="6"/>
  <c r="B27" i="6"/>
  <c r="B26" i="6"/>
  <c r="D25" i="6"/>
  <c r="C25" i="6"/>
  <c r="B25" i="6"/>
  <c r="B24" i="6"/>
  <c r="D23" i="6"/>
  <c r="B23" i="6"/>
  <c r="C23" i="6" s="1"/>
  <c r="B22" i="6"/>
  <c r="B21" i="6"/>
  <c r="B20" i="6"/>
  <c r="B19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  <c r="J17" i="6"/>
  <c r="B18" i="6"/>
  <c r="D33" i="6" l="1"/>
  <c r="C33" i="6"/>
  <c r="D31" i="6"/>
  <c r="C31" i="6"/>
  <c r="D30" i="6"/>
  <c r="C30" i="6"/>
  <c r="D29" i="6"/>
  <c r="C29" i="6"/>
  <c r="D28" i="6"/>
  <c r="C28" i="6"/>
  <c r="D27" i="6"/>
  <c r="C27" i="6"/>
  <c r="D26" i="6"/>
  <c r="C26" i="6"/>
  <c r="D24" i="6"/>
  <c r="C24" i="6"/>
  <c r="D22" i="6"/>
  <c r="C22" i="6"/>
  <c r="D21" i="6"/>
  <c r="C21" i="6"/>
  <c r="C20" i="6"/>
  <c r="D20" i="6"/>
  <c r="C19" i="6"/>
  <c r="D19" i="6"/>
  <c r="B9" i="6"/>
  <c r="B10" i="6"/>
  <c r="E6" i="6"/>
  <c r="B6" i="6"/>
  <c r="B5" i="6"/>
  <c r="B4" i="6"/>
  <c r="E29" i="6" l="1"/>
  <c r="G29" i="6" s="1"/>
  <c r="H29" i="6" s="1"/>
  <c r="E28" i="6"/>
  <c r="G28" i="6" s="1"/>
  <c r="H28" i="6" s="1"/>
  <c r="E27" i="6"/>
  <c r="G27" i="6" s="1"/>
  <c r="H27" i="6" s="1"/>
  <c r="E26" i="6"/>
  <c r="G26" i="6" s="1"/>
  <c r="H26" i="6" s="1"/>
  <c r="E24" i="6"/>
  <c r="G24" i="6" s="1"/>
  <c r="H24" i="6" s="1"/>
  <c r="E22" i="6"/>
  <c r="G22" i="6" s="1"/>
  <c r="H22" i="6" s="1"/>
  <c r="E21" i="6"/>
  <c r="G21" i="6" s="1"/>
  <c r="H21" i="6" s="1"/>
  <c r="E20" i="6"/>
  <c r="G20" i="6" s="1"/>
  <c r="H20" i="6" s="1"/>
  <c r="E19" i="6"/>
  <c r="G19" i="6" s="1"/>
  <c r="H19" i="6" s="1"/>
  <c r="E33" i="6"/>
  <c r="G33" i="6" s="1"/>
  <c r="H33" i="6" s="1"/>
  <c r="E31" i="6"/>
  <c r="G31" i="6" s="1"/>
  <c r="H31" i="6" s="1"/>
  <c r="E25" i="6"/>
  <c r="G25" i="6" s="1"/>
  <c r="H25" i="6" s="1"/>
  <c r="E23" i="6"/>
  <c r="G23" i="6" s="1"/>
  <c r="H23" i="6" s="1"/>
  <c r="E32" i="6"/>
  <c r="G32" i="6" s="1"/>
  <c r="H32" i="6" s="1"/>
  <c r="E30" i="6"/>
  <c r="G30" i="6" s="1"/>
  <c r="H30" i="6" s="1"/>
  <c r="E13" i="6"/>
  <c r="E18" i="6"/>
  <c r="J18" i="6" l="1"/>
  <c r="D18" i="6" l="1"/>
  <c r="C18" i="6"/>
  <c r="G18" i="6" l="1"/>
  <c r="H18" i="6" s="1"/>
  <c r="D13" i="6"/>
  <c r="B13" i="6" l="1"/>
  <c r="C13" i="6"/>
  <c r="G13" i="6"/>
  <c r="H1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74A077-5306-4E51-BE81-FAF1A1651208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sharedStrings.xml><?xml version="1.0" encoding="utf-8"?>
<sst xmlns="http://schemas.openxmlformats.org/spreadsheetml/2006/main" count="183" uniqueCount="44">
  <si>
    <t>A. THÔNG TIN THIẾT KẾ</t>
  </si>
  <si>
    <t>mm</t>
  </si>
  <si>
    <t>KIỂM TRA CHUYỂN VỊ NGANG CỘT</t>
  </si>
  <si>
    <t>NHÀ XƯỞNG</t>
  </si>
  <si>
    <t>TABLE:  Joint Displacements</t>
  </si>
  <si>
    <t>Label</t>
  </si>
  <si>
    <t>Output Case</t>
  </si>
  <si>
    <t>Ux</t>
  </si>
  <si>
    <t>Uy</t>
  </si>
  <si>
    <t/>
  </si>
  <si>
    <t>H =</t>
  </si>
  <si>
    <t>m</t>
  </si>
  <si>
    <t>B. QUY TRÌNH KIỂM TRA</t>
  </si>
  <si>
    <t>Bảng kiểm tra chuyển vị ngang tại đỉnh cấu kiện</t>
  </si>
  <si>
    <r>
      <t>[</t>
    </r>
    <r>
      <rPr>
        <sz val="10"/>
        <rFont val="Symbol"/>
        <family val="1"/>
        <charset val="2"/>
      </rPr>
      <t>D]</t>
    </r>
    <r>
      <rPr>
        <sz val="10"/>
        <rFont val="Calibri"/>
        <family val="2"/>
        <scheme val="minor"/>
      </rPr>
      <t xml:space="preserve"> =</t>
    </r>
  </si>
  <si>
    <t>Tổ hợp tải trọng</t>
  </si>
  <si>
    <t>Nhận
xét</t>
  </si>
  <si>
    <t>Tỷ số</t>
  </si>
  <si>
    <t>Chuyển vị
tính toán (mm)</t>
  </si>
  <si>
    <t>Chuyển vị
cho phép (mm)</t>
  </si>
  <si>
    <t>Ux &amp; Uy</t>
  </si>
  <si>
    <t>Combo</t>
  </si>
  <si>
    <t>Dir</t>
  </si>
  <si>
    <t>Điểm
(Label)</t>
  </si>
  <si>
    <t>3</t>
  </si>
  <si>
    <t>9</t>
  </si>
  <si>
    <t>13</t>
  </si>
  <si>
    <t>17</t>
  </si>
  <si>
    <t>sls2 : 1 DL + 1 CO + 1 WL1+Cpi</t>
  </si>
  <si>
    <t>sls3 : 1 DL + 1 CO + 1 WL1-Cpi</t>
  </si>
  <si>
    <t>sls4 : 1 DL + 1 CO + 1 WL2+Cpi</t>
  </si>
  <si>
    <t>sls5 : 1 DL + 1 CO + 1 WL2-Cpi</t>
  </si>
  <si>
    <t>sls6 : 1 DL + 1 CO + 1 WR1+Cpi</t>
  </si>
  <si>
    <t>sls7 : 1 DL + 1 CO + 1 WR1-Cpi</t>
  </si>
  <si>
    <t>sls8 : 1 DL + 1 CO + 1 WR2+Cpi</t>
  </si>
  <si>
    <t>sls9 : 1 DL + 1 CO + 1 WR2-Cpi</t>
  </si>
  <si>
    <t>sls10 : 1 DL + 1 CO + 1 WE1+Cpi</t>
  </si>
  <si>
    <t>sls11 : 1 DL + 1 CO + 1 WE1-Cpi</t>
  </si>
  <si>
    <t>sls12 : 1 DL + 1 CO + 1 WE2+Cpi</t>
  </si>
  <si>
    <t>sls13 : 1 DL + 1 CO + 1 WE2-Cpi</t>
  </si>
  <si>
    <t>sls14 : 1 DL + 1 CO + 1 WE3+Cpi</t>
  </si>
  <si>
    <t>sls15 : 1 DL + 1 CO + 1 WE3-Cpi</t>
  </si>
  <si>
    <t>sls16 : 1 DL + 1 CO + 1 WE4+Cpi</t>
  </si>
  <si>
    <t>sls17 : 1 DL + 1 CO + 1 WE4-Cpi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</si>
</sst>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name val="Times New Roman"/>
      <family val="1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Symbol"/>
      <family val="1"/>
      <charset val="2"/>
    </font>
    <font>
      <b/>
      <sz val="11"/>
      <color rgb="FF0000CC"/>
      <name val="Calibri"/>
      <family val="2"/>
      <scheme val="minor"/>
    </font>
    <font>
      <sz val="11"/>
      <color rgb="FF0000CC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hair">
        <color rgb="FF808080"/>
      </top>
      <bottom/>
      <diagonal/>
    </border>
  </borders>
  <cellStyleXfs count="7">
    <xf numFmtId="0" fontId="0" fillId="0" borderId="0"/>
    <xf numFmtId="0" fontId="7" fillId="0" borderId="0"/>
    <xf numFmtId="0" fontId="8" fillId="6" borderId="2" applyNumberFormat="0" applyAlignment="0" applyProtection="0"/>
    <xf numFmtId="0" fontId="10" fillId="0" borderId="0"/>
    <xf numFmtId="164" fontId="10" fillId="0" borderId="0" applyFont="0" applyFill="0" applyBorder="0" applyAlignment="0" applyProtection="0"/>
    <xf numFmtId="0" fontId="11" fillId="0" borderId="0"/>
    <xf numFmtId="0" fontId="11" fillId="0" borderId="0"/>
  </cellStyleXfs>
  <cellXfs count="102">
    <xf numFmtId="0" fontId="0" fillId="0" borderId="0" xfId="0"/>
    <xf numFmtId="0" fontId="1" fillId="0" borderId="0" xfId="0" applyFont="1"/>
    <xf numFmtId="0" fontId="1" fillId="5" borderId="0" xfId="0" applyFont="1" applyFill="1"/>
    <xf numFmtId="0" fontId="1" fillId="0" borderId="1" xfId="0" applyFont="1" applyBorder="1"/>
    <xf numFmtId="0" fontId="1" fillId="0" borderId="0" xfId="0" applyFont="1" applyAlignment="1">
      <alignment horizontal="center" vertical="center"/>
    </xf>
    <xf numFmtId="0" fontId="16" fillId="0" borderId="1" xfId="0" applyFont="1" applyBorder="1"/>
    <xf numFmtId="0" fontId="1" fillId="0" borderId="0" xfId="0" applyFont="1" applyAlignment="1">
      <alignment horizontal="left" vertical="center" indent="1"/>
    </xf>
    <xf numFmtId="2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/>
    </xf>
    <xf numFmtId="164" fontId="8" fillId="6" borderId="2" xfId="2" applyNumberForma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 indent="1"/>
    </xf>
    <xf numFmtId="49" fontId="15" fillId="8" borderId="8" xfId="0" applyNumberFormat="1" applyFont="1" applyFill="1" applyBorder="1"/>
    <xf numFmtId="49" fontId="13" fillId="8" borderId="8" xfId="0" applyNumberFormat="1" applyFont="1" applyFill="1" applyBorder="1"/>
    <xf numFmtId="49" fontId="0" fillId="8" borderId="8" xfId="0" applyNumberFormat="1" applyFill="1" applyBorder="1"/>
    <xf numFmtId="2" fontId="0" fillId="8" borderId="8" xfId="0" applyNumberFormat="1" applyFill="1" applyBorder="1" applyAlignment="1">
      <alignment horizontal="center"/>
    </xf>
    <xf numFmtId="2" fontId="0" fillId="8" borderId="9" xfId="0" applyNumberFormat="1" applyFill="1" applyBorder="1" applyAlignment="1">
      <alignment horizontal="center" vertical="center"/>
    </xf>
    <xf numFmtId="0" fontId="1" fillId="2" borderId="4" xfId="0" applyFont="1" applyFill="1" applyBorder="1" applyAlignment="1">
      <alignment vertical="top"/>
    </xf>
    <xf numFmtId="49" fontId="15" fillId="9" borderId="8" xfId="0" applyNumberFormat="1" applyFont="1" applyFill="1" applyBorder="1" applyAlignment="1">
      <alignment horizontal="center"/>
    </xf>
    <xf numFmtId="49" fontId="13" fillId="9" borderId="8" xfId="0" applyNumberFormat="1" applyFont="1" applyFill="1" applyBorder="1" applyAlignment="1">
      <alignment horizontal="center"/>
    </xf>
    <xf numFmtId="2" fontId="13" fillId="9" borderId="8" xfId="0" applyNumberFormat="1" applyFont="1" applyFill="1" applyBorder="1" applyAlignment="1">
      <alignment horizontal="center"/>
    </xf>
    <xf numFmtId="2" fontId="13" fillId="9" borderId="9" xfId="0" applyNumberFormat="1" applyFont="1" applyFill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165" fontId="15" fillId="9" borderId="8" xfId="0" applyNumberFormat="1" applyFont="1" applyFill="1" applyBorder="1" applyAlignment="1">
      <alignment horizontal="center"/>
    </xf>
    <xf numFmtId="0" fontId="4" fillId="0" borderId="5" xfId="0" applyFont="1" applyBorder="1" applyAlignment="1">
      <alignment horizontal="left" vertical="center"/>
    </xf>
    <xf numFmtId="49" fontId="0" fillId="9" borderId="8" xfId="0" applyNumberFormat="1" applyFill="1" applyBorder="1" applyAlignment="1">
      <alignment horizontal="center"/>
    </xf>
    <xf numFmtId="49" fontId="0" fillId="0" borderId="5" xfId="0" applyNumberFormat="1" applyBorder="1"/>
    <xf numFmtId="2" fontId="0" fillId="9" borderId="8" xfId="0" applyNumberForma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9" borderId="9" xfId="0" applyNumberFormat="1" applyFill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4" fillId="0" borderId="8" xfId="0" applyFont="1" applyBorder="1" applyAlignment="1">
      <alignment horizontal="left" vertical="center"/>
    </xf>
    <xf numFmtId="49" fontId="0" fillId="0" borderId="8" xfId="0" applyNumberFormat="1" applyBorder="1"/>
    <xf numFmtId="2" fontId="0" fillId="0" borderId="8" xfId="0" applyNumberFormat="1" applyBorder="1" applyAlignment="1">
      <alignment horizontal="center"/>
    </xf>
    <xf numFmtId="2" fontId="1" fillId="0" borderId="9" xfId="0" applyNumberFormat="1" applyFont="1" applyBorder="1" applyAlignment="1">
      <alignment horizontal="center" vertical="center"/>
    </xf>
    <xf numFmtId="0" fontId="1" fillId="2" borderId="7" xfId="0" applyFont="1" applyFill="1" applyBorder="1"/>
    <xf numFmtId="0" fontId="2" fillId="2" borderId="0" xfId="0" applyFont="1" applyFill="1" applyAlignment="1">
      <alignment horizontal="centerContinuous"/>
    </xf>
    <xf numFmtId="164" fontId="1" fillId="2" borderId="0" xfId="0" applyNumberFormat="1" applyFont="1" applyFill="1"/>
    <xf numFmtId="0" fontId="1" fillId="2" borderId="7" xfId="0" applyFont="1" applyFill="1" applyBorder="1" applyAlignment="1">
      <alignment vertical="top"/>
    </xf>
    <xf numFmtId="0" fontId="1" fillId="2" borderId="8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/>
    </xf>
    <xf numFmtId="0" fontId="1" fillId="2" borderId="8" xfId="0" applyFont="1" applyFill="1" applyBorder="1" applyAlignment="1">
      <alignment horizontal="center"/>
    </xf>
    <xf numFmtId="0" fontId="1" fillId="2" borderId="4" xfId="0" applyFont="1" applyFill="1" applyBorder="1"/>
    <xf numFmtId="2" fontId="1" fillId="2" borderId="8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right" vertical="center"/>
    </xf>
    <xf numFmtId="164" fontId="1" fillId="2" borderId="8" xfId="0" applyNumberFormat="1" applyFont="1" applyFill="1" applyBorder="1" applyAlignment="1">
      <alignment horizontal="center" vertical="center"/>
    </xf>
    <xf numFmtId="164" fontId="1" fillId="2" borderId="4" xfId="0" applyNumberFormat="1" applyFont="1" applyFill="1" applyBorder="1"/>
    <xf numFmtId="0" fontId="1" fillId="0" borderId="7" xfId="0" applyFont="1" applyBorder="1"/>
    <xf numFmtId="0" fontId="13" fillId="9" borderId="8" xfId="0" applyFont="1" applyFill="1" applyBorder="1" applyAlignment="1">
      <alignment horizontal="left" vertical="center" indent="1"/>
    </xf>
    <xf numFmtId="0" fontId="13" fillId="9" borderId="8" xfId="0" applyFont="1" applyFill="1" applyBorder="1" applyAlignment="1">
      <alignment horizontal="left" vertical="center"/>
    </xf>
    <xf numFmtId="0" fontId="13" fillId="9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left" vertical="center" indent="1"/>
    </xf>
    <xf numFmtId="0" fontId="1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2" borderId="8" xfId="0" applyFont="1" applyFill="1" applyBorder="1"/>
    <xf numFmtId="0" fontId="1" fillId="0" borderId="4" xfId="0" applyFont="1" applyBorder="1"/>
    <xf numFmtId="0" fontId="1" fillId="0" borderId="10" xfId="0" applyFont="1" applyBorder="1"/>
    <xf numFmtId="0" fontId="1" fillId="0" borderId="4" xfId="0" applyFont="1" applyBorder="1" applyAlignment="1">
      <alignment horizontal="left" vertical="center" indent="1"/>
    </xf>
    <xf numFmtId="0" fontId="1" fillId="0" borderId="4" xfId="0" applyFont="1" applyBorder="1" applyAlignment="1">
      <alignment horizontal="left" vertical="center"/>
    </xf>
    <xf numFmtId="0" fontId="16" fillId="0" borderId="3" xfId="0" applyFont="1" applyBorder="1"/>
    <xf numFmtId="0" fontId="1" fillId="0" borderId="3" xfId="0" applyFont="1" applyBorder="1"/>
    <xf numFmtId="2" fontId="1" fillId="0" borderId="3" xfId="0" applyNumberFormat="1" applyFont="1" applyBorder="1" applyAlignment="1">
      <alignment horizontal="center"/>
    </xf>
    <xf numFmtId="0" fontId="2" fillId="2" borderId="0" xfId="0" applyFont="1" applyFill="1" applyAlignment="1">
      <alignment horizontal="left" indent="1"/>
    </xf>
    <xf numFmtId="0" fontId="1" fillId="2" borderId="0" xfId="0" applyFont="1" applyFill="1" applyAlignment="1">
      <alignment horizontal="left" vertical="top" indent="2"/>
    </xf>
    <xf numFmtId="0" fontId="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9" fillId="2" borderId="4" xfId="0" applyFont="1" applyFill="1" applyBorder="1" applyAlignment="1">
      <alignment horizontal="left" indent="1"/>
    </xf>
    <xf numFmtId="0" fontId="1" fillId="2" borderId="6" xfId="0" applyFont="1" applyFill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/>
    </xf>
    <xf numFmtId="2" fontId="1" fillId="2" borderId="6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top"/>
    </xf>
    <xf numFmtId="0" fontId="1" fillId="2" borderId="9" xfId="0" applyFont="1" applyFill="1" applyBorder="1" applyAlignment="1">
      <alignment horizontal="center" vertical="center"/>
    </xf>
    <xf numFmtId="2" fontId="1" fillId="2" borderId="9" xfId="0" applyNumberFormat="1" applyFont="1" applyFill="1" applyBorder="1" applyAlignment="1">
      <alignment horizontal="center"/>
    </xf>
    <xf numFmtId="2" fontId="1" fillId="2" borderId="9" xfId="0" applyNumberFormat="1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9" xfId="0" applyNumberFormat="1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1"/>
    </xf>
    <xf numFmtId="0" fontId="12" fillId="2" borderId="4" xfId="0" applyFont="1" applyFill="1" applyBorder="1" applyAlignment="1">
      <alignment horizontal="left" vertical="center" indent="1"/>
    </xf>
    <xf numFmtId="0" fontId="1" fillId="7" borderId="8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7">
    <cellStyle name="Calculation" xfId="2" builtinId="22"/>
    <cellStyle name="Comma 2" xfId="4" xr:uid="{75DDBDBA-DEF6-400D-BF6C-B961748DFEB3}"/>
    <cellStyle name="Normal" xfId="0" builtinId="0"/>
    <cellStyle name="Normal 2" xfId="5" xr:uid="{A4BF5999-4BD9-4121-A2D4-63C064D6281E}"/>
    <cellStyle name="Normal 2 2" xfId="6" xr:uid="{D0B881B4-57B4-4617-880D-E22319A2BBF7}"/>
    <cellStyle name="Normal 5" xfId="3" xr:uid="{1848E8DB-0876-4B85-9D87-E2A4B00DA696}"/>
    <cellStyle name="Normal 6" xfId="1" xr:uid="{00000000-0005-0000-0000-00000200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258163</xdr:colOff>
      <xdr:row>0</xdr:row>
      <xdr:rowOff>21982</xdr:rowOff>
    </xdr:from>
    <xdr:to>
      <xdr:col>43</xdr:col>
      <xdr:colOff>339380</xdr:colOff>
      <xdr:row>25</xdr:row>
      <xdr:rowOff>118216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1E9C2B-9545-65BB-83D1-8FA399BC3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298" y="21982"/>
          <a:ext cx="5385323" cy="4860639"/>
        </a:xfrm>
        <a:prstGeom prst="rect">
          <a:avLst/>
        </a:prstGeom>
      </xdr:spPr>
    </xdr:pic>
    <xdr:clientData/>
  </xdr:twoCellAnchor>
  <xdr:twoCellAnchor editAs="oneCell">
    <xdr:from>
      <xdr:col>5</xdr:col>
      <xdr:colOff>358556</xdr:colOff>
      <xdr:row>2</xdr:row>
      <xdr:rowOff>61544</xdr:rowOff>
    </xdr:from>
    <xdr:to>
      <xdr:col>8</xdr:col>
      <xdr:colOff>418715</xdr:colOff>
      <xdr:row>6</xdr:row>
      <xdr:rowOff>186396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53BA38-E0F4-B61F-60DF-F92F959BC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7581" y="442544"/>
          <a:ext cx="2003259" cy="879232"/>
        </a:xfrm>
        <a:prstGeom prst="rect">
          <a:avLst/>
        </a:prstGeom>
      </xdr:spPr>
    </xdr:pic>
    <xdr:clientData/>
  </xdr:twoCellAnchor>
  <xdr:twoCellAnchor editAs="oneCell">
    <xdr:from>
      <xdr:col>43</xdr:col>
      <xdr:colOff>476251</xdr:colOff>
      <xdr:row>0</xdr:row>
      <xdr:rowOff>0</xdr:rowOff>
    </xdr:from>
    <xdr:to>
      <xdr:col>58</xdr:col>
      <xdr:colOff>35943</xdr:colOff>
      <xdr:row>47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33DF5-332A-C912-CAA1-44E296D3A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33572" y="0"/>
          <a:ext cx="6907549" cy="8953500"/>
        </a:xfrm>
        <a:prstGeom prst="rect">
          <a:avLst/>
        </a:prstGeom>
      </xdr:spPr>
    </xdr:pic>
    <xdr:clientData/>
  </xdr:twoCellAnchor>
  <xdr:twoCellAnchor editAs="oneCell">
    <xdr:from>
      <xdr:col>32</xdr:col>
      <xdr:colOff>212913</xdr:colOff>
      <xdr:row>26</xdr:row>
      <xdr:rowOff>42920</xdr:rowOff>
    </xdr:from>
    <xdr:to>
      <xdr:col>43</xdr:col>
      <xdr:colOff>347382</xdr:colOff>
      <xdr:row>46</xdr:row>
      <xdr:rowOff>72431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E83FA99-64BD-6067-B9EE-D26BFFE92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61795" y="4995920"/>
          <a:ext cx="5434852" cy="38299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914BF84-9A44-4A3E-8A82-4748628A5735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91462f03-a73a-4b3f-8368-0869af1cf77f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6666"/>
    <pageSetUpPr fitToPage="1"/>
  </sheetPr>
  <dimension ref="A1:AF285"/>
  <sheetViews>
    <sheetView showGridLines="0" tabSelected="1" zoomScale="115" zoomScaleNormal="115" zoomScaleSheetLayoutView="100" workbookViewId="0">
      <selection activeCell="D7" sqref="D7"/>
    </sheetView>
  </sheetViews>
  <sheetFormatPr defaultColWidth="7.28515625" defaultRowHeight="15" x14ac:dyDescent="0.25"/>
  <cols>
    <col min="1" max="1" width="5.140625" style="1" customWidth="1"/>
    <col min="2" max="2" width="34.42578125" style="1" customWidth="1"/>
    <col min="3" max="3" width="9.7109375" style="1" customWidth="1"/>
    <col min="4" max="4" width="15.5703125" style="1" customWidth="1"/>
    <col min="5" max="9" width="9.7109375" style="1" customWidth="1"/>
    <col min="10" max="10" width="9.140625" style="6" customWidth="1"/>
    <col min="11" max="11" width="10.85546875" style="17" customWidth="1"/>
    <col min="12" max="12" width="7.5703125" style="4" customWidth="1"/>
    <col min="13" max="14" width="7.28515625" style="4" customWidth="1"/>
    <col min="15" max="25" width="7.28515625" style="1" hidden="1" customWidth="1"/>
    <col min="26" max="26" width="3.28515625" style="2" customWidth="1"/>
    <col min="27" max="27" width="12.85546875" style="5" bestFit="1" customWidth="1"/>
    <col min="28" max="28" width="7.28515625" style="3"/>
    <col min="29" max="29" width="11.85546875" style="3" bestFit="1" customWidth="1"/>
    <col min="30" max="30" width="7.28515625" style="8"/>
    <col min="31" max="31" width="7.7109375" style="8" bestFit="1" customWidth="1"/>
    <col min="32" max="32" width="8.28515625" style="7" bestFit="1" customWidth="1"/>
    <col min="33" max="16384" width="7.28515625" style="1"/>
  </cols>
  <sheetData>
    <row r="1" spans="1:32" ht="15" customHeight="1" x14ac:dyDescent="0.25">
      <c r="A1" s="93" t="s">
        <v>2</v>
      </c>
      <c r="B1" s="93"/>
      <c r="C1" s="93"/>
      <c r="D1" s="93"/>
      <c r="E1" s="93"/>
      <c r="F1" s="93"/>
      <c r="G1" s="93"/>
      <c r="H1" s="92" t="s">
        <v>3</v>
      </c>
      <c r="I1" s="92"/>
      <c r="J1" s="19"/>
      <c r="AA1" s="20"/>
      <c r="AB1" s="21" t="s">
        <v>4</v>
      </c>
      <c r="AC1" s="22"/>
      <c r="AD1" s="23"/>
      <c r="AE1" s="23"/>
      <c r="AF1" s="24"/>
    </row>
    <row r="2" spans="1:32" ht="15" customHeight="1" x14ac:dyDescent="0.25">
      <c r="A2" s="93"/>
      <c r="B2" s="93"/>
      <c r="C2" s="93"/>
      <c r="D2" s="93"/>
      <c r="E2" s="93"/>
      <c r="F2" s="93"/>
      <c r="G2" s="93"/>
      <c r="H2" s="92"/>
      <c r="I2" s="92"/>
      <c r="J2" s="19"/>
      <c r="AA2" s="26" t="s">
        <v>5</v>
      </c>
      <c r="AB2" s="27" t="s">
        <v>5</v>
      </c>
      <c r="AC2" s="27" t="s">
        <v>6</v>
      </c>
      <c r="AD2" s="28" t="s">
        <v>7</v>
      </c>
      <c r="AE2" s="28" t="s">
        <v>8</v>
      </c>
      <c r="AF2" s="29" t="s">
        <v>20</v>
      </c>
    </row>
    <row r="3" spans="1:32" ht="15" customHeight="1" x14ac:dyDescent="0.25">
      <c r="A3" s="95" t="s">
        <v>0</v>
      </c>
      <c r="B3" s="95"/>
      <c r="C3" s="25"/>
      <c r="D3" s="25"/>
      <c r="E3" s="25"/>
      <c r="F3" s="25"/>
      <c r="G3" s="25"/>
      <c r="H3" s="25"/>
      <c r="I3" s="25"/>
      <c r="J3" s="19"/>
      <c r="AA3" s="31" t="s">
        <v>22</v>
      </c>
      <c r="AB3" s="33" t="s">
        <v>9</v>
      </c>
      <c r="AC3" s="33" t="s">
        <v>9</v>
      </c>
      <c r="AD3" s="35" t="s">
        <v>1</v>
      </c>
      <c r="AE3" s="35" t="s">
        <v>1</v>
      </c>
      <c r="AF3" s="37" t="s">
        <v>1</v>
      </c>
    </row>
    <row r="4" spans="1:32" ht="15" customHeight="1" x14ac:dyDescent="0.25">
      <c r="A4" s="73"/>
      <c r="B4" s="9" t="str">
        <f>"- Chiều cao cột:"</f>
        <v>- Chiều cao cột:</v>
      </c>
      <c r="C4" s="10"/>
      <c r="D4" s="11" t="s">
        <v>10</v>
      </c>
      <c r="E4" s="12">
        <v>1</v>
      </c>
      <c r="F4" s="13" t="s">
        <v>11</v>
      </c>
      <c r="G4" s="13"/>
      <c r="H4" s="13"/>
      <c r="I4" s="13"/>
      <c r="J4" s="19"/>
      <c r="AA4" s="40" t="str">
        <f>AC4&amp;"-"&amp;INDEX(AD4:AF4,MATCH($E$9,$L$17:$N$17,0))</f>
        <v>sls2 : 1 DL + 1 CO + 1 WL1+Cpi-6.44</v>
      </c>
      <c r="AB4" s="41" t="s">
        <v>24</v>
      </c>
      <c r="AC4" s="41" t="s">
        <v>28</v>
      </c>
      <c r="AD4" s="42">
        <v>6.44</v>
      </c>
      <c r="AE4" s="42">
        <v>0.03</v>
      </c>
      <c r="AF4" s="43">
        <v>6.44</v>
      </c>
    </row>
    <row r="5" spans="1:32" ht="15" customHeight="1" x14ac:dyDescent="0.25">
      <c r="A5" s="74"/>
      <c r="B5" s="9" t="str">
        <f>"- Tỉ số chuyển vị cho phép:"</f>
        <v>- Tỉ số chuyển vị cho phép:</v>
      </c>
      <c r="C5" s="10"/>
      <c r="D5" s="11"/>
      <c r="E5" s="12">
        <v>230</v>
      </c>
      <c r="F5" s="13"/>
      <c r="G5" s="13"/>
      <c r="H5" s="14"/>
      <c r="I5" s="39"/>
      <c r="J5" s="19"/>
      <c r="AA5" s="40" t="str">
        <f t="shared" ref="AA5:AA67" si="0">AC5&amp;"-"&amp;INDEX(AD5:AF5,MATCH($E$9,$L$17:$N$17,0))</f>
        <v>sls3 : 1 DL + 1 CO + 1 WL1-Cpi-6.48</v>
      </c>
      <c r="AB5" s="41" t="s">
        <v>24</v>
      </c>
      <c r="AC5" s="41" t="s">
        <v>29</v>
      </c>
      <c r="AD5" s="42">
        <v>6.48</v>
      </c>
      <c r="AE5" s="42">
        <v>0.06</v>
      </c>
      <c r="AF5" s="43">
        <v>6.48</v>
      </c>
    </row>
    <row r="6" spans="1:32" ht="15" customHeight="1" x14ac:dyDescent="0.25">
      <c r="A6" s="74"/>
      <c r="B6" s="9" t="str">
        <f>"- Chuyển vị cho phép:"</f>
        <v>- Chuyển vị cho phép:</v>
      </c>
      <c r="C6" s="10"/>
      <c r="D6" s="11" t="s">
        <v>14</v>
      </c>
      <c r="E6" s="15">
        <f>E4*1000/E5</f>
        <v>4.3478260869565215</v>
      </c>
      <c r="F6" s="13" t="s">
        <v>1</v>
      </c>
      <c r="G6" s="13"/>
      <c r="H6" s="14"/>
      <c r="I6" s="39"/>
      <c r="J6" s="19"/>
      <c r="AA6" s="40" t="str">
        <f t="shared" si="0"/>
        <v>sls4 : 1 DL + 1 CO + 1 WL2+Cpi-7.31</v>
      </c>
      <c r="AB6" s="41" t="s">
        <v>24</v>
      </c>
      <c r="AC6" s="41" t="s">
        <v>30</v>
      </c>
      <c r="AD6" s="42">
        <v>7.31</v>
      </c>
      <c r="AE6" s="42">
        <v>0.03</v>
      </c>
      <c r="AF6" s="43">
        <v>7.31</v>
      </c>
    </row>
    <row r="7" spans="1:32" ht="15" customHeight="1" x14ac:dyDescent="0.25">
      <c r="A7" s="74"/>
      <c r="B7" s="9"/>
      <c r="C7" s="10"/>
      <c r="D7" s="16"/>
      <c r="E7" s="13"/>
      <c r="F7" s="13"/>
      <c r="G7" s="12"/>
      <c r="H7" s="14"/>
      <c r="I7" s="39"/>
      <c r="J7" s="19"/>
      <c r="AA7" s="40" t="str">
        <f t="shared" si="0"/>
        <v>sls5 : 1 DL + 1 CO + 1 WL2-Cpi-7.35</v>
      </c>
      <c r="AB7" s="41" t="s">
        <v>24</v>
      </c>
      <c r="AC7" s="41" t="s">
        <v>31</v>
      </c>
      <c r="AD7" s="42">
        <v>7.35</v>
      </c>
      <c r="AE7" s="42">
        <v>0.06</v>
      </c>
      <c r="AF7" s="43">
        <v>7.35</v>
      </c>
    </row>
    <row r="8" spans="1:32" x14ac:dyDescent="0.25">
      <c r="A8" s="94" t="s">
        <v>12</v>
      </c>
      <c r="B8" s="94"/>
      <c r="C8" s="13"/>
      <c r="D8" s="13"/>
      <c r="E8" s="13"/>
      <c r="F8" s="13"/>
      <c r="G8" s="13"/>
      <c r="H8" s="13"/>
      <c r="I8" s="9"/>
      <c r="J8" s="19"/>
      <c r="AA8" s="40" t="str">
        <f t="shared" si="0"/>
        <v>sls6 : 1 DL + 1 CO + 1 WR1+Cpi-9.3</v>
      </c>
      <c r="AB8" s="41" t="s">
        <v>24</v>
      </c>
      <c r="AC8" s="41" t="s">
        <v>32</v>
      </c>
      <c r="AD8" s="42">
        <v>9.3000000000000007</v>
      </c>
      <c r="AE8" s="42">
        <v>0.03</v>
      </c>
      <c r="AF8" s="43">
        <v>9.3000000000000007</v>
      </c>
    </row>
    <row r="9" spans="1:32" x14ac:dyDescent="0.25">
      <c r="A9" s="13"/>
      <c r="B9" s="9" t="str">
        <f>"- Kiểm tra giá trị theo phương:"</f>
        <v>- Kiểm tra giá trị theo phương:</v>
      </c>
      <c r="C9" s="13"/>
      <c r="D9" s="13"/>
      <c r="E9" s="12" t="s">
        <v>20</v>
      </c>
      <c r="F9" s="13"/>
      <c r="G9" s="13"/>
      <c r="H9" s="13"/>
      <c r="I9" s="13"/>
      <c r="J9" s="19"/>
      <c r="AA9" s="40" t="str">
        <f t="shared" si="0"/>
        <v>sls7 : 1 DL + 1 CO + 1 WR1-Cpi-9.22</v>
      </c>
      <c r="AB9" s="41" t="s">
        <v>24</v>
      </c>
      <c r="AC9" s="41" t="s">
        <v>33</v>
      </c>
      <c r="AD9" s="42">
        <v>9.2200000000000006</v>
      </c>
      <c r="AE9" s="42">
        <v>0</v>
      </c>
      <c r="AF9" s="43">
        <v>9.2200000000000006</v>
      </c>
    </row>
    <row r="10" spans="1:32" x14ac:dyDescent="0.25">
      <c r="A10" s="75"/>
      <c r="B10" s="9" t="str">
        <f>"- Chuyển vị lớn nhất:"</f>
        <v>- Chuyển vị lớn nhất:</v>
      </c>
      <c r="C10" s="13"/>
      <c r="D10" s="13"/>
      <c r="E10" s="13"/>
      <c r="F10" s="13"/>
      <c r="G10" s="14"/>
      <c r="H10" s="46"/>
      <c r="I10" s="45"/>
      <c r="J10" s="19"/>
      <c r="AA10" s="40" t="str">
        <f t="shared" si="0"/>
        <v>sls8 : 1 DL + 1 CO + 1 WR2+Cpi-9.3</v>
      </c>
      <c r="AB10" s="41" t="s">
        <v>24</v>
      </c>
      <c r="AC10" s="41" t="s">
        <v>34</v>
      </c>
      <c r="AD10" s="42">
        <v>9.3000000000000007</v>
      </c>
      <c r="AE10" s="42">
        <v>0.03</v>
      </c>
      <c r="AF10" s="43">
        <v>9.3000000000000007</v>
      </c>
    </row>
    <row r="11" spans="1:32" ht="15" customHeight="1" x14ac:dyDescent="0.25">
      <c r="A11" s="74"/>
      <c r="B11" s="96" t="s">
        <v>15</v>
      </c>
      <c r="C11" s="90" t="s">
        <v>23</v>
      </c>
      <c r="D11" s="90" t="s">
        <v>18</v>
      </c>
      <c r="E11" s="90" t="s">
        <v>19</v>
      </c>
      <c r="F11" s="98"/>
      <c r="G11" s="90" t="s">
        <v>17</v>
      </c>
      <c r="H11" s="90" t="s">
        <v>16</v>
      </c>
      <c r="I11" s="47"/>
      <c r="J11" s="19"/>
      <c r="AA11" s="40" t="str">
        <f t="shared" si="0"/>
        <v>sls9 : 1 DL + 1 CO + 1 WR2-Cpi-9.22</v>
      </c>
      <c r="AB11" s="41" t="s">
        <v>24</v>
      </c>
      <c r="AC11" s="41" t="s">
        <v>35</v>
      </c>
      <c r="AD11" s="42">
        <v>9.2200000000000006</v>
      </c>
      <c r="AE11" s="42">
        <v>0</v>
      </c>
      <c r="AF11" s="43">
        <v>9.2200000000000006</v>
      </c>
    </row>
    <row r="12" spans="1:32" x14ac:dyDescent="0.25">
      <c r="A12" s="76"/>
      <c r="B12" s="97"/>
      <c r="C12" s="96"/>
      <c r="D12" s="97"/>
      <c r="E12" s="97"/>
      <c r="F12" s="99"/>
      <c r="G12" s="91"/>
      <c r="H12" s="91"/>
      <c r="I12" s="44"/>
      <c r="J12" s="19"/>
      <c r="AA12" s="40" t="str">
        <f t="shared" si="0"/>
        <v>sls10 : 1 DL + 1 CO + 1 WE1+Cpi-5.54</v>
      </c>
      <c r="AB12" s="41" t="s">
        <v>24</v>
      </c>
      <c r="AC12" s="41" t="s">
        <v>36</v>
      </c>
      <c r="AD12" s="42">
        <v>0.03</v>
      </c>
      <c r="AE12" s="42">
        <v>5.54</v>
      </c>
      <c r="AF12" s="43">
        <v>5.54</v>
      </c>
    </row>
    <row r="13" spans="1:32" x14ac:dyDescent="0.25">
      <c r="A13" s="76"/>
      <c r="B13" s="48" t="str">
        <f>INDEX($B$18:$B$9999,MATCH($D$13,$D$18:$D$999,0))</f>
        <v>sls6 : 1 DL + 1 CO + 1 WR1+Cpi</v>
      </c>
      <c r="C13" s="50" t="str">
        <f>INDEX($C$18:$C$9999,MATCH($D$13,$D$18:$D$999,0))</f>
        <v>13</v>
      </c>
      <c r="D13" s="52">
        <f>MAX($D$18:$D$9999)</f>
        <v>10.64</v>
      </c>
      <c r="E13" s="100">
        <f>E6</f>
        <v>4.3478260869565215</v>
      </c>
      <c r="F13" s="101"/>
      <c r="G13" s="54">
        <f>D13/E13</f>
        <v>2.4472</v>
      </c>
      <c r="H13" s="56" t="str">
        <f>IF(G13&lt;=1,"OK","CHECK")</f>
        <v>CHECK</v>
      </c>
      <c r="I13" s="44"/>
      <c r="J13" s="19"/>
      <c r="AA13" s="40" t="str">
        <f t="shared" si="0"/>
        <v>sls11 : 1 DL + 1 CO + 1 WE1-Cpi-5.38</v>
      </c>
      <c r="AB13" s="41" t="s">
        <v>24</v>
      </c>
      <c r="AC13" s="41" t="s">
        <v>37</v>
      </c>
      <c r="AD13" s="42">
        <v>0.05</v>
      </c>
      <c r="AE13" s="42">
        <v>5.38</v>
      </c>
      <c r="AF13" s="43">
        <v>5.38</v>
      </c>
    </row>
    <row r="14" spans="1:32" x14ac:dyDescent="0.25">
      <c r="A14" s="76"/>
      <c r="B14" s="49"/>
      <c r="C14" s="51"/>
      <c r="D14" s="53"/>
      <c r="E14" s="51"/>
      <c r="F14" s="51"/>
      <c r="G14" s="55"/>
      <c r="H14" s="57"/>
      <c r="I14" s="13"/>
      <c r="J14" s="19"/>
      <c r="AA14" s="40" t="str">
        <f t="shared" si="0"/>
        <v>sls12 : 1 DL + 1 CO + 1 WE2+Cpi-5.54</v>
      </c>
      <c r="AB14" s="41" t="s">
        <v>24</v>
      </c>
      <c r="AC14" s="41" t="s">
        <v>38</v>
      </c>
      <c r="AD14" s="42">
        <v>0.03</v>
      </c>
      <c r="AE14" s="42">
        <v>5.54</v>
      </c>
      <c r="AF14" s="43">
        <v>5.54</v>
      </c>
    </row>
    <row r="15" spans="1:32" x14ac:dyDescent="0.25">
      <c r="A15" s="76"/>
      <c r="B15" s="45" t="s">
        <v>13</v>
      </c>
      <c r="C15" s="45"/>
      <c r="D15" s="45"/>
      <c r="E15" s="45"/>
      <c r="F15" s="45"/>
      <c r="G15" s="45"/>
      <c r="H15" s="45"/>
      <c r="I15" s="13"/>
      <c r="J15" s="19"/>
      <c r="AA15" s="40" t="str">
        <f t="shared" si="0"/>
        <v>sls13 : 1 DL + 1 CO + 1 WE2-Cpi-5.38</v>
      </c>
      <c r="AB15" s="41" t="s">
        <v>24</v>
      </c>
      <c r="AC15" s="41" t="s">
        <v>39</v>
      </c>
      <c r="AD15" s="42">
        <v>0.05</v>
      </c>
      <c r="AE15" s="42">
        <v>5.38</v>
      </c>
      <c r="AF15" s="43">
        <v>5.38</v>
      </c>
    </row>
    <row r="16" spans="1:32" ht="15" customHeight="1" x14ac:dyDescent="0.25">
      <c r="A16" s="76"/>
      <c r="B16" s="96" t="s">
        <v>15</v>
      </c>
      <c r="C16" s="90" t="s">
        <v>23</v>
      </c>
      <c r="D16" s="90" t="s">
        <v>18</v>
      </c>
      <c r="E16" s="90" t="s">
        <v>19</v>
      </c>
      <c r="F16" s="98"/>
      <c r="G16" s="90" t="s">
        <v>17</v>
      </c>
      <c r="H16" s="90" t="s">
        <v>16</v>
      </c>
      <c r="I16" s="44"/>
      <c r="J16" s="19"/>
      <c r="AA16" s="40" t="str">
        <f t="shared" si="0"/>
        <v>sls14 : 1 DL + 1 CO + 1 WE3+Cpi-5.79</v>
      </c>
      <c r="AB16" s="41" t="s">
        <v>24</v>
      </c>
      <c r="AC16" s="41" t="s">
        <v>40</v>
      </c>
      <c r="AD16" s="42">
        <v>0.11</v>
      </c>
      <c r="AE16" s="42">
        <v>5.78</v>
      </c>
      <c r="AF16" s="43">
        <v>5.79</v>
      </c>
    </row>
    <row r="17" spans="1:32" x14ac:dyDescent="0.25">
      <c r="A17" s="76"/>
      <c r="B17" s="97"/>
      <c r="C17" s="96"/>
      <c r="D17" s="97"/>
      <c r="E17" s="97"/>
      <c r="F17" s="99"/>
      <c r="G17" s="91"/>
      <c r="H17" s="91"/>
      <c r="I17" s="44"/>
      <c r="J17" s="59" t="str">
        <f>"Combo - Dir"</f>
        <v>Combo - Dir</v>
      </c>
      <c r="K17" s="60" t="s">
        <v>21</v>
      </c>
      <c r="L17" s="61" t="s">
        <v>7</v>
      </c>
      <c r="M17" s="61" t="s">
        <v>8</v>
      </c>
      <c r="N17" s="61" t="s">
        <v>20</v>
      </c>
      <c r="O17" s="58"/>
      <c r="AA17" s="40" t="str">
        <f t="shared" si="0"/>
        <v>sls15 : 1 DL + 1 CO + 1 WE3-Cpi-5.68</v>
      </c>
      <c r="AB17" s="41" t="s">
        <v>24</v>
      </c>
      <c r="AC17" s="41" t="s">
        <v>41</v>
      </c>
      <c r="AD17" s="42">
        <v>0.19</v>
      </c>
      <c r="AE17" s="42">
        <v>5.67</v>
      </c>
      <c r="AF17" s="43">
        <v>5.68</v>
      </c>
    </row>
    <row r="18" spans="1:32" x14ac:dyDescent="0.25">
      <c r="A18" s="76"/>
      <c r="B18" s="78" t="str">
        <f>IF(K18="","",K18)</f>
        <v>sls2 : 1 DL + 1 CO + 1 WL1+Cpi</v>
      </c>
      <c r="C18" s="79" t="str">
        <f t="shared" ref="C18" si="1">IF(B18="","",VLOOKUP(J18,$AA$4:$AB$9999,2,FALSE))</f>
        <v>13</v>
      </c>
      <c r="D18" s="80">
        <f t="shared" ref="D18" si="2">IF(B18="","",INDEX(L18:N18,MATCH($E$9,$L$17:$N$17,0)))</f>
        <v>7.63</v>
      </c>
      <c r="E18" s="88">
        <f t="shared" ref="E18" si="3">IF(B18="","",$E$6)</f>
        <v>4.3478260869565215</v>
      </c>
      <c r="F18" s="88"/>
      <c r="G18" s="81">
        <f t="shared" ref="G18" si="4">IF(B18="","",D18/E18)</f>
        <v>1.7549000000000001</v>
      </c>
      <c r="H18" s="82" t="str">
        <f t="shared" ref="H18" si="5">IF(B18="","",IF(G18&lt;=1,"OK","CHECK"))</f>
        <v>CHECK</v>
      </c>
      <c r="I18" s="44"/>
      <c r="J18" s="62" t="str">
        <f>IF(K18="","",K18&amp;"-"&amp;INDEX(L18:N18,MATCH($E$9,$L$17:$N$17,0)))</f>
        <v>sls2 : 1 DL + 1 CO + 1 WL1+Cpi-7.63</v>
      </c>
      <c r="K18" s="63" t="s">
        <v>28</v>
      </c>
      <c r="L18" s="64">
        <v>7.63</v>
      </c>
      <c r="M18" s="64">
        <v>0.03</v>
      </c>
      <c r="N18" s="64">
        <v>7.63</v>
      </c>
      <c r="O18" s="58"/>
      <c r="AA18" s="40" t="str">
        <f t="shared" si="0"/>
        <v>sls16 : 1 DL + 1 CO + 1 WE4+Cpi-5.79</v>
      </c>
      <c r="AB18" s="41" t="s">
        <v>24</v>
      </c>
      <c r="AC18" s="41" t="s">
        <v>42</v>
      </c>
      <c r="AD18" s="42">
        <v>0.11</v>
      </c>
      <c r="AE18" s="42">
        <v>5.78</v>
      </c>
      <c r="AF18" s="43">
        <v>5.79</v>
      </c>
    </row>
    <row r="19" spans="1:32" x14ac:dyDescent="0.25">
      <c r="A19" s="76"/>
      <c r="B19" s="78" t="str">
        <f t="shared" ref="B19:B33" si="6">IF(K19="","",K19)</f>
        <v>sls3 : 1 DL + 1 CO + 1 WL1-Cpi</v>
      </c>
      <c r="C19" s="79" t="str">
        <f t="shared" ref="C19:C33" si="7">IF(B19="","",VLOOKUP(J19,$AA$4:$AB$9999,2,FALSE))</f>
        <v>13</v>
      </c>
      <c r="D19" s="80">
        <f t="shared" ref="D19:D33" si="8">IF(B19="","",INDEX(L19:N19,MATCH($E$9,$L$17:$N$17,0)))</f>
        <v>7.71</v>
      </c>
      <c r="E19" s="88">
        <f t="shared" ref="E19:E33" si="9">IF(B19="","",$E$6)</f>
        <v>4.3478260869565215</v>
      </c>
      <c r="F19" s="88"/>
      <c r="G19" s="81">
        <f t="shared" ref="G19:G33" si="10">IF(B19="","",D19/E19)</f>
        <v>1.7733000000000001</v>
      </c>
      <c r="H19" s="82" t="str">
        <f t="shared" ref="H19:H33" si="11">IF(B19="","",IF(G19&lt;=1,"OK","CHECK"))</f>
        <v>CHECK</v>
      </c>
      <c r="I19" s="44"/>
      <c r="J19" s="62" t="str">
        <f t="shared" ref="J19:J33" si="12">IF(K19="","",K19&amp;"-"&amp;INDEX(L19:N19,MATCH($E$9,$L$17:$N$17,0)))</f>
        <v>sls3 : 1 DL + 1 CO + 1 WL1-Cpi-7.71</v>
      </c>
      <c r="K19" s="63" t="s">
        <v>29</v>
      </c>
      <c r="L19" s="64">
        <v>7.71</v>
      </c>
      <c r="M19" s="64">
        <v>0.06</v>
      </c>
      <c r="N19" s="64">
        <v>7.71</v>
      </c>
      <c r="O19" s="58"/>
      <c r="AA19" s="40" t="str">
        <f t="shared" si="0"/>
        <v>sls17 : 1 DL + 1 CO + 1 WE4-Cpi-5.68</v>
      </c>
      <c r="AB19" s="41" t="s">
        <v>24</v>
      </c>
      <c r="AC19" s="41" t="s">
        <v>43</v>
      </c>
      <c r="AD19" s="42">
        <v>0.19</v>
      </c>
      <c r="AE19" s="42">
        <v>5.67</v>
      </c>
      <c r="AF19" s="43">
        <v>5.68</v>
      </c>
    </row>
    <row r="20" spans="1:32" x14ac:dyDescent="0.25">
      <c r="A20" s="76"/>
      <c r="B20" s="78" t="str">
        <f t="shared" si="6"/>
        <v>sls4 : 1 DL + 1 CO + 1 WL2+Cpi</v>
      </c>
      <c r="C20" s="79" t="str">
        <f t="shared" si="7"/>
        <v>13</v>
      </c>
      <c r="D20" s="80">
        <f t="shared" si="8"/>
        <v>8.6199999999999992</v>
      </c>
      <c r="E20" s="88">
        <f t="shared" si="9"/>
        <v>4.3478260869565215</v>
      </c>
      <c r="F20" s="88"/>
      <c r="G20" s="81">
        <f t="shared" si="10"/>
        <v>1.9825999999999999</v>
      </c>
      <c r="H20" s="82" t="str">
        <f t="shared" si="11"/>
        <v>CHECK</v>
      </c>
      <c r="I20" s="44"/>
      <c r="J20" s="62" t="str">
        <f t="shared" si="12"/>
        <v>sls4 : 1 DL + 1 CO + 1 WL2+Cpi-8.62</v>
      </c>
      <c r="K20" s="63" t="s">
        <v>30</v>
      </c>
      <c r="L20" s="64">
        <v>8.6199999999999992</v>
      </c>
      <c r="M20" s="64">
        <v>0.03</v>
      </c>
      <c r="N20" s="64">
        <v>8.6199999999999992</v>
      </c>
      <c r="O20" s="58"/>
      <c r="AA20" s="40" t="str">
        <f t="shared" si="0"/>
        <v>sls2 : 1 DL + 1 CO + 1 WL1+Cpi-7.34</v>
      </c>
      <c r="AB20" s="41" t="s">
        <v>25</v>
      </c>
      <c r="AC20" s="41" t="s">
        <v>28</v>
      </c>
      <c r="AD20" s="42">
        <v>7.34</v>
      </c>
      <c r="AE20" s="42">
        <v>0.03</v>
      </c>
      <c r="AF20" s="43">
        <v>7.34</v>
      </c>
    </row>
    <row r="21" spans="1:32" x14ac:dyDescent="0.25">
      <c r="A21" s="76"/>
      <c r="B21" s="78" t="str">
        <f t="shared" si="6"/>
        <v>sls5 : 1 DL + 1 CO + 1 WL2-Cpi</v>
      </c>
      <c r="C21" s="79" t="str">
        <f t="shared" si="7"/>
        <v>13</v>
      </c>
      <c r="D21" s="80">
        <f t="shared" si="8"/>
        <v>8.6999999999999993</v>
      </c>
      <c r="E21" s="88">
        <f t="shared" si="9"/>
        <v>4.3478260869565215</v>
      </c>
      <c r="F21" s="88"/>
      <c r="G21" s="81">
        <f t="shared" si="10"/>
        <v>2.0009999999999999</v>
      </c>
      <c r="H21" s="82" t="str">
        <f t="shared" si="11"/>
        <v>CHECK</v>
      </c>
      <c r="I21" s="44"/>
      <c r="J21" s="62" t="str">
        <f t="shared" si="12"/>
        <v>sls5 : 1 DL + 1 CO + 1 WL2-Cpi-8.7</v>
      </c>
      <c r="K21" s="63" t="s">
        <v>31</v>
      </c>
      <c r="L21" s="64">
        <v>8.6999999999999993</v>
      </c>
      <c r="M21" s="64">
        <v>0.06</v>
      </c>
      <c r="N21" s="64">
        <v>8.6999999999999993</v>
      </c>
      <c r="O21" s="58"/>
      <c r="AA21" s="40" t="str">
        <f t="shared" si="0"/>
        <v>sls3 : 1 DL + 1 CO + 1 WL1-Cpi-7.38</v>
      </c>
      <c r="AB21" s="41" t="s">
        <v>25</v>
      </c>
      <c r="AC21" s="41" t="s">
        <v>29</v>
      </c>
      <c r="AD21" s="42">
        <v>7.38</v>
      </c>
      <c r="AE21" s="42">
        <v>0.06</v>
      </c>
      <c r="AF21" s="43">
        <v>7.38</v>
      </c>
    </row>
    <row r="22" spans="1:32" x14ac:dyDescent="0.25">
      <c r="A22" s="76"/>
      <c r="B22" s="78" t="str">
        <f t="shared" si="6"/>
        <v>sls6 : 1 DL + 1 CO + 1 WR1+Cpi</v>
      </c>
      <c r="C22" s="79" t="str">
        <f t="shared" si="7"/>
        <v>13</v>
      </c>
      <c r="D22" s="80">
        <f t="shared" si="8"/>
        <v>10.64</v>
      </c>
      <c r="E22" s="88">
        <f t="shared" si="9"/>
        <v>4.3478260869565215</v>
      </c>
      <c r="F22" s="88"/>
      <c r="G22" s="81">
        <f t="shared" si="10"/>
        <v>2.4472</v>
      </c>
      <c r="H22" s="82" t="str">
        <f t="shared" si="11"/>
        <v>CHECK</v>
      </c>
      <c r="I22" s="44"/>
      <c r="J22" s="62" t="str">
        <f t="shared" si="12"/>
        <v>sls6 : 1 DL + 1 CO + 1 WR1+Cpi-10.64</v>
      </c>
      <c r="K22" s="63" t="s">
        <v>32</v>
      </c>
      <c r="L22" s="64">
        <v>10.64</v>
      </c>
      <c r="M22" s="64">
        <v>0.06</v>
      </c>
      <c r="N22" s="64">
        <v>10.64</v>
      </c>
      <c r="O22" s="58"/>
      <c r="AA22" s="40" t="str">
        <f t="shared" si="0"/>
        <v>sls4 : 1 DL + 1 CO + 1 WL2+Cpi-8.33</v>
      </c>
      <c r="AB22" s="41" t="s">
        <v>25</v>
      </c>
      <c r="AC22" s="41" t="s">
        <v>30</v>
      </c>
      <c r="AD22" s="42">
        <v>8.33</v>
      </c>
      <c r="AE22" s="42">
        <v>0.03</v>
      </c>
      <c r="AF22" s="43">
        <v>8.33</v>
      </c>
    </row>
    <row r="23" spans="1:32" x14ac:dyDescent="0.25">
      <c r="A23" s="76"/>
      <c r="B23" s="78" t="str">
        <f t="shared" si="6"/>
        <v>sls7 : 1 DL + 1 CO + 1 WR1-Cpi</v>
      </c>
      <c r="C23" s="79" t="str">
        <f t="shared" si="7"/>
        <v>13</v>
      </c>
      <c r="D23" s="80">
        <f t="shared" si="8"/>
        <v>10.52</v>
      </c>
      <c r="E23" s="88">
        <f t="shared" si="9"/>
        <v>4.3478260869565215</v>
      </c>
      <c r="F23" s="88"/>
      <c r="G23" s="81">
        <f t="shared" si="10"/>
        <v>2.4196</v>
      </c>
      <c r="H23" s="82" t="str">
        <f t="shared" si="11"/>
        <v>CHECK</v>
      </c>
      <c r="I23" s="44"/>
      <c r="J23" s="62" t="str">
        <f t="shared" si="12"/>
        <v>sls7 : 1 DL + 1 CO + 1 WR1-Cpi-10.52</v>
      </c>
      <c r="K23" s="63" t="s">
        <v>33</v>
      </c>
      <c r="L23" s="64">
        <v>10.52</v>
      </c>
      <c r="M23" s="64">
        <v>0.09</v>
      </c>
      <c r="N23" s="64">
        <v>10.52</v>
      </c>
      <c r="O23" s="58"/>
      <c r="AA23" s="40" t="str">
        <f t="shared" si="0"/>
        <v>sls5 : 1 DL + 1 CO + 1 WL2-Cpi-8.37</v>
      </c>
      <c r="AB23" s="41" t="s">
        <v>25</v>
      </c>
      <c r="AC23" s="41" t="s">
        <v>31</v>
      </c>
      <c r="AD23" s="42">
        <v>8.3699999999999992</v>
      </c>
      <c r="AE23" s="42">
        <v>0.06</v>
      </c>
      <c r="AF23" s="43">
        <v>8.3699999999999992</v>
      </c>
    </row>
    <row r="24" spans="1:32" x14ac:dyDescent="0.25">
      <c r="A24" s="76"/>
      <c r="B24" s="78" t="str">
        <f t="shared" si="6"/>
        <v>sls8 : 1 DL + 1 CO + 1 WR2+Cpi</v>
      </c>
      <c r="C24" s="79" t="str">
        <f t="shared" si="7"/>
        <v>13</v>
      </c>
      <c r="D24" s="80">
        <f t="shared" si="8"/>
        <v>10.64</v>
      </c>
      <c r="E24" s="88">
        <f t="shared" si="9"/>
        <v>4.3478260869565215</v>
      </c>
      <c r="F24" s="88"/>
      <c r="G24" s="81">
        <f t="shared" si="10"/>
        <v>2.4472</v>
      </c>
      <c r="H24" s="82" t="str">
        <f t="shared" si="11"/>
        <v>CHECK</v>
      </c>
      <c r="I24" s="44"/>
      <c r="J24" s="62" t="str">
        <f t="shared" si="12"/>
        <v>sls8 : 1 DL + 1 CO + 1 WR2+Cpi-10.64</v>
      </c>
      <c r="K24" s="63" t="s">
        <v>34</v>
      </c>
      <c r="L24" s="64">
        <v>10.64</v>
      </c>
      <c r="M24" s="64">
        <v>0.06</v>
      </c>
      <c r="N24" s="64">
        <v>10.64</v>
      </c>
      <c r="O24" s="58"/>
      <c r="AA24" s="40" t="str">
        <f t="shared" si="0"/>
        <v>sls6 : 1 DL + 1 CO + 1 WR1+Cpi-10.58</v>
      </c>
      <c r="AB24" s="41" t="s">
        <v>25</v>
      </c>
      <c r="AC24" s="41" t="s">
        <v>32</v>
      </c>
      <c r="AD24" s="42">
        <v>10.58</v>
      </c>
      <c r="AE24" s="42">
        <v>0.01</v>
      </c>
      <c r="AF24" s="43">
        <v>10.58</v>
      </c>
    </row>
    <row r="25" spans="1:32" x14ac:dyDescent="0.25">
      <c r="A25" s="76"/>
      <c r="B25" s="78" t="str">
        <f t="shared" si="6"/>
        <v>sls9 : 1 DL + 1 CO + 1 WR2-Cpi</v>
      </c>
      <c r="C25" s="79" t="str">
        <f t="shared" si="7"/>
        <v>13</v>
      </c>
      <c r="D25" s="80">
        <f t="shared" si="8"/>
        <v>10.52</v>
      </c>
      <c r="E25" s="88">
        <f t="shared" si="9"/>
        <v>4.3478260869565215</v>
      </c>
      <c r="F25" s="88"/>
      <c r="G25" s="81">
        <f t="shared" si="10"/>
        <v>2.4196</v>
      </c>
      <c r="H25" s="82" t="str">
        <f t="shared" si="11"/>
        <v>CHECK</v>
      </c>
      <c r="I25" s="44"/>
      <c r="J25" s="62" t="str">
        <f t="shared" si="12"/>
        <v>sls9 : 1 DL + 1 CO + 1 WR2-Cpi-10.52</v>
      </c>
      <c r="K25" s="63" t="s">
        <v>35</v>
      </c>
      <c r="L25" s="64">
        <v>10.52</v>
      </c>
      <c r="M25" s="64">
        <v>0.09</v>
      </c>
      <c r="N25" s="64">
        <v>10.52</v>
      </c>
      <c r="O25" s="58"/>
      <c r="AA25" s="40" t="str">
        <f t="shared" si="0"/>
        <v>sls7 : 1 DL + 1 CO + 1 WR1-Cpi-10.49</v>
      </c>
      <c r="AB25" s="41" t="s">
        <v>25</v>
      </c>
      <c r="AC25" s="41" t="s">
        <v>33</v>
      </c>
      <c r="AD25" s="42">
        <v>10.49</v>
      </c>
      <c r="AE25" s="42">
        <v>0.02</v>
      </c>
      <c r="AF25" s="43">
        <v>10.49</v>
      </c>
    </row>
    <row r="26" spans="1:32" x14ac:dyDescent="0.25">
      <c r="A26" s="76"/>
      <c r="B26" s="78" t="str">
        <f t="shared" si="6"/>
        <v>sls10 : 1 DL + 1 CO + 1 WE1+Cpi</v>
      </c>
      <c r="C26" s="79" t="str">
        <f t="shared" si="7"/>
        <v>3</v>
      </c>
      <c r="D26" s="80">
        <f t="shared" si="8"/>
        <v>5.54</v>
      </c>
      <c r="E26" s="88">
        <f t="shared" si="9"/>
        <v>4.3478260869565215</v>
      </c>
      <c r="F26" s="88"/>
      <c r="G26" s="81">
        <f t="shared" si="10"/>
        <v>1.2742</v>
      </c>
      <c r="H26" s="82" t="str">
        <f t="shared" si="11"/>
        <v>CHECK</v>
      </c>
      <c r="I26" s="44"/>
      <c r="J26" s="62" t="str">
        <f t="shared" si="12"/>
        <v>sls10 : 1 DL + 1 CO + 1 WE1+Cpi-5.54</v>
      </c>
      <c r="K26" s="63" t="s">
        <v>36</v>
      </c>
      <c r="L26" s="64">
        <v>0.38</v>
      </c>
      <c r="M26" s="64">
        <v>5.54</v>
      </c>
      <c r="N26" s="64">
        <v>5.54</v>
      </c>
      <c r="O26" s="58"/>
      <c r="AA26" s="40" t="str">
        <f t="shared" si="0"/>
        <v>sls8 : 1 DL + 1 CO + 1 WR2+Cpi-10.58</v>
      </c>
      <c r="AB26" s="41" t="s">
        <v>25</v>
      </c>
      <c r="AC26" s="41" t="s">
        <v>34</v>
      </c>
      <c r="AD26" s="42">
        <v>10.58</v>
      </c>
      <c r="AE26" s="42">
        <v>0.01</v>
      </c>
      <c r="AF26" s="43">
        <v>10.58</v>
      </c>
    </row>
    <row r="27" spans="1:32" x14ac:dyDescent="0.25">
      <c r="A27" s="76"/>
      <c r="B27" s="78" t="str">
        <f t="shared" si="6"/>
        <v>sls11 : 1 DL + 1 CO + 1 WE1-Cpi</v>
      </c>
      <c r="C27" s="79" t="str">
        <f t="shared" si="7"/>
        <v>3</v>
      </c>
      <c r="D27" s="80">
        <f t="shared" si="8"/>
        <v>5.38</v>
      </c>
      <c r="E27" s="88">
        <f t="shared" si="9"/>
        <v>4.3478260869565215</v>
      </c>
      <c r="F27" s="88"/>
      <c r="G27" s="81">
        <f t="shared" si="10"/>
        <v>1.2374000000000001</v>
      </c>
      <c r="H27" s="82" t="str">
        <f t="shared" si="11"/>
        <v>CHECK</v>
      </c>
      <c r="I27" s="44"/>
      <c r="J27" s="62" t="str">
        <f t="shared" si="12"/>
        <v>sls11 : 1 DL + 1 CO + 1 WE1-Cpi-5.38</v>
      </c>
      <c r="K27" s="63" t="s">
        <v>37</v>
      </c>
      <c r="L27" s="64">
        <v>0.49</v>
      </c>
      <c r="M27" s="64">
        <v>5.38</v>
      </c>
      <c r="N27" s="64">
        <v>5.38</v>
      </c>
      <c r="O27" s="58"/>
      <c r="AA27" s="40" t="str">
        <f t="shared" si="0"/>
        <v>sls9 : 1 DL + 1 CO + 1 WR2-Cpi-10.49</v>
      </c>
      <c r="AB27" s="41" t="s">
        <v>25</v>
      </c>
      <c r="AC27" s="41" t="s">
        <v>35</v>
      </c>
      <c r="AD27" s="42">
        <v>10.49</v>
      </c>
      <c r="AE27" s="42">
        <v>0.02</v>
      </c>
      <c r="AF27" s="43">
        <v>10.49</v>
      </c>
    </row>
    <row r="28" spans="1:32" x14ac:dyDescent="0.25">
      <c r="A28" s="76"/>
      <c r="B28" s="78" t="str">
        <f t="shared" si="6"/>
        <v>sls12 : 1 DL + 1 CO + 1 WE2+Cpi</v>
      </c>
      <c r="C28" s="79" t="str">
        <f t="shared" si="7"/>
        <v>3</v>
      </c>
      <c r="D28" s="80">
        <f t="shared" si="8"/>
        <v>5.54</v>
      </c>
      <c r="E28" s="88">
        <f t="shared" si="9"/>
        <v>4.3478260869565215</v>
      </c>
      <c r="F28" s="88"/>
      <c r="G28" s="81">
        <f t="shared" si="10"/>
        <v>1.2742</v>
      </c>
      <c r="H28" s="82" t="str">
        <f t="shared" si="11"/>
        <v>CHECK</v>
      </c>
      <c r="I28" s="44"/>
      <c r="J28" s="62" t="str">
        <f t="shared" si="12"/>
        <v>sls12 : 1 DL + 1 CO + 1 WE2+Cpi-5.54</v>
      </c>
      <c r="K28" s="63" t="s">
        <v>38</v>
      </c>
      <c r="L28" s="64">
        <v>0.38</v>
      </c>
      <c r="M28" s="64">
        <v>5.54</v>
      </c>
      <c r="N28" s="64">
        <v>5.54</v>
      </c>
      <c r="O28" s="58"/>
      <c r="AA28" s="40" t="str">
        <f t="shared" si="0"/>
        <v>sls10 : 1 DL + 1 CO + 1 WE1+Cpi-5.54</v>
      </c>
      <c r="AB28" s="41" t="s">
        <v>25</v>
      </c>
      <c r="AC28" s="41" t="s">
        <v>36</v>
      </c>
      <c r="AD28" s="42">
        <v>0.1</v>
      </c>
      <c r="AE28" s="42">
        <v>5.54</v>
      </c>
      <c r="AF28" s="43">
        <v>5.54</v>
      </c>
    </row>
    <row r="29" spans="1:32" x14ac:dyDescent="0.25">
      <c r="A29" s="76"/>
      <c r="B29" s="78" t="str">
        <f t="shared" si="6"/>
        <v>sls13 : 1 DL + 1 CO + 1 WE2-Cpi</v>
      </c>
      <c r="C29" s="79" t="str">
        <f t="shared" si="7"/>
        <v>3</v>
      </c>
      <c r="D29" s="80">
        <f t="shared" si="8"/>
        <v>5.38</v>
      </c>
      <c r="E29" s="88">
        <f t="shared" si="9"/>
        <v>4.3478260869565215</v>
      </c>
      <c r="F29" s="88"/>
      <c r="G29" s="81">
        <f t="shared" si="10"/>
        <v>1.2374000000000001</v>
      </c>
      <c r="H29" s="82" t="str">
        <f t="shared" si="11"/>
        <v>CHECK</v>
      </c>
      <c r="I29" s="44"/>
      <c r="J29" s="62" t="str">
        <f t="shared" si="12"/>
        <v>sls13 : 1 DL + 1 CO + 1 WE2-Cpi-5.38</v>
      </c>
      <c r="K29" s="63" t="s">
        <v>39</v>
      </c>
      <c r="L29" s="64">
        <v>0.49</v>
      </c>
      <c r="M29" s="64">
        <v>5.38</v>
      </c>
      <c r="N29" s="64">
        <v>5.38</v>
      </c>
      <c r="O29" s="58"/>
      <c r="AA29" s="40" t="str">
        <f t="shared" si="0"/>
        <v>sls11 : 1 DL + 1 CO + 1 WE1-Cpi-5.37</v>
      </c>
      <c r="AB29" s="41" t="s">
        <v>25</v>
      </c>
      <c r="AC29" s="41" t="s">
        <v>37</v>
      </c>
      <c r="AD29" s="42">
        <v>0.02</v>
      </c>
      <c r="AE29" s="42">
        <v>5.37</v>
      </c>
      <c r="AF29" s="43">
        <v>5.37</v>
      </c>
    </row>
    <row r="30" spans="1:32" x14ac:dyDescent="0.25">
      <c r="A30" s="76"/>
      <c r="B30" s="78" t="str">
        <f t="shared" si="6"/>
        <v>sls14 : 1 DL + 1 CO + 1 WE3+Cpi</v>
      </c>
      <c r="C30" s="79" t="str">
        <f t="shared" si="7"/>
        <v>17</v>
      </c>
      <c r="D30" s="80">
        <f t="shared" si="8"/>
        <v>5.81</v>
      </c>
      <c r="E30" s="88">
        <f t="shared" si="9"/>
        <v>4.3478260869565215</v>
      </c>
      <c r="F30" s="88"/>
      <c r="G30" s="81">
        <f t="shared" si="10"/>
        <v>1.3363</v>
      </c>
      <c r="H30" s="82" t="str">
        <f t="shared" si="11"/>
        <v>CHECK</v>
      </c>
      <c r="I30" s="44"/>
      <c r="J30" s="62" t="str">
        <f t="shared" si="12"/>
        <v>sls14 : 1 DL + 1 CO + 1 WE3+Cpi-5.81</v>
      </c>
      <c r="K30" s="63" t="s">
        <v>40</v>
      </c>
      <c r="L30" s="64">
        <v>0.39</v>
      </c>
      <c r="M30" s="64">
        <v>5.81</v>
      </c>
      <c r="N30" s="64">
        <v>5.81</v>
      </c>
      <c r="O30" s="58"/>
      <c r="AA30" s="40" t="str">
        <f t="shared" si="0"/>
        <v>sls12 : 1 DL + 1 CO + 1 WE2+Cpi-5.54</v>
      </c>
      <c r="AB30" s="41" t="s">
        <v>25</v>
      </c>
      <c r="AC30" s="41" t="s">
        <v>38</v>
      </c>
      <c r="AD30" s="42">
        <v>0.1</v>
      </c>
      <c r="AE30" s="42">
        <v>5.54</v>
      </c>
      <c r="AF30" s="43">
        <v>5.54</v>
      </c>
    </row>
    <row r="31" spans="1:32" x14ac:dyDescent="0.25">
      <c r="A31" s="76"/>
      <c r="B31" s="78" t="str">
        <f t="shared" si="6"/>
        <v>sls15 : 1 DL + 1 CO + 1 WE3-Cpi</v>
      </c>
      <c r="C31" s="79" t="str">
        <f t="shared" si="7"/>
        <v>9</v>
      </c>
      <c r="D31" s="80">
        <f t="shared" si="8"/>
        <v>5.7</v>
      </c>
      <c r="E31" s="88">
        <f t="shared" si="9"/>
        <v>4.3478260869565215</v>
      </c>
      <c r="F31" s="88"/>
      <c r="G31" s="81">
        <f t="shared" si="10"/>
        <v>1.3110000000000002</v>
      </c>
      <c r="H31" s="82" t="str">
        <f t="shared" si="11"/>
        <v>CHECK</v>
      </c>
      <c r="I31" s="44"/>
      <c r="J31" s="62" t="str">
        <f t="shared" si="12"/>
        <v>sls15 : 1 DL + 1 CO + 1 WE3-Cpi-5.7</v>
      </c>
      <c r="K31" s="63" t="s">
        <v>41</v>
      </c>
      <c r="L31" s="64">
        <v>0.47</v>
      </c>
      <c r="M31" s="64">
        <v>5.7</v>
      </c>
      <c r="N31" s="64">
        <v>5.7</v>
      </c>
      <c r="O31" s="58"/>
      <c r="AA31" s="40" t="str">
        <f t="shared" si="0"/>
        <v>sls13 : 1 DL + 1 CO + 1 WE2-Cpi-5.37</v>
      </c>
      <c r="AB31" s="41" t="s">
        <v>25</v>
      </c>
      <c r="AC31" s="41" t="s">
        <v>39</v>
      </c>
      <c r="AD31" s="42">
        <v>0.02</v>
      </c>
      <c r="AE31" s="42">
        <v>5.37</v>
      </c>
      <c r="AF31" s="43">
        <v>5.37</v>
      </c>
    </row>
    <row r="32" spans="1:32" x14ac:dyDescent="0.25">
      <c r="A32" s="76"/>
      <c r="B32" s="78" t="str">
        <f t="shared" si="6"/>
        <v>sls16 : 1 DL + 1 CO + 1 WE4+Cpi</v>
      </c>
      <c r="C32" s="79" t="str">
        <f t="shared" si="7"/>
        <v>17</v>
      </c>
      <c r="D32" s="80">
        <f t="shared" si="8"/>
        <v>5.81</v>
      </c>
      <c r="E32" s="88">
        <f t="shared" si="9"/>
        <v>4.3478260869565215</v>
      </c>
      <c r="F32" s="88"/>
      <c r="G32" s="81">
        <f t="shared" si="10"/>
        <v>1.3363</v>
      </c>
      <c r="H32" s="82" t="str">
        <f t="shared" si="11"/>
        <v>CHECK</v>
      </c>
      <c r="I32" s="44"/>
      <c r="J32" s="62" t="str">
        <f t="shared" si="12"/>
        <v>sls16 : 1 DL + 1 CO + 1 WE4+Cpi-5.81</v>
      </c>
      <c r="K32" s="63" t="s">
        <v>42</v>
      </c>
      <c r="L32" s="64">
        <v>0.39</v>
      </c>
      <c r="M32" s="64">
        <v>5.81</v>
      </c>
      <c r="N32" s="64">
        <v>5.81</v>
      </c>
      <c r="O32" s="58"/>
      <c r="AA32" s="40" t="str">
        <f t="shared" si="0"/>
        <v>sls14 : 1 DL + 1 CO + 1 WE3+Cpi-5.8</v>
      </c>
      <c r="AB32" s="41" t="s">
        <v>25</v>
      </c>
      <c r="AC32" s="41" t="s">
        <v>40</v>
      </c>
      <c r="AD32" s="42">
        <v>0.39</v>
      </c>
      <c r="AE32" s="42">
        <v>5.79</v>
      </c>
      <c r="AF32" s="43">
        <v>5.8</v>
      </c>
    </row>
    <row r="33" spans="1:32" x14ac:dyDescent="0.25">
      <c r="A33" s="76"/>
      <c r="B33" s="78" t="str">
        <f t="shared" si="6"/>
        <v>sls17 : 1 DL + 1 CO + 1 WE4-Cpi</v>
      </c>
      <c r="C33" s="79" t="str">
        <f t="shared" si="7"/>
        <v>9</v>
      </c>
      <c r="D33" s="80">
        <f t="shared" si="8"/>
        <v>5.7</v>
      </c>
      <c r="E33" s="88">
        <f t="shared" si="9"/>
        <v>4.3478260869565215</v>
      </c>
      <c r="F33" s="88"/>
      <c r="G33" s="81">
        <f t="shared" si="10"/>
        <v>1.3110000000000002</v>
      </c>
      <c r="H33" s="82" t="str">
        <f t="shared" si="11"/>
        <v>CHECK</v>
      </c>
      <c r="I33" s="44"/>
      <c r="J33" s="62" t="str">
        <f t="shared" si="12"/>
        <v>sls17 : 1 DL + 1 CO + 1 WE4-Cpi-5.7</v>
      </c>
      <c r="K33" s="63" t="s">
        <v>43</v>
      </c>
      <c r="L33" s="64">
        <v>0.47</v>
      </c>
      <c r="M33" s="64">
        <v>5.7</v>
      </c>
      <c r="N33" s="64">
        <v>5.7</v>
      </c>
      <c r="O33" s="58"/>
      <c r="AA33" s="40" t="str">
        <f t="shared" si="0"/>
        <v>sls15 : 1 DL + 1 CO + 1 WE3-Cpi-5.7</v>
      </c>
      <c r="AB33" s="41" t="s">
        <v>25</v>
      </c>
      <c r="AC33" s="41" t="s">
        <v>41</v>
      </c>
      <c r="AD33" s="42">
        <v>0.47</v>
      </c>
      <c r="AE33" s="42">
        <v>5.68</v>
      </c>
      <c r="AF33" s="43">
        <v>5.7</v>
      </c>
    </row>
    <row r="34" spans="1:32" x14ac:dyDescent="0.25">
      <c r="A34" s="76"/>
      <c r="B34" s="78"/>
      <c r="C34" s="79"/>
      <c r="D34" s="80"/>
      <c r="E34" s="88"/>
      <c r="F34" s="88"/>
      <c r="G34" s="81"/>
      <c r="H34" s="82"/>
      <c r="I34" s="44"/>
      <c r="J34" s="62"/>
      <c r="K34" s="63"/>
      <c r="L34" s="64"/>
      <c r="M34" s="64"/>
      <c r="N34" s="64"/>
      <c r="O34" s="58"/>
      <c r="AA34" s="40" t="str">
        <f t="shared" si="0"/>
        <v>sls16 : 1 DL + 1 CO + 1 WE4+Cpi-5.8</v>
      </c>
      <c r="AB34" s="41" t="s">
        <v>25</v>
      </c>
      <c r="AC34" s="41" t="s">
        <v>42</v>
      </c>
      <c r="AD34" s="42">
        <v>0.39</v>
      </c>
      <c r="AE34" s="42">
        <v>5.79</v>
      </c>
      <c r="AF34" s="43">
        <v>5.8</v>
      </c>
    </row>
    <row r="35" spans="1:32" x14ac:dyDescent="0.25">
      <c r="A35" s="76"/>
      <c r="B35" s="78"/>
      <c r="C35" s="79"/>
      <c r="D35" s="80"/>
      <c r="E35" s="88"/>
      <c r="F35" s="88"/>
      <c r="G35" s="81"/>
      <c r="H35" s="82"/>
      <c r="I35" s="44"/>
      <c r="J35" s="62"/>
      <c r="K35" s="63"/>
      <c r="L35" s="64"/>
      <c r="M35" s="64"/>
      <c r="N35" s="64"/>
      <c r="O35" s="58"/>
      <c r="AA35" s="40" t="str">
        <f t="shared" si="0"/>
        <v>sls17 : 1 DL + 1 CO + 1 WE4-Cpi-5.7</v>
      </c>
      <c r="AB35" s="41" t="s">
        <v>25</v>
      </c>
      <c r="AC35" s="41" t="s">
        <v>43</v>
      </c>
      <c r="AD35" s="42">
        <v>0.47</v>
      </c>
      <c r="AE35" s="42">
        <v>5.68</v>
      </c>
      <c r="AF35" s="43">
        <v>5.7</v>
      </c>
    </row>
    <row r="36" spans="1:32" x14ac:dyDescent="0.25">
      <c r="A36" s="76"/>
      <c r="B36" s="78"/>
      <c r="C36" s="79"/>
      <c r="D36" s="80"/>
      <c r="E36" s="88"/>
      <c r="F36" s="88"/>
      <c r="G36" s="81"/>
      <c r="H36" s="82"/>
      <c r="I36" s="44"/>
      <c r="J36" s="62"/>
      <c r="K36" s="63"/>
      <c r="L36" s="64"/>
      <c r="M36" s="64"/>
      <c r="N36" s="64"/>
      <c r="O36" s="58"/>
      <c r="AA36" s="40" t="str">
        <f t="shared" si="0"/>
        <v>sls2 : 1 DL + 1 CO + 1 WL1+Cpi-7.63</v>
      </c>
      <c r="AB36" s="41" t="s">
        <v>26</v>
      </c>
      <c r="AC36" s="41" t="s">
        <v>28</v>
      </c>
      <c r="AD36" s="42">
        <v>7.63</v>
      </c>
      <c r="AE36" s="42">
        <v>0.01</v>
      </c>
      <c r="AF36" s="43">
        <v>7.63</v>
      </c>
    </row>
    <row r="37" spans="1:32" x14ac:dyDescent="0.25">
      <c r="A37" s="76"/>
      <c r="B37" s="78"/>
      <c r="C37" s="79"/>
      <c r="D37" s="80"/>
      <c r="E37" s="88"/>
      <c r="F37" s="88"/>
      <c r="G37" s="81"/>
      <c r="H37" s="82"/>
      <c r="I37" s="44"/>
      <c r="J37" s="62"/>
      <c r="K37" s="63"/>
      <c r="L37" s="64"/>
      <c r="M37" s="64"/>
      <c r="N37" s="64"/>
      <c r="O37" s="58"/>
      <c r="AA37" s="40" t="str">
        <f t="shared" si="0"/>
        <v>sls3 : 1 DL + 1 CO + 1 WL1-Cpi-7.71</v>
      </c>
      <c r="AB37" s="41" t="s">
        <v>26</v>
      </c>
      <c r="AC37" s="41" t="s">
        <v>29</v>
      </c>
      <c r="AD37" s="42">
        <v>7.71</v>
      </c>
      <c r="AE37" s="42">
        <v>0.04</v>
      </c>
      <c r="AF37" s="43">
        <v>7.71</v>
      </c>
    </row>
    <row r="38" spans="1:32" x14ac:dyDescent="0.25">
      <c r="A38" s="76"/>
      <c r="B38" s="78"/>
      <c r="C38" s="79"/>
      <c r="D38" s="80"/>
      <c r="E38" s="88"/>
      <c r="F38" s="88"/>
      <c r="G38" s="81"/>
      <c r="H38" s="82"/>
      <c r="I38" s="44"/>
      <c r="J38" s="62"/>
      <c r="K38" s="63"/>
      <c r="L38" s="64"/>
      <c r="M38" s="64"/>
      <c r="N38" s="64"/>
      <c r="O38" s="58"/>
      <c r="AA38" s="40" t="str">
        <f t="shared" si="0"/>
        <v>sls4 : 1 DL + 1 CO + 1 WL2+Cpi-8.62</v>
      </c>
      <c r="AB38" s="41" t="s">
        <v>26</v>
      </c>
      <c r="AC38" s="41" t="s">
        <v>30</v>
      </c>
      <c r="AD38" s="42">
        <v>8.6199999999999992</v>
      </c>
      <c r="AE38" s="42">
        <v>0.01</v>
      </c>
      <c r="AF38" s="43">
        <v>8.6199999999999992</v>
      </c>
    </row>
    <row r="39" spans="1:32" x14ac:dyDescent="0.25">
      <c r="A39" s="76"/>
      <c r="B39" s="78"/>
      <c r="C39" s="79"/>
      <c r="D39" s="80"/>
      <c r="E39" s="88"/>
      <c r="F39" s="88"/>
      <c r="G39" s="81"/>
      <c r="H39" s="82"/>
      <c r="I39" s="44"/>
      <c r="J39" s="62"/>
      <c r="K39" s="63"/>
      <c r="L39" s="64"/>
      <c r="M39" s="64"/>
      <c r="N39" s="64"/>
      <c r="O39" s="58"/>
      <c r="AA39" s="40" t="str">
        <f t="shared" si="0"/>
        <v>sls5 : 1 DL + 1 CO + 1 WL2-Cpi-8.7</v>
      </c>
      <c r="AB39" s="41" t="s">
        <v>26</v>
      </c>
      <c r="AC39" s="41" t="s">
        <v>31</v>
      </c>
      <c r="AD39" s="42">
        <v>8.6999999999999993</v>
      </c>
      <c r="AE39" s="42">
        <v>0.05</v>
      </c>
      <c r="AF39" s="43">
        <v>8.6999999999999993</v>
      </c>
    </row>
    <row r="40" spans="1:32" x14ac:dyDescent="0.25">
      <c r="A40" s="76"/>
      <c r="B40" s="78"/>
      <c r="C40" s="79"/>
      <c r="D40" s="80"/>
      <c r="E40" s="88"/>
      <c r="F40" s="88"/>
      <c r="G40" s="81"/>
      <c r="H40" s="82"/>
      <c r="I40" s="44"/>
      <c r="J40" s="62"/>
      <c r="K40" s="63"/>
      <c r="L40" s="64"/>
      <c r="M40" s="64"/>
      <c r="N40" s="64"/>
      <c r="O40" s="58"/>
      <c r="AA40" s="40" t="str">
        <f t="shared" si="0"/>
        <v>sls6 : 1 DL + 1 CO + 1 WR1+Cpi-10.64</v>
      </c>
      <c r="AB40" s="41" t="s">
        <v>26</v>
      </c>
      <c r="AC40" s="41" t="s">
        <v>32</v>
      </c>
      <c r="AD40" s="42">
        <v>10.64</v>
      </c>
      <c r="AE40" s="42">
        <v>0.04</v>
      </c>
      <c r="AF40" s="43">
        <v>10.64</v>
      </c>
    </row>
    <row r="41" spans="1:32" x14ac:dyDescent="0.25">
      <c r="A41" s="76"/>
      <c r="B41" s="78"/>
      <c r="C41" s="79"/>
      <c r="D41" s="80"/>
      <c r="E41" s="88"/>
      <c r="F41" s="88"/>
      <c r="G41" s="81"/>
      <c r="H41" s="82"/>
      <c r="I41" s="44"/>
      <c r="J41" s="62"/>
      <c r="K41" s="63"/>
      <c r="L41" s="64"/>
      <c r="M41" s="64"/>
      <c r="N41" s="64"/>
      <c r="O41" s="58"/>
      <c r="AA41" s="40" t="str">
        <f t="shared" si="0"/>
        <v>sls7 : 1 DL + 1 CO + 1 WR1-Cpi-10.52</v>
      </c>
      <c r="AB41" s="41" t="s">
        <v>26</v>
      </c>
      <c r="AC41" s="41" t="s">
        <v>33</v>
      </c>
      <c r="AD41" s="42">
        <v>10.52</v>
      </c>
      <c r="AE41" s="42">
        <v>7.0000000000000007E-2</v>
      </c>
      <c r="AF41" s="43">
        <v>10.52</v>
      </c>
    </row>
    <row r="42" spans="1:32" x14ac:dyDescent="0.25">
      <c r="A42" s="76"/>
      <c r="B42" s="78"/>
      <c r="C42" s="79"/>
      <c r="D42" s="80"/>
      <c r="E42" s="88"/>
      <c r="F42" s="88"/>
      <c r="G42" s="81"/>
      <c r="H42" s="82"/>
      <c r="I42" s="44"/>
      <c r="J42" s="62"/>
      <c r="K42" s="63"/>
      <c r="L42" s="64"/>
      <c r="M42" s="64"/>
      <c r="N42" s="64"/>
      <c r="O42" s="58"/>
      <c r="AA42" s="40" t="str">
        <f t="shared" si="0"/>
        <v>sls8 : 1 DL + 1 CO + 1 WR2+Cpi-10.64</v>
      </c>
      <c r="AB42" s="41" t="s">
        <v>26</v>
      </c>
      <c r="AC42" s="41" t="s">
        <v>34</v>
      </c>
      <c r="AD42" s="42">
        <v>10.64</v>
      </c>
      <c r="AE42" s="42">
        <v>0.04</v>
      </c>
      <c r="AF42" s="43">
        <v>10.64</v>
      </c>
    </row>
    <row r="43" spans="1:32" x14ac:dyDescent="0.25">
      <c r="A43" s="77"/>
      <c r="B43" s="78"/>
      <c r="C43" s="79"/>
      <c r="D43" s="80"/>
      <c r="E43" s="88"/>
      <c r="F43" s="88"/>
      <c r="G43" s="81"/>
      <c r="H43" s="82"/>
      <c r="I43" s="65"/>
      <c r="J43" s="62"/>
      <c r="K43" s="63"/>
      <c r="L43" s="64"/>
      <c r="M43" s="64"/>
      <c r="N43" s="64"/>
      <c r="O43" s="58"/>
      <c r="AA43" s="40" t="str">
        <f t="shared" si="0"/>
        <v>sls9 : 1 DL + 1 CO + 1 WR2-Cpi-10.52</v>
      </c>
      <c r="AB43" s="41" t="s">
        <v>26</v>
      </c>
      <c r="AC43" s="41" t="s">
        <v>35</v>
      </c>
      <c r="AD43" s="42">
        <v>10.52</v>
      </c>
      <c r="AE43" s="42">
        <v>7.0000000000000007E-2</v>
      </c>
      <c r="AF43" s="43">
        <v>10.52</v>
      </c>
    </row>
    <row r="44" spans="1:32" x14ac:dyDescent="0.25">
      <c r="A44" s="76"/>
      <c r="B44" s="78"/>
      <c r="C44" s="79"/>
      <c r="D44" s="80"/>
      <c r="E44" s="88"/>
      <c r="F44" s="88"/>
      <c r="G44" s="81"/>
      <c r="H44" s="82"/>
      <c r="I44" s="44"/>
      <c r="J44" s="62"/>
      <c r="K44" s="63"/>
      <c r="L44" s="64"/>
      <c r="M44" s="64"/>
      <c r="N44" s="64"/>
      <c r="O44" s="58"/>
      <c r="AA44" s="40" t="str">
        <f t="shared" si="0"/>
        <v>sls10 : 1 DL + 1 CO + 1 WE1+Cpi-5.54</v>
      </c>
      <c r="AB44" s="41" t="s">
        <v>26</v>
      </c>
      <c r="AC44" s="41" t="s">
        <v>36</v>
      </c>
      <c r="AD44" s="42">
        <v>0.38</v>
      </c>
      <c r="AE44" s="42">
        <v>5.52</v>
      </c>
      <c r="AF44" s="43">
        <v>5.54</v>
      </c>
    </row>
    <row r="45" spans="1:32" x14ac:dyDescent="0.25">
      <c r="A45" s="76"/>
      <c r="B45" s="78"/>
      <c r="C45" s="79"/>
      <c r="D45" s="80"/>
      <c r="E45" s="88"/>
      <c r="F45" s="88"/>
      <c r="G45" s="81"/>
      <c r="H45" s="82"/>
      <c r="I45" s="44"/>
      <c r="J45" s="62"/>
      <c r="K45" s="63"/>
      <c r="L45" s="64"/>
      <c r="M45" s="64"/>
      <c r="N45" s="64"/>
      <c r="O45" s="58"/>
      <c r="AA45" s="40" t="str">
        <f t="shared" si="0"/>
        <v>sls11 : 1 DL + 1 CO + 1 WE1-Cpi-5.38</v>
      </c>
      <c r="AB45" s="41" t="s">
        <v>26</v>
      </c>
      <c r="AC45" s="41" t="s">
        <v>37</v>
      </c>
      <c r="AD45" s="42">
        <v>0.49</v>
      </c>
      <c r="AE45" s="42">
        <v>5.36</v>
      </c>
      <c r="AF45" s="43">
        <v>5.38</v>
      </c>
    </row>
    <row r="46" spans="1:32" x14ac:dyDescent="0.25">
      <c r="A46" s="76"/>
      <c r="B46" s="78"/>
      <c r="C46" s="79"/>
      <c r="D46" s="80"/>
      <c r="E46" s="88"/>
      <c r="F46" s="88"/>
      <c r="G46" s="81"/>
      <c r="H46" s="82"/>
      <c r="I46" s="44"/>
      <c r="J46" s="62"/>
      <c r="K46" s="63"/>
      <c r="L46" s="64"/>
      <c r="M46" s="64"/>
      <c r="N46" s="64"/>
      <c r="O46" s="58"/>
      <c r="AA46" s="40" t="str">
        <f t="shared" si="0"/>
        <v>sls12 : 1 DL + 1 CO + 1 WE2+Cpi-5.54</v>
      </c>
      <c r="AB46" s="41" t="s">
        <v>26</v>
      </c>
      <c r="AC46" s="41" t="s">
        <v>38</v>
      </c>
      <c r="AD46" s="42">
        <v>0.38</v>
      </c>
      <c r="AE46" s="42">
        <v>5.52</v>
      </c>
      <c r="AF46" s="43">
        <v>5.54</v>
      </c>
    </row>
    <row r="47" spans="1:32" x14ac:dyDescent="0.25">
      <c r="A47" s="76"/>
      <c r="B47" s="78"/>
      <c r="C47" s="79"/>
      <c r="D47" s="80"/>
      <c r="E47" s="88"/>
      <c r="F47" s="88"/>
      <c r="G47" s="81"/>
      <c r="H47" s="82"/>
      <c r="I47" s="44"/>
      <c r="J47" s="62"/>
      <c r="K47" s="63"/>
      <c r="L47" s="64"/>
      <c r="M47" s="64"/>
      <c r="N47" s="64"/>
      <c r="O47" s="58"/>
      <c r="AA47" s="40" t="str">
        <f t="shared" si="0"/>
        <v>sls13 : 1 DL + 1 CO + 1 WE2-Cpi-5.38</v>
      </c>
      <c r="AB47" s="41" t="s">
        <v>26</v>
      </c>
      <c r="AC47" s="41" t="s">
        <v>39</v>
      </c>
      <c r="AD47" s="42">
        <v>0.49</v>
      </c>
      <c r="AE47" s="42">
        <v>5.36</v>
      </c>
      <c r="AF47" s="43">
        <v>5.38</v>
      </c>
    </row>
    <row r="48" spans="1:32" x14ac:dyDescent="0.25">
      <c r="A48" s="76"/>
      <c r="B48" s="78"/>
      <c r="C48" s="79"/>
      <c r="D48" s="80"/>
      <c r="E48" s="88"/>
      <c r="F48" s="88"/>
      <c r="G48" s="81"/>
      <c r="H48" s="82"/>
      <c r="I48" s="44"/>
      <c r="J48" s="62"/>
      <c r="K48" s="63"/>
      <c r="L48" s="64"/>
      <c r="M48" s="64"/>
      <c r="N48" s="64"/>
      <c r="O48" s="58"/>
      <c r="AA48" s="40" t="str">
        <f t="shared" si="0"/>
        <v>sls14 : 1 DL + 1 CO + 1 WE3+Cpi-5.8</v>
      </c>
      <c r="AB48" s="41" t="s">
        <v>26</v>
      </c>
      <c r="AC48" s="41" t="s">
        <v>40</v>
      </c>
      <c r="AD48" s="42">
        <v>0.14000000000000001</v>
      </c>
      <c r="AE48" s="42">
        <v>5.8</v>
      </c>
      <c r="AF48" s="43">
        <v>5.8</v>
      </c>
    </row>
    <row r="49" spans="1:32" x14ac:dyDescent="0.25">
      <c r="A49" s="76"/>
      <c r="B49" s="78"/>
      <c r="C49" s="79"/>
      <c r="D49" s="80"/>
      <c r="E49" s="88"/>
      <c r="F49" s="88"/>
      <c r="G49" s="81"/>
      <c r="H49" s="82"/>
      <c r="I49" s="44"/>
      <c r="J49" s="62"/>
      <c r="K49" s="63"/>
      <c r="L49" s="64"/>
      <c r="M49" s="64"/>
      <c r="N49" s="64"/>
      <c r="O49" s="58"/>
      <c r="AA49" s="40" t="str">
        <f t="shared" si="0"/>
        <v>sls15 : 1 DL + 1 CO + 1 WE3-Cpi-5.69</v>
      </c>
      <c r="AB49" s="41" t="s">
        <v>26</v>
      </c>
      <c r="AC49" s="41" t="s">
        <v>41</v>
      </c>
      <c r="AD49" s="42">
        <v>0.02</v>
      </c>
      <c r="AE49" s="42">
        <v>5.69</v>
      </c>
      <c r="AF49" s="43">
        <v>5.69</v>
      </c>
    </row>
    <row r="50" spans="1:32" x14ac:dyDescent="0.25">
      <c r="A50" s="76"/>
      <c r="B50" s="78"/>
      <c r="C50" s="79"/>
      <c r="D50" s="80"/>
      <c r="E50" s="88"/>
      <c r="F50" s="88"/>
      <c r="G50" s="81"/>
      <c r="H50" s="82"/>
      <c r="I50" s="44"/>
      <c r="J50" s="62"/>
      <c r="K50" s="63"/>
      <c r="L50" s="64"/>
      <c r="M50" s="64"/>
      <c r="N50" s="64"/>
      <c r="O50" s="58"/>
      <c r="AA50" s="40" t="str">
        <f t="shared" si="0"/>
        <v>sls16 : 1 DL + 1 CO + 1 WE4+Cpi-5.8</v>
      </c>
      <c r="AB50" s="41" t="s">
        <v>26</v>
      </c>
      <c r="AC50" s="41" t="s">
        <v>42</v>
      </c>
      <c r="AD50" s="42">
        <v>0.14000000000000001</v>
      </c>
      <c r="AE50" s="42">
        <v>5.8</v>
      </c>
      <c r="AF50" s="43">
        <v>5.8</v>
      </c>
    </row>
    <row r="51" spans="1:32" x14ac:dyDescent="0.25">
      <c r="A51" s="76"/>
      <c r="B51" s="78"/>
      <c r="C51" s="79"/>
      <c r="D51" s="80"/>
      <c r="E51" s="88"/>
      <c r="F51" s="88"/>
      <c r="G51" s="81"/>
      <c r="H51" s="82"/>
      <c r="I51" s="44"/>
      <c r="J51" s="62"/>
      <c r="K51" s="63"/>
      <c r="L51" s="64"/>
      <c r="M51" s="64"/>
      <c r="N51" s="64"/>
      <c r="O51" s="58"/>
      <c r="AA51" s="40" t="str">
        <f t="shared" si="0"/>
        <v>sls17 : 1 DL + 1 CO + 1 WE4-Cpi-5.69</v>
      </c>
      <c r="AB51" s="41" t="s">
        <v>26</v>
      </c>
      <c r="AC51" s="41" t="s">
        <v>43</v>
      </c>
      <c r="AD51" s="42">
        <v>0.02</v>
      </c>
      <c r="AE51" s="42">
        <v>5.69</v>
      </c>
      <c r="AF51" s="43">
        <v>5.69</v>
      </c>
    </row>
    <row r="52" spans="1:32" x14ac:dyDescent="0.25">
      <c r="A52" s="76"/>
      <c r="B52" s="78"/>
      <c r="C52" s="79"/>
      <c r="D52" s="80"/>
      <c r="E52" s="88"/>
      <c r="F52" s="88"/>
      <c r="G52" s="81"/>
      <c r="H52" s="82"/>
      <c r="I52" s="44"/>
      <c r="J52" s="62"/>
      <c r="K52" s="63"/>
      <c r="L52" s="64"/>
      <c r="M52" s="64"/>
      <c r="N52" s="64"/>
      <c r="O52" s="58"/>
      <c r="AA52" s="40" t="str">
        <f t="shared" si="0"/>
        <v>sls2 : 1 DL + 1 CO + 1 WL1+Cpi-6.77</v>
      </c>
      <c r="AB52" s="41" t="s">
        <v>27</v>
      </c>
      <c r="AC52" s="41" t="s">
        <v>28</v>
      </c>
      <c r="AD52" s="42">
        <v>6.77</v>
      </c>
      <c r="AE52" s="42">
        <v>0.01</v>
      </c>
      <c r="AF52" s="43">
        <v>6.77</v>
      </c>
    </row>
    <row r="53" spans="1:32" x14ac:dyDescent="0.25">
      <c r="A53" s="76"/>
      <c r="B53" s="78"/>
      <c r="C53" s="79"/>
      <c r="D53" s="80"/>
      <c r="E53" s="88"/>
      <c r="F53" s="88"/>
      <c r="G53" s="81"/>
      <c r="H53" s="82"/>
      <c r="I53" s="44"/>
      <c r="J53" s="62"/>
      <c r="K53" s="63"/>
      <c r="L53" s="64"/>
      <c r="M53" s="64"/>
      <c r="N53" s="64"/>
      <c r="O53" s="58"/>
      <c r="AA53" s="40" t="str">
        <f t="shared" si="0"/>
        <v>sls3 : 1 DL + 1 CO + 1 WL1-Cpi-6.85</v>
      </c>
      <c r="AB53" s="41" t="s">
        <v>27</v>
      </c>
      <c r="AC53" s="41" t="s">
        <v>29</v>
      </c>
      <c r="AD53" s="42">
        <v>6.85</v>
      </c>
      <c r="AE53" s="42">
        <v>0.04</v>
      </c>
      <c r="AF53" s="43">
        <v>6.85</v>
      </c>
    </row>
    <row r="54" spans="1:32" x14ac:dyDescent="0.25">
      <c r="A54" s="76"/>
      <c r="B54" s="78"/>
      <c r="C54" s="79"/>
      <c r="D54" s="80"/>
      <c r="E54" s="88"/>
      <c r="F54" s="88"/>
      <c r="G54" s="81"/>
      <c r="H54" s="82"/>
      <c r="I54" s="44"/>
      <c r="J54" s="62"/>
      <c r="K54" s="63"/>
      <c r="L54" s="64"/>
      <c r="M54" s="64"/>
      <c r="N54" s="64"/>
      <c r="O54" s="58"/>
      <c r="AA54" s="40" t="str">
        <f t="shared" si="0"/>
        <v>sls4 : 1 DL + 1 CO + 1 WL2+Cpi-7.64</v>
      </c>
      <c r="AB54" s="41" t="s">
        <v>27</v>
      </c>
      <c r="AC54" s="41" t="s">
        <v>30</v>
      </c>
      <c r="AD54" s="42">
        <v>7.64</v>
      </c>
      <c r="AE54" s="42">
        <v>0.01</v>
      </c>
      <c r="AF54" s="43">
        <v>7.64</v>
      </c>
    </row>
    <row r="55" spans="1:32" x14ac:dyDescent="0.25">
      <c r="A55" s="76"/>
      <c r="B55" s="78"/>
      <c r="C55" s="79"/>
      <c r="D55" s="80"/>
      <c r="E55" s="88"/>
      <c r="F55" s="88"/>
      <c r="G55" s="81"/>
      <c r="H55" s="82"/>
      <c r="I55" s="44"/>
      <c r="J55" s="62"/>
      <c r="K55" s="63"/>
      <c r="L55" s="64"/>
      <c r="M55" s="64"/>
      <c r="N55" s="64"/>
      <c r="O55" s="58"/>
      <c r="AA55" s="40" t="str">
        <f t="shared" si="0"/>
        <v>sls5 : 1 DL + 1 CO + 1 WL2-Cpi-7.72</v>
      </c>
      <c r="AB55" s="41" t="s">
        <v>27</v>
      </c>
      <c r="AC55" s="41" t="s">
        <v>31</v>
      </c>
      <c r="AD55" s="42">
        <v>7.72</v>
      </c>
      <c r="AE55" s="42">
        <v>0.04</v>
      </c>
      <c r="AF55" s="43">
        <v>7.72</v>
      </c>
    </row>
    <row r="56" spans="1:32" x14ac:dyDescent="0.25">
      <c r="A56" s="76"/>
      <c r="B56" s="78"/>
      <c r="C56" s="79"/>
      <c r="D56" s="80"/>
      <c r="E56" s="88"/>
      <c r="F56" s="88"/>
      <c r="G56" s="81"/>
      <c r="H56" s="82"/>
      <c r="I56" s="44"/>
      <c r="J56" s="62"/>
      <c r="K56" s="63"/>
      <c r="L56" s="64"/>
      <c r="M56" s="64"/>
      <c r="N56" s="64"/>
      <c r="O56" s="58"/>
      <c r="AA56" s="40" t="str">
        <f t="shared" si="0"/>
        <v>sls6 : 1 DL + 1 CO + 1 WR1+Cpi-9.35</v>
      </c>
      <c r="AB56" s="41" t="s">
        <v>27</v>
      </c>
      <c r="AC56" s="41" t="s">
        <v>32</v>
      </c>
      <c r="AD56" s="42">
        <v>9.35</v>
      </c>
      <c r="AE56" s="42">
        <v>0.06</v>
      </c>
      <c r="AF56" s="43">
        <v>9.35</v>
      </c>
    </row>
    <row r="57" spans="1:32" x14ac:dyDescent="0.25">
      <c r="A57" s="76"/>
      <c r="B57" s="78"/>
      <c r="C57" s="79"/>
      <c r="D57" s="80"/>
      <c r="E57" s="88"/>
      <c r="F57" s="88"/>
      <c r="G57" s="81"/>
      <c r="H57" s="82"/>
      <c r="I57" s="44"/>
      <c r="J57" s="62"/>
      <c r="K57" s="63"/>
      <c r="L57" s="64"/>
      <c r="M57" s="64"/>
      <c r="N57" s="64"/>
      <c r="O57" s="58"/>
      <c r="AA57" s="40" t="str">
        <f t="shared" si="0"/>
        <v>sls7 : 1 DL + 1 CO + 1 WR1-Cpi-9.23</v>
      </c>
      <c r="AB57" s="41" t="s">
        <v>27</v>
      </c>
      <c r="AC57" s="41" t="s">
        <v>33</v>
      </c>
      <c r="AD57" s="42">
        <v>9.23</v>
      </c>
      <c r="AE57" s="42">
        <v>0.09</v>
      </c>
      <c r="AF57" s="43">
        <v>9.23</v>
      </c>
    </row>
    <row r="58" spans="1:32" x14ac:dyDescent="0.25">
      <c r="A58" s="76"/>
      <c r="B58" s="78"/>
      <c r="C58" s="79"/>
      <c r="D58" s="80"/>
      <c r="E58" s="88"/>
      <c r="F58" s="88"/>
      <c r="G58" s="81"/>
      <c r="H58" s="82"/>
      <c r="I58" s="44"/>
      <c r="J58" s="62"/>
      <c r="K58" s="63"/>
      <c r="L58" s="64"/>
      <c r="M58" s="64"/>
      <c r="N58" s="64"/>
      <c r="O58" s="58"/>
      <c r="AA58" s="40" t="str">
        <f t="shared" si="0"/>
        <v>sls8 : 1 DL + 1 CO + 1 WR2+Cpi-9.35</v>
      </c>
      <c r="AB58" s="41" t="s">
        <v>27</v>
      </c>
      <c r="AC58" s="41" t="s">
        <v>34</v>
      </c>
      <c r="AD58" s="42">
        <v>9.35</v>
      </c>
      <c r="AE58" s="42">
        <v>0.06</v>
      </c>
      <c r="AF58" s="43">
        <v>9.35</v>
      </c>
    </row>
    <row r="59" spans="1:32" x14ac:dyDescent="0.25">
      <c r="A59" s="76"/>
      <c r="B59" s="78"/>
      <c r="C59" s="79"/>
      <c r="D59" s="80"/>
      <c r="E59" s="88"/>
      <c r="F59" s="88"/>
      <c r="G59" s="81"/>
      <c r="H59" s="82"/>
      <c r="I59" s="44"/>
      <c r="J59" s="62"/>
      <c r="K59" s="63"/>
      <c r="L59" s="64"/>
      <c r="M59" s="64"/>
      <c r="N59" s="64"/>
      <c r="O59" s="58"/>
      <c r="AA59" s="40" t="str">
        <f t="shared" si="0"/>
        <v>sls9 : 1 DL + 1 CO + 1 WR2-Cpi-9.23</v>
      </c>
      <c r="AB59" s="41" t="s">
        <v>27</v>
      </c>
      <c r="AC59" s="41" t="s">
        <v>35</v>
      </c>
      <c r="AD59" s="42">
        <v>9.23</v>
      </c>
      <c r="AE59" s="42">
        <v>0.09</v>
      </c>
      <c r="AF59" s="43">
        <v>9.23</v>
      </c>
    </row>
    <row r="60" spans="1:32" x14ac:dyDescent="0.25">
      <c r="A60" s="76"/>
      <c r="B60" s="78"/>
      <c r="C60" s="79"/>
      <c r="D60" s="80"/>
      <c r="E60" s="88"/>
      <c r="F60" s="88"/>
      <c r="G60" s="81"/>
      <c r="H60" s="82"/>
      <c r="I60" s="44"/>
      <c r="J60" s="62"/>
      <c r="K60" s="63"/>
      <c r="L60" s="64"/>
      <c r="M60" s="64"/>
      <c r="N60" s="64"/>
      <c r="O60" s="58"/>
      <c r="AA60" s="40" t="str">
        <f t="shared" si="0"/>
        <v>sls10 : 1 DL + 1 CO + 1 WE1+Cpi-5.52</v>
      </c>
      <c r="AB60" s="41" t="s">
        <v>27</v>
      </c>
      <c r="AC60" s="41" t="s">
        <v>36</v>
      </c>
      <c r="AD60" s="42">
        <v>0.12</v>
      </c>
      <c r="AE60" s="42">
        <v>5.52</v>
      </c>
      <c r="AF60" s="43">
        <v>5.52</v>
      </c>
    </row>
    <row r="61" spans="1:32" x14ac:dyDescent="0.25">
      <c r="A61" s="76"/>
      <c r="B61" s="78"/>
      <c r="C61" s="79"/>
      <c r="D61" s="80"/>
      <c r="E61" s="88"/>
      <c r="F61" s="88"/>
      <c r="G61" s="81"/>
      <c r="H61" s="82"/>
      <c r="I61" s="44"/>
      <c r="J61" s="62"/>
      <c r="K61" s="63"/>
      <c r="L61" s="64"/>
      <c r="M61" s="64"/>
      <c r="N61" s="64"/>
      <c r="O61" s="58"/>
      <c r="AA61" s="40" t="str">
        <f t="shared" si="0"/>
        <v>sls11 : 1 DL + 1 CO + 1 WE1-Cpi-5.36</v>
      </c>
      <c r="AB61" s="41" t="s">
        <v>27</v>
      </c>
      <c r="AC61" s="41" t="s">
        <v>37</v>
      </c>
      <c r="AD61" s="42">
        <v>0.24</v>
      </c>
      <c r="AE61" s="42">
        <v>5.35</v>
      </c>
      <c r="AF61" s="43">
        <v>5.36</v>
      </c>
    </row>
    <row r="62" spans="1:32" x14ac:dyDescent="0.25">
      <c r="A62" s="76"/>
      <c r="B62" s="78"/>
      <c r="C62" s="79"/>
      <c r="D62" s="80"/>
      <c r="E62" s="88"/>
      <c r="F62" s="88"/>
      <c r="G62" s="81"/>
      <c r="H62" s="82"/>
      <c r="I62" s="44"/>
      <c r="J62" s="62"/>
      <c r="K62" s="63"/>
      <c r="L62" s="64"/>
      <c r="M62" s="64"/>
      <c r="N62" s="64"/>
      <c r="O62" s="58"/>
      <c r="AA62" s="40" t="str">
        <f t="shared" si="0"/>
        <v>sls12 : 1 DL + 1 CO + 1 WE2+Cpi-5.52</v>
      </c>
      <c r="AB62" s="41" t="s">
        <v>27</v>
      </c>
      <c r="AC62" s="41" t="s">
        <v>38</v>
      </c>
      <c r="AD62" s="42">
        <v>0.12</v>
      </c>
      <c r="AE62" s="42">
        <v>5.52</v>
      </c>
      <c r="AF62" s="43">
        <v>5.52</v>
      </c>
    </row>
    <row r="63" spans="1:32" x14ac:dyDescent="0.25">
      <c r="A63" s="76"/>
      <c r="B63" s="78"/>
      <c r="C63" s="79"/>
      <c r="D63" s="80"/>
      <c r="E63" s="88"/>
      <c r="F63" s="88"/>
      <c r="G63" s="81"/>
      <c r="H63" s="82"/>
      <c r="I63" s="44"/>
      <c r="J63" s="62"/>
      <c r="K63" s="63"/>
      <c r="L63" s="64"/>
      <c r="M63" s="64"/>
      <c r="N63" s="64"/>
      <c r="O63" s="58"/>
      <c r="AA63" s="40" t="str">
        <f t="shared" si="0"/>
        <v>sls13 : 1 DL + 1 CO + 1 WE2-Cpi-5.36</v>
      </c>
      <c r="AB63" s="41" t="s">
        <v>27</v>
      </c>
      <c r="AC63" s="41" t="s">
        <v>39</v>
      </c>
      <c r="AD63" s="42">
        <v>0.24</v>
      </c>
      <c r="AE63" s="42">
        <v>5.35</v>
      </c>
      <c r="AF63" s="43">
        <v>5.36</v>
      </c>
    </row>
    <row r="64" spans="1:32" x14ac:dyDescent="0.25">
      <c r="A64" s="76"/>
      <c r="B64" s="78"/>
      <c r="C64" s="79"/>
      <c r="D64" s="80"/>
      <c r="E64" s="88"/>
      <c r="F64" s="88"/>
      <c r="G64" s="81"/>
      <c r="H64" s="82"/>
      <c r="I64" s="44"/>
      <c r="J64" s="62"/>
      <c r="K64" s="63"/>
      <c r="L64" s="64"/>
      <c r="M64" s="64"/>
      <c r="N64" s="64"/>
      <c r="O64" s="58"/>
      <c r="AA64" s="40" t="str">
        <f t="shared" si="0"/>
        <v>sls14 : 1 DL + 1 CO + 1 WE3+Cpi-5.81</v>
      </c>
      <c r="AB64" s="41" t="s">
        <v>27</v>
      </c>
      <c r="AC64" s="41" t="s">
        <v>40</v>
      </c>
      <c r="AD64" s="42">
        <v>0.03</v>
      </c>
      <c r="AE64" s="42">
        <v>5.81</v>
      </c>
      <c r="AF64" s="43">
        <v>5.81</v>
      </c>
    </row>
    <row r="65" spans="1:32" x14ac:dyDescent="0.25">
      <c r="A65" s="76"/>
      <c r="B65" s="78"/>
      <c r="C65" s="79"/>
      <c r="D65" s="80"/>
      <c r="E65" s="88"/>
      <c r="F65" s="88"/>
      <c r="G65" s="81"/>
      <c r="H65" s="82"/>
      <c r="I65" s="44"/>
      <c r="J65" s="62"/>
      <c r="K65" s="63"/>
      <c r="L65" s="64"/>
      <c r="M65" s="64"/>
      <c r="N65" s="64"/>
      <c r="O65" s="58"/>
      <c r="AA65" s="40" t="str">
        <f t="shared" si="0"/>
        <v>sls15 : 1 DL + 1 CO + 1 WE3-Cpi-5.7</v>
      </c>
      <c r="AB65" s="41" t="s">
        <v>27</v>
      </c>
      <c r="AC65" s="41" t="s">
        <v>41</v>
      </c>
      <c r="AD65" s="42">
        <v>0.08</v>
      </c>
      <c r="AE65" s="42">
        <v>5.7</v>
      </c>
      <c r="AF65" s="43">
        <v>5.7</v>
      </c>
    </row>
    <row r="66" spans="1:32" x14ac:dyDescent="0.25">
      <c r="A66" s="76"/>
      <c r="B66" s="78"/>
      <c r="C66" s="79"/>
      <c r="D66" s="80"/>
      <c r="E66" s="88"/>
      <c r="F66" s="88"/>
      <c r="G66" s="81"/>
      <c r="H66" s="82"/>
      <c r="I66" s="44"/>
      <c r="J66" s="62"/>
      <c r="K66" s="63"/>
      <c r="L66" s="64"/>
      <c r="M66" s="64"/>
      <c r="N66" s="64"/>
      <c r="O66" s="58"/>
      <c r="AA66" s="40" t="str">
        <f t="shared" si="0"/>
        <v>sls16 : 1 DL + 1 CO + 1 WE4+Cpi-5.81</v>
      </c>
      <c r="AB66" s="41" t="s">
        <v>27</v>
      </c>
      <c r="AC66" s="41" t="s">
        <v>42</v>
      </c>
      <c r="AD66" s="42">
        <v>0.03</v>
      </c>
      <c r="AE66" s="42">
        <v>5.81</v>
      </c>
      <c r="AF66" s="43">
        <v>5.81</v>
      </c>
    </row>
    <row r="67" spans="1:32" x14ac:dyDescent="0.25">
      <c r="A67" s="76"/>
      <c r="B67" s="78"/>
      <c r="C67" s="79"/>
      <c r="D67" s="80"/>
      <c r="E67" s="88"/>
      <c r="F67" s="88"/>
      <c r="G67" s="81"/>
      <c r="H67" s="82"/>
      <c r="I67" s="44"/>
      <c r="J67" s="62"/>
      <c r="K67" s="63"/>
      <c r="L67" s="64"/>
      <c r="M67" s="64"/>
      <c r="N67" s="64"/>
      <c r="O67" s="58"/>
      <c r="AA67" s="40" t="str">
        <f t="shared" si="0"/>
        <v>sls17 : 1 DL + 1 CO + 1 WE4-Cpi-5.7</v>
      </c>
      <c r="AB67" s="41" t="s">
        <v>27</v>
      </c>
      <c r="AC67" s="41" t="s">
        <v>43</v>
      </c>
      <c r="AD67" s="42">
        <v>0.08</v>
      </c>
      <c r="AE67" s="42">
        <v>5.7</v>
      </c>
      <c r="AF67" s="43">
        <v>5.7</v>
      </c>
    </row>
    <row r="68" spans="1:32" x14ac:dyDescent="0.25">
      <c r="A68" s="76"/>
      <c r="B68" s="78"/>
      <c r="C68" s="79"/>
      <c r="D68" s="80"/>
      <c r="E68" s="88"/>
      <c r="F68" s="88"/>
      <c r="G68" s="81"/>
      <c r="H68" s="82"/>
      <c r="I68" s="44"/>
      <c r="J68" s="62"/>
      <c r="K68" s="63"/>
      <c r="L68" s="64"/>
      <c r="M68" s="64"/>
      <c r="N68" s="64"/>
      <c r="O68" s="58"/>
      <c r="AA68" s="40"/>
      <c r="AB68" s="41"/>
      <c r="AC68" s="41"/>
      <c r="AD68" s="42"/>
      <c r="AE68" s="42"/>
      <c r="AF68" s="43"/>
    </row>
    <row r="69" spans="1:32" x14ac:dyDescent="0.25">
      <c r="A69" s="76"/>
      <c r="B69" s="78"/>
      <c r="C69" s="79"/>
      <c r="D69" s="80"/>
      <c r="E69" s="88"/>
      <c r="F69" s="88"/>
      <c r="G69" s="81"/>
      <c r="H69" s="82"/>
      <c r="I69" s="44"/>
      <c r="J69" s="62"/>
      <c r="K69" s="63"/>
      <c r="L69" s="64"/>
      <c r="M69" s="64"/>
      <c r="N69" s="64"/>
      <c r="O69" s="58"/>
      <c r="AA69" s="40"/>
      <c r="AB69" s="41"/>
      <c r="AC69" s="41"/>
      <c r="AD69" s="42"/>
      <c r="AE69" s="42"/>
      <c r="AF69" s="43"/>
    </row>
    <row r="70" spans="1:32" x14ac:dyDescent="0.25">
      <c r="A70" s="76"/>
      <c r="B70" s="78"/>
      <c r="C70" s="79"/>
      <c r="D70" s="80"/>
      <c r="E70" s="88"/>
      <c r="F70" s="88"/>
      <c r="G70" s="81"/>
      <c r="H70" s="82"/>
      <c r="I70" s="44"/>
      <c r="J70" s="62"/>
      <c r="K70" s="63"/>
      <c r="L70" s="64"/>
      <c r="M70" s="64"/>
      <c r="N70" s="64"/>
      <c r="O70" s="58"/>
      <c r="AA70" s="40"/>
      <c r="AB70" s="41"/>
      <c r="AC70" s="41"/>
      <c r="AD70" s="42"/>
      <c r="AE70" s="42"/>
      <c r="AF70" s="43"/>
    </row>
    <row r="71" spans="1:32" x14ac:dyDescent="0.25">
      <c r="A71" s="76"/>
      <c r="B71" s="78"/>
      <c r="C71" s="79"/>
      <c r="D71" s="80"/>
      <c r="E71" s="88"/>
      <c r="F71" s="88"/>
      <c r="G71" s="81"/>
      <c r="H71" s="82"/>
      <c r="I71" s="44"/>
      <c r="J71" s="62"/>
      <c r="K71" s="63"/>
      <c r="L71" s="64"/>
      <c r="M71" s="64"/>
      <c r="N71" s="64"/>
      <c r="O71" s="58"/>
      <c r="AA71" s="40"/>
      <c r="AB71" s="41"/>
      <c r="AC71" s="41"/>
      <c r="AD71" s="42"/>
      <c r="AE71" s="42"/>
      <c r="AF71" s="43"/>
    </row>
    <row r="72" spans="1:32" x14ac:dyDescent="0.25">
      <c r="A72" s="76"/>
      <c r="B72" s="78"/>
      <c r="C72" s="79"/>
      <c r="D72" s="80"/>
      <c r="E72" s="88"/>
      <c r="F72" s="88"/>
      <c r="G72" s="81"/>
      <c r="H72" s="82"/>
      <c r="I72" s="44"/>
      <c r="J72" s="62"/>
      <c r="K72" s="63"/>
      <c r="L72" s="64"/>
      <c r="M72" s="64"/>
      <c r="N72" s="64"/>
      <c r="O72" s="58"/>
      <c r="AA72" s="40"/>
      <c r="AB72" s="41"/>
      <c r="AC72" s="41"/>
      <c r="AD72" s="42"/>
      <c r="AE72" s="42"/>
      <c r="AF72" s="43"/>
    </row>
    <row r="73" spans="1:32" x14ac:dyDescent="0.25">
      <c r="A73" s="76"/>
      <c r="B73" s="78"/>
      <c r="C73" s="79"/>
      <c r="D73" s="80"/>
      <c r="E73" s="88"/>
      <c r="F73" s="88"/>
      <c r="G73" s="81"/>
      <c r="H73" s="82"/>
      <c r="I73" s="44"/>
      <c r="J73" s="62"/>
      <c r="K73" s="63"/>
      <c r="L73" s="64"/>
      <c r="M73" s="64"/>
      <c r="N73" s="64"/>
      <c r="O73" s="58"/>
      <c r="AA73" s="40"/>
      <c r="AB73" s="41"/>
      <c r="AC73" s="41"/>
      <c r="AD73" s="42"/>
      <c r="AE73" s="42"/>
      <c r="AF73" s="43"/>
    </row>
    <row r="74" spans="1:32" x14ac:dyDescent="0.25">
      <c r="A74" s="76"/>
      <c r="B74" s="78"/>
      <c r="C74" s="79"/>
      <c r="D74" s="80"/>
      <c r="E74" s="88"/>
      <c r="F74" s="88"/>
      <c r="G74" s="81"/>
      <c r="H74" s="82"/>
      <c r="I74" s="44"/>
      <c r="J74" s="62"/>
      <c r="K74" s="63"/>
      <c r="L74" s="64"/>
      <c r="M74" s="64"/>
      <c r="N74" s="64"/>
      <c r="O74" s="58"/>
      <c r="AA74" s="40"/>
      <c r="AB74" s="41"/>
      <c r="AC74" s="41"/>
      <c r="AD74" s="42"/>
      <c r="AE74" s="42"/>
      <c r="AF74" s="43"/>
    </row>
    <row r="75" spans="1:32" x14ac:dyDescent="0.25">
      <c r="A75" s="76"/>
      <c r="B75" s="78"/>
      <c r="C75" s="79"/>
      <c r="D75" s="80"/>
      <c r="E75" s="88"/>
      <c r="F75" s="88"/>
      <c r="G75" s="81"/>
      <c r="H75" s="82"/>
      <c r="I75" s="44"/>
      <c r="J75" s="62"/>
      <c r="K75" s="63"/>
      <c r="L75" s="64"/>
      <c r="M75" s="64"/>
      <c r="N75" s="64"/>
      <c r="O75" s="58"/>
      <c r="AA75" s="40"/>
      <c r="AB75" s="41"/>
      <c r="AC75" s="41"/>
      <c r="AD75" s="42"/>
      <c r="AE75" s="42"/>
      <c r="AF75" s="43"/>
    </row>
    <row r="76" spans="1:32" x14ac:dyDescent="0.25">
      <c r="A76" s="76"/>
      <c r="B76" s="78"/>
      <c r="C76" s="79"/>
      <c r="D76" s="80"/>
      <c r="E76" s="88"/>
      <c r="F76" s="88"/>
      <c r="G76" s="81"/>
      <c r="H76" s="82"/>
      <c r="I76" s="44"/>
      <c r="J76" s="62"/>
      <c r="K76" s="63"/>
      <c r="L76" s="64"/>
      <c r="M76" s="64"/>
      <c r="N76" s="64"/>
      <c r="O76" s="58"/>
      <c r="AA76" s="40"/>
      <c r="AB76" s="41"/>
      <c r="AC76" s="41"/>
      <c r="AD76" s="42"/>
      <c r="AE76" s="42"/>
      <c r="AF76" s="43"/>
    </row>
    <row r="77" spans="1:32" x14ac:dyDescent="0.25">
      <c r="A77" s="76"/>
      <c r="B77" s="78"/>
      <c r="C77" s="79"/>
      <c r="D77" s="80"/>
      <c r="E77" s="88"/>
      <c r="F77" s="88"/>
      <c r="G77" s="81"/>
      <c r="H77" s="82"/>
      <c r="I77" s="44"/>
      <c r="J77" s="62"/>
      <c r="K77" s="63"/>
      <c r="L77" s="64"/>
      <c r="M77" s="64"/>
      <c r="N77" s="64"/>
      <c r="O77" s="58"/>
      <c r="AA77" s="40"/>
      <c r="AB77" s="41"/>
      <c r="AC77" s="41"/>
      <c r="AD77" s="42"/>
      <c r="AE77" s="42"/>
      <c r="AF77" s="43"/>
    </row>
    <row r="78" spans="1:32" x14ac:dyDescent="0.25">
      <c r="A78" s="76"/>
      <c r="B78" s="78"/>
      <c r="C78" s="79"/>
      <c r="D78" s="80"/>
      <c r="E78" s="88"/>
      <c r="F78" s="88"/>
      <c r="G78" s="81"/>
      <c r="H78" s="82"/>
      <c r="I78" s="44"/>
      <c r="J78" s="62"/>
      <c r="K78" s="63"/>
      <c r="L78" s="64"/>
      <c r="M78" s="64"/>
      <c r="N78" s="64"/>
      <c r="O78" s="58"/>
      <c r="AA78" s="40"/>
      <c r="AB78" s="41"/>
      <c r="AC78" s="41"/>
      <c r="AD78" s="42"/>
      <c r="AE78" s="42"/>
      <c r="AF78" s="43"/>
    </row>
    <row r="79" spans="1:32" x14ac:dyDescent="0.25">
      <c r="A79" s="76"/>
      <c r="B79" s="78"/>
      <c r="C79" s="79"/>
      <c r="D79" s="80"/>
      <c r="E79" s="88"/>
      <c r="F79" s="88"/>
      <c r="G79" s="81"/>
      <c r="H79" s="82"/>
      <c r="I79" s="44"/>
      <c r="J79" s="62"/>
      <c r="K79" s="63"/>
      <c r="L79" s="64"/>
      <c r="M79" s="64"/>
      <c r="N79" s="64"/>
      <c r="O79" s="58"/>
      <c r="AA79" s="40"/>
      <c r="AB79" s="41"/>
      <c r="AC79" s="41"/>
      <c r="AD79" s="42"/>
      <c r="AE79" s="42"/>
      <c r="AF79" s="43"/>
    </row>
    <row r="80" spans="1:32" x14ac:dyDescent="0.25">
      <c r="A80" s="76"/>
      <c r="B80" s="78"/>
      <c r="C80" s="79"/>
      <c r="D80" s="80"/>
      <c r="E80" s="88"/>
      <c r="F80" s="88"/>
      <c r="G80" s="81"/>
      <c r="H80" s="82"/>
      <c r="I80" s="44"/>
      <c r="J80" s="62"/>
      <c r="K80" s="63"/>
      <c r="L80" s="64"/>
      <c r="M80" s="64"/>
      <c r="N80" s="64"/>
      <c r="O80" s="58"/>
      <c r="AA80" s="40"/>
      <c r="AB80" s="41"/>
      <c r="AC80" s="41"/>
      <c r="AD80" s="42"/>
      <c r="AE80" s="42"/>
      <c r="AF80" s="43"/>
    </row>
    <row r="81" spans="1:32" x14ac:dyDescent="0.25">
      <c r="A81" s="76"/>
      <c r="B81" s="78"/>
      <c r="C81" s="79"/>
      <c r="D81" s="80"/>
      <c r="E81" s="88"/>
      <c r="F81" s="88"/>
      <c r="G81" s="81"/>
      <c r="H81" s="82"/>
      <c r="I81" s="44"/>
      <c r="J81" s="62"/>
      <c r="K81" s="63"/>
      <c r="L81" s="64"/>
      <c r="M81" s="64"/>
      <c r="N81" s="64"/>
      <c r="O81" s="58"/>
      <c r="AA81" s="40"/>
      <c r="AB81" s="41"/>
      <c r="AC81" s="41"/>
      <c r="AD81" s="42"/>
      <c r="AE81" s="42"/>
      <c r="AF81" s="43"/>
    </row>
    <row r="82" spans="1:32" x14ac:dyDescent="0.25">
      <c r="A82" s="76"/>
      <c r="B82" s="78"/>
      <c r="C82" s="79"/>
      <c r="D82" s="80"/>
      <c r="E82" s="88"/>
      <c r="F82" s="88"/>
      <c r="G82" s="81"/>
      <c r="H82" s="82"/>
      <c r="I82" s="44"/>
      <c r="J82" s="62"/>
      <c r="K82" s="63"/>
      <c r="L82" s="64"/>
      <c r="M82" s="64"/>
      <c r="N82" s="64"/>
      <c r="O82" s="58"/>
      <c r="AA82" s="40"/>
      <c r="AB82" s="41"/>
      <c r="AC82" s="41"/>
      <c r="AD82" s="42"/>
      <c r="AE82" s="42"/>
      <c r="AF82" s="43"/>
    </row>
    <row r="83" spans="1:32" x14ac:dyDescent="0.25">
      <c r="A83" s="76"/>
      <c r="B83" s="78"/>
      <c r="C83" s="79"/>
      <c r="D83" s="80"/>
      <c r="E83" s="88"/>
      <c r="F83" s="88"/>
      <c r="G83" s="81"/>
      <c r="H83" s="82"/>
      <c r="I83" s="44"/>
      <c r="J83" s="62"/>
      <c r="K83" s="63"/>
      <c r="L83" s="64"/>
      <c r="M83" s="64"/>
      <c r="N83" s="64"/>
      <c r="O83" s="58"/>
      <c r="AA83" s="40"/>
      <c r="AB83" s="41"/>
      <c r="AC83" s="41"/>
      <c r="AD83" s="42"/>
      <c r="AE83" s="42"/>
      <c r="AF83" s="43"/>
    </row>
    <row r="84" spans="1:32" x14ac:dyDescent="0.25">
      <c r="A84" s="76"/>
      <c r="B84" s="78"/>
      <c r="C84" s="79"/>
      <c r="D84" s="80"/>
      <c r="E84" s="88"/>
      <c r="F84" s="88"/>
      <c r="G84" s="81"/>
      <c r="H84" s="82"/>
      <c r="I84" s="44"/>
      <c r="J84" s="62"/>
      <c r="K84" s="63"/>
      <c r="L84" s="64"/>
      <c r="M84" s="64"/>
      <c r="N84" s="64"/>
      <c r="O84" s="58"/>
      <c r="AA84" s="40"/>
      <c r="AB84" s="41"/>
      <c r="AC84" s="41"/>
      <c r="AD84" s="42"/>
      <c r="AE84" s="42"/>
      <c r="AF84" s="43"/>
    </row>
    <row r="85" spans="1:32" x14ac:dyDescent="0.25">
      <c r="A85" s="76"/>
      <c r="B85" s="78"/>
      <c r="C85" s="79"/>
      <c r="D85" s="80"/>
      <c r="E85" s="88"/>
      <c r="F85" s="88"/>
      <c r="G85" s="81"/>
      <c r="H85" s="82"/>
      <c r="I85" s="44"/>
      <c r="J85" s="62"/>
      <c r="K85" s="63"/>
      <c r="L85" s="64"/>
      <c r="M85" s="64"/>
      <c r="N85" s="64"/>
      <c r="O85" s="58"/>
      <c r="AA85" s="40"/>
      <c r="AB85" s="41"/>
      <c r="AC85" s="41"/>
      <c r="AD85" s="42"/>
      <c r="AE85" s="42"/>
      <c r="AF85" s="43"/>
    </row>
    <row r="86" spans="1:32" x14ac:dyDescent="0.25">
      <c r="A86" s="76"/>
      <c r="B86" s="78"/>
      <c r="C86" s="79"/>
      <c r="D86" s="80"/>
      <c r="E86" s="88"/>
      <c r="F86" s="88"/>
      <c r="G86" s="81"/>
      <c r="H86" s="82"/>
      <c r="I86" s="44"/>
      <c r="J86" s="62"/>
      <c r="K86" s="63"/>
      <c r="L86" s="64"/>
      <c r="M86" s="64"/>
      <c r="N86" s="64"/>
      <c r="O86" s="58"/>
      <c r="AA86" s="40"/>
      <c r="AB86" s="41"/>
      <c r="AC86" s="41"/>
      <c r="AD86" s="42"/>
      <c r="AE86" s="42"/>
      <c r="AF86" s="43"/>
    </row>
    <row r="87" spans="1:32" x14ac:dyDescent="0.25">
      <c r="A87" s="76"/>
      <c r="B87" s="78"/>
      <c r="C87" s="79"/>
      <c r="D87" s="80"/>
      <c r="E87" s="88"/>
      <c r="F87" s="88"/>
      <c r="G87" s="81"/>
      <c r="H87" s="82"/>
      <c r="I87" s="44"/>
      <c r="J87" s="62"/>
      <c r="K87" s="63"/>
      <c r="L87" s="64"/>
      <c r="M87" s="64"/>
      <c r="N87" s="64"/>
      <c r="O87" s="58"/>
      <c r="AA87" s="40"/>
      <c r="AB87" s="41"/>
      <c r="AC87" s="41"/>
      <c r="AD87" s="42"/>
      <c r="AE87" s="42"/>
      <c r="AF87" s="43"/>
    </row>
    <row r="88" spans="1:32" x14ac:dyDescent="0.25">
      <c r="A88" s="76"/>
      <c r="B88" s="78"/>
      <c r="C88" s="79"/>
      <c r="D88" s="80"/>
      <c r="E88" s="88"/>
      <c r="F88" s="88"/>
      <c r="G88" s="81"/>
      <c r="H88" s="82"/>
      <c r="I88" s="44"/>
      <c r="J88" s="62"/>
      <c r="K88" s="63"/>
      <c r="L88" s="64"/>
      <c r="M88" s="64"/>
      <c r="N88" s="64"/>
      <c r="O88" s="58"/>
      <c r="AA88" s="40"/>
      <c r="AB88" s="41"/>
      <c r="AC88" s="41"/>
      <c r="AD88" s="42"/>
      <c r="AE88" s="42"/>
      <c r="AF88" s="43"/>
    </row>
    <row r="89" spans="1:32" x14ac:dyDescent="0.25">
      <c r="A89" s="76"/>
      <c r="B89" s="78"/>
      <c r="C89" s="79"/>
      <c r="D89" s="80"/>
      <c r="E89" s="88"/>
      <c r="F89" s="88"/>
      <c r="G89" s="81"/>
      <c r="H89" s="82"/>
      <c r="I89" s="44"/>
      <c r="J89" s="62"/>
      <c r="K89" s="63"/>
      <c r="L89" s="64"/>
      <c r="M89" s="64"/>
      <c r="N89" s="64"/>
      <c r="O89" s="58"/>
      <c r="AA89" s="40"/>
      <c r="AB89" s="41"/>
      <c r="AC89" s="41"/>
      <c r="AD89" s="42"/>
      <c r="AE89" s="42"/>
      <c r="AF89" s="43"/>
    </row>
    <row r="90" spans="1:32" x14ac:dyDescent="0.25">
      <c r="A90" s="76"/>
      <c r="B90" s="78"/>
      <c r="C90" s="79"/>
      <c r="D90" s="80"/>
      <c r="E90" s="88"/>
      <c r="F90" s="88"/>
      <c r="G90" s="81"/>
      <c r="H90" s="82"/>
      <c r="I90" s="44"/>
      <c r="J90" s="62"/>
      <c r="K90" s="63"/>
      <c r="L90" s="64"/>
      <c r="M90" s="64"/>
      <c r="N90" s="64"/>
      <c r="O90" s="58"/>
      <c r="AA90" s="40"/>
      <c r="AB90" s="41"/>
      <c r="AC90" s="41"/>
      <c r="AD90" s="42"/>
      <c r="AE90" s="42"/>
      <c r="AF90" s="43"/>
    </row>
    <row r="91" spans="1:32" x14ac:dyDescent="0.25">
      <c r="A91" s="76"/>
      <c r="B91" s="78"/>
      <c r="C91" s="79"/>
      <c r="D91" s="80"/>
      <c r="E91" s="88"/>
      <c r="F91" s="88"/>
      <c r="G91" s="81"/>
      <c r="H91" s="82"/>
      <c r="I91" s="44"/>
      <c r="J91" s="62"/>
      <c r="K91" s="63"/>
      <c r="L91" s="64"/>
      <c r="M91" s="64"/>
      <c r="N91" s="64"/>
      <c r="O91" s="58"/>
      <c r="AA91" s="40"/>
      <c r="AB91" s="41"/>
      <c r="AC91" s="41"/>
      <c r="AD91" s="42"/>
      <c r="AE91" s="42"/>
      <c r="AF91" s="43"/>
    </row>
    <row r="92" spans="1:32" x14ac:dyDescent="0.25">
      <c r="A92" s="76"/>
      <c r="B92" s="78"/>
      <c r="C92" s="79"/>
      <c r="D92" s="80"/>
      <c r="E92" s="88"/>
      <c r="F92" s="88"/>
      <c r="G92" s="81"/>
      <c r="H92" s="82"/>
      <c r="I92" s="44"/>
      <c r="J92" s="62"/>
      <c r="K92" s="63"/>
      <c r="L92" s="64"/>
      <c r="M92" s="64"/>
      <c r="N92" s="64"/>
      <c r="O92" s="58"/>
      <c r="AA92" s="40"/>
      <c r="AB92" s="41"/>
      <c r="AC92" s="41"/>
      <c r="AD92" s="42"/>
      <c r="AE92" s="42"/>
      <c r="AF92" s="43"/>
    </row>
    <row r="93" spans="1:32" x14ac:dyDescent="0.25">
      <c r="A93" s="76"/>
      <c r="B93" s="78"/>
      <c r="C93" s="79"/>
      <c r="D93" s="80"/>
      <c r="E93" s="88"/>
      <c r="F93" s="88"/>
      <c r="G93" s="81"/>
      <c r="H93" s="82"/>
      <c r="I93" s="44"/>
      <c r="J93" s="62"/>
      <c r="K93" s="63"/>
      <c r="L93" s="64"/>
      <c r="M93" s="64"/>
      <c r="N93" s="64"/>
      <c r="O93" s="58"/>
      <c r="AA93" s="40"/>
      <c r="AB93" s="41"/>
      <c r="AC93" s="41"/>
      <c r="AD93" s="42"/>
      <c r="AE93" s="42"/>
      <c r="AF93" s="43"/>
    </row>
    <row r="94" spans="1:32" x14ac:dyDescent="0.25">
      <c r="A94" s="76"/>
      <c r="B94" s="78"/>
      <c r="C94" s="79"/>
      <c r="D94" s="80"/>
      <c r="E94" s="88"/>
      <c r="F94" s="88"/>
      <c r="G94" s="81"/>
      <c r="H94" s="82"/>
      <c r="I94" s="44"/>
      <c r="J94" s="62"/>
      <c r="K94" s="63"/>
      <c r="L94" s="64"/>
      <c r="M94" s="64"/>
      <c r="N94" s="64"/>
      <c r="O94" s="58"/>
      <c r="AA94" s="40"/>
      <c r="AB94" s="41"/>
      <c r="AC94" s="41"/>
      <c r="AD94" s="42"/>
      <c r="AE94" s="42"/>
      <c r="AF94" s="43"/>
    </row>
    <row r="95" spans="1:32" x14ac:dyDescent="0.25">
      <c r="A95" s="76"/>
      <c r="B95" s="78"/>
      <c r="C95" s="79"/>
      <c r="D95" s="80"/>
      <c r="E95" s="88"/>
      <c r="F95" s="88"/>
      <c r="G95" s="81"/>
      <c r="H95" s="82"/>
      <c r="I95" s="44"/>
      <c r="J95" s="62"/>
      <c r="K95" s="63"/>
      <c r="L95" s="64"/>
      <c r="M95" s="64"/>
      <c r="N95" s="64"/>
      <c r="O95" s="58"/>
      <c r="AA95" s="40"/>
      <c r="AB95" s="41"/>
      <c r="AC95" s="41"/>
      <c r="AD95" s="42"/>
      <c r="AE95" s="42"/>
      <c r="AF95" s="43"/>
    </row>
    <row r="96" spans="1:32" x14ac:dyDescent="0.25">
      <c r="A96" s="76"/>
      <c r="B96" s="78"/>
      <c r="C96" s="79"/>
      <c r="D96" s="80"/>
      <c r="E96" s="88"/>
      <c r="F96" s="88"/>
      <c r="G96" s="81"/>
      <c r="H96" s="82"/>
      <c r="I96" s="44"/>
      <c r="J96" s="62"/>
      <c r="K96" s="63"/>
      <c r="L96" s="64"/>
      <c r="M96" s="64"/>
      <c r="N96" s="64"/>
      <c r="O96" s="58"/>
      <c r="AA96" s="40"/>
      <c r="AB96" s="41"/>
      <c r="AC96" s="41"/>
      <c r="AD96" s="42"/>
      <c r="AE96" s="42"/>
      <c r="AF96" s="43"/>
    </row>
    <row r="97" spans="1:32" x14ac:dyDescent="0.25">
      <c r="A97" s="76"/>
      <c r="B97" s="78"/>
      <c r="C97" s="79"/>
      <c r="D97" s="80"/>
      <c r="E97" s="88"/>
      <c r="F97" s="88"/>
      <c r="G97" s="81"/>
      <c r="H97" s="82"/>
      <c r="I97" s="44"/>
      <c r="J97" s="62"/>
      <c r="K97" s="63"/>
      <c r="L97" s="64"/>
      <c r="M97" s="64"/>
      <c r="N97" s="64"/>
      <c r="O97" s="58"/>
      <c r="AA97" s="40"/>
      <c r="AB97" s="41"/>
      <c r="AC97" s="41"/>
      <c r="AD97" s="42"/>
      <c r="AE97" s="42"/>
      <c r="AF97" s="43"/>
    </row>
    <row r="98" spans="1:32" x14ac:dyDescent="0.25">
      <c r="A98" s="76"/>
      <c r="B98" s="78"/>
      <c r="C98" s="79"/>
      <c r="D98" s="80"/>
      <c r="E98" s="88"/>
      <c r="F98" s="88"/>
      <c r="G98" s="81"/>
      <c r="H98" s="82"/>
      <c r="I98" s="44"/>
      <c r="J98" s="62"/>
      <c r="K98" s="63"/>
      <c r="L98" s="64"/>
      <c r="M98" s="64"/>
      <c r="N98" s="64"/>
      <c r="O98" s="58"/>
      <c r="AA98" s="40"/>
      <c r="AB98" s="41"/>
      <c r="AC98" s="41"/>
      <c r="AD98" s="42"/>
      <c r="AE98" s="42"/>
      <c r="AF98" s="43"/>
    </row>
    <row r="99" spans="1:32" x14ac:dyDescent="0.25">
      <c r="A99" s="76"/>
      <c r="B99" s="78"/>
      <c r="C99" s="79"/>
      <c r="D99" s="80"/>
      <c r="E99" s="88"/>
      <c r="F99" s="88"/>
      <c r="G99" s="81"/>
      <c r="H99" s="82"/>
      <c r="I99" s="44"/>
      <c r="J99" s="62"/>
      <c r="K99" s="63"/>
      <c r="L99" s="64"/>
      <c r="M99" s="64"/>
      <c r="N99" s="64"/>
      <c r="O99" s="58"/>
      <c r="AA99" s="40"/>
      <c r="AB99" s="41"/>
      <c r="AC99" s="41"/>
      <c r="AD99" s="42"/>
      <c r="AE99" s="42"/>
      <c r="AF99" s="43"/>
    </row>
    <row r="100" spans="1:32" x14ac:dyDescent="0.25">
      <c r="A100" s="76"/>
      <c r="B100" s="78"/>
      <c r="C100" s="79"/>
      <c r="D100" s="80"/>
      <c r="E100" s="88"/>
      <c r="F100" s="88"/>
      <c r="G100" s="81"/>
      <c r="H100" s="82"/>
      <c r="I100" s="44"/>
      <c r="J100" s="62"/>
      <c r="K100" s="63"/>
      <c r="L100" s="64"/>
      <c r="M100" s="64"/>
      <c r="N100" s="64"/>
      <c r="O100" s="58"/>
      <c r="AA100" s="40"/>
      <c r="AB100" s="41"/>
      <c r="AC100" s="41"/>
      <c r="AD100" s="42"/>
      <c r="AE100" s="42"/>
      <c r="AF100" s="43"/>
    </row>
    <row r="101" spans="1:32" x14ac:dyDescent="0.25">
      <c r="A101" s="76"/>
      <c r="B101" s="83"/>
      <c r="C101" s="84"/>
      <c r="D101" s="85"/>
      <c r="E101" s="89"/>
      <c r="F101" s="89"/>
      <c r="G101" s="86"/>
      <c r="H101" s="87"/>
      <c r="I101" s="44"/>
      <c r="J101" s="62"/>
      <c r="K101" s="63"/>
      <c r="L101" s="64"/>
      <c r="M101" s="64"/>
      <c r="N101" s="64"/>
      <c r="O101" s="58"/>
      <c r="AA101" s="40"/>
      <c r="AB101" s="41"/>
      <c r="AC101" s="41"/>
      <c r="AD101" s="42"/>
      <c r="AE101" s="42"/>
      <c r="AF101" s="43"/>
    </row>
    <row r="102" spans="1:32" x14ac:dyDescent="0.25">
      <c r="A102" s="66"/>
      <c r="B102" s="66"/>
      <c r="C102" s="66"/>
      <c r="D102" s="67"/>
      <c r="E102" s="67"/>
      <c r="F102" s="67"/>
      <c r="G102" s="67"/>
      <c r="H102" s="67"/>
      <c r="I102" s="66"/>
      <c r="J102" s="68"/>
      <c r="K102" s="69"/>
      <c r="L102" s="18"/>
      <c r="M102" s="18"/>
      <c r="N102" s="18"/>
      <c r="AA102" s="40"/>
      <c r="AB102" s="41"/>
      <c r="AC102" s="41"/>
      <c r="AD102" s="42"/>
      <c r="AE102" s="42"/>
      <c r="AF102" s="43"/>
    </row>
    <row r="103" spans="1:32" x14ac:dyDescent="0.25">
      <c r="AA103" s="40"/>
      <c r="AB103" s="41"/>
      <c r="AC103" s="41"/>
      <c r="AD103" s="42"/>
      <c r="AE103" s="42"/>
      <c r="AF103" s="43"/>
    </row>
    <row r="104" spans="1:32" x14ac:dyDescent="0.25">
      <c r="AA104" s="40"/>
      <c r="AB104" s="41"/>
      <c r="AC104" s="41"/>
      <c r="AD104" s="42"/>
      <c r="AE104" s="42"/>
      <c r="AF104" s="43"/>
    </row>
    <row r="105" spans="1:32" x14ac:dyDescent="0.25">
      <c r="AA105" s="40"/>
      <c r="AB105" s="41"/>
      <c r="AC105" s="41"/>
      <c r="AD105" s="42"/>
      <c r="AE105" s="42"/>
      <c r="AF105" s="43"/>
    </row>
    <row r="106" spans="1:32" x14ac:dyDescent="0.25">
      <c r="AA106" s="40"/>
      <c r="AB106" s="41"/>
      <c r="AC106" s="41"/>
      <c r="AD106" s="42"/>
      <c r="AE106" s="42"/>
      <c r="AF106" s="43"/>
    </row>
    <row r="107" spans="1:32" x14ac:dyDescent="0.25">
      <c r="AA107" s="40"/>
      <c r="AB107" s="41"/>
      <c r="AC107" s="41"/>
      <c r="AD107" s="42"/>
      <c r="AE107" s="42"/>
      <c r="AF107" s="43"/>
    </row>
    <row r="108" spans="1:32" x14ac:dyDescent="0.25">
      <c r="AA108" s="40"/>
      <c r="AB108" s="41"/>
      <c r="AC108" s="41"/>
      <c r="AD108" s="42"/>
      <c r="AE108" s="42"/>
      <c r="AF108" s="43"/>
    </row>
    <row r="109" spans="1:32" x14ac:dyDescent="0.25">
      <c r="AA109" s="40"/>
      <c r="AB109" s="41"/>
      <c r="AC109" s="41"/>
      <c r="AD109" s="42"/>
      <c r="AE109" s="42"/>
      <c r="AF109" s="43"/>
    </row>
    <row r="110" spans="1:32" x14ac:dyDescent="0.25">
      <c r="AA110" s="40"/>
      <c r="AB110" s="41"/>
      <c r="AC110" s="41"/>
      <c r="AD110" s="42"/>
      <c r="AE110" s="42"/>
      <c r="AF110" s="43"/>
    </row>
    <row r="111" spans="1:32" x14ac:dyDescent="0.25">
      <c r="AA111" s="40"/>
      <c r="AB111" s="41"/>
      <c r="AC111" s="41"/>
      <c r="AD111" s="42"/>
      <c r="AE111" s="42"/>
      <c r="AF111" s="43"/>
    </row>
    <row r="112" spans="1:32" x14ac:dyDescent="0.25">
      <c r="AA112" s="40"/>
      <c r="AB112" s="41"/>
      <c r="AC112" s="41"/>
      <c r="AD112" s="42"/>
      <c r="AE112" s="42"/>
      <c r="AF112" s="43"/>
    </row>
    <row r="113" spans="27:32" x14ac:dyDescent="0.25">
      <c r="AA113" s="40"/>
      <c r="AB113" s="41"/>
      <c r="AC113" s="41"/>
      <c r="AD113" s="42"/>
      <c r="AE113" s="42"/>
      <c r="AF113" s="43"/>
    </row>
    <row r="114" spans="27:32" x14ac:dyDescent="0.25">
      <c r="AA114" s="40"/>
      <c r="AB114" s="41"/>
      <c r="AC114" s="41"/>
      <c r="AD114" s="42"/>
      <c r="AE114" s="42"/>
      <c r="AF114" s="43"/>
    </row>
    <row r="115" spans="27:32" x14ac:dyDescent="0.25">
      <c r="AA115" s="40"/>
      <c r="AB115" s="41"/>
      <c r="AC115" s="41"/>
      <c r="AD115" s="42"/>
      <c r="AE115" s="42"/>
      <c r="AF115" s="43"/>
    </row>
    <row r="116" spans="27:32" x14ac:dyDescent="0.25">
      <c r="AA116" s="40"/>
      <c r="AB116" s="41"/>
      <c r="AC116" s="41"/>
      <c r="AD116" s="42"/>
      <c r="AE116" s="42"/>
      <c r="AF116" s="43"/>
    </row>
    <row r="117" spans="27:32" x14ac:dyDescent="0.25">
      <c r="AA117" s="40"/>
      <c r="AB117" s="41"/>
      <c r="AC117" s="41"/>
      <c r="AD117" s="42"/>
      <c r="AE117" s="42"/>
      <c r="AF117" s="43"/>
    </row>
    <row r="118" spans="27:32" x14ac:dyDescent="0.25">
      <c r="AA118" s="40"/>
      <c r="AB118" s="41"/>
      <c r="AC118" s="41"/>
      <c r="AD118" s="42"/>
      <c r="AE118" s="42"/>
      <c r="AF118" s="43"/>
    </row>
    <row r="119" spans="27:32" x14ac:dyDescent="0.25">
      <c r="AA119" s="40"/>
      <c r="AB119" s="41"/>
      <c r="AC119" s="41"/>
      <c r="AD119" s="42"/>
      <c r="AE119" s="42"/>
      <c r="AF119" s="43"/>
    </row>
    <row r="120" spans="27:32" x14ac:dyDescent="0.25">
      <c r="AA120" s="40"/>
      <c r="AB120" s="41"/>
      <c r="AC120" s="41"/>
      <c r="AD120" s="42"/>
      <c r="AE120" s="42"/>
      <c r="AF120" s="43"/>
    </row>
    <row r="121" spans="27:32" x14ac:dyDescent="0.25">
      <c r="AA121" s="40"/>
      <c r="AB121" s="41"/>
      <c r="AC121" s="41"/>
      <c r="AD121" s="42"/>
      <c r="AE121" s="42"/>
      <c r="AF121" s="43"/>
    </row>
    <row r="122" spans="27:32" x14ac:dyDescent="0.25">
      <c r="AA122" s="40"/>
      <c r="AB122" s="41"/>
      <c r="AC122" s="41"/>
      <c r="AD122" s="42"/>
      <c r="AE122" s="42"/>
      <c r="AF122" s="43"/>
    </row>
    <row r="123" spans="27:32" x14ac:dyDescent="0.25">
      <c r="AA123" s="40"/>
      <c r="AB123" s="41"/>
      <c r="AC123" s="41"/>
      <c r="AD123" s="42"/>
      <c r="AE123" s="42"/>
      <c r="AF123" s="43"/>
    </row>
    <row r="124" spans="27:32" x14ac:dyDescent="0.25">
      <c r="AA124" s="40"/>
      <c r="AB124" s="41"/>
      <c r="AC124" s="41"/>
      <c r="AD124" s="42"/>
      <c r="AE124" s="42"/>
      <c r="AF124" s="43"/>
    </row>
    <row r="125" spans="27:32" x14ac:dyDescent="0.25">
      <c r="AA125" s="40"/>
      <c r="AB125" s="41"/>
      <c r="AC125" s="41"/>
      <c r="AD125" s="42"/>
      <c r="AE125" s="42"/>
      <c r="AF125" s="43"/>
    </row>
    <row r="126" spans="27:32" x14ac:dyDescent="0.25">
      <c r="AA126" s="40"/>
      <c r="AB126" s="41"/>
      <c r="AC126" s="41"/>
      <c r="AD126" s="42"/>
      <c r="AE126" s="42"/>
      <c r="AF126" s="43"/>
    </row>
    <row r="127" spans="27:32" x14ac:dyDescent="0.25">
      <c r="AA127" s="40"/>
      <c r="AB127" s="41"/>
      <c r="AC127" s="41"/>
      <c r="AD127" s="42"/>
      <c r="AE127" s="42"/>
      <c r="AF127" s="43"/>
    </row>
    <row r="128" spans="27:32" x14ac:dyDescent="0.25">
      <c r="AA128" s="40"/>
      <c r="AB128" s="41"/>
      <c r="AC128" s="41"/>
      <c r="AD128" s="42"/>
      <c r="AE128" s="42"/>
      <c r="AF128" s="43"/>
    </row>
    <row r="129" spans="27:32" x14ac:dyDescent="0.25">
      <c r="AA129" s="40"/>
      <c r="AB129" s="41"/>
      <c r="AC129" s="41"/>
      <c r="AD129" s="42"/>
      <c r="AE129" s="42"/>
      <c r="AF129" s="43"/>
    </row>
    <row r="130" spans="27:32" x14ac:dyDescent="0.25">
      <c r="AA130" s="40"/>
      <c r="AB130" s="41"/>
      <c r="AC130" s="41"/>
      <c r="AD130" s="42"/>
      <c r="AE130" s="42"/>
      <c r="AF130" s="43"/>
    </row>
    <row r="131" spans="27:32" x14ac:dyDescent="0.25">
      <c r="AA131" s="40"/>
      <c r="AB131" s="41"/>
      <c r="AC131" s="41"/>
      <c r="AD131" s="42"/>
      <c r="AE131" s="42"/>
      <c r="AF131" s="43"/>
    </row>
    <row r="132" spans="27:32" x14ac:dyDescent="0.25">
      <c r="AA132" s="40"/>
      <c r="AB132" s="41"/>
      <c r="AC132" s="41"/>
      <c r="AD132" s="42"/>
      <c r="AE132" s="42"/>
      <c r="AF132" s="43"/>
    </row>
    <row r="133" spans="27:32" x14ac:dyDescent="0.25">
      <c r="AA133" s="40"/>
      <c r="AB133" s="41"/>
      <c r="AC133" s="41"/>
      <c r="AD133" s="42"/>
      <c r="AE133" s="42"/>
      <c r="AF133" s="43"/>
    </row>
    <row r="134" spans="27:32" x14ac:dyDescent="0.25">
      <c r="AA134" s="40"/>
      <c r="AB134" s="41"/>
      <c r="AC134" s="41"/>
      <c r="AD134" s="42"/>
      <c r="AE134" s="42"/>
      <c r="AF134" s="43"/>
    </row>
    <row r="135" spans="27:32" x14ac:dyDescent="0.25">
      <c r="AA135" s="40"/>
      <c r="AB135" s="41"/>
      <c r="AC135" s="41"/>
      <c r="AD135" s="42"/>
      <c r="AE135" s="42"/>
      <c r="AF135" s="43"/>
    </row>
    <row r="136" spans="27:32" x14ac:dyDescent="0.25">
      <c r="AA136" s="40"/>
      <c r="AB136" s="41"/>
      <c r="AC136" s="41"/>
      <c r="AD136" s="42"/>
      <c r="AE136" s="42"/>
      <c r="AF136" s="43"/>
    </row>
    <row r="137" spans="27:32" x14ac:dyDescent="0.25">
      <c r="AA137" s="40"/>
      <c r="AB137" s="41"/>
      <c r="AC137" s="41"/>
      <c r="AD137" s="42"/>
      <c r="AE137" s="42"/>
      <c r="AF137" s="43"/>
    </row>
    <row r="138" spans="27:32" x14ac:dyDescent="0.25">
      <c r="AA138" s="40"/>
      <c r="AB138" s="41"/>
      <c r="AC138" s="41"/>
      <c r="AD138" s="42"/>
      <c r="AE138" s="42"/>
      <c r="AF138" s="43"/>
    </row>
    <row r="139" spans="27:32" x14ac:dyDescent="0.25">
      <c r="AA139" s="40"/>
      <c r="AB139" s="41"/>
      <c r="AC139" s="41"/>
      <c r="AD139" s="42"/>
      <c r="AE139" s="42"/>
      <c r="AF139" s="43"/>
    </row>
    <row r="140" spans="27:32" x14ac:dyDescent="0.25">
      <c r="AA140" s="40"/>
      <c r="AB140" s="41"/>
      <c r="AC140" s="41"/>
      <c r="AD140" s="42"/>
      <c r="AE140" s="42"/>
      <c r="AF140" s="43"/>
    </row>
    <row r="141" spans="27:32" x14ac:dyDescent="0.25">
      <c r="AA141" s="40"/>
      <c r="AB141" s="41"/>
      <c r="AC141" s="41"/>
      <c r="AD141" s="42"/>
      <c r="AE141" s="42"/>
      <c r="AF141" s="43"/>
    </row>
    <row r="142" spans="27:32" x14ac:dyDescent="0.25">
      <c r="AA142" s="40"/>
      <c r="AB142" s="41"/>
      <c r="AC142" s="41"/>
      <c r="AD142" s="42"/>
      <c r="AE142" s="42"/>
      <c r="AF142" s="43"/>
    </row>
    <row r="143" spans="27:32" x14ac:dyDescent="0.25">
      <c r="AA143" s="40"/>
      <c r="AB143" s="41"/>
      <c r="AC143" s="41"/>
      <c r="AD143" s="42"/>
      <c r="AE143" s="42"/>
      <c r="AF143" s="43"/>
    </row>
    <row r="144" spans="27:32" x14ac:dyDescent="0.25">
      <c r="AA144" s="40"/>
      <c r="AB144" s="41"/>
      <c r="AC144" s="41"/>
      <c r="AD144" s="42"/>
      <c r="AE144" s="42"/>
      <c r="AF144" s="43"/>
    </row>
    <row r="145" spans="27:32" x14ac:dyDescent="0.25">
      <c r="AA145" s="40"/>
      <c r="AB145" s="41"/>
      <c r="AC145" s="41"/>
      <c r="AD145" s="42"/>
      <c r="AE145" s="42"/>
      <c r="AF145" s="43"/>
    </row>
    <row r="146" spans="27:32" x14ac:dyDescent="0.25">
      <c r="AA146" s="40"/>
      <c r="AB146" s="41"/>
      <c r="AC146" s="41"/>
      <c r="AD146" s="42"/>
      <c r="AE146" s="42"/>
      <c r="AF146" s="43"/>
    </row>
    <row r="147" spans="27:32" x14ac:dyDescent="0.25">
      <c r="AA147" s="40"/>
      <c r="AB147" s="41"/>
      <c r="AC147" s="41"/>
      <c r="AD147" s="42"/>
      <c r="AE147" s="42"/>
      <c r="AF147" s="43"/>
    </row>
    <row r="148" spans="27:32" x14ac:dyDescent="0.25">
      <c r="AA148" s="40"/>
      <c r="AB148" s="41"/>
      <c r="AC148" s="41"/>
      <c r="AD148" s="42"/>
      <c r="AE148" s="42"/>
      <c r="AF148" s="43"/>
    </row>
    <row r="149" spans="27:32" x14ac:dyDescent="0.25">
      <c r="AA149" s="40"/>
      <c r="AB149" s="41"/>
      <c r="AC149" s="41"/>
      <c r="AD149" s="42"/>
      <c r="AE149" s="42"/>
      <c r="AF149" s="43"/>
    </row>
    <row r="150" spans="27:32" x14ac:dyDescent="0.25">
      <c r="AA150" s="40"/>
      <c r="AB150" s="41"/>
      <c r="AC150" s="41"/>
      <c r="AD150" s="42"/>
      <c r="AE150" s="42"/>
      <c r="AF150" s="43"/>
    </row>
    <row r="151" spans="27:32" x14ac:dyDescent="0.25">
      <c r="AA151" s="40"/>
      <c r="AB151" s="41"/>
      <c r="AC151" s="41"/>
      <c r="AD151" s="42"/>
      <c r="AE151" s="42"/>
      <c r="AF151" s="43"/>
    </row>
    <row r="152" spans="27:32" x14ac:dyDescent="0.25">
      <c r="AA152" s="40"/>
      <c r="AB152" s="41"/>
      <c r="AC152" s="41"/>
      <c r="AD152" s="42"/>
      <c r="AE152" s="42"/>
      <c r="AF152" s="43"/>
    </row>
    <row r="153" spans="27:32" x14ac:dyDescent="0.25">
      <c r="AA153" s="40"/>
      <c r="AB153" s="41"/>
      <c r="AC153" s="41"/>
      <c r="AD153" s="42"/>
      <c r="AE153" s="42"/>
      <c r="AF153" s="43"/>
    </row>
    <row r="154" spans="27:32" x14ac:dyDescent="0.25">
      <c r="AA154" s="40"/>
      <c r="AB154" s="41"/>
      <c r="AC154" s="41"/>
      <c r="AD154" s="42"/>
      <c r="AE154" s="42"/>
      <c r="AF154" s="43"/>
    </row>
    <row r="155" spans="27:32" x14ac:dyDescent="0.25">
      <c r="AA155" s="40"/>
      <c r="AB155" s="41"/>
      <c r="AC155" s="41"/>
      <c r="AD155" s="42"/>
      <c r="AE155" s="42"/>
      <c r="AF155" s="43"/>
    </row>
    <row r="156" spans="27:32" x14ac:dyDescent="0.25">
      <c r="AA156" s="40"/>
      <c r="AB156" s="41"/>
      <c r="AC156" s="41"/>
      <c r="AD156" s="42"/>
      <c r="AE156" s="42"/>
      <c r="AF156" s="43"/>
    </row>
    <row r="157" spans="27:32" x14ac:dyDescent="0.25">
      <c r="AA157" s="40"/>
      <c r="AB157" s="41"/>
      <c r="AC157" s="41"/>
      <c r="AD157" s="42"/>
      <c r="AE157" s="42"/>
      <c r="AF157" s="43"/>
    </row>
    <row r="158" spans="27:32" x14ac:dyDescent="0.25">
      <c r="AA158" s="40"/>
      <c r="AB158" s="41"/>
      <c r="AC158" s="41"/>
      <c r="AD158" s="42"/>
      <c r="AE158" s="42"/>
      <c r="AF158" s="43"/>
    </row>
    <row r="159" spans="27:32" x14ac:dyDescent="0.25">
      <c r="AA159" s="40"/>
      <c r="AB159" s="41"/>
      <c r="AC159" s="41"/>
      <c r="AD159" s="42"/>
      <c r="AE159" s="42"/>
      <c r="AF159" s="43"/>
    </row>
    <row r="160" spans="27:32" x14ac:dyDescent="0.25">
      <c r="AA160" s="40"/>
      <c r="AB160" s="41"/>
      <c r="AC160" s="41"/>
      <c r="AD160" s="42"/>
      <c r="AE160" s="42"/>
      <c r="AF160" s="43"/>
    </row>
    <row r="161" spans="27:32" x14ac:dyDescent="0.25">
      <c r="AA161" s="40"/>
      <c r="AB161" s="41"/>
      <c r="AC161" s="41"/>
      <c r="AD161" s="42"/>
      <c r="AE161" s="42"/>
      <c r="AF161" s="43"/>
    </row>
    <row r="162" spans="27:32" x14ac:dyDescent="0.25">
      <c r="AA162" s="40"/>
      <c r="AB162" s="41"/>
      <c r="AC162" s="41"/>
      <c r="AD162" s="42"/>
      <c r="AE162" s="42"/>
      <c r="AF162" s="43"/>
    </row>
    <row r="163" spans="27:32" x14ac:dyDescent="0.25">
      <c r="AA163" s="40"/>
      <c r="AB163" s="41"/>
      <c r="AC163" s="41"/>
      <c r="AD163" s="42"/>
      <c r="AE163" s="42"/>
      <c r="AF163" s="43"/>
    </row>
    <row r="164" spans="27:32" x14ac:dyDescent="0.25">
      <c r="AA164" s="40"/>
      <c r="AB164" s="41"/>
      <c r="AC164" s="41"/>
      <c r="AD164" s="42"/>
      <c r="AE164" s="42"/>
      <c r="AF164" s="43"/>
    </row>
    <row r="165" spans="27:32" x14ac:dyDescent="0.25">
      <c r="AA165" s="40"/>
      <c r="AB165" s="41"/>
      <c r="AC165" s="41"/>
      <c r="AD165" s="42"/>
      <c r="AE165" s="42"/>
      <c r="AF165" s="43"/>
    </row>
    <row r="166" spans="27:32" x14ac:dyDescent="0.25">
      <c r="AA166" s="40"/>
      <c r="AB166" s="41"/>
      <c r="AC166" s="41"/>
      <c r="AD166" s="42"/>
      <c r="AE166" s="42"/>
      <c r="AF166" s="43"/>
    </row>
    <row r="167" spans="27:32" x14ac:dyDescent="0.25">
      <c r="AA167" s="40"/>
      <c r="AB167" s="41"/>
      <c r="AC167" s="41"/>
      <c r="AD167" s="42"/>
      <c r="AE167" s="42"/>
      <c r="AF167" s="43"/>
    </row>
    <row r="168" spans="27:32" x14ac:dyDescent="0.25">
      <c r="AA168" s="40"/>
      <c r="AB168" s="41"/>
      <c r="AC168" s="41"/>
      <c r="AD168" s="42"/>
      <c r="AE168" s="42"/>
      <c r="AF168" s="43"/>
    </row>
    <row r="169" spans="27:32" x14ac:dyDescent="0.25">
      <c r="AA169" s="40"/>
      <c r="AB169" s="41"/>
      <c r="AC169" s="41"/>
      <c r="AD169" s="42"/>
      <c r="AE169" s="42"/>
      <c r="AF169" s="43"/>
    </row>
    <row r="170" spans="27:32" x14ac:dyDescent="0.25">
      <c r="AA170" s="40"/>
      <c r="AB170" s="41"/>
      <c r="AC170" s="41"/>
      <c r="AD170" s="42"/>
      <c r="AE170" s="42"/>
      <c r="AF170" s="43"/>
    </row>
    <row r="171" spans="27:32" x14ac:dyDescent="0.25">
      <c r="AA171" s="40"/>
      <c r="AB171" s="41"/>
      <c r="AC171" s="41"/>
      <c r="AD171" s="42"/>
      <c r="AE171" s="42"/>
      <c r="AF171" s="43"/>
    </row>
    <row r="172" spans="27:32" x14ac:dyDescent="0.25">
      <c r="AA172" s="40"/>
      <c r="AB172" s="41"/>
      <c r="AC172" s="41"/>
      <c r="AD172" s="42"/>
      <c r="AE172" s="42"/>
      <c r="AF172" s="43"/>
    </row>
    <row r="173" spans="27:32" x14ac:dyDescent="0.25">
      <c r="AA173" s="40"/>
      <c r="AB173" s="41"/>
      <c r="AC173" s="41"/>
      <c r="AD173" s="42"/>
      <c r="AE173" s="42"/>
      <c r="AF173" s="43"/>
    </row>
    <row r="174" spans="27:32" x14ac:dyDescent="0.25">
      <c r="AA174" s="40"/>
      <c r="AB174" s="41"/>
      <c r="AC174" s="41"/>
      <c r="AD174" s="42"/>
      <c r="AE174" s="42"/>
      <c r="AF174" s="43"/>
    </row>
    <row r="175" spans="27:32" x14ac:dyDescent="0.25">
      <c r="AA175" s="40"/>
      <c r="AB175" s="41"/>
      <c r="AC175" s="41"/>
      <c r="AD175" s="42"/>
      <c r="AE175" s="42"/>
      <c r="AF175" s="43"/>
    </row>
    <row r="176" spans="27:32" x14ac:dyDescent="0.25">
      <c r="AA176" s="40"/>
      <c r="AB176" s="41"/>
      <c r="AC176" s="41"/>
      <c r="AD176" s="42"/>
      <c r="AE176" s="42"/>
      <c r="AF176" s="43"/>
    </row>
    <row r="177" spans="27:32" x14ac:dyDescent="0.25">
      <c r="AA177" s="40"/>
      <c r="AB177" s="41"/>
      <c r="AC177" s="41"/>
      <c r="AD177" s="42"/>
      <c r="AE177" s="42"/>
      <c r="AF177" s="43"/>
    </row>
    <row r="178" spans="27:32" x14ac:dyDescent="0.25">
      <c r="AA178" s="40"/>
      <c r="AB178" s="41"/>
      <c r="AC178" s="41"/>
      <c r="AD178" s="42"/>
      <c r="AE178" s="42"/>
      <c r="AF178" s="43"/>
    </row>
    <row r="179" spans="27:32" x14ac:dyDescent="0.25">
      <c r="AA179" s="40"/>
      <c r="AB179" s="41"/>
      <c r="AC179" s="41"/>
      <c r="AD179" s="42"/>
      <c r="AE179" s="42"/>
      <c r="AF179" s="43"/>
    </row>
    <row r="180" spans="27:32" x14ac:dyDescent="0.25">
      <c r="AA180" s="40"/>
      <c r="AB180" s="41"/>
      <c r="AC180" s="41"/>
      <c r="AD180" s="42"/>
      <c r="AE180" s="42"/>
      <c r="AF180" s="43"/>
    </row>
    <row r="181" spans="27:32" x14ac:dyDescent="0.25">
      <c r="AA181" s="40"/>
      <c r="AB181" s="41"/>
      <c r="AC181" s="41"/>
      <c r="AD181" s="42"/>
      <c r="AE181" s="42"/>
      <c r="AF181" s="43"/>
    </row>
    <row r="182" spans="27:32" x14ac:dyDescent="0.25">
      <c r="AA182" s="40"/>
      <c r="AB182" s="41"/>
      <c r="AC182" s="41"/>
      <c r="AD182" s="42"/>
      <c r="AE182" s="42"/>
      <c r="AF182" s="43"/>
    </row>
    <row r="183" spans="27:32" x14ac:dyDescent="0.25">
      <c r="AA183" s="40"/>
      <c r="AB183" s="41"/>
      <c r="AC183" s="41"/>
      <c r="AD183" s="42"/>
      <c r="AE183" s="42"/>
      <c r="AF183" s="43"/>
    </row>
    <row r="184" spans="27:32" x14ac:dyDescent="0.25">
      <c r="AA184" s="40"/>
      <c r="AB184" s="41"/>
      <c r="AC184" s="41"/>
      <c r="AD184" s="42"/>
      <c r="AE184" s="42"/>
      <c r="AF184" s="43"/>
    </row>
    <row r="185" spans="27:32" x14ac:dyDescent="0.25">
      <c r="AA185" s="40"/>
      <c r="AB185" s="41"/>
      <c r="AC185" s="41"/>
      <c r="AD185" s="42"/>
      <c r="AE185" s="42"/>
      <c r="AF185" s="43"/>
    </row>
    <row r="186" spans="27:32" x14ac:dyDescent="0.25">
      <c r="AA186" s="40"/>
      <c r="AB186" s="41"/>
      <c r="AC186" s="41"/>
      <c r="AD186" s="42"/>
      <c r="AE186" s="42"/>
      <c r="AF186" s="43"/>
    </row>
    <row r="187" spans="27:32" x14ac:dyDescent="0.25">
      <c r="AA187" s="40"/>
      <c r="AB187" s="41"/>
      <c r="AC187" s="41"/>
      <c r="AD187" s="42"/>
      <c r="AE187" s="42"/>
      <c r="AF187" s="43"/>
    </row>
    <row r="188" spans="27:32" x14ac:dyDescent="0.25">
      <c r="AA188" s="40"/>
      <c r="AB188" s="41"/>
      <c r="AC188" s="41"/>
      <c r="AD188" s="42"/>
      <c r="AE188" s="42"/>
      <c r="AF188" s="43"/>
    </row>
    <row r="189" spans="27:32" x14ac:dyDescent="0.25">
      <c r="AA189" s="40"/>
      <c r="AB189" s="41"/>
      <c r="AC189" s="41"/>
      <c r="AD189" s="42"/>
      <c r="AE189" s="42"/>
      <c r="AF189" s="43"/>
    </row>
    <row r="190" spans="27:32" x14ac:dyDescent="0.25">
      <c r="AA190" s="40"/>
      <c r="AB190" s="41"/>
      <c r="AC190" s="41"/>
      <c r="AD190" s="42"/>
      <c r="AE190" s="42"/>
      <c r="AF190" s="43"/>
    </row>
    <row r="191" spans="27:32" x14ac:dyDescent="0.25">
      <c r="AA191" s="40"/>
      <c r="AB191" s="41"/>
      <c r="AC191" s="41"/>
      <c r="AD191" s="42"/>
      <c r="AE191" s="42"/>
      <c r="AF191" s="43"/>
    </row>
    <row r="192" spans="27:32" x14ac:dyDescent="0.25">
      <c r="AA192" s="40"/>
      <c r="AB192" s="41"/>
      <c r="AC192" s="41"/>
      <c r="AD192" s="42"/>
      <c r="AE192" s="42"/>
      <c r="AF192" s="43"/>
    </row>
    <row r="193" spans="27:32" x14ac:dyDescent="0.25">
      <c r="AA193" s="40"/>
      <c r="AB193" s="41"/>
      <c r="AC193" s="41"/>
      <c r="AD193" s="42"/>
      <c r="AE193" s="42"/>
      <c r="AF193" s="43"/>
    </row>
    <row r="194" spans="27:32" x14ac:dyDescent="0.25">
      <c r="AA194" s="40"/>
      <c r="AB194" s="41"/>
      <c r="AC194" s="41"/>
      <c r="AD194" s="42"/>
      <c r="AE194" s="42"/>
      <c r="AF194" s="43"/>
    </row>
    <row r="195" spans="27:32" x14ac:dyDescent="0.25">
      <c r="AA195" s="40"/>
      <c r="AB195" s="41"/>
      <c r="AC195" s="41"/>
      <c r="AD195" s="42"/>
      <c r="AE195" s="42"/>
      <c r="AF195" s="43"/>
    </row>
    <row r="196" spans="27:32" x14ac:dyDescent="0.25">
      <c r="AA196" s="40"/>
      <c r="AB196" s="41"/>
      <c r="AC196" s="41"/>
      <c r="AD196" s="42"/>
      <c r="AE196" s="42"/>
      <c r="AF196" s="43"/>
    </row>
    <row r="197" spans="27:32" x14ac:dyDescent="0.25">
      <c r="AA197" s="40"/>
      <c r="AB197" s="41"/>
      <c r="AC197" s="41"/>
      <c r="AD197" s="42"/>
      <c r="AE197" s="42"/>
      <c r="AF197" s="43"/>
    </row>
    <row r="198" spans="27:32" x14ac:dyDescent="0.25">
      <c r="AA198" s="40"/>
      <c r="AB198" s="41"/>
      <c r="AC198" s="41"/>
      <c r="AD198" s="42"/>
      <c r="AE198" s="42"/>
      <c r="AF198" s="43"/>
    </row>
    <row r="199" spans="27:32" x14ac:dyDescent="0.25">
      <c r="AA199" s="40"/>
      <c r="AB199" s="41"/>
      <c r="AC199" s="41"/>
      <c r="AD199" s="42"/>
      <c r="AE199" s="42"/>
      <c r="AF199" s="43"/>
    </row>
    <row r="200" spans="27:32" x14ac:dyDescent="0.25">
      <c r="AA200" s="40"/>
      <c r="AB200" s="41"/>
      <c r="AC200" s="41"/>
      <c r="AD200" s="42"/>
      <c r="AE200" s="42"/>
      <c r="AF200" s="43"/>
    </row>
    <row r="201" spans="27:32" x14ac:dyDescent="0.25">
      <c r="AA201" s="40"/>
      <c r="AB201" s="41"/>
      <c r="AC201" s="41"/>
      <c r="AD201" s="42"/>
      <c r="AE201" s="42"/>
      <c r="AF201" s="43"/>
    </row>
    <row r="202" spans="27:32" x14ac:dyDescent="0.25">
      <c r="AA202" s="40"/>
      <c r="AB202" s="41"/>
      <c r="AC202" s="41"/>
      <c r="AD202" s="42"/>
      <c r="AE202" s="42"/>
      <c r="AF202" s="43"/>
    </row>
    <row r="203" spans="27:32" x14ac:dyDescent="0.25">
      <c r="AA203" s="40"/>
      <c r="AB203" s="41"/>
      <c r="AC203" s="41"/>
      <c r="AD203" s="42"/>
      <c r="AE203" s="42"/>
      <c r="AF203" s="43"/>
    </row>
    <row r="204" spans="27:32" x14ac:dyDescent="0.25">
      <c r="AA204" s="40"/>
      <c r="AB204" s="41"/>
      <c r="AC204" s="41"/>
      <c r="AD204" s="42"/>
      <c r="AE204" s="42"/>
      <c r="AF204" s="43"/>
    </row>
    <row r="205" spans="27:32" x14ac:dyDescent="0.25">
      <c r="AA205" s="40"/>
      <c r="AB205" s="41"/>
      <c r="AC205" s="41"/>
      <c r="AD205" s="42"/>
      <c r="AE205" s="42"/>
      <c r="AF205" s="43"/>
    </row>
    <row r="206" spans="27:32" x14ac:dyDescent="0.25">
      <c r="AA206" s="40"/>
      <c r="AB206" s="41"/>
      <c r="AC206" s="41"/>
      <c r="AD206" s="42"/>
      <c r="AE206" s="42"/>
      <c r="AF206" s="43"/>
    </row>
    <row r="207" spans="27:32" x14ac:dyDescent="0.25">
      <c r="AA207" s="40"/>
      <c r="AB207" s="41"/>
      <c r="AC207" s="41"/>
      <c r="AD207" s="42"/>
      <c r="AE207" s="42"/>
      <c r="AF207" s="43"/>
    </row>
    <row r="208" spans="27:32" x14ac:dyDescent="0.25">
      <c r="AA208" s="40"/>
      <c r="AB208" s="41"/>
      <c r="AC208" s="41"/>
      <c r="AD208" s="42"/>
      <c r="AE208" s="42"/>
      <c r="AF208" s="43"/>
    </row>
    <row r="209" spans="27:32" x14ac:dyDescent="0.25">
      <c r="AA209" s="40"/>
      <c r="AB209" s="41"/>
      <c r="AC209" s="41"/>
      <c r="AD209" s="42"/>
      <c r="AE209" s="42"/>
      <c r="AF209" s="43"/>
    </row>
    <row r="210" spans="27:32" x14ac:dyDescent="0.25">
      <c r="AA210" s="40"/>
      <c r="AB210" s="41"/>
      <c r="AC210" s="41"/>
      <c r="AD210" s="42"/>
      <c r="AE210" s="42"/>
      <c r="AF210" s="43"/>
    </row>
    <row r="211" spans="27:32" x14ac:dyDescent="0.25">
      <c r="AA211" s="40"/>
      <c r="AB211" s="41"/>
      <c r="AC211" s="41"/>
      <c r="AD211" s="42"/>
      <c r="AE211" s="42"/>
      <c r="AF211" s="43"/>
    </row>
    <row r="212" spans="27:32" x14ac:dyDescent="0.25">
      <c r="AA212" s="40"/>
      <c r="AB212" s="41"/>
      <c r="AC212" s="41"/>
      <c r="AD212" s="42"/>
      <c r="AE212" s="42"/>
      <c r="AF212" s="43"/>
    </row>
    <row r="213" spans="27:32" x14ac:dyDescent="0.25">
      <c r="AA213" s="40"/>
      <c r="AB213" s="41"/>
      <c r="AC213" s="41"/>
      <c r="AD213" s="42"/>
      <c r="AE213" s="42"/>
      <c r="AF213" s="43"/>
    </row>
    <row r="214" spans="27:32" x14ac:dyDescent="0.25">
      <c r="AA214" s="40"/>
      <c r="AB214" s="41"/>
      <c r="AC214" s="41"/>
      <c r="AD214" s="42"/>
      <c r="AE214" s="42"/>
      <c r="AF214" s="43"/>
    </row>
    <row r="215" spans="27:32" x14ac:dyDescent="0.25">
      <c r="AA215" s="40"/>
      <c r="AB215" s="41"/>
      <c r="AC215" s="41"/>
      <c r="AD215" s="42"/>
      <c r="AE215" s="42"/>
      <c r="AF215" s="43"/>
    </row>
    <row r="216" spans="27:32" x14ac:dyDescent="0.25">
      <c r="AA216" s="40"/>
      <c r="AB216" s="41"/>
      <c r="AC216" s="41"/>
      <c r="AD216" s="42"/>
      <c r="AE216" s="42"/>
      <c r="AF216" s="43"/>
    </row>
    <row r="217" spans="27:32" x14ac:dyDescent="0.25">
      <c r="AA217" s="40"/>
      <c r="AB217" s="41"/>
      <c r="AC217" s="41"/>
      <c r="AD217" s="42"/>
      <c r="AE217" s="42"/>
      <c r="AF217" s="43"/>
    </row>
    <row r="218" spans="27:32" x14ac:dyDescent="0.25">
      <c r="AA218" s="40"/>
      <c r="AB218" s="41"/>
      <c r="AC218" s="41"/>
      <c r="AD218" s="42"/>
      <c r="AE218" s="42"/>
      <c r="AF218" s="43"/>
    </row>
    <row r="219" spans="27:32" x14ac:dyDescent="0.25">
      <c r="AA219" s="40"/>
      <c r="AB219" s="41"/>
      <c r="AC219" s="41"/>
      <c r="AD219" s="42"/>
      <c r="AE219" s="42"/>
      <c r="AF219" s="43"/>
    </row>
    <row r="220" spans="27:32" x14ac:dyDescent="0.25">
      <c r="AA220" s="40"/>
      <c r="AB220" s="41"/>
      <c r="AC220" s="41"/>
      <c r="AD220" s="42"/>
      <c r="AE220" s="42"/>
      <c r="AF220" s="43"/>
    </row>
    <row r="221" spans="27:32" x14ac:dyDescent="0.25">
      <c r="AA221" s="40"/>
      <c r="AB221" s="41"/>
      <c r="AC221" s="41"/>
      <c r="AD221" s="42"/>
      <c r="AE221" s="42"/>
      <c r="AF221" s="43"/>
    </row>
    <row r="222" spans="27:32" x14ac:dyDescent="0.25">
      <c r="AA222" s="40"/>
      <c r="AB222" s="41"/>
      <c r="AC222" s="41"/>
      <c r="AD222" s="42"/>
      <c r="AE222" s="42"/>
      <c r="AF222" s="43"/>
    </row>
    <row r="223" spans="27:32" x14ac:dyDescent="0.25">
      <c r="AA223" s="40"/>
      <c r="AB223" s="41"/>
      <c r="AC223" s="41"/>
      <c r="AD223" s="42"/>
      <c r="AE223" s="42"/>
      <c r="AF223" s="43"/>
    </row>
    <row r="224" spans="27:32" x14ac:dyDescent="0.25">
      <c r="AA224" s="40"/>
      <c r="AB224" s="41"/>
      <c r="AC224" s="41"/>
      <c r="AD224" s="42"/>
      <c r="AE224" s="42"/>
      <c r="AF224" s="43"/>
    </row>
    <row r="225" spans="27:32" x14ac:dyDescent="0.25">
      <c r="AA225" s="40"/>
      <c r="AB225" s="41"/>
      <c r="AC225" s="41"/>
      <c r="AD225" s="42"/>
      <c r="AE225" s="42"/>
      <c r="AF225" s="43"/>
    </row>
    <row r="226" spans="27:32" x14ac:dyDescent="0.25">
      <c r="AA226" s="40"/>
      <c r="AB226" s="41"/>
      <c r="AC226" s="41"/>
      <c r="AD226" s="42"/>
      <c r="AE226" s="42"/>
      <c r="AF226" s="43"/>
    </row>
    <row r="227" spans="27:32" x14ac:dyDescent="0.25">
      <c r="AA227" s="40"/>
      <c r="AB227" s="41"/>
      <c r="AC227" s="41"/>
      <c r="AD227" s="42"/>
      <c r="AE227" s="42"/>
      <c r="AF227" s="43"/>
    </row>
    <row r="228" spans="27:32" x14ac:dyDescent="0.25">
      <c r="AA228" s="40"/>
      <c r="AB228" s="41"/>
      <c r="AC228" s="41"/>
      <c r="AD228" s="42"/>
      <c r="AE228" s="42"/>
      <c r="AF228" s="43"/>
    </row>
    <row r="229" spans="27:32" x14ac:dyDescent="0.25">
      <c r="AA229" s="40"/>
      <c r="AB229" s="41"/>
      <c r="AC229" s="41"/>
      <c r="AD229" s="42"/>
      <c r="AE229" s="42"/>
      <c r="AF229" s="43"/>
    </row>
    <row r="230" spans="27:32" x14ac:dyDescent="0.25">
      <c r="AA230" s="40"/>
      <c r="AB230" s="41"/>
      <c r="AC230" s="41"/>
      <c r="AD230" s="42"/>
      <c r="AE230" s="42"/>
      <c r="AF230" s="43"/>
    </row>
    <row r="231" spans="27:32" x14ac:dyDescent="0.25">
      <c r="AA231" s="40"/>
      <c r="AB231" s="41"/>
      <c r="AC231" s="41"/>
      <c r="AD231" s="42"/>
      <c r="AE231" s="42"/>
      <c r="AF231" s="43"/>
    </row>
    <row r="232" spans="27:32" x14ac:dyDescent="0.25">
      <c r="AA232" s="40"/>
      <c r="AB232" s="41"/>
      <c r="AC232" s="41"/>
      <c r="AD232" s="42"/>
      <c r="AE232" s="42"/>
      <c r="AF232" s="43"/>
    </row>
    <row r="233" spans="27:32" x14ac:dyDescent="0.25">
      <c r="AA233" s="40"/>
      <c r="AB233" s="41"/>
      <c r="AC233" s="41"/>
      <c r="AD233" s="42"/>
      <c r="AE233" s="42"/>
      <c r="AF233" s="43"/>
    </row>
    <row r="234" spans="27:32" x14ac:dyDescent="0.25">
      <c r="AA234" s="40"/>
      <c r="AB234" s="41"/>
      <c r="AC234" s="41"/>
      <c r="AD234" s="42"/>
      <c r="AE234" s="42"/>
      <c r="AF234" s="43"/>
    </row>
    <row r="235" spans="27:32" x14ac:dyDescent="0.25">
      <c r="AA235" s="40"/>
      <c r="AB235" s="41"/>
      <c r="AC235" s="41"/>
      <c r="AD235" s="42"/>
      <c r="AE235" s="42"/>
      <c r="AF235" s="43"/>
    </row>
    <row r="236" spans="27:32" x14ac:dyDescent="0.25">
      <c r="AA236" s="40"/>
      <c r="AB236" s="41"/>
      <c r="AC236" s="41"/>
      <c r="AD236" s="42"/>
      <c r="AE236" s="42"/>
      <c r="AF236" s="43"/>
    </row>
    <row r="237" spans="27:32" x14ac:dyDescent="0.25">
      <c r="AA237" s="40"/>
      <c r="AB237" s="41"/>
      <c r="AC237" s="41"/>
      <c r="AD237" s="42"/>
      <c r="AE237" s="42"/>
      <c r="AF237" s="43"/>
    </row>
    <row r="238" spans="27:32" x14ac:dyDescent="0.25">
      <c r="AA238" s="40"/>
      <c r="AB238" s="41"/>
      <c r="AC238" s="41"/>
      <c r="AD238" s="42"/>
      <c r="AE238" s="42"/>
      <c r="AF238" s="43"/>
    </row>
    <row r="239" spans="27:32" x14ac:dyDescent="0.25">
      <c r="AA239" s="40"/>
      <c r="AB239" s="41"/>
      <c r="AC239" s="41"/>
      <c r="AD239" s="42"/>
      <c r="AE239" s="42"/>
      <c r="AF239" s="43"/>
    </row>
    <row r="240" spans="27:32" x14ac:dyDescent="0.25">
      <c r="AA240" s="40"/>
      <c r="AB240" s="41"/>
      <c r="AC240" s="41"/>
      <c r="AD240" s="42"/>
      <c r="AE240" s="42"/>
      <c r="AF240" s="43"/>
    </row>
    <row r="241" spans="27:32" x14ac:dyDescent="0.25">
      <c r="AA241" s="40"/>
      <c r="AB241" s="41"/>
      <c r="AC241" s="41"/>
      <c r="AD241" s="42"/>
      <c r="AE241" s="42"/>
      <c r="AF241" s="43"/>
    </row>
    <row r="242" spans="27:32" x14ac:dyDescent="0.25">
      <c r="AA242" s="40"/>
      <c r="AB242" s="41"/>
      <c r="AC242" s="41"/>
      <c r="AD242" s="42"/>
      <c r="AE242" s="42"/>
      <c r="AF242" s="43"/>
    </row>
    <row r="243" spans="27:32" x14ac:dyDescent="0.25">
      <c r="AA243" s="40"/>
      <c r="AB243" s="41"/>
      <c r="AC243" s="41"/>
      <c r="AD243" s="42"/>
      <c r="AE243" s="42"/>
      <c r="AF243" s="43"/>
    </row>
    <row r="244" spans="27:32" x14ac:dyDescent="0.25">
      <c r="AA244" s="40"/>
      <c r="AB244" s="41"/>
      <c r="AC244" s="41"/>
      <c r="AD244" s="42"/>
      <c r="AE244" s="42"/>
      <c r="AF244" s="43"/>
    </row>
    <row r="245" spans="27:32" x14ac:dyDescent="0.25">
      <c r="AA245" s="40"/>
      <c r="AB245" s="41"/>
      <c r="AC245" s="41"/>
      <c r="AD245" s="42"/>
      <c r="AE245" s="42"/>
      <c r="AF245" s="43"/>
    </row>
    <row r="246" spans="27:32" x14ac:dyDescent="0.25">
      <c r="AA246" s="40"/>
      <c r="AB246" s="41"/>
      <c r="AC246" s="41"/>
      <c r="AD246" s="42"/>
      <c r="AE246" s="42"/>
      <c r="AF246" s="43"/>
    </row>
    <row r="247" spans="27:32" x14ac:dyDescent="0.25">
      <c r="AA247" s="40"/>
      <c r="AB247" s="41"/>
      <c r="AC247" s="41"/>
      <c r="AD247" s="42"/>
      <c r="AE247" s="42"/>
      <c r="AF247" s="43"/>
    </row>
    <row r="248" spans="27:32" x14ac:dyDescent="0.25">
      <c r="AA248" s="40"/>
      <c r="AB248" s="41"/>
      <c r="AC248" s="41"/>
      <c r="AD248" s="42"/>
      <c r="AE248" s="42"/>
      <c r="AF248" s="43"/>
    </row>
    <row r="249" spans="27:32" x14ac:dyDescent="0.25">
      <c r="AA249" s="40"/>
      <c r="AB249" s="41"/>
      <c r="AC249" s="41"/>
      <c r="AD249" s="42"/>
      <c r="AE249" s="42"/>
      <c r="AF249" s="43"/>
    </row>
    <row r="250" spans="27:32" x14ac:dyDescent="0.25">
      <c r="AA250" s="40"/>
      <c r="AB250" s="41"/>
      <c r="AC250" s="41"/>
      <c r="AD250" s="42"/>
      <c r="AE250" s="42"/>
      <c r="AF250" s="43"/>
    </row>
    <row r="251" spans="27:32" x14ac:dyDescent="0.25">
      <c r="AA251" s="40"/>
      <c r="AB251" s="41"/>
      <c r="AC251" s="41"/>
      <c r="AD251" s="42"/>
      <c r="AE251" s="42"/>
      <c r="AF251" s="43"/>
    </row>
    <row r="252" spans="27:32" x14ac:dyDescent="0.25">
      <c r="AA252" s="40"/>
      <c r="AB252" s="41"/>
      <c r="AC252" s="41"/>
      <c r="AD252" s="42"/>
      <c r="AE252" s="42"/>
      <c r="AF252" s="43"/>
    </row>
    <row r="253" spans="27:32" x14ac:dyDescent="0.25">
      <c r="AA253" s="40"/>
      <c r="AB253" s="41"/>
      <c r="AC253" s="41"/>
      <c r="AD253" s="42"/>
      <c r="AE253" s="42"/>
      <c r="AF253" s="43"/>
    </row>
    <row r="254" spans="27:32" x14ac:dyDescent="0.25">
      <c r="AA254" s="40"/>
      <c r="AB254" s="41"/>
      <c r="AC254" s="41"/>
      <c r="AD254" s="42"/>
      <c r="AE254" s="42"/>
      <c r="AF254" s="43"/>
    </row>
    <row r="255" spans="27:32" x14ac:dyDescent="0.25">
      <c r="AA255" s="40"/>
      <c r="AB255" s="41"/>
      <c r="AC255" s="41"/>
      <c r="AD255" s="42"/>
      <c r="AE255" s="42"/>
      <c r="AF255" s="43"/>
    </row>
    <row r="256" spans="27:32" x14ac:dyDescent="0.25">
      <c r="AA256" s="40"/>
      <c r="AB256" s="41"/>
      <c r="AC256" s="41"/>
      <c r="AD256" s="42"/>
      <c r="AE256" s="42"/>
      <c r="AF256" s="43"/>
    </row>
    <row r="257" spans="27:32" x14ac:dyDescent="0.25">
      <c r="AA257" s="40"/>
      <c r="AB257" s="41"/>
      <c r="AC257" s="41"/>
      <c r="AD257" s="42"/>
      <c r="AE257" s="42"/>
      <c r="AF257" s="43"/>
    </row>
    <row r="258" spans="27:32" x14ac:dyDescent="0.25">
      <c r="AA258" s="40"/>
      <c r="AB258" s="41"/>
      <c r="AC258" s="41"/>
      <c r="AD258" s="42"/>
      <c r="AE258" s="42"/>
      <c r="AF258" s="43"/>
    </row>
    <row r="259" spans="27:32" x14ac:dyDescent="0.25">
      <c r="AA259" s="40"/>
      <c r="AB259" s="41"/>
      <c r="AC259" s="41"/>
      <c r="AD259" s="42"/>
      <c r="AE259" s="42"/>
      <c r="AF259" s="43"/>
    </row>
    <row r="260" spans="27:32" x14ac:dyDescent="0.25">
      <c r="AA260" s="40"/>
      <c r="AB260" s="41"/>
      <c r="AC260" s="41"/>
      <c r="AD260" s="42"/>
      <c r="AE260" s="42"/>
      <c r="AF260" s="43"/>
    </row>
    <row r="261" spans="27:32" x14ac:dyDescent="0.25">
      <c r="AA261" s="40"/>
      <c r="AB261" s="41"/>
      <c r="AC261" s="41"/>
      <c r="AD261" s="42"/>
      <c r="AE261" s="42"/>
      <c r="AF261" s="43"/>
    </row>
    <row r="262" spans="27:32" x14ac:dyDescent="0.25">
      <c r="AA262" s="40"/>
      <c r="AB262" s="41"/>
      <c r="AC262" s="41"/>
      <c r="AD262" s="42"/>
      <c r="AE262" s="42"/>
      <c r="AF262" s="43"/>
    </row>
    <row r="263" spans="27:32" x14ac:dyDescent="0.25">
      <c r="AA263" s="40"/>
      <c r="AB263" s="41"/>
      <c r="AC263" s="41"/>
      <c r="AD263" s="42"/>
      <c r="AE263" s="42"/>
      <c r="AF263" s="43"/>
    </row>
    <row r="264" spans="27:32" x14ac:dyDescent="0.25">
      <c r="AA264" s="40"/>
      <c r="AB264" s="41"/>
      <c r="AC264" s="41"/>
      <c r="AD264" s="42"/>
      <c r="AE264" s="42"/>
      <c r="AF264" s="43"/>
    </row>
    <row r="265" spans="27:32" x14ac:dyDescent="0.25">
      <c r="AA265" s="40"/>
      <c r="AB265" s="41"/>
      <c r="AC265" s="41"/>
      <c r="AD265" s="42"/>
      <c r="AE265" s="42"/>
      <c r="AF265" s="43"/>
    </row>
    <row r="266" spans="27:32" x14ac:dyDescent="0.25">
      <c r="AA266" s="40"/>
      <c r="AB266" s="41"/>
      <c r="AC266" s="41"/>
      <c r="AD266" s="42"/>
      <c r="AE266" s="42"/>
      <c r="AF266" s="43"/>
    </row>
    <row r="267" spans="27:32" x14ac:dyDescent="0.25">
      <c r="AA267" s="40"/>
      <c r="AB267" s="41"/>
      <c r="AC267" s="41"/>
      <c r="AD267" s="42"/>
      <c r="AE267" s="42"/>
      <c r="AF267" s="43"/>
    </row>
    <row r="268" spans="27:32" x14ac:dyDescent="0.25">
      <c r="AA268" s="40"/>
      <c r="AB268" s="41"/>
      <c r="AC268" s="41"/>
      <c r="AD268" s="42"/>
      <c r="AE268" s="42"/>
      <c r="AF268" s="43"/>
    </row>
    <row r="269" spans="27:32" x14ac:dyDescent="0.25">
      <c r="AA269" s="40"/>
      <c r="AB269" s="41"/>
      <c r="AC269" s="41"/>
      <c r="AD269" s="42"/>
      <c r="AE269" s="42"/>
      <c r="AF269" s="43"/>
    </row>
    <row r="270" spans="27:32" x14ac:dyDescent="0.25">
      <c r="AA270" s="40"/>
      <c r="AB270" s="41"/>
      <c r="AC270" s="41"/>
      <c r="AD270" s="42"/>
      <c r="AE270" s="42"/>
      <c r="AF270" s="43"/>
    </row>
    <row r="271" spans="27:32" x14ac:dyDescent="0.25">
      <c r="AA271" s="40"/>
      <c r="AB271" s="41"/>
      <c r="AC271" s="41"/>
      <c r="AD271" s="42"/>
      <c r="AE271" s="42"/>
      <c r="AF271" s="43"/>
    </row>
    <row r="272" spans="27:32" x14ac:dyDescent="0.25">
      <c r="AA272" s="40"/>
      <c r="AB272" s="41"/>
      <c r="AC272" s="41"/>
      <c r="AD272" s="42"/>
      <c r="AE272" s="42"/>
      <c r="AF272" s="43"/>
    </row>
    <row r="273" spans="27:32" x14ac:dyDescent="0.25">
      <c r="AA273" s="40"/>
      <c r="AB273" s="41"/>
      <c r="AC273" s="41"/>
      <c r="AD273" s="42"/>
      <c r="AE273" s="42"/>
      <c r="AF273" s="43"/>
    </row>
    <row r="274" spans="27:32" x14ac:dyDescent="0.25">
      <c r="AA274" s="40"/>
      <c r="AB274" s="41"/>
      <c r="AC274" s="41"/>
      <c r="AD274" s="42"/>
      <c r="AE274" s="42"/>
      <c r="AF274" s="43"/>
    </row>
    <row r="275" spans="27:32" x14ac:dyDescent="0.25">
      <c r="AA275" s="40"/>
      <c r="AB275" s="41"/>
      <c r="AC275" s="41"/>
      <c r="AD275" s="42"/>
      <c r="AE275" s="42"/>
      <c r="AF275" s="43"/>
    </row>
    <row r="276" spans="27:32" x14ac:dyDescent="0.25">
      <c r="AA276" s="40"/>
      <c r="AB276" s="41"/>
      <c r="AC276" s="41"/>
      <c r="AD276" s="42"/>
      <c r="AE276" s="42"/>
      <c r="AF276" s="43"/>
    </row>
    <row r="277" spans="27:32" x14ac:dyDescent="0.25">
      <c r="AA277" s="40"/>
      <c r="AB277" s="41"/>
      <c r="AC277" s="41"/>
      <c r="AD277" s="42"/>
      <c r="AE277" s="42"/>
      <c r="AF277" s="43"/>
    </row>
    <row r="278" spans="27:32" x14ac:dyDescent="0.25">
      <c r="AA278" s="40"/>
      <c r="AB278" s="41"/>
      <c r="AC278" s="41"/>
      <c r="AD278" s="42"/>
      <c r="AE278" s="42"/>
      <c r="AF278" s="43"/>
    </row>
    <row r="279" spans="27:32" x14ac:dyDescent="0.25">
      <c r="AA279" s="40"/>
      <c r="AB279" s="41"/>
      <c r="AC279" s="41"/>
      <c r="AD279" s="42"/>
      <c r="AE279" s="42"/>
      <c r="AF279" s="43"/>
    </row>
    <row r="280" spans="27:32" x14ac:dyDescent="0.25">
      <c r="AA280" s="40"/>
      <c r="AB280" s="41"/>
      <c r="AC280" s="41"/>
      <c r="AD280" s="42"/>
      <c r="AE280" s="42"/>
      <c r="AF280" s="43"/>
    </row>
    <row r="281" spans="27:32" x14ac:dyDescent="0.25">
      <c r="AA281" s="40"/>
      <c r="AB281" s="41"/>
      <c r="AC281" s="41"/>
      <c r="AD281" s="42"/>
      <c r="AE281" s="42"/>
      <c r="AF281" s="43"/>
    </row>
    <row r="282" spans="27:32" x14ac:dyDescent="0.25">
      <c r="AA282" s="40"/>
      <c r="AB282" s="41"/>
      <c r="AC282" s="41"/>
      <c r="AD282" s="42"/>
      <c r="AE282" s="42"/>
      <c r="AF282" s="43"/>
    </row>
    <row r="283" spans="27:32" x14ac:dyDescent="0.25">
      <c r="AA283" s="40"/>
      <c r="AB283" s="41"/>
      <c r="AC283" s="41"/>
      <c r="AD283" s="42"/>
      <c r="AE283" s="42"/>
      <c r="AF283" s="43"/>
    </row>
    <row r="284" spans="27:32" x14ac:dyDescent="0.25">
      <c r="AA284" s="32"/>
      <c r="AB284" s="34"/>
      <c r="AC284" s="34"/>
      <c r="AD284" s="36"/>
      <c r="AE284" s="36"/>
      <c r="AF284" s="38"/>
    </row>
    <row r="285" spans="27:32" x14ac:dyDescent="0.25">
      <c r="AA285" s="70"/>
      <c r="AB285" s="71"/>
      <c r="AC285" s="71"/>
      <c r="AD285" s="72"/>
      <c r="AE285" s="72"/>
      <c r="AF285" s="30"/>
    </row>
  </sheetData>
  <mergeCells count="101">
    <mergeCell ref="E54:F54"/>
    <mergeCell ref="E55:F55"/>
    <mergeCell ref="E52:F52"/>
    <mergeCell ref="E53:F53"/>
    <mergeCell ref="E50:F50"/>
    <mergeCell ref="E51:F51"/>
    <mergeCell ref="E70:F70"/>
    <mergeCell ref="E71:F71"/>
    <mergeCell ref="E68:F68"/>
    <mergeCell ref="E69:F69"/>
    <mergeCell ref="E66:F66"/>
    <mergeCell ref="E67:F67"/>
    <mergeCell ref="E58:F58"/>
    <mergeCell ref="E59:F59"/>
    <mergeCell ref="E56:F56"/>
    <mergeCell ref="E64:F64"/>
    <mergeCell ref="E65:F65"/>
    <mergeCell ref="E62:F62"/>
    <mergeCell ref="E63:F63"/>
    <mergeCell ref="E60:F60"/>
    <mergeCell ref="E61:F61"/>
    <mergeCell ref="E57:F57"/>
    <mergeCell ref="E42:F42"/>
    <mergeCell ref="E43:F43"/>
    <mergeCell ref="E40:F40"/>
    <mergeCell ref="E41:F41"/>
    <mergeCell ref="E38:F38"/>
    <mergeCell ref="E39:F39"/>
    <mergeCell ref="E48:F48"/>
    <mergeCell ref="E49:F49"/>
    <mergeCell ref="E46:F46"/>
    <mergeCell ref="E47:F47"/>
    <mergeCell ref="E44:F44"/>
    <mergeCell ref="E45:F45"/>
    <mergeCell ref="E30:F30"/>
    <mergeCell ref="E31:F31"/>
    <mergeCell ref="E28:F28"/>
    <mergeCell ref="E29:F29"/>
    <mergeCell ref="E26:F26"/>
    <mergeCell ref="E27:F27"/>
    <mergeCell ref="E36:F36"/>
    <mergeCell ref="E37:F37"/>
    <mergeCell ref="E34:F34"/>
    <mergeCell ref="E35:F35"/>
    <mergeCell ref="E32:F32"/>
    <mergeCell ref="E33:F33"/>
    <mergeCell ref="E18:F18"/>
    <mergeCell ref="E19:F19"/>
    <mergeCell ref="G11:G12"/>
    <mergeCell ref="G16:G17"/>
    <mergeCell ref="E13:F13"/>
    <mergeCell ref="E24:F24"/>
    <mergeCell ref="E25:F25"/>
    <mergeCell ref="E22:F22"/>
    <mergeCell ref="E23:F23"/>
    <mergeCell ref="E20:F20"/>
    <mergeCell ref="E21:F21"/>
    <mergeCell ref="H16:H17"/>
    <mergeCell ref="H1:I2"/>
    <mergeCell ref="A1:G2"/>
    <mergeCell ref="A8:B8"/>
    <mergeCell ref="A3:B3"/>
    <mergeCell ref="C16:C17"/>
    <mergeCell ref="B16:B17"/>
    <mergeCell ref="D16:D17"/>
    <mergeCell ref="E16:F17"/>
    <mergeCell ref="B11:B12"/>
    <mergeCell ref="C11:C12"/>
    <mergeCell ref="D11:D12"/>
    <mergeCell ref="E11:F12"/>
    <mergeCell ref="H11:H12"/>
    <mergeCell ref="E77:F77"/>
    <mergeCell ref="E78:F78"/>
    <mergeCell ref="E79:F79"/>
    <mergeCell ref="E80:F80"/>
    <mergeCell ref="E81:F81"/>
    <mergeCell ref="E72:F72"/>
    <mergeCell ref="E73:F73"/>
    <mergeCell ref="E74:F74"/>
    <mergeCell ref="E75:F75"/>
    <mergeCell ref="E76:F76"/>
    <mergeCell ref="E87:F87"/>
    <mergeCell ref="E88:F88"/>
    <mergeCell ref="E89:F89"/>
    <mergeCell ref="E90:F90"/>
    <mergeCell ref="E91:F91"/>
    <mergeCell ref="E82:F82"/>
    <mergeCell ref="E83:F83"/>
    <mergeCell ref="E84:F84"/>
    <mergeCell ref="E85:F85"/>
    <mergeCell ref="E86:F86"/>
    <mergeCell ref="E97:F97"/>
    <mergeCell ref="E98:F98"/>
    <mergeCell ref="E99:F99"/>
    <mergeCell ref="E100:F100"/>
    <mergeCell ref="E101:F101"/>
    <mergeCell ref="E92:F92"/>
    <mergeCell ref="E93:F93"/>
    <mergeCell ref="E94:F94"/>
    <mergeCell ref="E95:F95"/>
    <mergeCell ref="E96:F96"/>
  </mergeCells>
  <conditionalFormatting sqref="H13">
    <cfRule type="containsText" dxfId="7" priority="8" operator="containsText" text="OK">
      <formula>NOT(ISERROR(SEARCH("OK",H13)))</formula>
    </cfRule>
  </conditionalFormatting>
  <conditionalFormatting sqref="H1:H1048576">
    <cfRule type="containsText" dxfId="6" priority="7" operator="containsText" text="CHECK">
      <formula>NOT(ISERROR(SEARCH("CHECK",H1)))</formula>
    </cfRule>
  </conditionalFormatting>
  <conditionalFormatting sqref="AD1:AD1048576">
    <cfRule type="top10" dxfId="5" priority="6" rank="1"/>
  </conditionalFormatting>
  <conditionalFormatting sqref="AE1:AE1048576">
    <cfRule type="top10" dxfId="4" priority="5" rank="1"/>
  </conditionalFormatting>
  <conditionalFormatting sqref="AF1:AF1048576">
    <cfRule type="top10" dxfId="3" priority="4" rank="1"/>
  </conditionalFormatting>
  <conditionalFormatting sqref="L1:L1048576">
    <cfRule type="top10" dxfId="2" priority="3" rank="1"/>
  </conditionalFormatting>
  <conditionalFormatting sqref="M1:M1048576">
    <cfRule type="top10" dxfId="1" priority="2" rank="1"/>
  </conditionalFormatting>
  <conditionalFormatting sqref="N1:N1048576">
    <cfRule type="top10" dxfId="0" priority="1" rank="1"/>
  </conditionalFormatting>
  <dataValidations count="1">
    <dataValidation type="list" allowBlank="1" showInputMessage="1" showErrorMessage="1" sqref="E9" xr:uid="{0C77162A-D6D0-4709-9CAA-C4FFD14DF5FC}">
      <formula1>$L$17:$N$17</formula1>
    </dataValidation>
  </dataValidations>
  <pageMargins left="0.5" right="0.5" top="0.5" bottom="0.5" header="0.31496062992125984" footer="0.31496062992125984"/>
  <pageSetup scale="84" orientation="portrait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CVN</vt:lpstr>
      <vt:lpstr>CVN!Print_Area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2026-09-16T16:06:41Z</cp:lastPrinted>
  <dcterms:created xsi:type="dcterms:W3CDTF">2023-12-24T09:13:35Z</dcterms:created>
  <dcterms:modified xsi:type="dcterms:W3CDTF">2026-09-16T16:40:54Z</dcterms:modified>
</cp:coreProperties>
</file>